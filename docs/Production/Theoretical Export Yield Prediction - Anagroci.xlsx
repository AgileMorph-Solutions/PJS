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Production Reports\"/>
    </mc:Choice>
  </mc:AlternateContent>
  <xr:revisionPtr revIDLastSave="0" documentId="8_{06A971D0-3467-45A6-BB2D-232A74AA97C4}" xr6:coauthVersionLast="47" xr6:coauthVersionMax="47" xr10:uidLastSave="{00000000-0000-0000-0000-000000000000}"/>
  <bookViews>
    <workbookView xWindow="-108" yWindow="-108" windowWidth="23256" windowHeight="13896" tabRatio="845" activeTab="1" xr2:uid="{00000000-000D-0000-FFFF-FFFF00000000}"/>
  </bookViews>
  <sheets>
    <sheet name="Summary" sheetId="11" r:id="rId1"/>
    <sheet name="Source data" sheetId="10" r:id="rId2"/>
    <sheet name="Flow Chart" sheetId="2" r:id="rId3"/>
    <sheet name="Offloading BIN Report" sheetId="12" state="hidden" r:id="rId4"/>
  </sheets>
  <definedNames>
    <definedName name="_xlnm._FilterDatabase" localSheetId="3" hidden="1">'Offloading BIN Report'!$B$3:$T$256</definedName>
    <definedName name="_xlnm._FilterDatabase" localSheetId="1" hidden="1">'Source data'!$B$1:$AZ$221</definedName>
    <definedName name="POWER_USER_EXCEL_CHART_0EE9BCE2_A1E6_452E_AF52_6DEA27115F68" localSheetId="1">'Source data'!$B$1:$O$1</definedName>
    <definedName name="POWER_USER_EXCEL_CHART_0EE9BCE2_A1E6_452E_AF52_6DEA27115F68">#REF!</definedName>
    <definedName name="_xlnm.Print_Area" localSheetId="2">'Flow Chart'!$A$1:$I$27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164" i="10" l="1"/>
  <c r="AC164" i="10"/>
  <c r="AD163" i="10"/>
  <c r="AC163" i="10"/>
  <c r="AD162" i="10"/>
  <c r="AC162" i="10"/>
  <c r="AD161" i="10"/>
  <c r="AC161" i="10"/>
  <c r="AD160" i="10"/>
  <c r="AC160" i="10"/>
  <c r="AD159" i="10"/>
  <c r="AC159" i="10"/>
  <c r="AD158" i="10"/>
  <c r="AC158" i="10"/>
  <c r="AD157" i="10"/>
  <c r="AC157" i="10"/>
  <c r="AD156" i="10"/>
  <c r="AC156" i="10"/>
  <c r="AD155" i="10"/>
  <c r="AC155" i="10"/>
  <c r="AD154" i="10"/>
  <c r="AC154" i="10"/>
  <c r="AD153" i="10"/>
  <c r="AC153" i="10"/>
  <c r="AD152" i="10"/>
  <c r="AC152" i="10"/>
  <c r="AD151" i="10"/>
  <c r="AC151" i="10"/>
  <c r="AD150" i="10"/>
  <c r="AC150" i="10"/>
  <c r="AD149" i="10"/>
  <c r="AC149" i="10"/>
  <c r="AD148" i="10"/>
  <c r="AC148" i="10"/>
  <c r="AD147" i="10"/>
  <c r="AC147" i="10"/>
  <c r="AD146" i="10"/>
  <c r="AC146" i="10"/>
  <c r="AD145" i="10"/>
  <c r="AC145" i="10"/>
  <c r="AD144" i="10"/>
  <c r="AC144" i="10"/>
  <c r="AD143" i="10"/>
  <c r="AC143" i="10"/>
  <c r="AD142" i="10"/>
  <c r="AC142" i="10"/>
  <c r="AD141" i="10"/>
  <c r="AC141" i="10"/>
  <c r="AD140" i="10"/>
  <c r="AC140" i="10"/>
  <c r="AD139" i="10"/>
  <c r="AC139" i="10"/>
  <c r="AD138" i="10"/>
  <c r="AC138" i="10"/>
  <c r="AD137" i="10"/>
  <c r="AC137" i="10"/>
  <c r="AD136" i="10"/>
  <c r="AC136" i="10"/>
  <c r="AD135" i="10"/>
  <c r="AC135" i="10"/>
  <c r="AD134" i="10"/>
  <c r="AC134" i="10"/>
  <c r="AD133" i="10"/>
  <c r="AC133" i="10"/>
  <c r="AD132" i="10"/>
  <c r="AC132" i="10"/>
  <c r="AD131" i="10"/>
  <c r="AC131" i="10"/>
  <c r="AD130" i="10"/>
  <c r="AC130" i="10"/>
  <c r="AD129" i="10"/>
  <c r="AC129" i="10"/>
  <c r="AD128" i="10"/>
  <c r="AC128" i="10"/>
  <c r="AD127" i="10"/>
  <c r="AC127" i="10"/>
  <c r="AD126" i="10"/>
  <c r="AC126" i="10"/>
  <c r="AD125" i="10"/>
  <c r="AC125" i="10"/>
  <c r="AD124" i="10"/>
  <c r="AC124" i="10"/>
  <c r="AD123" i="10"/>
  <c r="AC123" i="10"/>
  <c r="AD122" i="10"/>
  <c r="AC122" i="10"/>
  <c r="AD121" i="10"/>
  <c r="AC121" i="10"/>
  <c r="AD120" i="10"/>
  <c r="AC120" i="10"/>
  <c r="AD119" i="10"/>
  <c r="AC119" i="10"/>
  <c r="AD118" i="10"/>
  <c r="AC118" i="10"/>
  <c r="AD117" i="10"/>
  <c r="AC117" i="10"/>
  <c r="AD116" i="10"/>
  <c r="AC116" i="10"/>
  <c r="AD115" i="10"/>
  <c r="AC115" i="10"/>
  <c r="AD114" i="10"/>
  <c r="AC114" i="10"/>
  <c r="AD113" i="10"/>
  <c r="AC113" i="10"/>
  <c r="AD112" i="10"/>
  <c r="AC112" i="10"/>
  <c r="AD111" i="10"/>
  <c r="AC111" i="10"/>
  <c r="AD110" i="10"/>
  <c r="AC110" i="10"/>
  <c r="AD109" i="10"/>
  <c r="AD108" i="10"/>
  <c r="AC109" i="10"/>
  <c r="P109" i="10"/>
  <c r="P108" i="10"/>
  <c r="AC108" i="10" l="1"/>
  <c r="AC107" i="10"/>
  <c r="AD107" i="10"/>
  <c r="AD106" i="10"/>
  <c r="AC106" i="10"/>
  <c r="AD105" i="10"/>
  <c r="AC105" i="10"/>
  <c r="AD104" i="10"/>
  <c r="AC104" i="10"/>
  <c r="AD103" i="10"/>
  <c r="AC103" i="10"/>
  <c r="AD102" i="10"/>
  <c r="AC102" i="10"/>
  <c r="AD101" i="10"/>
  <c r="AC101" i="10"/>
  <c r="AD100" i="10"/>
  <c r="AC100" i="10"/>
  <c r="AD99" i="10"/>
  <c r="AD98" i="10"/>
  <c r="AC99" i="10"/>
  <c r="AC98" i="10"/>
  <c r="AC97" i="10"/>
  <c r="AD97" i="10"/>
  <c r="AD96" i="10"/>
  <c r="AC96" i="10"/>
  <c r="AD95" i="10"/>
  <c r="AC95" i="10"/>
  <c r="AD94" i="10"/>
  <c r="AC94" i="10"/>
  <c r="AC93" i="10"/>
  <c r="AD93" i="10"/>
  <c r="AD92" i="10"/>
  <c r="AC92" i="10"/>
  <c r="AC91" i="10"/>
  <c r="AD91" i="10"/>
  <c r="AD90" i="10"/>
  <c r="AC90" i="10"/>
  <c r="AD89" i="10"/>
  <c r="AC89" i="10"/>
  <c r="AD88" i="10"/>
  <c r="AC88" i="10"/>
  <c r="AD87" i="10"/>
  <c r="AC87" i="10"/>
  <c r="AD86" i="10"/>
  <c r="AD85" i="10"/>
  <c r="AD84" i="10"/>
  <c r="AD83" i="10"/>
  <c r="AD82" i="10"/>
  <c r="AD81" i="10"/>
  <c r="AD80" i="10"/>
  <c r="AD79" i="10"/>
  <c r="AD78" i="10"/>
  <c r="AD77" i="10"/>
  <c r="AD76" i="10"/>
  <c r="AD75" i="10"/>
  <c r="AD74" i="10"/>
  <c r="AD73" i="10"/>
  <c r="AD72" i="10"/>
  <c r="AD71" i="10"/>
  <c r="AD70" i="10"/>
  <c r="AD69" i="10"/>
  <c r="AD68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69" i="10"/>
  <c r="AC68" i="10"/>
  <c r="AD67" i="10"/>
  <c r="AD66" i="10"/>
  <c r="AC67" i="10"/>
  <c r="AC66" i="10"/>
  <c r="AD65" i="10"/>
  <c r="AC65" i="10"/>
  <c r="C65" i="10"/>
  <c r="AD64" i="10"/>
  <c r="AC64" i="10"/>
  <c r="AD63" i="10"/>
  <c r="AC63" i="10"/>
  <c r="C63" i="10"/>
  <c r="BD62" i="10"/>
  <c r="AD62" i="10"/>
  <c r="AC62" i="10"/>
  <c r="E14" i="11" l="1"/>
  <c r="BD61" i="10"/>
  <c r="AD61" i="10"/>
  <c r="C60" i="10"/>
  <c r="C61" i="10"/>
  <c r="AD60" i="10"/>
  <c r="BD60" i="10"/>
  <c r="BD59" i="10"/>
  <c r="AD59" i="10"/>
  <c r="AC59" i="10"/>
  <c r="BD58" i="10"/>
  <c r="AD58" i="10"/>
  <c r="AC58" i="10"/>
  <c r="AD57" i="10"/>
  <c r="BD56" i="10"/>
  <c r="AD56" i="10"/>
  <c r="AC56" i="10"/>
  <c r="AD55" i="10"/>
  <c r="BD54" i="10"/>
  <c r="AD54" i="10"/>
  <c r="C55" i="10"/>
  <c r="AD53" i="10"/>
  <c r="BD52" i="10"/>
  <c r="AD52" i="10"/>
  <c r="BD51" i="10"/>
  <c r="AD51" i="10"/>
  <c r="BD50" i="10"/>
  <c r="AD50" i="10"/>
  <c r="AC50" i="10"/>
  <c r="BD49" i="10"/>
  <c r="AG49" i="10" s="1"/>
  <c r="AD49" i="10"/>
  <c r="BD48" i="10"/>
  <c r="AD48" i="10"/>
  <c r="BD47" i="10"/>
  <c r="AD47" i="10"/>
  <c r="BD46" i="10"/>
  <c r="AD46" i="10"/>
  <c r="BD45" i="10"/>
  <c r="AD45" i="10"/>
  <c r="BD44" i="10"/>
  <c r="AD44" i="10"/>
  <c r="AD43" i="10"/>
  <c r="BD42" i="10"/>
  <c r="AD42" i="10"/>
  <c r="BD41" i="10"/>
  <c r="AD41" i="10"/>
  <c r="BD40" i="10"/>
  <c r="AG40" i="10"/>
  <c r="AG41" i="10"/>
  <c r="AG42" i="10"/>
  <c r="AG43" i="10"/>
  <c r="AG44" i="10"/>
  <c r="AG45" i="10"/>
  <c r="AG46" i="10"/>
  <c r="AG47" i="10"/>
  <c r="AG48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2" i="10"/>
  <c r="AD40" i="10"/>
  <c r="BD39" i="10"/>
  <c r="AD39" i="10"/>
  <c r="BD38" i="10"/>
  <c r="AD38" i="10"/>
  <c r="AC38" i="10"/>
  <c r="BD37" i="10"/>
  <c r="AD37" i="10"/>
  <c r="BD36" i="10"/>
  <c r="AD36" i="10"/>
  <c r="BD35" i="10"/>
  <c r="AD35" i="10"/>
  <c r="BD34" i="10"/>
  <c r="AD34" i="10"/>
  <c r="BD33" i="10"/>
  <c r="AD33" i="10"/>
  <c r="BD32" i="10"/>
  <c r="AD32" i="10"/>
  <c r="BD31" i="10"/>
  <c r="AD31" i="10"/>
  <c r="BD30" i="10" l="1"/>
  <c r="AD30" i="10"/>
  <c r="AD29" i="10"/>
  <c r="BD28" i="10"/>
  <c r="AD28" i="10"/>
  <c r="C28" i="10"/>
  <c r="BD27" i="10"/>
  <c r="AD27" i="10"/>
  <c r="BD26" i="10"/>
  <c r="AD26" i="10"/>
  <c r="AD25" i="10"/>
  <c r="BD24" i="10"/>
  <c r="AD24" i="10"/>
  <c r="C24" i="10"/>
  <c r="BD23" i="10"/>
  <c r="AD23" i="10"/>
  <c r="C23" i="10"/>
  <c r="BD22" i="10"/>
  <c r="AD22" i="10"/>
  <c r="BD21" i="10"/>
  <c r="AD21" i="10"/>
  <c r="BD20" i="10"/>
  <c r="BD19" i="10"/>
  <c r="AD19" i="10"/>
  <c r="BD18" i="10"/>
  <c r="AD18" i="10"/>
  <c r="BD17" i="10"/>
  <c r="AD17" i="10"/>
  <c r="BD16" i="10"/>
  <c r="AD16" i="10"/>
  <c r="BD15" i="10"/>
  <c r="AD15" i="10"/>
  <c r="BH13" i="10"/>
  <c r="BD14" i="10"/>
  <c r="BD13" i="10"/>
  <c r="AD14" i="10"/>
  <c r="AD13" i="10"/>
  <c r="C13" i="10"/>
  <c r="BD12" i="10"/>
  <c r="AD12" i="10"/>
  <c r="BD11" i="10"/>
  <c r="AD11" i="10"/>
  <c r="C12" i="10"/>
  <c r="BD10" i="10"/>
  <c r="AD10" i="10"/>
  <c r="C10" i="10"/>
  <c r="BD9" i="10"/>
  <c r="AD9" i="10"/>
  <c r="BD8" i="10"/>
  <c r="AD8" i="10"/>
  <c r="AD6" i="10"/>
  <c r="AD7" i="10"/>
  <c r="BD5" i="10"/>
  <c r="AD5" i="10"/>
  <c r="BD4" i="10"/>
  <c r="AF4" i="10"/>
  <c r="AD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AB212" i="10"/>
  <c r="AB213" i="10"/>
  <c r="AB214" i="10"/>
  <c r="AB215" i="10"/>
  <c r="AB216" i="10"/>
  <c r="AB217" i="10"/>
  <c r="AB218" i="10"/>
  <c r="AB219" i="10"/>
  <c r="AB220" i="10"/>
  <c r="AB221" i="10"/>
  <c r="AB4" i="10"/>
  <c r="AB3" i="10"/>
  <c r="AB2" i="10"/>
  <c r="AA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Z147" i="10"/>
  <c r="Z148" i="10"/>
  <c r="Z149" i="10"/>
  <c r="Z150" i="10"/>
  <c r="Z151" i="10"/>
  <c r="Z152" i="10"/>
  <c r="Z153" i="10"/>
  <c r="Z154" i="10"/>
  <c r="Z155" i="10"/>
  <c r="Z156" i="10"/>
  <c r="Z157" i="10"/>
  <c r="Z158" i="10"/>
  <c r="Z159" i="10"/>
  <c r="Z160" i="10"/>
  <c r="Z161" i="10"/>
  <c r="Z162" i="10"/>
  <c r="Z163" i="10"/>
  <c r="Z164" i="10"/>
  <c r="Z165" i="10"/>
  <c r="Z166" i="10"/>
  <c r="Z167" i="10"/>
  <c r="Z168" i="10"/>
  <c r="Z169" i="10"/>
  <c r="Z170" i="10"/>
  <c r="Z171" i="10"/>
  <c r="Z172" i="10"/>
  <c r="Z173" i="10"/>
  <c r="Z174" i="10"/>
  <c r="Z175" i="10"/>
  <c r="Z176" i="10"/>
  <c r="Z177" i="10"/>
  <c r="Z178" i="10"/>
  <c r="Z179" i="10"/>
  <c r="Z180" i="10"/>
  <c r="Z181" i="10"/>
  <c r="Z182" i="10"/>
  <c r="Z183" i="10"/>
  <c r="Z184" i="10"/>
  <c r="Z185" i="10"/>
  <c r="Z186" i="10"/>
  <c r="Z187" i="10"/>
  <c r="Z188" i="10"/>
  <c r="Z189" i="10"/>
  <c r="Z190" i="10"/>
  <c r="Z191" i="10"/>
  <c r="Z192" i="10"/>
  <c r="Z193" i="10"/>
  <c r="Z194" i="10"/>
  <c r="Z195" i="10"/>
  <c r="Z196" i="10"/>
  <c r="Z197" i="10"/>
  <c r="Z198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AA178" i="10"/>
  <c r="AA179" i="10"/>
  <c r="AA180" i="10"/>
  <c r="AA181" i="10"/>
  <c r="AA182" i="10"/>
  <c r="AA183" i="10"/>
  <c r="AA184" i="10"/>
  <c r="AA185" i="10"/>
  <c r="AA186" i="10"/>
  <c r="AA187" i="10"/>
  <c r="AA188" i="10"/>
  <c r="AA189" i="10"/>
  <c r="AA190" i="10"/>
  <c r="AA191" i="10"/>
  <c r="AA192" i="10"/>
  <c r="AA193" i="10"/>
  <c r="AA194" i="10"/>
  <c r="AA195" i="10"/>
  <c r="AA196" i="10"/>
  <c r="AA197" i="10"/>
  <c r="AA198" i="10"/>
  <c r="C6" i="10"/>
  <c r="C7" i="10"/>
  <c r="C8" i="10"/>
  <c r="C9" i="10"/>
  <c r="C11" i="10"/>
  <c r="C14" i="10"/>
  <c r="C15" i="10"/>
  <c r="C16" i="10"/>
  <c r="C17" i="10"/>
  <c r="C18" i="10"/>
  <c r="C19" i="10"/>
  <c r="C20" i="10"/>
  <c r="C21" i="10"/>
  <c r="C22" i="10"/>
  <c r="C25" i="10"/>
  <c r="C26" i="10"/>
  <c r="C27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6" i="10"/>
  <c r="C57" i="10"/>
  <c r="C58" i="10"/>
  <c r="C59" i="10"/>
  <c r="C62" i="10"/>
  <c r="C64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5" i="10"/>
  <c r="C4" i="10"/>
  <c r="P2" i="10" l="1"/>
  <c r="AJ2" i="10"/>
  <c r="AI2" i="10"/>
  <c r="AK2" i="10" s="1"/>
  <c r="AL2" i="10" s="1"/>
  <c r="BE4" i="10"/>
  <c r="BE5" i="10"/>
  <c r="BE6" i="10"/>
  <c r="BE7" i="10"/>
  <c r="BE8" i="10"/>
  <c r="BE9" i="10"/>
  <c r="BE10" i="10"/>
  <c r="BE11" i="10"/>
  <c r="BE12" i="10"/>
  <c r="BE13" i="10"/>
  <c r="BE14" i="10"/>
  <c r="BE15" i="10"/>
  <c r="BE16" i="10"/>
  <c r="BE17" i="10"/>
  <c r="BE18" i="10"/>
  <c r="BE19" i="10"/>
  <c r="BE20" i="10"/>
  <c r="BE21" i="10"/>
  <c r="BE22" i="10"/>
  <c r="BE23" i="10"/>
  <c r="BE24" i="10"/>
  <c r="BE25" i="10"/>
  <c r="BE26" i="10"/>
  <c r="BE27" i="10"/>
  <c r="BE28" i="10"/>
  <c r="BE29" i="10"/>
  <c r="BE30" i="10"/>
  <c r="BE31" i="10"/>
  <c r="BE32" i="10"/>
  <c r="BE33" i="10"/>
  <c r="BE34" i="10"/>
  <c r="BE35" i="10"/>
  <c r="BE36" i="10"/>
  <c r="BE37" i="10"/>
  <c r="BE38" i="10"/>
  <c r="BE39" i="10"/>
  <c r="BE40" i="10"/>
  <c r="BE41" i="10"/>
  <c r="BE42" i="10"/>
  <c r="BE43" i="10"/>
  <c r="BE44" i="10"/>
  <c r="BE45" i="10"/>
  <c r="BE46" i="10"/>
  <c r="BE47" i="10"/>
  <c r="BE48" i="10"/>
  <c r="BE49" i="10"/>
  <c r="BE50" i="10"/>
  <c r="BE51" i="10"/>
  <c r="BE52" i="10"/>
  <c r="BE53" i="10"/>
  <c r="BE54" i="10"/>
  <c r="BE55" i="10"/>
  <c r="BE56" i="10"/>
  <c r="BE57" i="10"/>
  <c r="BE58" i="10"/>
  <c r="BE59" i="10"/>
  <c r="BE60" i="10"/>
  <c r="BE61" i="10"/>
  <c r="BE62" i="10"/>
  <c r="BE63" i="10"/>
  <c r="BE64" i="10"/>
  <c r="BE65" i="10"/>
  <c r="BE66" i="10"/>
  <c r="BE67" i="10"/>
  <c r="BE68" i="10"/>
  <c r="BE69" i="10"/>
  <c r="BE70" i="10"/>
  <c r="BE71" i="10"/>
  <c r="BE72" i="10"/>
  <c r="BE73" i="10"/>
  <c r="BE74" i="10"/>
  <c r="BE75" i="10"/>
  <c r="BE76" i="10"/>
  <c r="BE77" i="10"/>
  <c r="BE78" i="10"/>
  <c r="BE79" i="10"/>
  <c r="BE80" i="10"/>
  <c r="BE81" i="10"/>
  <c r="BE82" i="10"/>
  <c r="BE83" i="10"/>
  <c r="BE84" i="10"/>
  <c r="BE85" i="10"/>
  <c r="BE86" i="10"/>
  <c r="BE87" i="10"/>
  <c r="BE88" i="10"/>
  <c r="BE89" i="10"/>
  <c r="BE90" i="10"/>
  <c r="BE91" i="10"/>
  <c r="BE92" i="10"/>
  <c r="BE93" i="10"/>
  <c r="BE94" i="10"/>
  <c r="BE95" i="10"/>
  <c r="BE96" i="10"/>
  <c r="BE97" i="10"/>
  <c r="BE98" i="10"/>
  <c r="BE99" i="10"/>
  <c r="BE100" i="10"/>
  <c r="BE101" i="10"/>
  <c r="BE102" i="10"/>
  <c r="BE103" i="10"/>
  <c r="BE104" i="10"/>
  <c r="BE105" i="10"/>
  <c r="BE106" i="10"/>
  <c r="BE107" i="10"/>
  <c r="BE108" i="10"/>
  <c r="BE109" i="10"/>
  <c r="BE110" i="10"/>
  <c r="BE111" i="10"/>
  <c r="BE112" i="10"/>
  <c r="BE113" i="10"/>
  <c r="BE114" i="10"/>
  <c r="BE115" i="10"/>
  <c r="BE116" i="10"/>
  <c r="BE117" i="10"/>
  <c r="BE118" i="10"/>
  <c r="BE119" i="10"/>
  <c r="BE120" i="10"/>
  <c r="BE121" i="10"/>
  <c r="BE122" i="10"/>
  <c r="BE123" i="10"/>
  <c r="BE124" i="10"/>
  <c r="BE125" i="10"/>
  <c r="BE126" i="10"/>
  <c r="BE127" i="10"/>
  <c r="BE128" i="10"/>
  <c r="BE129" i="10"/>
  <c r="BE130" i="10"/>
  <c r="BE131" i="10"/>
  <c r="BE132" i="10"/>
  <c r="BE133" i="10"/>
  <c r="BE134" i="10"/>
  <c r="BE135" i="10"/>
  <c r="BE136" i="10"/>
  <c r="BE137" i="10"/>
  <c r="BE138" i="10"/>
  <c r="BE139" i="10"/>
  <c r="BE140" i="10"/>
  <c r="BE141" i="10"/>
  <c r="BE142" i="10"/>
  <c r="BE143" i="10"/>
  <c r="BE144" i="10"/>
  <c r="BE145" i="10"/>
  <c r="BE146" i="10"/>
  <c r="BE147" i="10"/>
  <c r="BE148" i="10"/>
  <c r="BE149" i="10"/>
  <c r="BE150" i="10"/>
  <c r="BE151" i="10"/>
  <c r="BE152" i="10"/>
  <c r="BE153" i="10"/>
  <c r="BE154" i="10"/>
  <c r="BE155" i="10"/>
  <c r="BE156" i="10"/>
  <c r="BE157" i="10"/>
  <c r="BE158" i="10"/>
  <c r="BE159" i="10"/>
  <c r="BE160" i="10"/>
  <c r="BE161" i="10"/>
  <c r="BE162" i="10"/>
  <c r="BE163" i="10"/>
  <c r="BE164" i="10"/>
  <c r="BE165" i="10"/>
  <c r="BE166" i="10"/>
  <c r="BE167" i="10"/>
  <c r="BE168" i="10"/>
  <c r="BE169" i="10"/>
  <c r="BE170" i="10"/>
  <c r="BE171" i="10"/>
  <c r="BE172" i="10"/>
  <c r="BE173" i="10"/>
  <c r="BE174" i="10"/>
  <c r="BE175" i="10"/>
  <c r="BE176" i="10"/>
  <c r="BE177" i="10"/>
  <c r="BE178" i="10"/>
  <c r="BE179" i="10"/>
  <c r="BE180" i="10"/>
  <c r="BE181" i="10"/>
  <c r="BE182" i="10"/>
  <c r="BE183" i="10"/>
  <c r="BE184" i="10"/>
  <c r="BE185" i="10"/>
  <c r="BE186" i="10"/>
  <c r="BE187" i="10"/>
  <c r="BE188" i="10"/>
  <c r="BE189" i="10"/>
  <c r="BE190" i="10"/>
  <c r="BE191" i="10"/>
  <c r="BE192" i="10"/>
  <c r="BE193" i="10"/>
  <c r="BE194" i="10"/>
  <c r="BE195" i="10"/>
  <c r="BE196" i="10"/>
  <c r="BE197" i="10"/>
  <c r="BE198" i="10"/>
  <c r="BE199" i="10"/>
  <c r="BE200" i="10"/>
  <c r="BE201" i="10"/>
  <c r="BE202" i="10"/>
  <c r="BE203" i="10"/>
  <c r="BE204" i="10"/>
  <c r="BE205" i="10"/>
  <c r="BE206" i="10"/>
  <c r="BE207" i="10"/>
  <c r="BE208" i="10"/>
  <c r="BE209" i="10"/>
  <c r="BE210" i="10"/>
  <c r="BE211" i="10"/>
  <c r="BE212" i="10"/>
  <c r="BE213" i="10"/>
  <c r="BE214" i="10"/>
  <c r="BE215" i="10"/>
  <c r="BE216" i="10"/>
  <c r="BE217" i="10"/>
  <c r="BE218" i="10"/>
  <c r="BE219" i="10"/>
  <c r="BE220" i="10"/>
  <c r="BE221" i="10"/>
  <c r="BC4" i="10"/>
  <c r="BC5" i="10"/>
  <c r="BC6" i="10"/>
  <c r="BC7" i="10"/>
  <c r="BC8" i="10"/>
  <c r="BC9" i="10"/>
  <c r="BC10" i="10"/>
  <c r="BC11" i="10"/>
  <c r="BC12" i="10"/>
  <c r="BC13" i="10"/>
  <c r="BC14" i="10"/>
  <c r="BC15" i="10"/>
  <c r="BC16" i="10"/>
  <c r="BC17" i="10"/>
  <c r="BC18" i="10"/>
  <c r="BC19" i="10"/>
  <c r="BC20" i="10"/>
  <c r="BC21" i="10"/>
  <c r="BC22" i="10"/>
  <c r="BC23" i="10"/>
  <c r="BC24" i="10"/>
  <c r="BC25" i="10"/>
  <c r="BC26" i="10"/>
  <c r="BC27" i="10"/>
  <c r="BC28" i="10"/>
  <c r="BC29" i="10"/>
  <c r="BC30" i="10"/>
  <c r="BC31" i="10"/>
  <c r="BC32" i="10"/>
  <c r="BC33" i="10"/>
  <c r="BC34" i="10"/>
  <c r="BC35" i="10"/>
  <c r="BC36" i="10"/>
  <c r="BC37" i="10"/>
  <c r="BC38" i="10"/>
  <c r="BC39" i="10"/>
  <c r="BC40" i="10"/>
  <c r="BC41" i="10"/>
  <c r="BC42" i="10"/>
  <c r="BC43" i="10"/>
  <c r="BC44" i="10"/>
  <c r="BC45" i="10"/>
  <c r="BC46" i="10"/>
  <c r="BC47" i="10"/>
  <c r="BC48" i="10"/>
  <c r="BC49" i="10"/>
  <c r="BC50" i="10"/>
  <c r="BC51" i="10"/>
  <c r="BC52" i="10"/>
  <c r="BC53" i="10"/>
  <c r="BC54" i="10"/>
  <c r="BC55" i="10"/>
  <c r="BC56" i="10"/>
  <c r="BC57" i="10"/>
  <c r="BC58" i="10"/>
  <c r="BC59" i="10"/>
  <c r="BC60" i="10"/>
  <c r="BC61" i="10"/>
  <c r="BC62" i="10"/>
  <c r="BC63" i="10"/>
  <c r="BC64" i="10"/>
  <c r="BC65" i="10"/>
  <c r="BC66" i="10"/>
  <c r="BC67" i="10"/>
  <c r="BC68" i="10"/>
  <c r="BC69" i="10"/>
  <c r="BC70" i="10"/>
  <c r="BC71" i="10"/>
  <c r="BC72" i="10"/>
  <c r="BC73" i="10"/>
  <c r="BC74" i="10"/>
  <c r="BC75" i="10"/>
  <c r="BC76" i="10"/>
  <c r="BC77" i="10"/>
  <c r="BC78" i="10"/>
  <c r="BC79" i="10"/>
  <c r="BC80" i="10"/>
  <c r="BC81" i="10"/>
  <c r="BC82" i="10"/>
  <c r="BC83" i="10"/>
  <c r="BC84" i="10"/>
  <c r="BC85" i="10"/>
  <c r="BC86" i="10"/>
  <c r="BC87" i="10"/>
  <c r="BC88" i="10"/>
  <c r="BC89" i="10"/>
  <c r="BC90" i="10"/>
  <c r="BC91" i="10"/>
  <c r="BC92" i="10"/>
  <c r="BC93" i="10"/>
  <c r="BC94" i="10"/>
  <c r="BC95" i="10"/>
  <c r="BC96" i="10"/>
  <c r="BC97" i="10"/>
  <c r="BC98" i="10"/>
  <c r="BC99" i="10"/>
  <c r="BC100" i="10"/>
  <c r="BC101" i="10"/>
  <c r="BC102" i="10"/>
  <c r="BC103" i="10"/>
  <c r="BC104" i="10"/>
  <c r="BC105" i="10"/>
  <c r="BC106" i="10"/>
  <c r="BC107" i="10"/>
  <c r="BC108" i="10"/>
  <c r="BC109" i="10"/>
  <c r="BC110" i="10"/>
  <c r="BC111" i="10"/>
  <c r="BC112" i="10"/>
  <c r="BC113" i="10"/>
  <c r="BC114" i="10"/>
  <c r="BC115" i="10"/>
  <c r="BC116" i="10"/>
  <c r="BC117" i="10"/>
  <c r="BC118" i="10"/>
  <c r="BC119" i="10"/>
  <c r="BC120" i="10"/>
  <c r="BC121" i="10"/>
  <c r="BC122" i="10"/>
  <c r="BC123" i="10"/>
  <c r="BC124" i="10"/>
  <c r="BC125" i="10"/>
  <c r="BC126" i="10"/>
  <c r="BC127" i="10"/>
  <c r="BC128" i="10"/>
  <c r="BC129" i="10"/>
  <c r="BC130" i="10"/>
  <c r="BC131" i="10"/>
  <c r="BC132" i="10"/>
  <c r="BC133" i="10"/>
  <c r="BC134" i="10"/>
  <c r="BC135" i="10"/>
  <c r="BC136" i="10"/>
  <c r="BC137" i="10"/>
  <c r="BC138" i="10"/>
  <c r="BC139" i="10"/>
  <c r="BC140" i="10"/>
  <c r="BC141" i="10"/>
  <c r="BC142" i="10"/>
  <c r="BC143" i="10"/>
  <c r="BC144" i="10"/>
  <c r="BC145" i="10"/>
  <c r="BC146" i="10"/>
  <c r="BC147" i="10"/>
  <c r="BC148" i="10"/>
  <c r="BC149" i="10"/>
  <c r="BC150" i="10"/>
  <c r="BC151" i="10"/>
  <c r="BC152" i="10"/>
  <c r="BC153" i="10"/>
  <c r="BC154" i="10"/>
  <c r="BC155" i="10"/>
  <c r="BC156" i="10"/>
  <c r="BC157" i="10"/>
  <c r="BC158" i="10"/>
  <c r="BC159" i="10"/>
  <c r="BC160" i="10"/>
  <c r="BC161" i="10"/>
  <c r="BC162" i="10"/>
  <c r="BC163" i="10"/>
  <c r="BC164" i="10"/>
  <c r="BC165" i="10"/>
  <c r="BC166" i="10"/>
  <c r="BC167" i="10"/>
  <c r="BC168" i="10"/>
  <c r="BC169" i="10"/>
  <c r="BC170" i="10"/>
  <c r="BC171" i="10"/>
  <c r="BC172" i="10"/>
  <c r="BC173" i="10"/>
  <c r="BC174" i="10"/>
  <c r="BC175" i="10"/>
  <c r="BC176" i="10"/>
  <c r="BC177" i="10"/>
  <c r="BC178" i="10"/>
  <c r="BC179" i="10"/>
  <c r="BC180" i="10"/>
  <c r="BC181" i="10"/>
  <c r="BC182" i="10"/>
  <c r="BC183" i="10"/>
  <c r="BC184" i="10"/>
  <c r="BC185" i="10"/>
  <c r="BC186" i="10"/>
  <c r="BC187" i="10"/>
  <c r="BC188" i="10"/>
  <c r="BC189" i="10"/>
  <c r="BC190" i="10"/>
  <c r="BC191" i="10"/>
  <c r="BC192" i="10"/>
  <c r="BC193" i="10"/>
  <c r="BC194" i="10"/>
  <c r="BC195" i="10"/>
  <c r="BC196" i="10"/>
  <c r="BC197" i="10"/>
  <c r="BC198" i="10"/>
  <c r="BC199" i="10"/>
  <c r="BC200" i="10"/>
  <c r="BC201" i="10"/>
  <c r="BC202" i="10"/>
  <c r="BC203" i="10"/>
  <c r="BC204" i="10"/>
  <c r="BC205" i="10"/>
  <c r="BC206" i="10"/>
  <c r="BC207" i="10"/>
  <c r="BC208" i="10"/>
  <c r="BC209" i="10"/>
  <c r="BC210" i="10"/>
  <c r="BC211" i="10"/>
  <c r="BC212" i="10"/>
  <c r="BC213" i="10"/>
  <c r="BC214" i="10"/>
  <c r="BC215" i="10"/>
  <c r="BC216" i="10"/>
  <c r="BC217" i="10"/>
  <c r="BC218" i="10"/>
  <c r="BC219" i="10"/>
  <c r="BC220" i="10"/>
  <c r="BC221" i="10"/>
  <c r="BA4" i="10"/>
  <c r="BA5" i="10"/>
  <c r="BA6" i="10"/>
  <c r="BK6" i="10" s="1"/>
  <c r="BA7" i="10"/>
  <c r="BK7" i="10" s="1"/>
  <c r="BA8" i="10"/>
  <c r="BK8" i="10" s="1"/>
  <c r="BA9" i="10"/>
  <c r="BK9" i="10" s="1"/>
  <c r="BA10" i="10"/>
  <c r="BA11" i="10"/>
  <c r="BA12" i="10"/>
  <c r="BK12" i="10" s="1"/>
  <c r="BA13" i="10"/>
  <c r="BA14" i="10"/>
  <c r="BK14" i="10" s="1"/>
  <c r="BA15" i="10"/>
  <c r="BK15" i="10" s="1"/>
  <c r="BA16" i="10"/>
  <c r="BK16" i="10" s="1"/>
  <c r="BA17" i="10"/>
  <c r="BA18" i="10"/>
  <c r="BK18" i="10" s="1"/>
  <c r="BA19" i="10"/>
  <c r="BK19" i="10" s="1"/>
  <c r="BA20" i="10"/>
  <c r="BK20" i="10" s="1"/>
  <c r="BA21" i="10"/>
  <c r="BK21" i="10" s="1"/>
  <c r="BA22" i="10"/>
  <c r="BA23" i="10"/>
  <c r="BA24" i="10"/>
  <c r="BA25" i="10"/>
  <c r="BA26" i="10"/>
  <c r="BA27" i="10"/>
  <c r="BA28" i="10"/>
  <c r="BK28" i="10" s="1"/>
  <c r="BA29" i="10"/>
  <c r="BK29" i="10" s="1"/>
  <c r="BA30" i="10"/>
  <c r="BK30" i="10" s="1"/>
  <c r="BA31" i="10"/>
  <c r="BK31" i="10" s="1"/>
  <c r="BA32" i="10"/>
  <c r="BK32" i="10" s="1"/>
  <c r="BA33" i="10"/>
  <c r="BK33" i="10" s="1"/>
  <c r="BA34" i="10"/>
  <c r="BA35" i="10"/>
  <c r="BK35" i="10" s="1"/>
  <c r="BA36" i="10"/>
  <c r="BA37" i="10"/>
  <c r="BK37" i="10" s="1"/>
  <c r="BA38" i="10"/>
  <c r="BK38" i="10" s="1"/>
  <c r="BA39" i="10"/>
  <c r="BK39" i="10" s="1"/>
  <c r="BA40" i="10"/>
  <c r="BA41" i="10"/>
  <c r="BA42" i="10"/>
  <c r="BK42" i="10" s="1"/>
  <c r="BA43" i="10"/>
  <c r="BK43" i="10" s="1"/>
  <c r="BA44" i="10"/>
  <c r="BK44" i="10" s="1"/>
  <c r="BA45" i="10"/>
  <c r="BK45" i="10" s="1"/>
  <c r="BA46" i="10"/>
  <c r="BK46" i="10" s="1"/>
  <c r="BA47" i="10"/>
  <c r="BA48" i="10"/>
  <c r="BA49" i="10"/>
  <c r="BK49" i="10" s="1"/>
  <c r="BA50" i="10"/>
  <c r="BK50" i="10" s="1"/>
  <c r="BA51" i="10"/>
  <c r="BK51" i="10" s="1"/>
  <c r="BA52" i="10"/>
  <c r="BK52" i="10" s="1"/>
  <c r="BA53" i="10"/>
  <c r="BA54" i="10"/>
  <c r="BA55" i="10"/>
  <c r="BK55" i="10" s="1"/>
  <c r="BA56" i="10"/>
  <c r="BK56" i="10" s="1"/>
  <c r="BA57" i="10"/>
  <c r="BK57" i="10" s="1"/>
  <c r="BA58" i="10"/>
  <c r="BA59" i="10"/>
  <c r="BA60" i="10"/>
  <c r="BA61" i="10"/>
  <c r="BA62" i="10"/>
  <c r="BA63" i="10"/>
  <c r="BA64" i="10"/>
  <c r="BA65" i="10"/>
  <c r="BA66" i="10"/>
  <c r="BK66" i="10" s="1"/>
  <c r="BA67" i="10"/>
  <c r="BK67" i="10" s="1"/>
  <c r="BA68" i="10"/>
  <c r="BK68" i="10" s="1"/>
  <c r="BA69" i="10"/>
  <c r="BK69" i="10" s="1"/>
  <c r="BA70" i="10"/>
  <c r="BA71" i="10"/>
  <c r="BA72" i="10"/>
  <c r="BK72" i="10" s="1"/>
  <c r="BA73" i="10"/>
  <c r="BA74" i="10"/>
  <c r="BK74" i="10" s="1"/>
  <c r="BA75" i="10"/>
  <c r="BK75" i="10" s="1"/>
  <c r="BA76" i="10"/>
  <c r="BA77" i="10"/>
  <c r="BA78" i="10"/>
  <c r="BK78" i="10" s="1"/>
  <c r="BA79" i="10"/>
  <c r="BK79" i="10" s="1"/>
  <c r="BA80" i="10"/>
  <c r="BA81" i="10"/>
  <c r="BK81" i="10" s="1"/>
  <c r="BA82" i="10"/>
  <c r="BA83" i="10"/>
  <c r="BA84" i="10"/>
  <c r="BA85" i="10"/>
  <c r="BK85" i="10" s="1"/>
  <c r="BA86" i="10"/>
  <c r="BK86" i="10" s="1"/>
  <c r="BA87" i="10"/>
  <c r="BK87" i="10" s="1"/>
  <c r="BA88" i="10"/>
  <c r="BA89" i="10"/>
  <c r="BA90" i="10"/>
  <c r="BK90" i="10" s="1"/>
  <c r="BA91" i="10"/>
  <c r="BK91" i="10" s="1"/>
  <c r="BA92" i="10"/>
  <c r="BK92" i="10" s="1"/>
  <c r="BA93" i="10"/>
  <c r="BK93" i="10" s="1"/>
  <c r="BA94" i="10"/>
  <c r="BA95" i="10"/>
  <c r="BA96" i="10"/>
  <c r="BA97" i="10"/>
  <c r="BA98" i="10"/>
  <c r="BA99" i="10"/>
  <c r="BA100" i="10"/>
  <c r="BK100" i="10" s="1"/>
  <c r="BA101" i="10"/>
  <c r="BK101" i="10" s="1"/>
  <c r="BA102" i="10"/>
  <c r="BA103" i="10"/>
  <c r="BA104" i="10"/>
  <c r="BA105" i="10"/>
  <c r="BA106" i="10"/>
  <c r="BA107" i="10"/>
  <c r="BA108" i="10"/>
  <c r="BA109" i="10"/>
  <c r="BA110" i="10"/>
  <c r="BK110" i="10" s="1"/>
  <c r="BA111" i="10"/>
  <c r="BK111" i="10" s="1"/>
  <c r="BA112" i="10"/>
  <c r="BA113" i="10"/>
  <c r="BA114" i="10"/>
  <c r="BK114" i="10" s="1"/>
  <c r="BA115" i="10"/>
  <c r="BK115" i="10" s="1"/>
  <c r="BA116" i="10"/>
  <c r="BK116" i="10" s="1"/>
  <c r="BA117" i="10"/>
  <c r="BK117" i="10" s="1"/>
  <c r="BA118" i="10"/>
  <c r="BK118" i="10" s="1"/>
  <c r="BA119" i="10"/>
  <c r="BK119" i="10" s="1"/>
  <c r="BA120" i="10"/>
  <c r="BK120" i="10" s="1"/>
  <c r="BA121" i="10"/>
  <c r="BA122" i="10"/>
  <c r="BK122" i="10" s="1"/>
  <c r="BA123" i="10"/>
  <c r="BK123" i="10" s="1"/>
  <c r="BA124" i="10"/>
  <c r="BK124" i="10" s="1"/>
  <c r="BA125" i="10"/>
  <c r="BA126" i="10"/>
  <c r="BK126" i="10" s="1"/>
  <c r="BA127" i="10"/>
  <c r="BK127" i="10" s="1"/>
  <c r="BA128" i="10"/>
  <c r="BK128" i="10" s="1"/>
  <c r="BA129" i="10"/>
  <c r="BK129" i="10" s="1"/>
  <c r="BA130" i="10"/>
  <c r="BA131" i="10"/>
  <c r="BA132" i="10"/>
  <c r="BA133" i="10"/>
  <c r="BA134" i="10"/>
  <c r="BA135" i="10"/>
  <c r="BA136" i="10"/>
  <c r="BK136" i="10" s="1"/>
  <c r="BA137" i="10"/>
  <c r="BK137" i="10" s="1"/>
  <c r="BA138" i="10"/>
  <c r="BK138" i="10" s="1"/>
  <c r="BA139" i="10"/>
  <c r="BA140" i="10"/>
  <c r="BK140" i="10" s="1"/>
  <c r="BA141" i="10"/>
  <c r="BK141" i="10" s="1"/>
  <c r="BA142" i="10"/>
  <c r="BA143" i="10"/>
  <c r="BA144" i="10"/>
  <c r="BA145" i="10"/>
  <c r="BK145" i="10" s="1"/>
  <c r="BA146" i="10"/>
  <c r="BK146" i="10" s="1"/>
  <c r="BA147" i="10"/>
  <c r="BK147" i="10" s="1"/>
  <c r="BA148" i="10"/>
  <c r="BA149" i="10"/>
  <c r="BA150" i="10"/>
  <c r="BK150" i="10" s="1"/>
  <c r="BA151" i="10"/>
  <c r="BK151" i="10" s="1"/>
  <c r="BA152" i="10"/>
  <c r="BK152" i="10" s="1"/>
  <c r="BA153" i="10"/>
  <c r="BK153" i="10" s="1"/>
  <c r="BA154" i="10"/>
  <c r="BK154" i="10" s="1"/>
  <c r="BA155" i="10"/>
  <c r="BA156" i="10"/>
  <c r="BA157" i="10"/>
  <c r="BK157" i="10" s="1"/>
  <c r="BA158" i="10"/>
  <c r="BK158" i="10" s="1"/>
  <c r="BA159" i="10"/>
  <c r="BK159" i="10" s="1"/>
  <c r="BA160" i="10"/>
  <c r="BK160" i="10" s="1"/>
  <c r="BA161" i="10"/>
  <c r="BK161" i="10" s="1"/>
  <c r="BA162" i="10"/>
  <c r="BK162" i="10" s="1"/>
  <c r="BA163" i="10"/>
  <c r="BK163" i="10" s="1"/>
  <c r="BA164" i="10"/>
  <c r="BK164" i="10" s="1"/>
  <c r="BA165" i="10"/>
  <c r="BK165" i="10" s="1"/>
  <c r="BA166" i="10"/>
  <c r="BA167" i="10"/>
  <c r="BA168" i="10"/>
  <c r="BA169" i="10"/>
  <c r="BA170" i="10"/>
  <c r="BA171" i="10"/>
  <c r="BA172" i="10"/>
  <c r="BA173" i="10"/>
  <c r="BA174" i="10"/>
  <c r="BK174" i="10" s="1"/>
  <c r="BA175" i="10"/>
  <c r="BK175" i="10" s="1"/>
  <c r="BA176" i="10"/>
  <c r="BA177" i="10"/>
  <c r="BA178" i="10"/>
  <c r="BK178" i="10" s="1"/>
  <c r="BA179" i="10"/>
  <c r="BA180" i="10"/>
  <c r="BA181" i="10"/>
  <c r="BK181" i="10" s="1"/>
  <c r="BA182" i="10"/>
  <c r="BK182" i="10" s="1"/>
  <c r="BA183" i="10"/>
  <c r="BK183" i="10" s="1"/>
  <c r="BA184" i="10"/>
  <c r="BA185" i="10"/>
  <c r="BA186" i="10"/>
  <c r="BK186" i="10" s="1"/>
  <c r="BA187" i="10"/>
  <c r="BK187" i="10" s="1"/>
  <c r="BA188" i="10"/>
  <c r="BA189" i="10"/>
  <c r="BK189" i="10" s="1"/>
  <c r="BA190" i="10"/>
  <c r="BA191" i="10"/>
  <c r="BA192" i="10"/>
  <c r="BK192" i="10" s="1"/>
  <c r="BA193" i="10"/>
  <c r="BK193" i="10" s="1"/>
  <c r="BA194" i="10"/>
  <c r="BK194" i="10" s="1"/>
  <c r="BA195" i="10"/>
  <c r="BK195" i="10" s="1"/>
  <c r="BA196" i="10"/>
  <c r="BA197" i="10"/>
  <c r="BA198" i="10"/>
  <c r="BK198" i="10" s="1"/>
  <c r="BA199" i="10"/>
  <c r="BK199" i="10" s="1"/>
  <c r="BA200" i="10"/>
  <c r="BK200" i="10" s="1"/>
  <c r="BA201" i="10"/>
  <c r="BK201" i="10" s="1"/>
  <c r="BA202" i="10"/>
  <c r="BA203" i="10"/>
  <c r="BA204" i="10"/>
  <c r="BA205" i="10"/>
  <c r="BA206" i="10"/>
  <c r="BA207" i="10"/>
  <c r="BA208" i="10"/>
  <c r="BK208" i="10" s="1"/>
  <c r="BA209" i="10"/>
  <c r="BK209" i="10" s="1"/>
  <c r="BA210" i="10"/>
  <c r="BK210" i="10" s="1"/>
  <c r="BA211" i="10"/>
  <c r="BK211" i="10" s="1"/>
  <c r="BA212" i="10"/>
  <c r="BK212" i="10" s="1"/>
  <c r="BA213" i="10"/>
  <c r="BK213" i="10" s="1"/>
  <c r="BA214" i="10"/>
  <c r="BK214" i="10" s="1"/>
  <c r="BA215" i="10"/>
  <c r="BK215" i="10" s="1"/>
  <c r="BA216" i="10"/>
  <c r="BA217" i="10"/>
  <c r="BK217" i="10" s="1"/>
  <c r="BA218" i="10"/>
  <c r="BK218" i="10" s="1"/>
  <c r="BA219" i="10"/>
  <c r="BK219" i="10" s="1"/>
  <c r="BA220" i="10"/>
  <c r="BA221" i="10"/>
  <c r="BE3" i="10"/>
  <c r="BE2" i="10"/>
  <c r="BC3" i="10"/>
  <c r="BC2" i="10"/>
  <c r="BA3" i="10"/>
  <c r="BK3" i="10" s="1"/>
  <c r="BA2" i="10"/>
  <c r="BK2" i="10" s="1"/>
  <c r="AN4" i="10"/>
  <c r="AH4" i="10" s="1"/>
  <c r="AN5" i="10"/>
  <c r="AH5" i="10" s="1"/>
  <c r="AN6" i="10"/>
  <c r="AH6" i="10" s="1"/>
  <c r="AN7" i="10"/>
  <c r="AN8" i="10"/>
  <c r="AH8" i="10" s="1"/>
  <c r="AN9" i="10"/>
  <c r="AH9" i="10" s="1"/>
  <c r="AN10" i="10"/>
  <c r="AH10" i="10" s="1"/>
  <c r="AN11" i="10"/>
  <c r="AH11" i="10" s="1"/>
  <c r="AN12" i="10"/>
  <c r="AH12" i="10" s="1"/>
  <c r="AN13" i="10"/>
  <c r="AH13" i="10" s="1"/>
  <c r="AN14" i="10"/>
  <c r="AH14" i="10" s="1"/>
  <c r="AN15" i="10"/>
  <c r="AH15" i="10" s="1"/>
  <c r="AN16" i="10"/>
  <c r="AH16" i="10" s="1"/>
  <c r="AN17" i="10"/>
  <c r="AH17" i="10" s="1"/>
  <c r="AN18" i="10"/>
  <c r="AH18" i="10" s="1"/>
  <c r="AN19" i="10"/>
  <c r="AH19" i="10" s="1"/>
  <c r="AN20" i="10"/>
  <c r="AH20" i="10" s="1"/>
  <c r="AN21" i="10"/>
  <c r="AN22" i="10"/>
  <c r="AH22" i="10" s="1"/>
  <c r="AN23" i="10"/>
  <c r="AH23" i="10" s="1"/>
  <c r="AN24" i="10"/>
  <c r="AH24" i="10" s="1"/>
  <c r="AN25" i="10"/>
  <c r="AH25" i="10" s="1"/>
  <c r="AN26" i="10"/>
  <c r="AH26" i="10" s="1"/>
  <c r="AN27" i="10"/>
  <c r="AH27" i="10" s="1"/>
  <c r="AN28" i="10"/>
  <c r="AH28" i="10" s="1"/>
  <c r="AN29" i="10"/>
  <c r="AH29" i="10" s="1"/>
  <c r="AN30" i="10"/>
  <c r="AH30" i="10" s="1"/>
  <c r="AN31" i="10"/>
  <c r="AH31" i="10" s="1"/>
  <c r="AN32" i="10"/>
  <c r="AH32" i="10" s="1"/>
  <c r="AN33" i="10"/>
  <c r="AH33" i="10" s="1"/>
  <c r="AN34" i="10"/>
  <c r="AH34" i="10" s="1"/>
  <c r="AN35" i="10"/>
  <c r="AH35" i="10" s="1"/>
  <c r="AN36" i="10"/>
  <c r="AH36" i="10" s="1"/>
  <c r="AN37" i="10"/>
  <c r="AH37" i="10" s="1"/>
  <c r="AN38" i="10"/>
  <c r="AN39" i="10"/>
  <c r="AH39" i="10" s="1"/>
  <c r="AN40" i="10"/>
  <c r="AH40" i="10" s="1"/>
  <c r="AN41" i="10"/>
  <c r="AH41" i="10" s="1"/>
  <c r="AN42" i="10"/>
  <c r="AH42" i="10" s="1"/>
  <c r="AN43" i="10"/>
  <c r="AN44" i="10"/>
  <c r="AH44" i="10" s="1"/>
  <c r="AN45" i="10"/>
  <c r="AH45" i="10" s="1"/>
  <c r="AN46" i="10"/>
  <c r="AH46" i="10" s="1"/>
  <c r="AN47" i="10"/>
  <c r="AH47" i="10" s="1"/>
  <c r="AN48" i="10"/>
  <c r="AH48" i="10" s="1"/>
  <c r="AN49" i="10"/>
  <c r="AH49" i="10" s="1"/>
  <c r="AN50" i="10"/>
  <c r="AH50" i="10" s="1"/>
  <c r="AN51" i="10"/>
  <c r="AH51" i="10" s="1"/>
  <c r="AN52" i="10"/>
  <c r="AH52" i="10" s="1"/>
  <c r="AN53" i="10"/>
  <c r="AH53" i="10" s="1"/>
  <c r="AN54" i="10"/>
  <c r="AH54" i="10" s="1"/>
  <c r="AN55" i="10"/>
  <c r="AH55" i="10" s="1"/>
  <c r="AN56" i="10"/>
  <c r="AH56" i="10" s="1"/>
  <c r="AN57" i="10"/>
  <c r="AH57" i="10" s="1"/>
  <c r="AN58" i="10"/>
  <c r="AH58" i="10" s="1"/>
  <c r="AN59" i="10"/>
  <c r="AH59" i="10" s="1"/>
  <c r="AN60" i="10"/>
  <c r="AH60" i="10" s="1"/>
  <c r="AN61" i="10"/>
  <c r="AH61" i="10" s="1"/>
  <c r="AN62" i="10"/>
  <c r="AH62" i="10" s="1"/>
  <c r="AN63" i="10"/>
  <c r="AH63" i="10" s="1"/>
  <c r="AN64" i="10"/>
  <c r="AH64" i="10" s="1"/>
  <c r="AN65" i="10"/>
  <c r="AH65" i="10" s="1"/>
  <c r="AN66" i="10"/>
  <c r="AH66" i="10" s="1"/>
  <c r="AN67" i="10"/>
  <c r="AH67" i="10" s="1"/>
  <c r="AN68" i="10"/>
  <c r="AH68" i="10" s="1"/>
  <c r="AN69" i="10"/>
  <c r="AH69" i="10" s="1"/>
  <c r="AN70" i="10"/>
  <c r="AH70" i="10" s="1"/>
  <c r="AN71" i="10"/>
  <c r="AH71" i="10" s="1"/>
  <c r="AN72" i="10"/>
  <c r="AH72" i="10" s="1"/>
  <c r="AN73" i="10"/>
  <c r="AH73" i="10" s="1"/>
  <c r="AN74" i="10"/>
  <c r="AH74" i="10" s="1"/>
  <c r="AN75" i="10"/>
  <c r="AH75" i="10" s="1"/>
  <c r="AN76" i="10"/>
  <c r="AH76" i="10" s="1"/>
  <c r="AN77" i="10"/>
  <c r="AH77" i="10" s="1"/>
  <c r="AN78" i="10"/>
  <c r="AH78" i="10" s="1"/>
  <c r="AN79" i="10"/>
  <c r="AH79" i="10" s="1"/>
  <c r="AN80" i="10"/>
  <c r="AH80" i="10" s="1"/>
  <c r="AN81" i="10"/>
  <c r="AH81" i="10" s="1"/>
  <c r="AN82" i="10"/>
  <c r="AH82" i="10" s="1"/>
  <c r="AN83" i="10"/>
  <c r="AH83" i="10" s="1"/>
  <c r="AN84" i="10"/>
  <c r="AH84" i="10" s="1"/>
  <c r="AN85" i="10"/>
  <c r="AH85" i="10" s="1"/>
  <c r="AN86" i="10"/>
  <c r="AH86" i="10" s="1"/>
  <c r="AN87" i="10"/>
  <c r="AH87" i="10" s="1"/>
  <c r="AN88" i="10"/>
  <c r="AN89" i="10"/>
  <c r="AH89" i="10" s="1"/>
  <c r="AN90" i="10"/>
  <c r="AH90" i="10" s="1"/>
  <c r="AN91" i="10"/>
  <c r="AH91" i="10" s="1"/>
  <c r="AN92" i="10"/>
  <c r="AH92" i="10" s="1"/>
  <c r="AN93" i="10"/>
  <c r="AH93" i="10" s="1"/>
  <c r="AN94" i="10"/>
  <c r="AH94" i="10" s="1"/>
  <c r="AN95" i="10"/>
  <c r="AH95" i="10" s="1"/>
  <c r="AN96" i="10"/>
  <c r="AH96" i="10" s="1"/>
  <c r="AN97" i="10"/>
  <c r="AH97" i="10" s="1"/>
  <c r="AN98" i="10"/>
  <c r="AH98" i="10" s="1"/>
  <c r="AN99" i="10"/>
  <c r="AH99" i="10" s="1"/>
  <c r="AN100" i="10"/>
  <c r="AH100" i="10" s="1"/>
  <c r="AN101" i="10"/>
  <c r="AH101" i="10" s="1"/>
  <c r="AN102" i="10"/>
  <c r="AH102" i="10" s="1"/>
  <c r="AN103" i="10"/>
  <c r="AH103" i="10" s="1"/>
  <c r="AN104" i="10"/>
  <c r="AH104" i="10" s="1"/>
  <c r="AN105" i="10"/>
  <c r="AH105" i="10" s="1"/>
  <c r="AN106" i="10"/>
  <c r="AH106" i="10" s="1"/>
  <c r="AN107" i="10"/>
  <c r="AH107" i="10" s="1"/>
  <c r="AN108" i="10"/>
  <c r="AH108" i="10" s="1"/>
  <c r="AN109" i="10"/>
  <c r="AH109" i="10" s="1"/>
  <c r="AN110" i="10"/>
  <c r="AH110" i="10" s="1"/>
  <c r="AN111" i="10"/>
  <c r="AH111" i="10" s="1"/>
  <c r="AN112" i="10"/>
  <c r="AN113" i="10"/>
  <c r="AH113" i="10" s="1"/>
  <c r="AN114" i="10"/>
  <c r="AN115" i="10"/>
  <c r="AH115" i="10" s="1"/>
  <c r="AN116" i="10"/>
  <c r="AH116" i="10" s="1"/>
  <c r="AN117" i="10"/>
  <c r="AH117" i="10" s="1"/>
  <c r="AN118" i="10"/>
  <c r="AH118" i="10" s="1"/>
  <c r="AN119" i="10"/>
  <c r="AH119" i="10" s="1"/>
  <c r="AN120" i="10"/>
  <c r="AH120" i="10" s="1"/>
  <c r="AN121" i="10"/>
  <c r="AH121" i="10" s="1"/>
  <c r="AN122" i="10"/>
  <c r="AH122" i="10" s="1"/>
  <c r="AN123" i="10"/>
  <c r="AH123" i="10" s="1"/>
  <c r="AN124" i="10"/>
  <c r="AH124" i="10" s="1"/>
  <c r="AN125" i="10"/>
  <c r="AH125" i="10" s="1"/>
  <c r="AN126" i="10"/>
  <c r="AH126" i="10" s="1"/>
  <c r="AN127" i="10"/>
  <c r="AH127" i="10" s="1"/>
  <c r="AN128" i="10"/>
  <c r="AH128" i="10" s="1"/>
  <c r="AN129" i="10"/>
  <c r="AH129" i="10" s="1"/>
  <c r="AN130" i="10"/>
  <c r="AH130" i="10" s="1"/>
  <c r="AN131" i="10"/>
  <c r="AH131" i="10" s="1"/>
  <c r="AN132" i="10"/>
  <c r="AH132" i="10" s="1"/>
  <c r="AN133" i="10"/>
  <c r="AH133" i="10" s="1"/>
  <c r="AN134" i="10"/>
  <c r="AH134" i="10" s="1"/>
  <c r="AN135" i="10"/>
  <c r="AH135" i="10" s="1"/>
  <c r="AN136" i="10"/>
  <c r="AH136" i="10" s="1"/>
  <c r="AN137" i="10"/>
  <c r="AH137" i="10" s="1"/>
  <c r="AN138" i="10"/>
  <c r="AH138" i="10" s="1"/>
  <c r="AN139" i="10"/>
  <c r="AH139" i="10" s="1"/>
  <c r="AN140" i="10"/>
  <c r="AH140" i="10" s="1"/>
  <c r="AN141" i="10"/>
  <c r="AH141" i="10" s="1"/>
  <c r="AN142" i="10"/>
  <c r="AH142" i="10" s="1"/>
  <c r="AN143" i="10"/>
  <c r="AH143" i="10" s="1"/>
  <c r="AN144" i="10"/>
  <c r="AH144" i="10" s="1"/>
  <c r="AN145" i="10"/>
  <c r="AH145" i="10" s="1"/>
  <c r="AN146" i="10"/>
  <c r="AH146" i="10" s="1"/>
  <c r="AN147" i="10"/>
  <c r="AH147" i="10" s="1"/>
  <c r="AN148" i="10"/>
  <c r="AH148" i="10" s="1"/>
  <c r="AN149" i="10"/>
  <c r="AH149" i="10" s="1"/>
  <c r="AN150" i="10"/>
  <c r="AH150" i="10" s="1"/>
  <c r="AN151" i="10"/>
  <c r="AH151" i="10" s="1"/>
  <c r="AN152" i="10"/>
  <c r="AH152" i="10" s="1"/>
  <c r="AN153" i="10"/>
  <c r="AH153" i="10" s="1"/>
  <c r="AN154" i="10"/>
  <c r="AN155" i="10"/>
  <c r="AH155" i="10" s="1"/>
  <c r="AN156" i="10"/>
  <c r="AH156" i="10" s="1"/>
  <c r="AN157" i="10"/>
  <c r="AH157" i="10" s="1"/>
  <c r="AN158" i="10"/>
  <c r="AH158" i="10" s="1"/>
  <c r="AN159" i="10"/>
  <c r="AH159" i="10" s="1"/>
  <c r="AN160" i="10"/>
  <c r="AH160" i="10" s="1"/>
  <c r="AN161" i="10"/>
  <c r="AH161" i="10" s="1"/>
  <c r="AN162" i="10"/>
  <c r="AH162" i="10" s="1"/>
  <c r="AN163" i="10"/>
  <c r="AH163" i="10" s="1"/>
  <c r="AN164" i="10"/>
  <c r="AH164" i="10" s="1"/>
  <c r="AN165" i="10"/>
  <c r="AN166" i="10"/>
  <c r="AH166" i="10" s="1"/>
  <c r="AN167" i="10"/>
  <c r="AH167" i="10" s="1"/>
  <c r="AN168" i="10"/>
  <c r="AH168" i="10" s="1"/>
  <c r="AN169" i="10"/>
  <c r="AH169" i="10" s="1"/>
  <c r="AN170" i="10"/>
  <c r="AH170" i="10" s="1"/>
  <c r="AN171" i="10"/>
  <c r="AH171" i="10" s="1"/>
  <c r="AN172" i="10"/>
  <c r="AH172" i="10" s="1"/>
  <c r="AN173" i="10"/>
  <c r="AH173" i="10" s="1"/>
  <c r="AN174" i="10"/>
  <c r="AH174" i="10" s="1"/>
  <c r="AN175" i="10"/>
  <c r="AH175" i="10" s="1"/>
  <c r="AN176" i="10"/>
  <c r="AH176" i="10" s="1"/>
  <c r="AN177" i="10"/>
  <c r="AH177" i="10" s="1"/>
  <c r="AN178" i="10"/>
  <c r="AH178" i="10" s="1"/>
  <c r="AN179" i="10"/>
  <c r="AH179" i="10" s="1"/>
  <c r="AN180" i="10"/>
  <c r="AH180" i="10" s="1"/>
  <c r="AN181" i="10"/>
  <c r="AH181" i="10" s="1"/>
  <c r="AN182" i="10"/>
  <c r="AH182" i="10" s="1"/>
  <c r="AN183" i="10"/>
  <c r="AH183" i="10" s="1"/>
  <c r="AN184" i="10"/>
  <c r="AH184" i="10" s="1"/>
  <c r="AN185" i="10"/>
  <c r="AH185" i="10" s="1"/>
  <c r="AN186" i="10"/>
  <c r="AH186" i="10" s="1"/>
  <c r="AN187" i="10"/>
  <c r="AH187" i="10" s="1"/>
  <c r="AN188" i="10"/>
  <c r="AH188" i="10" s="1"/>
  <c r="AN189" i="10"/>
  <c r="AH189" i="10" s="1"/>
  <c r="AN190" i="10"/>
  <c r="AH190" i="10" s="1"/>
  <c r="AN191" i="10"/>
  <c r="AH191" i="10" s="1"/>
  <c r="AN192" i="10"/>
  <c r="AH192" i="10" s="1"/>
  <c r="AN193" i="10"/>
  <c r="AH193" i="10" s="1"/>
  <c r="AN194" i="10"/>
  <c r="AH194" i="10" s="1"/>
  <c r="AN195" i="10"/>
  <c r="AH195" i="10" s="1"/>
  <c r="AN196" i="10"/>
  <c r="AH196" i="10" s="1"/>
  <c r="AN197" i="10"/>
  <c r="AH197" i="10" s="1"/>
  <c r="AN198" i="10"/>
  <c r="AN199" i="10"/>
  <c r="AH199" i="10" s="1"/>
  <c r="AQ199" i="10" s="1"/>
  <c r="AN200" i="10"/>
  <c r="AH200" i="10" s="1"/>
  <c r="AN201" i="10"/>
  <c r="AH201" i="10" s="1"/>
  <c r="AN202" i="10"/>
  <c r="AH202" i="10" s="1"/>
  <c r="AN203" i="10"/>
  <c r="AH203" i="10" s="1"/>
  <c r="AN204" i="10"/>
  <c r="AH204" i="10" s="1"/>
  <c r="AN205" i="10"/>
  <c r="AH205" i="10" s="1"/>
  <c r="AN206" i="10"/>
  <c r="AH206" i="10" s="1"/>
  <c r="AN207" i="10"/>
  <c r="AH207" i="10" s="1"/>
  <c r="AN208" i="10"/>
  <c r="AH208" i="10" s="1"/>
  <c r="AN209" i="10"/>
  <c r="AH209" i="10" s="1"/>
  <c r="AN210" i="10"/>
  <c r="AH210" i="10" s="1"/>
  <c r="AN211" i="10"/>
  <c r="AH211" i="10" s="1"/>
  <c r="AN212" i="10"/>
  <c r="AH212" i="10" s="1"/>
  <c r="AN213" i="10"/>
  <c r="AH213" i="10" s="1"/>
  <c r="AQ213" i="10" s="1"/>
  <c r="AN214" i="10"/>
  <c r="AH214" i="10" s="1"/>
  <c r="AQ214" i="10" s="1"/>
  <c r="AN215" i="10"/>
  <c r="AH215" i="10" s="1"/>
  <c r="AN216" i="10"/>
  <c r="AH216" i="10" s="1"/>
  <c r="AN217" i="10"/>
  <c r="AH217" i="10" s="1"/>
  <c r="AN218" i="10"/>
  <c r="AH218" i="10" s="1"/>
  <c r="AN219" i="10"/>
  <c r="AH219" i="10" s="1"/>
  <c r="AN220" i="10"/>
  <c r="AH220" i="10" s="1"/>
  <c r="AN221" i="10"/>
  <c r="AH221" i="10" s="1"/>
  <c r="AI94" i="10"/>
  <c r="AK94" i="10" s="1"/>
  <c r="AM94" i="10" s="1"/>
  <c r="AJ94" i="10"/>
  <c r="AI95" i="10"/>
  <c r="AK95" i="10" s="1"/>
  <c r="AM95" i="10" s="1"/>
  <c r="AJ95" i="10"/>
  <c r="AI96" i="10"/>
  <c r="AK96" i="10" s="1"/>
  <c r="AM96" i="10" s="1"/>
  <c r="AJ96" i="10"/>
  <c r="AI97" i="10"/>
  <c r="AK97" i="10" s="1"/>
  <c r="AM97" i="10" s="1"/>
  <c r="AJ97" i="10"/>
  <c r="AI98" i="10"/>
  <c r="AJ98" i="10"/>
  <c r="AI99" i="10"/>
  <c r="AK99" i="10" s="1"/>
  <c r="AJ99" i="10"/>
  <c r="AI100" i="10"/>
  <c r="AK100" i="10" s="1"/>
  <c r="AJ100" i="10"/>
  <c r="AI101" i="10"/>
  <c r="AJ101" i="10"/>
  <c r="AI102" i="10"/>
  <c r="AK102" i="10" s="1"/>
  <c r="AJ102" i="10"/>
  <c r="AI103" i="10"/>
  <c r="AK103" i="10" s="1"/>
  <c r="AJ103" i="10"/>
  <c r="AI104" i="10"/>
  <c r="AK104" i="10" s="1"/>
  <c r="AL104" i="10" s="1"/>
  <c r="AJ104" i="10"/>
  <c r="AI105" i="10"/>
  <c r="AK105" i="10" s="1"/>
  <c r="AL105" i="10" s="1"/>
  <c r="AJ105" i="10"/>
  <c r="AI106" i="10"/>
  <c r="AK106" i="10" s="1"/>
  <c r="AL106" i="10" s="1"/>
  <c r="AJ106" i="10"/>
  <c r="AI107" i="10"/>
  <c r="AK107" i="10" s="1"/>
  <c r="AJ107" i="10"/>
  <c r="AI108" i="10"/>
  <c r="AJ108" i="10"/>
  <c r="AI109" i="10"/>
  <c r="AK109" i="10" s="1"/>
  <c r="AJ109" i="10"/>
  <c r="AI110" i="10"/>
  <c r="AK110" i="10" s="1"/>
  <c r="AM110" i="10" s="1"/>
  <c r="AJ110" i="10"/>
  <c r="AI111" i="10"/>
  <c r="AK111" i="10" s="1"/>
  <c r="AM111" i="10" s="1"/>
  <c r="AJ111" i="10"/>
  <c r="AI112" i="10"/>
  <c r="AJ112" i="10"/>
  <c r="AI113" i="10"/>
  <c r="AK113" i="10" s="1"/>
  <c r="AM113" i="10" s="1"/>
  <c r="AJ113" i="10"/>
  <c r="AI114" i="10"/>
  <c r="AK114" i="10" s="1"/>
  <c r="AL114" i="10" s="1"/>
  <c r="AJ114" i="10"/>
  <c r="AI115" i="10"/>
  <c r="AK115" i="10" s="1"/>
  <c r="AJ115" i="10"/>
  <c r="AI116" i="10"/>
  <c r="AJ116" i="10"/>
  <c r="AI117" i="10"/>
  <c r="AK117" i="10" s="1"/>
  <c r="AL117" i="10" s="1"/>
  <c r="AJ117" i="10"/>
  <c r="AI118" i="10"/>
  <c r="AJ118" i="10"/>
  <c r="AI119" i="10"/>
  <c r="AJ119" i="10"/>
  <c r="AI120" i="10"/>
  <c r="AK120" i="10" s="1"/>
  <c r="AJ120" i="10"/>
  <c r="AI121" i="10"/>
  <c r="AK121" i="10" s="1"/>
  <c r="AL121" i="10" s="1"/>
  <c r="AJ121" i="10"/>
  <c r="AI122" i="10"/>
  <c r="AK122" i="10" s="1"/>
  <c r="AL122" i="10" s="1"/>
  <c r="AJ122" i="10"/>
  <c r="AI123" i="10"/>
  <c r="AJ123" i="10"/>
  <c r="AI124" i="10"/>
  <c r="AJ124" i="10"/>
  <c r="AI125" i="10"/>
  <c r="AJ125" i="10"/>
  <c r="AI126" i="10"/>
  <c r="AJ126" i="10"/>
  <c r="AI127" i="10"/>
  <c r="AK127" i="10" s="1"/>
  <c r="AJ127" i="10"/>
  <c r="AI128" i="10"/>
  <c r="AJ128" i="10"/>
  <c r="AI129" i="10"/>
  <c r="AK129" i="10" s="1"/>
  <c r="AL129" i="10" s="1"/>
  <c r="AJ129" i="10"/>
  <c r="AI130" i="10"/>
  <c r="AJ130" i="10"/>
  <c r="AI131" i="10"/>
  <c r="AJ131" i="10"/>
  <c r="AI132" i="10"/>
  <c r="AK132" i="10" s="1"/>
  <c r="AM132" i="10" s="1"/>
  <c r="AJ132" i="10"/>
  <c r="AI133" i="10"/>
  <c r="AK133" i="10" s="1"/>
  <c r="AM133" i="10" s="1"/>
  <c r="AJ133" i="10"/>
  <c r="AI134" i="10"/>
  <c r="AK134" i="10" s="1"/>
  <c r="AM134" i="10" s="1"/>
  <c r="AJ134" i="10"/>
  <c r="AI135" i="10"/>
  <c r="AJ135" i="10"/>
  <c r="AI136" i="10"/>
  <c r="AK136" i="10" s="1"/>
  <c r="AJ136" i="10"/>
  <c r="AI137" i="10"/>
  <c r="AK137" i="10" s="1"/>
  <c r="AM137" i="10" s="1"/>
  <c r="AJ137" i="10"/>
  <c r="AI138" i="10"/>
  <c r="AK138" i="10" s="1"/>
  <c r="AJ138" i="10"/>
  <c r="AI139" i="10"/>
  <c r="AK139" i="10" s="1"/>
  <c r="AL139" i="10" s="1"/>
  <c r="AJ139" i="10"/>
  <c r="AI140" i="10"/>
  <c r="AK140" i="10" s="1"/>
  <c r="AJ140" i="10"/>
  <c r="AI141" i="10"/>
  <c r="AK141" i="10" s="1"/>
  <c r="AM141" i="10" s="1"/>
  <c r="AJ141" i="10"/>
  <c r="AI142" i="10"/>
  <c r="AK142" i="10" s="1"/>
  <c r="AJ142" i="10"/>
  <c r="AI143" i="10"/>
  <c r="AK143" i="10" s="1"/>
  <c r="AJ143" i="10"/>
  <c r="AI144" i="10"/>
  <c r="AK144" i="10" s="1"/>
  <c r="AL144" i="10" s="1"/>
  <c r="AJ144" i="10"/>
  <c r="AI145" i="10"/>
  <c r="AK145" i="10" s="1"/>
  <c r="AM145" i="10" s="1"/>
  <c r="AJ145" i="10"/>
  <c r="AI146" i="10"/>
  <c r="AK146" i="10" s="1"/>
  <c r="AJ146" i="10"/>
  <c r="AI147" i="10"/>
  <c r="AK147" i="10" s="1"/>
  <c r="AJ147" i="10"/>
  <c r="AI148" i="10"/>
  <c r="AJ148" i="10"/>
  <c r="AI149" i="10"/>
  <c r="AK149" i="10" s="1"/>
  <c r="AM149" i="10" s="1"/>
  <c r="AJ149" i="10"/>
  <c r="AI150" i="10"/>
  <c r="AK150" i="10" s="1"/>
  <c r="AL150" i="10" s="1"/>
  <c r="AJ150" i="10"/>
  <c r="AI151" i="10"/>
  <c r="AK151" i="10" s="1"/>
  <c r="AJ151" i="10"/>
  <c r="AI152" i="10"/>
  <c r="AK152" i="10" s="1"/>
  <c r="AL152" i="10" s="1"/>
  <c r="AJ152" i="10"/>
  <c r="AI153" i="10"/>
  <c r="AK153" i="10" s="1"/>
  <c r="AJ153" i="10"/>
  <c r="AI154" i="10"/>
  <c r="AK154" i="10" s="1"/>
  <c r="AJ154" i="10"/>
  <c r="AI155" i="10"/>
  <c r="AK155" i="10" s="1"/>
  <c r="AL155" i="10" s="1"/>
  <c r="AJ155" i="10"/>
  <c r="AI156" i="10"/>
  <c r="AK156" i="10" s="1"/>
  <c r="AM156" i="10" s="1"/>
  <c r="AJ156" i="10"/>
  <c r="AI157" i="10"/>
  <c r="AJ157" i="10"/>
  <c r="AI158" i="10"/>
  <c r="AK158" i="10" s="1"/>
  <c r="AJ158" i="10"/>
  <c r="AI159" i="10"/>
  <c r="AK159" i="10" s="1"/>
  <c r="AJ159" i="10"/>
  <c r="AI160" i="10"/>
  <c r="AK160" i="10" s="1"/>
  <c r="AJ160" i="10"/>
  <c r="AI161" i="10"/>
  <c r="AK161" i="10" s="1"/>
  <c r="AJ161" i="10"/>
  <c r="AI162" i="10"/>
  <c r="AJ162" i="10"/>
  <c r="AI163" i="10"/>
  <c r="AK163" i="10" s="1"/>
  <c r="AL163" i="10" s="1"/>
  <c r="AJ163" i="10"/>
  <c r="AI164" i="10"/>
  <c r="AK164" i="10" s="1"/>
  <c r="AL164" i="10" s="1"/>
  <c r="AJ164" i="10"/>
  <c r="AI165" i="10"/>
  <c r="AK165" i="10" s="1"/>
  <c r="AL165" i="10" s="1"/>
  <c r="AJ165" i="10"/>
  <c r="AI166" i="10"/>
  <c r="AK166" i="10" s="1"/>
  <c r="AL166" i="10" s="1"/>
  <c r="AJ166" i="10"/>
  <c r="AI167" i="10"/>
  <c r="AK167" i="10" s="1"/>
  <c r="AL167" i="10" s="1"/>
  <c r="AJ167" i="10"/>
  <c r="AI168" i="10"/>
  <c r="AJ168" i="10"/>
  <c r="AI169" i="10"/>
  <c r="AK169" i="10" s="1"/>
  <c r="AJ169" i="10"/>
  <c r="AI170" i="10"/>
  <c r="AK170" i="10" s="1"/>
  <c r="AJ170" i="10"/>
  <c r="AI171" i="10"/>
  <c r="AK171" i="10" s="1"/>
  <c r="AJ171" i="10"/>
  <c r="AI172" i="10"/>
  <c r="AJ172" i="10"/>
  <c r="AI173" i="10"/>
  <c r="AK173" i="10" s="1"/>
  <c r="AJ173" i="10"/>
  <c r="AI174" i="10"/>
  <c r="AK174" i="10" s="1"/>
  <c r="AJ174" i="10"/>
  <c r="AI175" i="10"/>
  <c r="AK175" i="10" s="1"/>
  <c r="AJ175" i="10"/>
  <c r="AI176" i="10"/>
  <c r="AK176" i="10" s="1"/>
  <c r="AJ176" i="10"/>
  <c r="AI177" i="10"/>
  <c r="AK177" i="10" s="1"/>
  <c r="AJ177" i="10"/>
  <c r="AI178" i="10"/>
  <c r="AK178" i="10" s="1"/>
  <c r="AM178" i="10" s="1"/>
  <c r="AJ178" i="10"/>
  <c r="AI179" i="10"/>
  <c r="AK179" i="10" s="1"/>
  <c r="AM179" i="10" s="1"/>
  <c r="AJ179" i="10"/>
  <c r="AI180" i="10"/>
  <c r="AK180" i="10" s="1"/>
  <c r="AL180" i="10" s="1"/>
  <c r="AJ180" i="10"/>
  <c r="AI181" i="10"/>
  <c r="AJ181" i="10"/>
  <c r="AI182" i="10"/>
  <c r="AK182" i="10" s="1"/>
  <c r="AL182" i="10" s="1"/>
  <c r="AJ182" i="10"/>
  <c r="AI183" i="10"/>
  <c r="AK183" i="10" s="1"/>
  <c r="AJ183" i="10"/>
  <c r="AI184" i="10"/>
  <c r="AJ184" i="10"/>
  <c r="AI185" i="10"/>
  <c r="AK185" i="10" s="1"/>
  <c r="AJ185" i="10"/>
  <c r="AI186" i="10"/>
  <c r="AK186" i="10" s="1"/>
  <c r="AL186" i="10" s="1"/>
  <c r="AJ186" i="10"/>
  <c r="AI187" i="10"/>
  <c r="AJ187" i="10"/>
  <c r="AI188" i="10"/>
  <c r="AK188" i="10" s="1"/>
  <c r="AJ188" i="10"/>
  <c r="AI189" i="10"/>
  <c r="AJ189" i="10"/>
  <c r="AI190" i="10"/>
  <c r="AJ190" i="10"/>
  <c r="AI191" i="10"/>
  <c r="AK191" i="10" s="1"/>
  <c r="AJ191" i="10"/>
  <c r="AI192" i="10"/>
  <c r="AK192" i="10" s="1"/>
  <c r="AM192" i="10" s="1"/>
  <c r="AJ192" i="10"/>
  <c r="AI193" i="10"/>
  <c r="AK193" i="10" s="1"/>
  <c r="AJ193" i="10"/>
  <c r="AI194" i="10"/>
  <c r="AK194" i="10" s="1"/>
  <c r="AJ194" i="10"/>
  <c r="AI195" i="10"/>
  <c r="AK195" i="10" s="1"/>
  <c r="AM195" i="10" s="1"/>
  <c r="AJ195" i="10"/>
  <c r="AI196" i="10"/>
  <c r="AK196" i="10" s="1"/>
  <c r="AM196" i="10" s="1"/>
  <c r="AJ196" i="10"/>
  <c r="AI197" i="10"/>
  <c r="AK197" i="10" s="1"/>
  <c r="AM197" i="10" s="1"/>
  <c r="AJ197" i="10"/>
  <c r="AI198" i="10"/>
  <c r="AK198" i="10" s="1"/>
  <c r="AL198" i="10" s="1"/>
  <c r="AJ198" i="10"/>
  <c r="AI199" i="10"/>
  <c r="AK199" i="10" s="1"/>
  <c r="AJ199" i="10"/>
  <c r="AI200" i="10"/>
  <c r="AJ200" i="10"/>
  <c r="AI201" i="10"/>
  <c r="AK201" i="10" s="1"/>
  <c r="AJ201" i="10"/>
  <c r="AI202" i="10"/>
  <c r="AJ202" i="10"/>
  <c r="AI203" i="10"/>
  <c r="AJ203" i="10"/>
  <c r="AI204" i="10"/>
  <c r="AJ204" i="10"/>
  <c r="AI205" i="10"/>
  <c r="AK205" i="10" s="1"/>
  <c r="AJ205" i="10"/>
  <c r="AI206" i="10"/>
  <c r="AJ206" i="10"/>
  <c r="AI207" i="10"/>
  <c r="AK207" i="10" s="1"/>
  <c r="AM207" i="10" s="1"/>
  <c r="AJ207" i="10"/>
  <c r="AI208" i="10"/>
  <c r="AJ208" i="10"/>
  <c r="AI209" i="10"/>
  <c r="AK209" i="10" s="1"/>
  <c r="AJ209" i="10"/>
  <c r="AI210" i="10"/>
  <c r="AK210" i="10" s="1"/>
  <c r="AL210" i="10" s="1"/>
  <c r="AJ210" i="10"/>
  <c r="AI211" i="10"/>
  <c r="AK211" i="10" s="1"/>
  <c r="AL211" i="10" s="1"/>
  <c r="AJ211" i="10"/>
  <c r="AI212" i="10"/>
  <c r="AK212" i="10" s="1"/>
  <c r="AL212" i="10" s="1"/>
  <c r="AJ212" i="10"/>
  <c r="AI213" i="10"/>
  <c r="AJ213" i="10"/>
  <c r="AI214" i="10"/>
  <c r="AK214" i="10" s="1"/>
  <c r="AM214" i="10" s="1"/>
  <c r="AJ214" i="10"/>
  <c r="AI215" i="10"/>
  <c r="AJ215" i="10"/>
  <c r="AI216" i="10"/>
  <c r="AK216" i="10" s="1"/>
  <c r="AJ216" i="10"/>
  <c r="AI217" i="10"/>
  <c r="AJ217" i="10"/>
  <c r="AI218" i="10"/>
  <c r="AK218" i="10" s="1"/>
  <c r="AL218" i="10" s="1"/>
  <c r="AJ218" i="10"/>
  <c r="AI219" i="10"/>
  <c r="AK219" i="10" s="1"/>
  <c r="AM219" i="10" s="1"/>
  <c r="AJ219" i="10"/>
  <c r="AI220" i="10"/>
  <c r="AJ220" i="10"/>
  <c r="AI221" i="10"/>
  <c r="AJ221" i="10"/>
  <c r="AI3" i="10"/>
  <c r="AK3" i="10" s="1"/>
  <c r="AM3" i="10" s="1"/>
  <c r="AJ3" i="10"/>
  <c r="AI4" i="10"/>
  <c r="AK4" i="10" s="1"/>
  <c r="AM4" i="10" s="1"/>
  <c r="AJ4" i="10"/>
  <c r="AI5" i="10"/>
  <c r="AJ5" i="10"/>
  <c r="AI6" i="10"/>
  <c r="AK6" i="10" s="1"/>
  <c r="AL6" i="10" s="1"/>
  <c r="AJ6" i="10"/>
  <c r="AI7" i="10"/>
  <c r="AJ7" i="10"/>
  <c r="AI8" i="10"/>
  <c r="AK8" i="10" s="1"/>
  <c r="AJ8" i="10"/>
  <c r="AI9" i="10"/>
  <c r="AK9" i="10" s="1"/>
  <c r="AJ9" i="10"/>
  <c r="AI10" i="10"/>
  <c r="AK10" i="10" s="1"/>
  <c r="AJ10" i="10"/>
  <c r="AI11" i="10"/>
  <c r="AK11" i="10" s="1"/>
  <c r="AL11" i="10" s="1"/>
  <c r="AJ11" i="10"/>
  <c r="AI12" i="10"/>
  <c r="AK12" i="10" s="1"/>
  <c r="AM12" i="10" s="1"/>
  <c r="AJ12" i="10"/>
  <c r="AI13" i="10"/>
  <c r="AJ13" i="10"/>
  <c r="AI14" i="10"/>
  <c r="AJ14" i="10"/>
  <c r="AI15" i="10"/>
  <c r="AK15" i="10" s="1"/>
  <c r="AJ15" i="10"/>
  <c r="AI16" i="10"/>
  <c r="AK16" i="10" s="1"/>
  <c r="AJ16" i="10"/>
  <c r="AI17" i="10"/>
  <c r="AK17" i="10" s="1"/>
  <c r="AM17" i="10" s="1"/>
  <c r="AJ17" i="10"/>
  <c r="AI18" i="10"/>
  <c r="AJ18" i="10"/>
  <c r="AI19" i="10"/>
  <c r="AK19" i="10" s="1"/>
  <c r="AL19" i="10" s="1"/>
  <c r="AJ19" i="10"/>
  <c r="AI20" i="10"/>
  <c r="AK20" i="10" s="1"/>
  <c r="AL20" i="10" s="1"/>
  <c r="AJ20" i="10"/>
  <c r="AI21" i="10"/>
  <c r="AK21" i="10" s="1"/>
  <c r="AM21" i="10" s="1"/>
  <c r="AJ21" i="10"/>
  <c r="AI22" i="10"/>
  <c r="AJ22" i="10"/>
  <c r="AI23" i="10"/>
  <c r="AK23" i="10" s="1"/>
  <c r="AM23" i="10" s="1"/>
  <c r="AJ23" i="10"/>
  <c r="AI24" i="10"/>
  <c r="AJ24" i="10"/>
  <c r="AI25" i="10"/>
  <c r="AJ25" i="10"/>
  <c r="AI26" i="10"/>
  <c r="AK26" i="10" s="1"/>
  <c r="AJ26" i="10"/>
  <c r="AI27" i="10"/>
  <c r="AK27" i="10" s="1"/>
  <c r="AM27" i="10" s="1"/>
  <c r="AJ27" i="10"/>
  <c r="AI28" i="10"/>
  <c r="AK28" i="10" s="1"/>
  <c r="AJ28" i="10"/>
  <c r="AI29" i="10"/>
  <c r="AK29" i="10" s="1"/>
  <c r="AJ29" i="10"/>
  <c r="AI30" i="10"/>
  <c r="AK30" i="10" s="1"/>
  <c r="AJ30" i="10"/>
  <c r="AI31" i="10"/>
  <c r="AK31" i="10" s="1"/>
  <c r="AJ31" i="10"/>
  <c r="AI32" i="10"/>
  <c r="AK32" i="10" s="1"/>
  <c r="AJ32" i="10"/>
  <c r="AI33" i="10"/>
  <c r="AK33" i="10" s="1"/>
  <c r="AM33" i="10" s="1"/>
  <c r="AJ33" i="10"/>
  <c r="AI34" i="10"/>
  <c r="AK34" i="10" s="1"/>
  <c r="AJ34" i="10"/>
  <c r="AI35" i="10"/>
  <c r="AJ35" i="10"/>
  <c r="AI36" i="10"/>
  <c r="AK36" i="10" s="1"/>
  <c r="AL36" i="10" s="1"/>
  <c r="AJ36" i="10"/>
  <c r="AI37" i="10"/>
  <c r="AK37" i="10" s="1"/>
  <c r="AL37" i="10" s="1"/>
  <c r="AJ37" i="10"/>
  <c r="AI38" i="10"/>
  <c r="AJ38" i="10"/>
  <c r="AI39" i="10"/>
  <c r="AK39" i="10" s="1"/>
  <c r="AJ39" i="10"/>
  <c r="AI40" i="10"/>
  <c r="AK40" i="10" s="1"/>
  <c r="AJ40" i="10"/>
  <c r="AI41" i="10"/>
  <c r="AJ41" i="10"/>
  <c r="AI42" i="10"/>
  <c r="AJ42" i="10"/>
  <c r="AI43" i="10"/>
  <c r="AJ43" i="10"/>
  <c r="AI44" i="10"/>
  <c r="AJ44" i="10"/>
  <c r="AI45" i="10"/>
  <c r="AJ45" i="10"/>
  <c r="AI46" i="10"/>
  <c r="AK46" i="10" s="1"/>
  <c r="AJ46" i="10"/>
  <c r="AI47" i="10"/>
  <c r="AJ47" i="10"/>
  <c r="AI48" i="10"/>
  <c r="AK48" i="10" s="1"/>
  <c r="AM48" i="10" s="1"/>
  <c r="AJ48" i="10"/>
  <c r="AI49" i="10"/>
  <c r="AK49" i="10" s="1"/>
  <c r="AJ49" i="10"/>
  <c r="AI50" i="10"/>
  <c r="AJ50" i="10"/>
  <c r="AI51" i="10"/>
  <c r="AK51" i="10" s="1"/>
  <c r="AM51" i="10" s="1"/>
  <c r="AJ51" i="10"/>
  <c r="AI52" i="10"/>
  <c r="AK52" i="10" s="1"/>
  <c r="AM52" i="10" s="1"/>
  <c r="AJ52" i="10"/>
  <c r="AI53" i="10"/>
  <c r="AK53" i="10" s="1"/>
  <c r="AJ53" i="10"/>
  <c r="AI54" i="10"/>
  <c r="AJ54" i="10"/>
  <c r="AI55" i="10"/>
  <c r="AK55" i="10" s="1"/>
  <c r="AL55" i="10" s="1"/>
  <c r="AJ55" i="10"/>
  <c r="AI56" i="10"/>
  <c r="AK56" i="10" s="1"/>
  <c r="AL56" i="10" s="1"/>
  <c r="AJ56" i="10"/>
  <c r="AI57" i="10"/>
  <c r="AJ57" i="10"/>
  <c r="AI58" i="10"/>
  <c r="AJ58" i="10"/>
  <c r="AI59" i="10"/>
  <c r="AK59" i="10" s="1"/>
  <c r="AL59" i="10" s="1"/>
  <c r="AJ59" i="10"/>
  <c r="AI60" i="10"/>
  <c r="AK60" i="10" s="1"/>
  <c r="AJ60" i="10"/>
  <c r="AI61" i="10"/>
  <c r="AK61" i="10" s="1"/>
  <c r="AM61" i="10" s="1"/>
  <c r="AJ61" i="10"/>
  <c r="AI62" i="10"/>
  <c r="AJ62" i="10"/>
  <c r="AI63" i="10"/>
  <c r="AJ63" i="10"/>
  <c r="AI64" i="10"/>
  <c r="AK64" i="10" s="1"/>
  <c r="AJ64" i="10"/>
  <c r="AI65" i="10"/>
  <c r="AK65" i="10" s="1"/>
  <c r="AJ65" i="10"/>
  <c r="AI66" i="10"/>
  <c r="AK66" i="10" s="1"/>
  <c r="AJ66" i="10"/>
  <c r="AI67" i="10"/>
  <c r="AK67" i="10" s="1"/>
  <c r="AL67" i="10" s="1"/>
  <c r="AJ67" i="10"/>
  <c r="AI68" i="10"/>
  <c r="AK68" i="10" s="1"/>
  <c r="AL68" i="10" s="1"/>
  <c r="AJ68" i="10"/>
  <c r="AI69" i="10"/>
  <c r="AJ69" i="10"/>
  <c r="AI70" i="10"/>
  <c r="AK70" i="10" s="1"/>
  <c r="AJ70" i="10"/>
  <c r="AI71" i="10"/>
  <c r="AJ71" i="10"/>
  <c r="AI72" i="10"/>
  <c r="AJ72" i="10"/>
  <c r="AI73" i="10"/>
  <c r="AK73" i="10" s="1"/>
  <c r="AJ73" i="10"/>
  <c r="AI74" i="10"/>
  <c r="AJ74" i="10"/>
  <c r="AI75" i="10"/>
  <c r="AK75" i="10" s="1"/>
  <c r="AJ75" i="10"/>
  <c r="AI76" i="10"/>
  <c r="AJ76" i="10"/>
  <c r="AI77" i="10"/>
  <c r="AK77" i="10" s="1"/>
  <c r="AJ77" i="10"/>
  <c r="AI78" i="10"/>
  <c r="AK78" i="10" s="1"/>
  <c r="AJ78" i="10"/>
  <c r="AI79" i="10"/>
  <c r="AK79" i="10" s="1"/>
  <c r="AJ79" i="10"/>
  <c r="AI80" i="10"/>
  <c r="AJ80" i="10"/>
  <c r="AI81" i="10"/>
  <c r="AK81" i="10" s="1"/>
  <c r="AJ81" i="10"/>
  <c r="AI82" i="10"/>
  <c r="AK82" i="10" s="1"/>
  <c r="AL82" i="10" s="1"/>
  <c r="AJ82" i="10"/>
  <c r="AI83" i="10"/>
  <c r="AK83" i="10" s="1"/>
  <c r="AM83" i="10" s="1"/>
  <c r="AJ83" i="10"/>
  <c r="AI84" i="10"/>
  <c r="AK84" i="10" s="1"/>
  <c r="AL84" i="10" s="1"/>
  <c r="AJ84" i="10"/>
  <c r="AI85" i="10"/>
  <c r="AK85" i="10" s="1"/>
  <c r="AL85" i="10" s="1"/>
  <c r="AJ85" i="10"/>
  <c r="AI86" i="10"/>
  <c r="AK86" i="10" s="1"/>
  <c r="AM86" i="10" s="1"/>
  <c r="AJ86" i="10"/>
  <c r="AI87" i="10"/>
  <c r="AK87" i="10" s="1"/>
  <c r="AJ87" i="10"/>
  <c r="AI88" i="10"/>
  <c r="AK88" i="10" s="1"/>
  <c r="AM88" i="10" s="1"/>
  <c r="AJ88" i="10"/>
  <c r="AI89" i="10"/>
  <c r="AK89" i="10" s="1"/>
  <c r="AJ89" i="10"/>
  <c r="AI90" i="10"/>
  <c r="AK90" i="10" s="1"/>
  <c r="AJ90" i="10"/>
  <c r="AI91" i="10"/>
  <c r="AK91" i="10" s="1"/>
  <c r="AJ91" i="10"/>
  <c r="AI92" i="10"/>
  <c r="AK92" i="10" s="1"/>
  <c r="AL92" i="10" s="1"/>
  <c r="AJ92" i="10"/>
  <c r="AI93" i="10"/>
  <c r="AK93" i="10" s="1"/>
  <c r="AJ93" i="10"/>
  <c r="AD3" i="10"/>
  <c r="AN3" i="10" s="1"/>
  <c r="AC3" i="10"/>
  <c r="AA3" i="10"/>
  <c r="AA2" i="10"/>
  <c r="Z4" i="10"/>
  <c r="Z3" i="10"/>
  <c r="Z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AD2" i="10"/>
  <c r="AC2" i="10"/>
  <c r="C3" i="10"/>
  <c r="C2" i="10"/>
  <c r="AP42" i="10" l="1"/>
  <c r="AT42" i="10" s="1"/>
  <c r="AO156" i="10"/>
  <c r="AS156" i="10" s="1"/>
  <c r="AO96" i="10"/>
  <c r="AS96" i="10" s="1"/>
  <c r="AP72" i="10"/>
  <c r="AT72" i="10" s="1"/>
  <c r="AL95" i="10"/>
  <c r="AO73" i="10"/>
  <c r="AS73" i="10" s="1"/>
  <c r="AP156" i="10"/>
  <c r="AT156" i="10" s="1"/>
  <c r="AP218" i="10"/>
  <c r="AT218" i="10" s="1"/>
  <c r="AP109" i="10"/>
  <c r="AT109" i="10" s="1"/>
  <c r="BI30" i="10"/>
  <c r="BJ30" i="10" s="1"/>
  <c r="AO127" i="10"/>
  <c r="AS127" i="10" s="1"/>
  <c r="AP128" i="10"/>
  <c r="AT128" i="10" s="1"/>
  <c r="AF3" i="10"/>
  <c r="AM180" i="10"/>
  <c r="AP183" i="10"/>
  <c r="AT183" i="10" s="1"/>
  <c r="AP219" i="10"/>
  <c r="AT219" i="10" s="1"/>
  <c r="BI161" i="10"/>
  <c r="BJ161" i="10" s="1"/>
  <c r="BI163" i="10"/>
  <c r="BJ163" i="10" s="1"/>
  <c r="AP27" i="10"/>
  <c r="AT27" i="10" s="1"/>
  <c r="AO61" i="10"/>
  <c r="AS61" i="10" s="1"/>
  <c r="AO25" i="10"/>
  <c r="AS25" i="10" s="1"/>
  <c r="AO192" i="10"/>
  <c r="AS192" i="10" s="1"/>
  <c r="AQ109" i="10"/>
  <c r="AP24" i="10"/>
  <c r="AT24" i="10" s="1"/>
  <c r="AM164" i="10"/>
  <c r="AP18" i="10"/>
  <c r="AT18" i="10" s="1"/>
  <c r="AP204" i="10"/>
  <c r="AT204" i="10" s="1"/>
  <c r="AM20" i="10"/>
  <c r="AO126" i="10"/>
  <c r="AS126" i="10" s="1"/>
  <c r="AL96" i="10"/>
  <c r="AL120" i="10"/>
  <c r="AM120" i="10"/>
  <c r="AR212" i="10"/>
  <c r="AP58" i="10"/>
  <c r="AT58" i="10" s="1"/>
  <c r="AP180" i="10"/>
  <c r="AT180" i="10" s="1"/>
  <c r="AP144" i="10"/>
  <c r="AT144" i="10" s="1"/>
  <c r="AP133" i="10"/>
  <c r="AT133" i="10" s="1"/>
  <c r="AL83" i="10"/>
  <c r="AP52" i="10"/>
  <c r="AT52" i="10" s="1"/>
  <c r="AP138" i="10"/>
  <c r="AT138" i="10" s="1"/>
  <c r="AR185" i="10"/>
  <c r="AO193" i="10"/>
  <c r="AS193" i="10" s="1"/>
  <c r="AO209" i="10"/>
  <c r="AS209" i="10" s="1"/>
  <c r="AP98" i="10"/>
  <c r="AT98" i="10" s="1"/>
  <c r="AM6" i="10"/>
  <c r="AR141" i="10"/>
  <c r="AP122" i="10"/>
  <c r="AT122" i="10" s="1"/>
  <c r="AQ20" i="10"/>
  <c r="AO174" i="10"/>
  <c r="AS174" i="10" s="1"/>
  <c r="AP217" i="10"/>
  <c r="AT217" i="10" s="1"/>
  <c r="AP181" i="10"/>
  <c r="AT181" i="10" s="1"/>
  <c r="AP191" i="10"/>
  <c r="AT191" i="10" s="1"/>
  <c r="AP84" i="10"/>
  <c r="AT84" i="10" s="1"/>
  <c r="AP57" i="10"/>
  <c r="AT57" i="10" s="1"/>
  <c r="AP36" i="10"/>
  <c r="AT36" i="10" s="1"/>
  <c r="AP14" i="10"/>
  <c r="AT14" i="10" s="1"/>
  <c r="AO211" i="10"/>
  <c r="AS211" i="10" s="1"/>
  <c r="AP169" i="10"/>
  <c r="AT169" i="10" s="1"/>
  <c r="AP158" i="10"/>
  <c r="AT158" i="10" s="1"/>
  <c r="AP132" i="10"/>
  <c r="AT132" i="10" s="1"/>
  <c r="AO120" i="10"/>
  <c r="AS120" i="10" s="1"/>
  <c r="AO72" i="10"/>
  <c r="AS72" i="10" s="1"/>
  <c r="BI162" i="10"/>
  <c r="BJ162" i="10" s="1"/>
  <c r="BI138" i="10"/>
  <c r="BJ138" i="10" s="1"/>
  <c r="AO142" i="10"/>
  <c r="AS142" i="10" s="1"/>
  <c r="AR131" i="10"/>
  <c r="AQ11" i="10"/>
  <c r="AP193" i="10"/>
  <c r="AT193" i="10" s="1"/>
  <c r="AP182" i="10"/>
  <c r="AT182" i="10" s="1"/>
  <c r="AP107" i="10"/>
  <c r="AT107" i="10" s="1"/>
  <c r="AM11" i="10"/>
  <c r="AQ46" i="10"/>
  <c r="AP97" i="10"/>
  <c r="AT97" i="10" s="1"/>
  <c r="AP48" i="10"/>
  <c r="AT48" i="10" s="1"/>
  <c r="AQ116" i="10"/>
  <c r="AP96" i="10"/>
  <c r="AT96" i="10" s="1"/>
  <c r="AQ66" i="10"/>
  <c r="AO194" i="10"/>
  <c r="AS194" i="10" s="1"/>
  <c r="AO182" i="10"/>
  <c r="AS182" i="10" s="1"/>
  <c r="AO158" i="10"/>
  <c r="AS158" i="10" s="1"/>
  <c r="AO146" i="10"/>
  <c r="AS146" i="10" s="1"/>
  <c r="AO110" i="10"/>
  <c r="AS110" i="10" s="1"/>
  <c r="AO62" i="10"/>
  <c r="AS62" i="10" s="1"/>
  <c r="AO50" i="10"/>
  <c r="AS50" i="10" s="1"/>
  <c r="AO26" i="10"/>
  <c r="AS26" i="10" s="1"/>
  <c r="AP120" i="10"/>
  <c r="AT120" i="10" s="1"/>
  <c r="AM211" i="10"/>
  <c r="AM28" i="10"/>
  <c r="AL28" i="10"/>
  <c r="AL195" i="10"/>
  <c r="AO131" i="10"/>
  <c r="AS131" i="10" s="1"/>
  <c r="AO83" i="10"/>
  <c r="AS83" i="10" s="1"/>
  <c r="AO35" i="10"/>
  <c r="AS35" i="10" s="1"/>
  <c r="AP35" i="10"/>
  <c r="AT35" i="10" s="1"/>
  <c r="AR76" i="10"/>
  <c r="AL141" i="10"/>
  <c r="AR195" i="10"/>
  <c r="AO212" i="10"/>
  <c r="AS212" i="10" s="1"/>
  <c r="AP71" i="10"/>
  <c r="AT71" i="10" s="1"/>
  <c r="AP34" i="10"/>
  <c r="AT34" i="10" s="1"/>
  <c r="AP29" i="10"/>
  <c r="AT29" i="10" s="1"/>
  <c r="AP161" i="10"/>
  <c r="AT161" i="10" s="1"/>
  <c r="AL133" i="10"/>
  <c r="AP26" i="10"/>
  <c r="AT26" i="10" s="1"/>
  <c r="BI101" i="10"/>
  <c r="BJ101" i="10" s="1"/>
  <c r="AP59" i="10"/>
  <c r="AT59" i="10" s="1"/>
  <c r="AP22" i="10"/>
  <c r="AT22" i="10" s="1"/>
  <c r="AP214" i="10"/>
  <c r="AT214" i="10" s="1"/>
  <c r="BI137" i="10"/>
  <c r="BJ137" i="10" s="1"/>
  <c r="AM144" i="10"/>
  <c r="AL219" i="10"/>
  <c r="AP203" i="10"/>
  <c r="AT203" i="10" s="1"/>
  <c r="BI136" i="10"/>
  <c r="BJ136" i="10" s="1"/>
  <c r="AM139" i="10"/>
  <c r="AL27" i="10"/>
  <c r="AO169" i="10"/>
  <c r="AS169" i="10" s="1"/>
  <c r="AO121" i="10"/>
  <c r="AS121" i="10" s="1"/>
  <c r="AP10" i="10"/>
  <c r="AT10" i="10" s="1"/>
  <c r="AP95" i="10"/>
  <c r="AT95" i="10" s="1"/>
  <c r="AO180" i="10"/>
  <c r="AS180" i="10" s="1"/>
  <c r="AO36" i="10"/>
  <c r="AS36" i="10" s="1"/>
  <c r="AH3" i="10"/>
  <c r="AR3" i="10" s="1"/>
  <c r="AP46" i="10"/>
  <c r="AT46" i="10" s="1"/>
  <c r="AP142" i="10"/>
  <c r="AT142" i="10" s="1"/>
  <c r="AM117" i="10"/>
  <c r="AO143" i="10"/>
  <c r="AS143" i="10" s="1"/>
  <c r="AO95" i="10"/>
  <c r="AS95" i="10" s="1"/>
  <c r="AO23" i="10"/>
  <c r="AS23" i="10" s="1"/>
  <c r="AP94" i="10"/>
  <c r="AT94" i="10" s="1"/>
  <c r="AR148" i="10"/>
  <c r="AP93" i="10"/>
  <c r="AT93" i="10" s="1"/>
  <c r="AP77" i="10"/>
  <c r="AT77" i="10" s="1"/>
  <c r="AP45" i="10"/>
  <c r="AT45" i="10" s="1"/>
  <c r="AP187" i="10"/>
  <c r="AT187" i="10" s="1"/>
  <c r="AR99" i="10"/>
  <c r="BI127" i="10"/>
  <c r="BJ127" i="10" s="1"/>
  <c r="AO176" i="10"/>
  <c r="AS176" i="10" s="1"/>
  <c r="AO140" i="10"/>
  <c r="AS140" i="10" s="1"/>
  <c r="AO56" i="10"/>
  <c r="AS56" i="10" s="1"/>
  <c r="AP19" i="10"/>
  <c r="AT19" i="10" s="1"/>
  <c r="AP221" i="10"/>
  <c r="AT221" i="10" s="1"/>
  <c r="AP201" i="10"/>
  <c r="AT201" i="10" s="1"/>
  <c r="AP166" i="10"/>
  <c r="AT166" i="10" s="1"/>
  <c r="AP119" i="10"/>
  <c r="AT119" i="10" s="1"/>
  <c r="AL132" i="10"/>
  <c r="BI55" i="10"/>
  <c r="BJ55" i="10" s="1"/>
  <c r="AP220" i="10"/>
  <c r="AT220" i="10" s="1"/>
  <c r="AP154" i="10"/>
  <c r="AT154" i="10" s="1"/>
  <c r="AR180" i="10"/>
  <c r="AH154" i="10"/>
  <c r="AR154" i="10" s="1"/>
  <c r="AP11" i="10"/>
  <c r="AT11" i="10" s="1"/>
  <c r="AO128" i="10"/>
  <c r="AS128" i="10" s="1"/>
  <c r="AP106" i="10"/>
  <c r="AT106" i="10" s="1"/>
  <c r="BI28" i="10"/>
  <c r="BJ28" i="10" s="1"/>
  <c r="AL214" i="10"/>
  <c r="AL21" i="10"/>
  <c r="AO144" i="10"/>
  <c r="AS144" i="10" s="1"/>
  <c r="AO132" i="10"/>
  <c r="AS132" i="10" s="1"/>
  <c r="AQ96" i="10"/>
  <c r="AP78" i="10"/>
  <c r="AT78" i="10" s="1"/>
  <c r="AL149" i="10"/>
  <c r="BI35" i="10"/>
  <c r="BJ35" i="10" s="1"/>
  <c r="AO119" i="10"/>
  <c r="AS119" i="10" s="1"/>
  <c r="AO71" i="10"/>
  <c r="AS71" i="10" s="1"/>
  <c r="AO11" i="10"/>
  <c r="AS11" i="10" s="1"/>
  <c r="AP131" i="10"/>
  <c r="AT131" i="10" s="1"/>
  <c r="AM106" i="10"/>
  <c r="AL145" i="10"/>
  <c r="AR196" i="10"/>
  <c r="AO34" i="10"/>
  <c r="AS34" i="10" s="1"/>
  <c r="AM105" i="10"/>
  <c r="AR111" i="10"/>
  <c r="AO151" i="10"/>
  <c r="AS151" i="10" s="1"/>
  <c r="AP81" i="10"/>
  <c r="AT81" i="10" s="1"/>
  <c r="AP206" i="10"/>
  <c r="AT206" i="10" s="1"/>
  <c r="AP155" i="10"/>
  <c r="AT155" i="10" s="1"/>
  <c r="AP145" i="10"/>
  <c r="AT145" i="10" s="1"/>
  <c r="AM212" i="10"/>
  <c r="AL110" i="10"/>
  <c r="BI31" i="10"/>
  <c r="BJ31" i="10" s="1"/>
  <c r="AM49" i="10"/>
  <c r="AL49" i="10"/>
  <c r="AL140" i="10"/>
  <c r="AM140" i="10"/>
  <c r="BI202" i="10"/>
  <c r="BJ202" i="10" s="1"/>
  <c r="BK202" i="10"/>
  <c r="BK190" i="10"/>
  <c r="BI190" i="10"/>
  <c r="BJ190" i="10" s="1"/>
  <c r="BI142" i="10"/>
  <c r="BJ142" i="10" s="1"/>
  <c r="BK142" i="10"/>
  <c r="BI130" i="10"/>
  <c r="BJ130" i="10" s="1"/>
  <c r="BK130" i="10"/>
  <c r="BK106" i="10"/>
  <c r="BI106" i="10"/>
  <c r="BJ106" i="10" s="1"/>
  <c r="BK82" i="10"/>
  <c r="BI82" i="10"/>
  <c r="BJ82" i="10" s="1"/>
  <c r="BI70" i="10"/>
  <c r="BJ70" i="10" s="1"/>
  <c r="BK70" i="10"/>
  <c r="BI58" i="10"/>
  <c r="BJ58" i="10" s="1"/>
  <c r="BK58" i="10"/>
  <c r="BK34" i="10"/>
  <c r="BI34" i="10"/>
  <c r="BJ34" i="10" s="1"/>
  <c r="BK10" i="10"/>
  <c r="BI10" i="10"/>
  <c r="BJ10" i="10" s="1"/>
  <c r="BI214" i="10"/>
  <c r="BJ214" i="10" s="1"/>
  <c r="BI118" i="10"/>
  <c r="BJ118" i="10" s="1"/>
  <c r="AM70" i="10"/>
  <c r="AL70" i="10"/>
  <c r="AM65" i="10"/>
  <c r="AL65" i="10"/>
  <c r="AO54" i="10"/>
  <c r="AS54" i="10" s="1"/>
  <c r="AM160" i="10"/>
  <c r="AL160" i="10"/>
  <c r="AK108" i="10"/>
  <c r="AP108" i="10"/>
  <c r="AT108" i="10" s="1"/>
  <c r="AL103" i="10"/>
  <c r="AM103" i="10"/>
  <c r="BK177" i="10"/>
  <c r="BI177" i="10"/>
  <c r="BJ177" i="10" s="1"/>
  <c r="BI105" i="10"/>
  <c r="BJ105" i="10" s="1"/>
  <c r="BK105" i="10"/>
  <c r="BI213" i="10"/>
  <c r="BJ213" i="10" s="1"/>
  <c r="AM75" i="10"/>
  <c r="AL75" i="10"/>
  <c r="AM159" i="10"/>
  <c r="AL159" i="10"/>
  <c r="BI188" i="10"/>
  <c r="BJ188" i="10" s="1"/>
  <c r="BK188" i="10"/>
  <c r="BI69" i="10"/>
  <c r="BJ69" i="10" s="1"/>
  <c r="AK80" i="10"/>
  <c r="AO80" i="10"/>
  <c r="AS80" i="10" s="1"/>
  <c r="AL169" i="10"/>
  <c r="AM169" i="10"/>
  <c r="BI178" i="10"/>
  <c r="BJ178" i="10" s="1"/>
  <c r="AR102" i="10"/>
  <c r="AR170" i="10"/>
  <c r="AQ181" i="10"/>
  <c r="AO181" i="10"/>
  <c r="AS181" i="10" s="1"/>
  <c r="AO97" i="10"/>
  <c r="AS97" i="10" s="1"/>
  <c r="AO85" i="10"/>
  <c r="AS85" i="10" s="1"/>
  <c r="AO49" i="10"/>
  <c r="AS49" i="10" s="1"/>
  <c r="AO213" i="10"/>
  <c r="AS213" i="10" s="1"/>
  <c r="AK213" i="10"/>
  <c r="AM194" i="10"/>
  <c r="AL194" i="10"/>
  <c r="AQ110" i="10"/>
  <c r="AR169" i="10"/>
  <c r="AL188" i="10"/>
  <c r="AM188" i="10"/>
  <c r="AM173" i="10"/>
  <c r="AL173" i="10"/>
  <c r="AP100" i="10"/>
  <c r="AW100" i="10" s="1"/>
  <c r="AY100" i="10" s="1"/>
  <c r="AQ145" i="10"/>
  <c r="BI152" i="10"/>
  <c r="BJ152" i="10" s="1"/>
  <c r="AK25" i="10"/>
  <c r="AM25" i="10" s="1"/>
  <c r="AP25" i="10"/>
  <c r="AT25" i="10" s="1"/>
  <c r="AQ120" i="10"/>
  <c r="AM122" i="10"/>
  <c r="BI216" i="10"/>
  <c r="BJ216" i="10" s="1"/>
  <c r="BK216" i="10"/>
  <c r="BI204" i="10"/>
  <c r="BJ204" i="10" s="1"/>
  <c r="BI192" i="10"/>
  <c r="BJ192" i="10" s="1"/>
  <c r="BI180" i="10"/>
  <c r="BJ180" i="10" s="1"/>
  <c r="BK180" i="10"/>
  <c r="BI168" i="10"/>
  <c r="BJ168" i="10" s="1"/>
  <c r="BI156" i="10"/>
  <c r="BJ156" i="10" s="1"/>
  <c r="BK156" i="10"/>
  <c r="BI144" i="10"/>
  <c r="BJ144" i="10" s="1"/>
  <c r="BK144" i="10"/>
  <c r="BI132" i="10"/>
  <c r="BJ132" i="10" s="1"/>
  <c r="BI120" i="10"/>
  <c r="BJ120" i="10" s="1"/>
  <c r="BI108" i="10"/>
  <c r="BJ108" i="10" s="1"/>
  <c r="BK108" i="10"/>
  <c r="BI96" i="10"/>
  <c r="BJ96" i="10" s="1"/>
  <c r="BI84" i="10"/>
  <c r="BJ84" i="10" s="1"/>
  <c r="BK84" i="10"/>
  <c r="BI72" i="10"/>
  <c r="BJ72" i="10" s="1"/>
  <c r="BI60" i="10"/>
  <c r="BJ60" i="10" s="1"/>
  <c r="BI48" i="10"/>
  <c r="BJ48" i="10" s="1"/>
  <c r="BK48" i="10"/>
  <c r="BI36" i="10"/>
  <c r="BJ36" i="10" s="1"/>
  <c r="BK36" i="10"/>
  <c r="BI24" i="10"/>
  <c r="BJ24" i="10" s="1"/>
  <c r="BI166" i="10"/>
  <c r="BJ166" i="10" s="1"/>
  <c r="BK166" i="10"/>
  <c r="BI94" i="10"/>
  <c r="BJ94" i="10" s="1"/>
  <c r="BK94" i="10"/>
  <c r="BI22" i="10"/>
  <c r="BJ22" i="10" s="1"/>
  <c r="BK22" i="10"/>
  <c r="AL102" i="10"/>
  <c r="AM102" i="10"/>
  <c r="BK176" i="10"/>
  <c r="BI176" i="10"/>
  <c r="BJ176" i="10" s="1"/>
  <c r="BI104" i="10"/>
  <c r="BJ104" i="10" s="1"/>
  <c r="BK104" i="10"/>
  <c r="BK80" i="10"/>
  <c r="BI80" i="10"/>
  <c r="BJ80" i="10" s="1"/>
  <c r="BI212" i="10"/>
  <c r="BJ212" i="10" s="1"/>
  <c r="BI68" i="10"/>
  <c r="BJ68" i="10" s="1"/>
  <c r="AP74" i="10"/>
  <c r="AT74" i="10" s="1"/>
  <c r="AR160" i="10"/>
  <c r="AP112" i="10"/>
  <c r="AT112" i="10" s="1"/>
  <c r="AP88" i="10"/>
  <c r="AW88" i="10" s="1"/>
  <c r="AY88" i="10" s="1"/>
  <c r="AH88" i="10"/>
  <c r="AQ88" i="10" s="1"/>
  <c r="BI46" i="10"/>
  <c r="BJ46" i="10" s="1"/>
  <c r="AO145" i="10"/>
  <c r="AS145" i="10" s="1"/>
  <c r="AO133" i="10"/>
  <c r="AS133" i="10" s="1"/>
  <c r="AK189" i="10"/>
  <c r="AM189" i="10" s="1"/>
  <c r="AO189" i="10"/>
  <c r="AS189" i="10" s="1"/>
  <c r="BI44" i="10"/>
  <c r="BJ44" i="10" s="1"/>
  <c r="AO84" i="10"/>
  <c r="AS84" i="10" s="1"/>
  <c r="AL193" i="10"/>
  <c r="AM193" i="10"/>
  <c r="AL97" i="10"/>
  <c r="AR144" i="10"/>
  <c r="BI154" i="10"/>
  <c r="BJ154" i="10" s="1"/>
  <c r="AO155" i="10"/>
  <c r="AS155" i="10" s="1"/>
  <c r="AM93" i="10"/>
  <c r="AL93" i="10"/>
  <c r="AK203" i="10"/>
  <c r="AO203" i="10"/>
  <c r="AS203" i="10" s="1"/>
  <c r="AQ12" i="10"/>
  <c r="AP3" i="10"/>
  <c r="AT3" i="10" s="1"/>
  <c r="AM177" i="10"/>
  <c r="AL177" i="10"/>
  <c r="AQ144" i="10"/>
  <c r="AM34" i="10"/>
  <c r="AL34" i="10"/>
  <c r="AM29" i="10"/>
  <c r="AL29" i="10"/>
  <c r="AO24" i="10"/>
  <c r="AS24" i="10" s="1"/>
  <c r="BI203" i="10"/>
  <c r="BJ203" i="10" s="1"/>
  <c r="BK203" i="10"/>
  <c r="BK191" i="10"/>
  <c r="BI191" i="10"/>
  <c r="BJ191" i="10" s="1"/>
  <c r="BI179" i="10"/>
  <c r="BJ179" i="10" s="1"/>
  <c r="BK179" i="10"/>
  <c r="BI167" i="10"/>
  <c r="BJ167" i="10" s="1"/>
  <c r="BK167" i="10"/>
  <c r="BK155" i="10"/>
  <c r="BI155" i="10"/>
  <c r="BJ155" i="10" s="1"/>
  <c r="BI143" i="10"/>
  <c r="BJ143" i="10" s="1"/>
  <c r="BK143" i="10"/>
  <c r="BI131" i="10"/>
  <c r="BJ131" i="10" s="1"/>
  <c r="BK131" i="10"/>
  <c r="BK107" i="10"/>
  <c r="BI107" i="10"/>
  <c r="BJ107" i="10" s="1"/>
  <c r="BI95" i="10"/>
  <c r="BJ95" i="10" s="1"/>
  <c r="BK95" i="10"/>
  <c r="BK83" i="10"/>
  <c r="BI83" i="10"/>
  <c r="BJ83" i="10" s="1"/>
  <c r="BI71" i="10"/>
  <c r="BJ71" i="10" s="1"/>
  <c r="BK71" i="10"/>
  <c r="BI59" i="10"/>
  <c r="BJ59" i="10" s="1"/>
  <c r="BK59" i="10"/>
  <c r="BK47" i="10"/>
  <c r="BI47" i="10"/>
  <c r="BJ47" i="10" s="1"/>
  <c r="BI23" i="10"/>
  <c r="BJ23" i="10" s="1"/>
  <c r="BK23" i="10"/>
  <c r="BK11" i="10"/>
  <c r="BI11" i="10"/>
  <c r="BJ11" i="10" s="1"/>
  <c r="BI215" i="10"/>
  <c r="BJ215" i="10" s="1"/>
  <c r="BI119" i="10"/>
  <c r="BJ119" i="10" s="1"/>
  <c r="AO188" i="10"/>
  <c r="AS188" i="10" s="1"/>
  <c r="AP196" i="10"/>
  <c r="AT196" i="10" s="1"/>
  <c r="AO116" i="10"/>
  <c r="AS116" i="10" s="1"/>
  <c r="AR65" i="10"/>
  <c r="AP51" i="10"/>
  <c r="AT51" i="10" s="1"/>
  <c r="AP147" i="10"/>
  <c r="AT147" i="10" s="1"/>
  <c r="AP111" i="10"/>
  <c r="AR26" i="10"/>
  <c r="AP40" i="10"/>
  <c r="AT40" i="10" s="1"/>
  <c r="AO191" i="10"/>
  <c r="AS191" i="10" s="1"/>
  <c r="AP171" i="10"/>
  <c r="AT171" i="10" s="1"/>
  <c r="AQ24" i="10"/>
  <c r="AR181" i="10"/>
  <c r="AO149" i="10"/>
  <c r="AP50" i="10"/>
  <c r="AT50" i="10" s="1"/>
  <c r="AP16" i="10"/>
  <c r="AT16" i="10" s="1"/>
  <c r="AO214" i="10"/>
  <c r="AS214" i="10" s="1"/>
  <c r="AP205" i="10"/>
  <c r="AT205" i="10" s="1"/>
  <c r="AL151" i="10"/>
  <c r="AM151" i="10"/>
  <c r="AL146" i="10"/>
  <c r="AM146" i="10"/>
  <c r="AP110" i="10"/>
  <c r="AT110" i="10" s="1"/>
  <c r="AM100" i="10"/>
  <c r="AL100" i="10"/>
  <c r="AQ23" i="10"/>
  <c r="AM82" i="10"/>
  <c r="AQ168" i="10"/>
  <c r="AL66" i="10"/>
  <c r="AM66" i="10"/>
  <c r="AP61" i="10"/>
  <c r="AT61" i="10" s="1"/>
  <c r="AK45" i="10"/>
  <c r="AO45" i="10"/>
  <c r="AS45" i="10" s="1"/>
  <c r="AL26" i="10"/>
  <c r="AM26" i="10"/>
  <c r="AM16" i="10"/>
  <c r="AL16" i="10"/>
  <c r="AO166" i="10"/>
  <c r="AS166" i="10" s="1"/>
  <c r="AP146" i="10"/>
  <c r="AT146" i="10" s="1"/>
  <c r="AP141" i="10"/>
  <c r="AT141" i="10" s="1"/>
  <c r="AM56" i="10"/>
  <c r="AL51" i="10"/>
  <c r="AP12" i="10"/>
  <c r="AT12" i="10" s="1"/>
  <c r="AK148" i="10"/>
  <c r="AP148" i="10"/>
  <c r="AT148" i="10" s="1"/>
  <c r="AO175" i="10"/>
  <c r="AS175" i="10" s="1"/>
  <c r="AO79" i="10"/>
  <c r="AQ176" i="10"/>
  <c r="AR86" i="10"/>
  <c r="AP86" i="10"/>
  <c r="AT86" i="10" s="1"/>
  <c r="AL81" i="10"/>
  <c r="AM81" i="10"/>
  <c r="AP76" i="10"/>
  <c r="AT76" i="10" s="1"/>
  <c r="AL156" i="10"/>
  <c r="AO173" i="10"/>
  <c r="AS173" i="10" s="1"/>
  <c r="AL52" i="10"/>
  <c r="AO195" i="10"/>
  <c r="AS195" i="10" s="1"/>
  <c r="AO159" i="10"/>
  <c r="AS159" i="10" s="1"/>
  <c r="AO147" i="10"/>
  <c r="AS147" i="10" s="1"/>
  <c r="AO111" i="10"/>
  <c r="AS111" i="10" s="1"/>
  <c r="AO87" i="10"/>
  <c r="AS87" i="10" s="1"/>
  <c r="AO75" i="10"/>
  <c r="AS75" i="10" s="1"/>
  <c r="AO63" i="10"/>
  <c r="AS63" i="10" s="1"/>
  <c r="AO51" i="10"/>
  <c r="AS51" i="10" s="1"/>
  <c r="AO39" i="10"/>
  <c r="AS39" i="10" s="1"/>
  <c r="AO27" i="10"/>
  <c r="AS27" i="10" s="1"/>
  <c r="AO3" i="10"/>
  <c r="AS3" i="10" s="1"/>
  <c r="AP90" i="10"/>
  <c r="AT90" i="10" s="1"/>
  <c r="AP75" i="10"/>
  <c r="AT75" i="10" s="1"/>
  <c r="AP70" i="10"/>
  <c r="AT70" i="10" s="1"/>
  <c r="AP39" i="10"/>
  <c r="AT39" i="10" s="1"/>
  <c r="AP9" i="10"/>
  <c r="AT9" i="10" s="1"/>
  <c r="AP4" i="10"/>
  <c r="AW4" i="10" s="1"/>
  <c r="AY4" i="10" s="1"/>
  <c r="AP213" i="10"/>
  <c r="AT213" i="10" s="1"/>
  <c r="AP179" i="10"/>
  <c r="AT179" i="10" s="1"/>
  <c r="AP175" i="10"/>
  <c r="AP170" i="10"/>
  <c r="AT170" i="10" s="1"/>
  <c r="AP136" i="10"/>
  <c r="AT136" i="10" s="1"/>
  <c r="AP130" i="10"/>
  <c r="AT130" i="10" s="1"/>
  <c r="AM109" i="10"/>
  <c r="AL109" i="10"/>
  <c r="AM55" i="10"/>
  <c r="BI217" i="10"/>
  <c r="BJ217" i="10" s="1"/>
  <c r="BI193" i="10"/>
  <c r="BJ193" i="10" s="1"/>
  <c r="BI181" i="10"/>
  <c r="BJ181" i="10" s="1"/>
  <c r="BI169" i="10"/>
  <c r="BJ169" i="10" s="1"/>
  <c r="BI157" i="10"/>
  <c r="BJ157" i="10" s="1"/>
  <c r="BI145" i="10"/>
  <c r="BJ145" i="10" s="1"/>
  <c r="BI133" i="10"/>
  <c r="BJ133" i="10" s="1"/>
  <c r="BI121" i="10"/>
  <c r="BJ121" i="10" s="1"/>
  <c r="BI109" i="10"/>
  <c r="BJ109" i="10" s="1"/>
  <c r="BK109" i="10"/>
  <c r="BI97" i="10"/>
  <c r="BJ97" i="10" s="1"/>
  <c r="BI85" i="10"/>
  <c r="BJ85" i="10" s="1"/>
  <c r="BI73" i="10"/>
  <c r="BJ73" i="10" s="1"/>
  <c r="BK73" i="10"/>
  <c r="BI61" i="10"/>
  <c r="BJ61" i="10" s="1"/>
  <c r="BI49" i="10"/>
  <c r="BJ49" i="10" s="1"/>
  <c r="BI37" i="10"/>
  <c r="BJ37" i="10" s="1"/>
  <c r="BI25" i="10"/>
  <c r="BJ25" i="10" s="1"/>
  <c r="BI13" i="10"/>
  <c r="BJ13" i="10" s="1"/>
  <c r="BK13" i="10"/>
  <c r="BK121" i="10"/>
  <c r="BK139" i="10"/>
  <c r="BI139" i="10"/>
  <c r="BJ139" i="10" s="1"/>
  <c r="BI211" i="10"/>
  <c r="BJ211" i="10" s="1"/>
  <c r="AO106" i="10"/>
  <c r="AS106" i="10" s="1"/>
  <c r="AO58" i="10"/>
  <c r="AS58" i="10" s="1"/>
  <c r="AP207" i="10"/>
  <c r="AT207" i="10" s="1"/>
  <c r="AR117" i="10"/>
  <c r="BK102" i="10"/>
  <c r="BI102" i="10"/>
  <c r="BJ102" i="10" s="1"/>
  <c r="BK54" i="10"/>
  <c r="BI54" i="10"/>
  <c r="BJ54" i="10" s="1"/>
  <c r="BI210" i="10"/>
  <c r="BJ210" i="10" s="1"/>
  <c r="BI19" i="10"/>
  <c r="BJ19" i="10" s="1"/>
  <c r="BK103" i="10"/>
  <c r="BI103" i="10"/>
  <c r="BJ103" i="10" s="1"/>
  <c r="AO190" i="10"/>
  <c r="AS190" i="10" s="1"/>
  <c r="AO130" i="10"/>
  <c r="AS130" i="10" s="1"/>
  <c r="AO70" i="10"/>
  <c r="AS70" i="10" s="1"/>
  <c r="AO22" i="10"/>
  <c r="AS22" i="10" s="1"/>
  <c r="AP83" i="10"/>
  <c r="AT83" i="10" s="1"/>
  <c r="AP202" i="10"/>
  <c r="AT202" i="10" s="1"/>
  <c r="AP178" i="10"/>
  <c r="AT178" i="10" s="1"/>
  <c r="AR41" i="10"/>
  <c r="AP189" i="10"/>
  <c r="AT189" i="10" s="1"/>
  <c r="AP117" i="10"/>
  <c r="AT117" i="10" s="1"/>
  <c r="AO177" i="10"/>
  <c r="AV177" i="10" s="1"/>
  <c r="AX177" i="10" s="1"/>
  <c r="AO165" i="10"/>
  <c r="AS165" i="10" s="1"/>
  <c r="AO141" i="10"/>
  <c r="AS141" i="10" s="1"/>
  <c r="AO117" i="10"/>
  <c r="AS117" i="10" s="1"/>
  <c r="AO105" i="10"/>
  <c r="AS105" i="10" s="1"/>
  <c r="AP192" i="10"/>
  <c r="AT192" i="10" s="1"/>
  <c r="BK53" i="10"/>
  <c r="BI53" i="10"/>
  <c r="BJ53" i="10" s="1"/>
  <c r="BI199" i="10"/>
  <c r="BJ199" i="10" s="1"/>
  <c r="BI187" i="10"/>
  <c r="BJ187" i="10" s="1"/>
  <c r="BI175" i="10"/>
  <c r="BJ175" i="10" s="1"/>
  <c r="BI151" i="10"/>
  <c r="BJ151" i="10" s="1"/>
  <c r="BI115" i="10"/>
  <c r="BJ115" i="10" s="1"/>
  <c r="BI91" i="10"/>
  <c r="BJ91" i="10" s="1"/>
  <c r="BI79" i="10"/>
  <c r="BJ79" i="10" s="1"/>
  <c r="BI67" i="10"/>
  <c r="BJ67" i="10" s="1"/>
  <c r="BI43" i="10"/>
  <c r="BJ43" i="10" s="1"/>
  <c r="BI7" i="10"/>
  <c r="BJ7" i="10" s="1"/>
  <c r="BL7" i="10" s="1"/>
  <c r="BI201" i="10"/>
  <c r="BJ201" i="10" s="1"/>
  <c r="BI189" i="10"/>
  <c r="BJ189" i="10" s="1"/>
  <c r="BI165" i="10"/>
  <c r="BJ165" i="10" s="1"/>
  <c r="BI153" i="10"/>
  <c r="BJ153" i="10" s="1"/>
  <c r="BI141" i="10"/>
  <c r="BJ141" i="10" s="1"/>
  <c r="BI129" i="10"/>
  <c r="BJ129" i="10" s="1"/>
  <c r="BI117" i="10"/>
  <c r="BJ117" i="10" s="1"/>
  <c r="BI93" i="10"/>
  <c r="BJ93" i="10" s="1"/>
  <c r="BI81" i="10"/>
  <c r="BJ81" i="10" s="1"/>
  <c r="BI57" i="10"/>
  <c r="BJ57" i="10" s="1"/>
  <c r="BI45" i="10"/>
  <c r="BJ45" i="10" s="1"/>
  <c r="BI33" i="10"/>
  <c r="BJ33" i="10" s="1"/>
  <c r="BI21" i="10"/>
  <c r="BJ21" i="10" s="1"/>
  <c r="BI9" i="10"/>
  <c r="BJ9" i="10" s="1"/>
  <c r="AO93" i="10"/>
  <c r="AS93" i="10" s="1"/>
  <c r="AO57" i="10"/>
  <c r="AS57" i="10" s="1"/>
  <c r="AO21" i="10"/>
  <c r="AS21" i="10" s="1"/>
  <c r="AP64" i="10"/>
  <c r="AT64" i="10" s="1"/>
  <c r="AP33" i="10"/>
  <c r="AT33" i="10" s="1"/>
  <c r="AP13" i="10"/>
  <c r="AT13" i="10" s="1"/>
  <c r="AP8" i="10"/>
  <c r="AT8" i="10" s="1"/>
  <c r="AP195" i="10"/>
  <c r="AT195" i="10" s="1"/>
  <c r="AP190" i="10"/>
  <c r="AT190" i="10" s="1"/>
  <c r="AP153" i="10"/>
  <c r="AT153" i="10" s="1"/>
  <c r="AP124" i="10"/>
  <c r="AT124" i="10" s="1"/>
  <c r="AP118" i="10"/>
  <c r="AT118" i="10" s="1"/>
  <c r="AP113" i="10"/>
  <c r="AT113" i="10" s="1"/>
  <c r="AP104" i="10"/>
  <c r="AT104" i="10" s="1"/>
  <c r="AP99" i="10"/>
  <c r="AT99" i="10" s="1"/>
  <c r="AM104" i="10"/>
  <c r="AR211" i="10"/>
  <c r="AQ175" i="10"/>
  <c r="AQ115" i="10"/>
  <c r="AQ67" i="10"/>
  <c r="AR55" i="10"/>
  <c r="AO7" i="10"/>
  <c r="AS7" i="10" s="1"/>
  <c r="BI198" i="10"/>
  <c r="BJ198" i="10" s="1"/>
  <c r="BI186" i="10"/>
  <c r="BJ186" i="10" s="1"/>
  <c r="BI174" i="10"/>
  <c r="BJ174" i="10" s="1"/>
  <c r="BI150" i="10"/>
  <c r="BJ150" i="10" s="1"/>
  <c r="BI126" i="10"/>
  <c r="BJ126" i="10" s="1"/>
  <c r="BI114" i="10"/>
  <c r="BJ114" i="10" s="1"/>
  <c r="BI90" i="10"/>
  <c r="BJ90" i="10" s="1"/>
  <c r="BI78" i="10"/>
  <c r="BJ78" i="10" s="1"/>
  <c r="BI66" i="10"/>
  <c r="BJ66" i="10" s="1"/>
  <c r="BI42" i="10"/>
  <c r="BJ42" i="10" s="1"/>
  <c r="BI18" i="10"/>
  <c r="BJ18" i="10" s="1"/>
  <c r="BI6" i="10"/>
  <c r="BJ6" i="10" s="1"/>
  <c r="BL6" i="10" s="1"/>
  <c r="BI200" i="10"/>
  <c r="BJ200" i="10" s="1"/>
  <c r="BI164" i="10"/>
  <c r="BJ164" i="10" s="1"/>
  <c r="BI140" i="10"/>
  <c r="BJ140" i="10" s="1"/>
  <c r="BI128" i="10"/>
  <c r="BJ128" i="10" s="1"/>
  <c r="BI116" i="10"/>
  <c r="BJ116" i="10" s="1"/>
  <c r="BI92" i="10"/>
  <c r="BJ92" i="10" s="1"/>
  <c r="BI56" i="10"/>
  <c r="BJ56" i="10" s="1"/>
  <c r="BI32" i="10"/>
  <c r="BJ32" i="10" s="1"/>
  <c r="BI20" i="10"/>
  <c r="BJ20" i="10" s="1"/>
  <c r="BI8" i="10"/>
  <c r="BJ8" i="10" s="1"/>
  <c r="AO92" i="10"/>
  <c r="AS92" i="10" s="1"/>
  <c r="AO20" i="10"/>
  <c r="AS20" i="10" s="1"/>
  <c r="AP73" i="10"/>
  <c r="AT73" i="10" s="1"/>
  <c r="AU73" i="10" s="1"/>
  <c r="AP68" i="10"/>
  <c r="AT68" i="10" s="1"/>
  <c r="AP37" i="10"/>
  <c r="AT37" i="10" s="1"/>
  <c r="AO33" i="10"/>
  <c r="AS33" i="10" s="1"/>
  <c r="AP28" i="10"/>
  <c r="AT28" i="10" s="1"/>
  <c r="AP23" i="10"/>
  <c r="AT23" i="10" s="1"/>
  <c r="AP172" i="10"/>
  <c r="AT172" i="10" s="1"/>
  <c r="AP157" i="10"/>
  <c r="AT157" i="10" s="1"/>
  <c r="AP129" i="10"/>
  <c r="AT129" i="10" s="1"/>
  <c r="AP123" i="10"/>
  <c r="AT123" i="10" s="1"/>
  <c r="AL3" i="10"/>
  <c r="AR174" i="10"/>
  <c r="AQ54" i="10"/>
  <c r="BI219" i="10"/>
  <c r="BJ219" i="10" s="1"/>
  <c r="BI195" i="10"/>
  <c r="BJ195" i="10" s="1"/>
  <c r="BI183" i="10"/>
  <c r="BJ183" i="10" s="1"/>
  <c r="BI159" i="10"/>
  <c r="BJ159" i="10" s="1"/>
  <c r="BI147" i="10"/>
  <c r="BJ147" i="10" s="1"/>
  <c r="BI123" i="10"/>
  <c r="BJ123" i="10" s="1"/>
  <c r="BI111" i="10"/>
  <c r="BJ111" i="10" s="1"/>
  <c r="BI87" i="10"/>
  <c r="BJ87" i="10" s="1"/>
  <c r="BI75" i="10"/>
  <c r="BJ75" i="10" s="1"/>
  <c r="BI51" i="10"/>
  <c r="BJ51" i="10" s="1"/>
  <c r="BI39" i="10"/>
  <c r="BJ39" i="10" s="1"/>
  <c r="BI15" i="10"/>
  <c r="BJ15" i="10" s="1"/>
  <c r="AO91" i="10"/>
  <c r="AS91" i="10" s="1"/>
  <c r="AO19" i="10"/>
  <c r="AS19" i="10" s="1"/>
  <c r="AP82" i="10"/>
  <c r="AT82" i="10" s="1"/>
  <c r="AP63" i="10"/>
  <c r="AT63" i="10" s="1"/>
  <c r="AP41" i="10"/>
  <c r="AT41" i="10" s="1"/>
  <c r="AP32" i="10"/>
  <c r="AT32" i="10" s="1"/>
  <c r="AP216" i="10"/>
  <c r="AT216" i="10" s="1"/>
  <c r="AO208" i="10"/>
  <c r="AS208" i="10" s="1"/>
  <c r="AP194" i="10"/>
  <c r="AT194" i="10" s="1"/>
  <c r="AO162" i="10"/>
  <c r="AS162" i="10" s="1"/>
  <c r="AP134" i="10"/>
  <c r="AT134" i="10" s="1"/>
  <c r="AL113" i="10"/>
  <c r="AR197" i="10"/>
  <c r="BI218" i="10"/>
  <c r="BJ218" i="10" s="1"/>
  <c r="BI194" i="10"/>
  <c r="BJ194" i="10" s="1"/>
  <c r="BI182" i="10"/>
  <c r="BJ182" i="10" s="1"/>
  <c r="BI158" i="10"/>
  <c r="BJ158" i="10" s="1"/>
  <c r="BI146" i="10"/>
  <c r="BJ146" i="10" s="1"/>
  <c r="BI122" i="10"/>
  <c r="BJ122" i="10" s="1"/>
  <c r="BI110" i="10"/>
  <c r="BJ110" i="10" s="1"/>
  <c r="BI86" i="10"/>
  <c r="BJ86" i="10" s="1"/>
  <c r="BI74" i="10"/>
  <c r="BJ74" i="10" s="1"/>
  <c r="BI50" i="10"/>
  <c r="BJ50" i="10" s="1"/>
  <c r="BI38" i="10"/>
  <c r="BJ38" i="10" s="1"/>
  <c r="BI14" i="10"/>
  <c r="BJ14" i="10" s="1"/>
  <c r="AM89" i="10"/>
  <c r="AL89" i="10"/>
  <c r="AL154" i="10"/>
  <c r="AM154" i="10"/>
  <c r="AM158" i="10"/>
  <c r="AL158" i="10"/>
  <c r="AQ151" i="10"/>
  <c r="AR151" i="10"/>
  <c r="AO168" i="10"/>
  <c r="AS168" i="10" s="1"/>
  <c r="AO108" i="10"/>
  <c r="AS108" i="10" s="1"/>
  <c r="AR108" i="10"/>
  <c r="AQ108" i="10"/>
  <c r="AO60" i="10"/>
  <c r="AS60" i="10" s="1"/>
  <c r="AO48" i="10"/>
  <c r="AS48" i="10" s="1"/>
  <c r="AO12" i="10"/>
  <c r="AS12" i="10" s="1"/>
  <c r="AR12" i="10"/>
  <c r="AO90" i="10"/>
  <c r="AS90" i="10" s="1"/>
  <c r="AP85" i="10"/>
  <c r="AT85" i="10" s="1"/>
  <c r="AK62" i="10"/>
  <c r="AP62" i="10"/>
  <c r="AT62" i="10" s="1"/>
  <c r="AL216" i="10"/>
  <c r="AM216" i="10"/>
  <c r="AK204" i="10"/>
  <c r="AO204" i="10"/>
  <c r="AS204" i="10" s="1"/>
  <c r="AP150" i="10"/>
  <c r="AT150" i="10" s="1"/>
  <c r="AM142" i="10"/>
  <c r="AL142" i="10"/>
  <c r="AP121" i="10"/>
  <c r="AT121" i="10" s="1"/>
  <c r="AL107" i="10"/>
  <c r="AM107" i="10"/>
  <c r="AP102" i="10"/>
  <c r="AQ193" i="10"/>
  <c r="AR193" i="10"/>
  <c r="AQ177" i="10"/>
  <c r="AR153" i="10"/>
  <c r="AQ132" i="10"/>
  <c r="AR132" i="10"/>
  <c r="AR8" i="10"/>
  <c r="AM163" i="10"/>
  <c r="AM121" i="10"/>
  <c r="AM36" i="10"/>
  <c r="AL192" i="10"/>
  <c r="AL86" i="10"/>
  <c r="AL48" i="10"/>
  <c r="AL12" i="10"/>
  <c r="AO205" i="10"/>
  <c r="AS205" i="10" s="1"/>
  <c r="AO164" i="10"/>
  <c r="AS164" i="10" s="1"/>
  <c r="AQ196" i="10"/>
  <c r="AQ55" i="10"/>
  <c r="AR66" i="10"/>
  <c r="AM15" i="10"/>
  <c r="AL15" i="10"/>
  <c r="AM171" i="10"/>
  <c r="AL171" i="10"/>
  <c r="AR209" i="10"/>
  <c r="AQ209" i="10"/>
  <c r="AM53" i="10"/>
  <c r="AL53" i="10"/>
  <c r="AP197" i="10"/>
  <c r="AT197" i="10" s="1"/>
  <c r="AO197" i="10"/>
  <c r="AS197" i="10" s="1"/>
  <c r="AR52" i="10"/>
  <c r="AQ52" i="10"/>
  <c r="AL78" i="10"/>
  <c r="AM78" i="10"/>
  <c r="AL8" i="10"/>
  <c r="AM8" i="10"/>
  <c r="AR207" i="10"/>
  <c r="AQ207" i="10"/>
  <c r="AM210" i="10"/>
  <c r="AM205" i="10"/>
  <c r="AL205" i="10"/>
  <c r="AO161" i="10"/>
  <c r="AS161" i="10" s="1"/>
  <c r="AM99" i="10"/>
  <c r="AL99" i="10"/>
  <c r="AR205" i="10"/>
  <c r="AQ205" i="10"/>
  <c r="AR157" i="10"/>
  <c r="AQ157" i="10"/>
  <c r="AR140" i="10"/>
  <c r="AQ140" i="10"/>
  <c r="AR40" i="10"/>
  <c r="AQ40" i="10"/>
  <c r="AM167" i="10"/>
  <c r="AL196" i="10"/>
  <c r="AL23" i="10"/>
  <c r="AQ14" i="10"/>
  <c r="AR14" i="10"/>
  <c r="AO129" i="10"/>
  <c r="AS129" i="10" s="1"/>
  <c r="AO183" i="10"/>
  <c r="AS183" i="10" s="1"/>
  <c r="AU183" i="10" s="1"/>
  <c r="AO135" i="10"/>
  <c r="AS135" i="10" s="1"/>
  <c r="AO123" i="10"/>
  <c r="AS123" i="10" s="1"/>
  <c r="AO99" i="10"/>
  <c r="AS99" i="10" s="1"/>
  <c r="AO15" i="10"/>
  <c r="AS15" i="10" s="1"/>
  <c r="AL91" i="10"/>
  <c r="AM91" i="10"/>
  <c r="AM77" i="10"/>
  <c r="AL77" i="10"/>
  <c r="AK47" i="10"/>
  <c r="AP47" i="10"/>
  <c r="AT47" i="10" s="1"/>
  <c r="AO18" i="10"/>
  <c r="AS18" i="10" s="1"/>
  <c r="AK13" i="10"/>
  <c r="AR13" i="10"/>
  <c r="AM191" i="10"/>
  <c r="AL191" i="10"/>
  <c r="AM143" i="10"/>
  <c r="AL143" i="10"/>
  <c r="AL138" i="10"/>
  <c r="AM138" i="10"/>
  <c r="AR221" i="10"/>
  <c r="AQ221" i="10"/>
  <c r="AR204" i="10"/>
  <c r="AQ204" i="10"/>
  <c r="AR156" i="10"/>
  <c r="AQ156" i="10"/>
  <c r="AR63" i="10"/>
  <c r="AQ63" i="10"/>
  <c r="AO134" i="10"/>
  <c r="AS134" i="10" s="1"/>
  <c r="AO122" i="10"/>
  <c r="AS122" i="10" s="1"/>
  <c r="AR122" i="10"/>
  <c r="AL90" i="10"/>
  <c r="AM90" i="10"/>
  <c r="AM46" i="10"/>
  <c r="AL46" i="10"/>
  <c r="AL32" i="10"/>
  <c r="AM32" i="10"/>
  <c r="AM209" i="10"/>
  <c r="AL209" i="10"/>
  <c r="AO200" i="10"/>
  <c r="AS200" i="10" s="1"/>
  <c r="AK200" i="10"/>
  <c r="AL174" i="10"/>
  <c r="AM174" i="10"/>
  <c r="AR220" i="10"/>
  <c r="AQ220" i="10"/>
  <c r="AQ61" i="10"/>
  <c r="AR61" i="10"/>
  <c r="AR10" i="10"/>
  <c r="AQ10" i="10"/>
  <c r="AM165" i="10"/>
  <c r="AM129" i="10"/>
  <c r="AM68" i="10"/>
  <c r="AK221" i="10"/>
  <c r="AO221" i="10"/>
  <c r="AL199" i="10"/>
  <c r="AM199" i="10"/>
  <c r="AR219" i="10"/>
  <c r="AQ219" i="10"/>
  <c r="AR77" i="10"/>
  <c r="AQ60" i="10"/>
  <c r="AR60" i="10"/>
  <c r="AR9" i="10"/>
  <c r="AM67" i="10"/>
  <c r="AM37" i="10"/>
  <c r="AQ197" i="10"/>
  <c r="AQ62" i="10"/>
  <c r="AR72" i="10"/>
  <c r="AO59" i="10"/>
  <c r="AS59" i="10" s="1"/>
  <c r="AR11" i="10"/>
  <c r="AO199" i="10"/>
  <c r="AS199" i="10" s="1"/>
  <c r="AL127" i="10"/>
  <c r="AM127" i="10"/>
  <c r="AL115" i="10"/>
  <c r="AM115" i="10"/>
  <c r="AQ192" i="10"/>
  <c r="AR192" i="10"/>
  <c r="AQ152" i="10"/>
  <c r="AR152" i="10"/>
  <c r="AQ131" i="10"/>
  <c r="AR89" i="10"/>
  <c r="AR75" i="10"/>
  <c r="AQ75" i="10"/>
  <c r="AH7" i="10"/>
  <c r="AR7" i="10" s="1"/>
  <c r="AM59" i="10"/>
  <c r="AP165" i="10"/>
  <c r="AT165" i="10" s="1"/>
  <c r="AH165" i="10"/>
  <c r="AR165" i="10" s="1"/>
  <c r="AQ129" i="10"/>
  <c r="AR69" i="10"/>
  <c r="AP21" i="10"/>
  <c r="AT21" i="10" s="1"/>
  <c r="AH21" i="10"/>
  <c r="AQ21" i="10" s="1"/>
  <c r="AO163" i="10"/>
  <c r="AS163" i="10" s="1"/>
  <c r="AQ195" i="10"/>
  <c r="AO202" i="10"/>
  <c r="AS202" i="10" s="1"/>
  <c r="AK202" i="10"/>
  <c r="AR53" i="10"/>
  <c r="AQ53" i="10"/>
  <c r="AK184" i="10"/>
  <c r="AP184" i="10"/>
  <c r="AT184" i="10" s="1"/>
  <c r="AM161" i="10"/>
  <c r="AL161" i="10"/>
  <c r="AR184" i="10"/>
  <c r="AL73" i="10"/>
  <c r="AM73" i="10"/>
  <c r="AP53" i="10"/>
  <c r="AT53" i="10" s="1"/>
  <c r="AO206" i="10"/>
  <c r="AS206" i="10" s="1"/>
  <c r="AK206" i="10"/>
  <c r="AO179" i="10"/>
  <c r="AS179" i="10" s="1"/>
  <c r="AO167" i="10"/>
  <c r="AS167" i="10" s="1"/>
  <c r="AO107" i="10"/>
  <c r="AS107" i="10" s="1"/>
  <c r="AO47" i="10"/>
  <c r="AS47" i="10" s="1"/>
  <c r="AO178" i="10"/>
  <c r="AS178" i="10" s="1"/>
  <c r="AO154" i="10"/>
  <c r="AO118" i="10"/>
  <c r="AS118" i="10" s="1"/>
  <c r="AO82" i="10"/>
  <c r="AS82" i="10" s="1"/>
  <c r="AO46" i="10"/>
  <c r="AS46" i="10" s="1"/>
  <c r="AO10" i="10"/>
  <c r="AS10" i="10" s="1"/>
  <c r="AP89" i="10"/>
  <c r="AT89" i="10" s="1"/>
  <c r="AP5" i="10"/>
  <c r="AT5" i="10" s="1"/>
  <c r="AO220" i="10"/>
  <c r="AS220" i="10" s="1"/>
  <c r="AO216" i="10"/>
  <c r="AR172" i="10"/>
  <c r="AQ172" i="10"/>
  <c r="AR49" i="10"/>
  <c r="AM186" i="10"/>
  <c r="AM150" i="10"/>
  <c r="AL179" i="10"/>
  <c r="AL111" i="10"/>
  <c r="AL4" i="10"/>
  <c r="AR68" i="10"/>
  <c r="AR56" i="10"/>
  <c r="AQ56" i="10"/>
  <c r="AO150" i="10"/>
  <c r="AS150" i="10" s="1"/>
  <c r="AO8" i="10"/>
  <c r="AS8" i="10" s="1"/>
  <c r="AQ194" i="10"/>
  <c r="AQ49" i="10"/>
  <c r="AR25" i="10"/>
  <c r="AM60" i="10"/>
  <c r="AL60" i="10"/>
  <c r="AM64" i="10"/>
  <c r="AL64" i="10"/>
  <c r="AK38" i="10"/>
  <c r="AP38" i="10"/>
  <c r="AT38" i="10" s="1"/>
  <c r="AL9" i="10"/>
  <c r="AM9" i="10"/>
  <c r="AL201" i="10"/>
  <c r="AM201" i="10"/>
  <c r="AO157" i="10"/>
  <c r="AS157" i="10" s="1"/>
  <c r="AO37" i="10"/>
  <c r="AS37" i="10" s="1"/>
  <c r="AO153" i="10"/>
  <c r="AS153" i="10" s="1"/>
  <c r="AO81" i="10"/>
  <c r="AO69" i="10"/>
  <c r="AS69" i="10" s="1"/>
  <c r="AO9" i="10"/>
  <c r="AS9" i="10" s="1"/>
  <c r="AR171" i="10"/>
  <c r="AR103" i="10"/>
  <c r="AR27" i="10"/>
  <c r="AM85" i="10"/>
  <c r="AL178" i="10"/>
  <c r="AH43" i="10"/>
  <c r="AR43" i="10" s="1"/>
  <c r="AO43" i="10"/>
  <c r="AS43" i="10" s="1"/>
  <c r="AR101" i="10"/>
  <c r="AQ101" i="10"/>
  <c r="AL175" i="10"/>
  <c r="AM175" i="10"/>
  <c r="AR208" i="10"/>
  <c r="AQ208" i="10"/>
  <c r="AM183" i="10"/>
  <c r="AL183" i="10"/>
  <c r="AP135" i="10"/>
  <c r="AT135" i="10" s="1"/>
  <c r="AK135" i="10"/>
  <c r="AR118" i="10"/>
  <c r="AL197" i="10"/>
  <c r="AR159" i="10"/>
  <c r="AQ159" i="10"/>
  <c r="AR51" i="10"/>
  <c r="AQ51" i="10"/>
  <c r="AO94" i="10"/>
  <c r="AK42" i="10"/>
  <c r="AO42" i="10"/>
  <c r="AS42" i="10" s="1"/>
  <c r="AU42" i="10" s="1"/>
  <c r="AO201" i="10"/>
  <c r="AL170" i="10"/>
  <c r="AM170" i="10"/>
  <c r="AR64" i="10"/>
  <c r="AM19" i="10"/>
  <c r="AR168" i="10"/>
  <c r="AO171" i="10"/>
  <c r="AS171" i="10" s="1"/>
  <c r="AM166" i="10"/>
  <c r="AO170" i="10"/>
  <c r="AS170" i="10" s="1"/>
  <c r="AQ170" i="10"/>
  <c r="AO98" i="10"/>
  <c r="AS98" i="10" s="1"/>
  <c r="AQ98" i="10"/>
  <c r="AO86" i="10"/>
  <c r="AS86" i="10" s="1"/>
  <c r="AO74" i="10"/>
  <c r="AS74" i="10" s="1"/>
  <c r="AO38" i="10"/>
  <c r="AS38" i="10" s="1"/>
  <c r="AO14" i="10"/>
  <c r="AS14" i="10" s="1"/>
  <c r="AO217" i="10"/>
  <c r="AS217" i="10" s="1"/>
  <c r="AK217" i="10"/>
  <c r="AL94" i="10"/>
  <c r="AO210" i="10"/>
  <c r="AS210" i="10" s="1"/>
  <c r="AO78" i="10"/>
  <c r="AS78" i="10" s="1"/>
  <c r="AR109" i="10"/>
  <c r="AO109" i="10"/>
  <c r="AS109" i="10" s="1"/>
  <c r="AU109" i="10" s="1"/>
  <c r="AO13" i="10"/>
  <c r="AS13" i="10" s="1"/>
  <c r="AM147" i="10"/>
  <c r="AL147" i="10"/>
  <c r="AP168" i="10"/>
  <c r="AT168" i="10" s="1"/>
  <c r="AK168" i="10"/>
  <c r="AR48" i="10"/>
  <c r="AM182" i="10"/>
  <c r="AR19" i="10"/>
  <c r="AQ48" i="10"/>
  <c r="AR24" i="10"/>
  <c r="AK44" i="10"/>
  <c r="AO44" i="10"/>
  <c r="AS44" i="10" s="1"/>
  <c r="AP15" i="10"/>
  <c r="AT15" i="10" s="1"/>
  <c r="AL10" i="10"/>
  <c r="AM10" i="10"/>
  <c r="AL176" i="10"/>
  <c r="AM176" i="10"/>
  <c r="AP167" i="10"/>
  <c r="AT167" i="10" s="1"/>
  <c r="AP162" i="10"/>
  <c r="AT162" i="10" s="1"/>
  <c r="AL153" i="10"/>
  <c r="AM153" i="10"/>
  <c r="AR210" i="10"/>
  <c r="AQ210" i="10"/>
  <c r="AQ169" i="10"/>
  <c r="AQ47" i="10"/>
  <c r="AR47" i="10"/>
  <c r="AQ26" i="10"/>
  <c r="AM84" i="10"/>
  <c r="AL134" i="10"/>
  <c r="AL33" i="10"/>
  <c r="AN2" i="10"/>
  <c r="AO2" i="10" s="1"/>
  <c r="AV2" i="10" s="1"/>
  <c r="AH198" i="10"/>
  <c r="AQ198" i="10" s="1"/>
  <c r="AO198" i="10"/>
  <c r="AS198" i="10" s="1"/>
  <c r="AO114" i="10"/>
  <c r="AS114" i="10" s="1"/>
  <c r="AH114" i="10"/>
  <c r="AR54" i="10"/>
  <c r="AR18" i="10"/>
  <c r="AO55" i="10"/>
  <c r="AS55" i="10" s="1"/>
  <c r="AO6" i="10"/>
  <c r="AS6" i="10" s="1"/>
  <c r="AP60" i="10"/>
  <c r="AT60" i="10" s="1"/>
  <c r="AQ171" i="10"/>
  <c r="AQ41" i="10"/>
  <c r="AR23" i="10"/>
  <c r="AO152" i="10"/>
  <c r="AS152" i="10" s="1"/>
  <c r="AO32" i="10"/>
  <c r="AS32" i="10" s="1"/>
  <c r="AO215" i="10"/>
  <c r="AS215" i="10" s="1"/>
  <c r="AK215" i="10"/>
  <c r="AP215" i="10"/>
  <c r="AT215" i="10" s="1"/>
  <c r="AP199" i="10"/>
  <c r="AT199" i="10" s="1"/>
  <c r="AP126" i="10"/>
  <c r="AT126" i="10" s="1"/>
  <c r="AQ130" i="10"/>
  <c r="AR73" i="10"/>
  <c r="AQ73" i="10"/>
  <c r="AO31" i="10"/>
  <c r="AS31" i="10" s="1"/>
  <c r="AR145" i="10"/>
  <c r="AQ36" i="10"/>
  <c r="AR36" i="10"/>
  <c r="AM155" i="10"/>
  <c r="AL17" i="10"/>
  <c r="AR147" i="10"/>
  <c r="AR135" i="10"/>
  <c r="AQ135" i="10"/>
  <c r="AR123" i="10"/>
  <c r="AP208" i="10"/>
  <c r="AT208" i="10" s="1"/>
  <c r="AO68" i="10"/>
  <c r="AS68" i="10" s="1"/>
  <c r="AP66" i="10"/>
  <c r="AT66" i="10" s="1"/>
  <c r="AM40" i="10"/>
  <c r="AL40" i="10"/>
  <c r="AP174" i="10"/>
  <c r="AT174" i="10" s="1"/>
  <c r="AR183" i="10"/>
  <c r="AQ183" i="10"/>
  <c r="AR4" i="10"/>
  <c r="AO187" i="10"/>
  <c r="AS187" i="10" s="1"/>
  <c r="AO139" i="10"/>
  <c r="AS139" i="10" s="1"/>
  <c r="AL79" i="10"/>
  <c r="AM79" i="10"/>
  <c r="AQ72" i="10"/>
  <c r="AO138" i="10"/>
  <c r="AS138" i="10" s="1"/>
  <c r="AO30" i="10"/>
  <c r="AS30" i="10" s="1"/>
  <c r="AP177" i="10"/>
  <c r="AT177" i="10" s="1"/>
  <c r="AQ180" i="10"/>
  <c r="AM92" i="10"/>
  <c r="AR218" i="10"/>
  <c r="AQ218" i="10"/>
  <c r="AQ182" i="10"/>
  <c r="AR146" i="10"/>
  <c r="AR110" i="10"/>
  <c r="AR74" i="10"/>
  <c r="AQ74" i="10"/>
  <c r="AR161" i="10"/>
  <c r="AO104" i="10"/>
  <c r="AS104" i="10" s="1"/>
  <c r="AP56" i="10"/>
  <c r="AT56" i="10" s="1"/>
  <c r="AL31" i="10"/>
  <c r="AM31" i="10"/>
  <c r="AP186" i="10"/>
  <c r="AM136" i="10"/>
  <c r="AL136" i="10"/>
  <c r="AP115" i="10"/>
  <c r="AT115" i="10" s="1"/>
  <c r="AR217" i="10"/>
  <c r="AQ217" i="10"/>
  <c r="AR39" i="10"/>
  <c r="AQ39" i="10"/>
  <c r="AR28" i="10"/>
  <c r="AO67" i="10"/>
  <c r="AS67" i="10" s="1"/>
  <c r="AP31" i="10"/>
  <c r="AT31" i="10" s="1"/>
  <c r="AR216" i="10"/>
  <c r="AQ216" i="10"/>
  <c r="AR87" i="10"/>
  <c r="AM218" i="10"/>
  <c r="AO102" i="10"/>
  <c r="AS102" i="10" s="1"/>
  <c r="AP55" i="10"/>
  <c r="AT55" i="10" s="1"/>
  <c r="AM185" i="10"/>
  <c r="AL185" i="10"/>
  <c r="AP164" i="10"/>
  <c r="AT164" i="10" s="1"/>
  <c r="AQ215" i="10"/>
  <c r="AR215" i="10"/>
  <c r="AQ85" i="10"/>
  <c r="AR194" i="10"/>
  <c r="AQ158" i="10"/>
  <c r="AR158" i="10"/>
  <c r="AQ134" i="10"/>
  <c r="AR134" i="10"/>
  <c r="AR98" i="10"/>
  <c r="AR62" i="10"/>
  <c r="AO185" i="10"/>
  <c r="AS185" i="10" s="1"/>
  <c r="AO137" i="10"/>
  <c r="AS137" i="10" s="1"/>
  <c r="AP87" i="10"/>
  <c r="AT87" i="10" s="1"/>
  <c r="AP65" i="10"/>
  <c r="AT65" i="10" s="1"/>
  <c r="AP49" i="10"/>
  <c r="AT49" i="10" s="1"/>
  <c r="AM39" i="10"/>
  <c r="AL39" i="10"/>
  <c r="AL30" i="10"/>
  <c r="AM30" i="10"/>
  <c r="AO218" i="10"/>
  <c r="AS218" i="10" s="1"/>
  <c r="AO207" i="10"/>
  <c r="AS207" i="10" s="1"/>
  <c r="AP198" i="10"/>
  <c r="AT198" i="10" s="1"/>
  <c r="AP185" i="10"/>
  <c r="AT185" i="10" s="1"/>
  <c r="AP159" i="10"/>
  <c r="AT159" i="10" s="1"/>
  <c r="AP114" i="10"/>
  <c r="AT114" i="10" s="1"/>
  <c r="AP105" i="10"/>
  <c r="AT105" i="10" s="1"/>
  <c r="AH112" i="10"/>
  <c r="AR112" i="10" s="1"/>
  <c r="AQ97" i="10"/>
  <c r="AR97" i="10"/>
  <c r="AQ84" i="10"/>
  <c r="AR34" i="10"/>
  <c r="AQ34" i="10"/>
  <c r="AM198" i="10"/>
  <c r="AM114" i="10"/>
  <c r="AQ133" i="10"/>
  <c r="AR133" i="10"/>
  <c r="AR121" i="10"/>
  <c r="AQ121" i="10"/>
  <c r="AQ37" i="10"/>
  <c r="AR37" i="10"/>
  <c r="AQ25" i="10"/>
  <c r="AQ13" i="10"/>
  <c r="AP160" i="10"/>
  <c r="AT160" i="10" s="1"/>
  <c r="AQ147" i="10"/>
  <c r="AR182" i="10"/>
  <c r="AR85" i="10"/>
  <c r="BI29" i="10"/>
  <c r="BJ29" i="10" s="1"/>
  <c r="AR173" i="10"/>
  <c r="AQ173" i="10"/>
  <c r="AP101" i="10"/>
  <c r="AT101" i="10" s="1"/>
  <c r="AO115" i="10"/>
  <c r="AS115" i="10" s="1"/>
  <c r="AO103" i="10"/>
  <c r="AS103" i="10" s="1"/>
  <c r="AP211" i="10"/>
  <c r="AT211" i="10" s="1"/>
  <c r="AP140" i="10"/>
  <c r="AO186" i="10"/>
  <c r="AO66" i="10"/>
  <c r="AS66" i="10" s="1"/>
  <c r="AP79" i="10"/>
  <c r="AT79" i="10" s="1"/>
  <c r="AP151" i="10"/>
  <c r="AT151" i="10" s="1"/>
  <c r="AP125" i="10"/>
  <c r="AT125" i="10" s="1"/>
  <c r="AQ35" i="10"/>
  <c r="AR35" i="10"/>
  <c r="AL207" i="10"/>
  <c r="AL61" i="10"/>
  <c r="AR206" i="10"/>
  <c r="AQ122" i="10"/>
  <c r="AQ86" i="10"/>
  <c r="AQ50" i="10"/>
  <c r="AR50" i="10"/>
  <c r="AQ206" i="10"/>
  <c r="AQ148" i="10"/>
  <c r="AP91" i="10"/>
  <c r="AT91" i="10" s="1"/>
  <c r="AM87" i="10"/>
  <c r="AL87" i="10"/>
  <c r="AP69" i="10"/>
  <c r="AT69" i="10" s="1"/>
  <c r="AP54" i="10"/>
  <c r="AP44" i="10"/>
  <c r="AT44" i="10" s="1"/>
  <c r="AP20" i="10"/>
  <c r="AT20" i="10" s="1"/>
  <c r="AP6" i="10"/>
  <c r="AP210" i="10"/>
  <c r="AT210" i="10" s="1"/>
  <c r="AP163" i="10"/>
  <c r="AT163" i="10" s="1"/>
  <c r="AP143" i="10"/>
  <c r="AT143" i="10" s="1"/>
  <c r="AP139" i="10"/>
  <c r="AT139" i="10" s="1"/>
  <c r="AM152" i="10"/>
  <c r="AQ146" i="10"/>
  <c r="AR84" i="10"/>
  <c r="BK221" i="10"/>
  <c r="BI221" i="10"/>
  <c r="BJ221" i="10" s="1"/>
  <c r="BK197" i="10"/>
  <c r="BI197" i="10"/>
  <c r="BJ197" i="10" s="1"/>
  <c r="BK185" i="10"/>
  <c r="BI185" i="10"/>
  <c r="BJ185" i="10" s="1"/>
  <c r="BK173" i="10"/>
  <c r="BI173" i="10"/>
  <c r="BJ173" i="10" s="1"/>
  <c r="BK149" i="10"/>
  <c r="BI149" i="10"/>
  <c r="BJ149" i="10" s="1"/>
  <c r="BK125" i="10"/>
  <c r="BI125" i="10"/>
  <c r="BJ125" i="10" s="1"/>
  <c r="BK113" i="10"/>
  <c r="BI113" i="10"/>
  <c r="BJ113" i="10" s="1"/>
  <c r="BK89" i="10"/>
  <c r="BI89" i="10"/>
  <c r="BJ89" i="10" s="1"/>
  <c r="BK77" i="10"/>
  <c r="BI77" i="10"/>
  <c r="BJ77" i="10" s="1"/>
  <c r="BK65" i="10"/>
  <c r="BI65" i="10"/>
  <c r="BJ65" i="10" s="1"/>
  <c r="BK41" i="10"/>
  <c r="BI41" i="10"/>
  <c r="BJ41" i="10" s="1"/>
  <c r="BK17" i="10"/>
  <c r="BI17" i="10"/>
  <c r="BJ17" i="10" s="1"/>
  <c r="BK5" i="10"/>
  <c r="BI5" i="10"/>
  <c r="BJ5" i="10" s="1"/>
  <c r="BI209" i="10"/>
  <c r="BJ209" i="10" s="1"/>
  <c r="BI208" i="10"/>
  <c r="BJ208" i="10" s="1"/>
  <c r="BI160" i="10"/>
  <c r="BJ160" i="10" s="1"/>
  <c r="BI100" i="10"/>
  <c r="BJ100" i="10" s="1"/>
  <c r="BI52" i="10"/>
  <c r="BJ52" i="10" s="1"/>
  <c r="AL137" i="10"/>
  <c r="BK76" i="10"/>
  <c r="BI76" i="10"/>
  <c r="BJ76" i="10" s="1"/>
  <c r="BK64" i="10"/>
  <c r="BI64" i="10"/>
  <c r="BJ64" i="10" s="1"/>
  <c r="BK40" i="10"/>
  <c r="BI40" i="10"/>
  <c r="BJ40" i="10" s="1"/>
  <c r="AP67" i="10"/>
  <c r="AT67" i="10" s="1"/>
  <c r="AP43" i="10"/>
  <c r="AT43" i="10" s="1"/>
  <c r="AP30" i="10"/>
  <c r="AT30" i="10" s="1"/>
  <c r="AR96" i="10"/>
  <c r="AQ70" i="10"/>
  <c r="AO125" i="10"/>
  <c r="AS125" i="10" s="1"/>
  <c r="AO113" i="10"/>
  <c r="AO101" i="10"/>
  <c r="AS101" i="10" s="1"/>
  <c r="AO89" i="10"/>
  <c r="AS89" i="10" s="1"/>
  <c r="AO77" i="10"/>
  <c r="AO65" i="10"/>
  <c r="AS65" i="10" s="1"/>
  <c r="AO53" i="10"/>
  <c r="AS53" i="10" s="1"/>
  <c r="AO41" i="10"/>
  <c r="AS41" i="10" s="1"/>
  <c r="AO29" i="10"/>
  <c r="AS29" i="10" s="1"/>
  <c r="AO17" i="10"/>
  <c r="AO5" i="10"/>
  <c r="AS5" i="10" s="1"/>
  <c r="AP7" i="10"/>
  <c r="AT7" i="10" s="1"/>
  <c r="AP212" i="10"/>
  <c r="AT212" i="10" s="1"/>
  <c r="AP188" i="10"/>
  <c r="AT188" i="10" s="1"/>
  <c r="AP149" i="10"/>
  <c r="AT149" i="10" s="1"/>
  <c r="AP137" i="10"/>
  <c r="AT137" i="10" s="1"/>
  <c r="AQ95" i="10"/>
  <c r="AR95" i="10"/>
  <c r="AR82" i="10"/>
  <c r="AL88" i="10"/>
  <c r="BI124" i="10"/>
  <c r="BJ124" i="10" s="1"/>
  <c r="BI16" i="10"/>
  <c r="BJ16" i="10" s="1"/>
  <c r="BK220" i="10"/>
  <c r="BI220" i="10"/>
  <c r="BJ220" i="10" s="1"/>
  <c r="BK196" i="10"/>
  <c r="BI196" i="10"/>
  <c r="BJ196" i="10" s="1"/>
  <c r="BK184" i="10"/>
  <c r="BI184" i="10"/>
  <c r="BJ184" i="10" s="1"/>
  <c r="BK172" i="10"/>
  <c r="BI172" i="10"/>
  <c r="BJ172" i="10" s="1"/>
  <c r="BK148" i="10"/>
  <c r="BI148" i="10"/>
  <c r="BJ148" i="10" s="1"/>
  <c r="BK112" i="10"/>
  <c r="BI112" i="10"/>
  <c r="BJ112" i="10" s="1"/>
  <c r="BK88" i="10"/>
  <c r="BI88" i="10"/>
  <c r="BJ88" i="10" s="1"/>
  <c r="BK4" i="10"/>
  <c r="BI4" i="10"/>
  <c r="BJ4" i="10" s="1"/>
  <c r="AP92" i="10"/>
  <c r="AT92" i="10" s="1"/>
  <c r="AP80" i="10"/>
  <c r="AT80" i="10" s="1"/>
  <c r="AP17" i="10"/>
  <c r="AT17" i="10" s="1"/>
  <c r="AP209" i="10"/>
  <c r="AT209" i="10" s="1"/>
  <c r="AQ83" i="10"/>
  <c r="AR83" i="10"/>
  <c r="AO196" i="10"/>
  <c r="AO184" i="10"/>
  <c r="AS184" i="10" s="1"/>
  <c r="AO172" i="10"/>
  <c r="AS172" i="10" s="1"/>
  <c r="AO160" i="10"/>
  <c r="AO148" i="10"/>
  <c r="AS148" i="10" s="1"/>
  <c r="AO136" i="10"/>
  <c r="AS136" i="10" s="1"/>
  <c r="AO124" i="10"/>
  <c r="AS124" i="10" s="1"/>
  <c r="AO112" i="10"/>
  <c r="AS112" i="10" s="1"/>
  <c r="AO100" i="10"/>
  <c r="AO88" i="10"/>
  <c r="AS88" i="10" s="1"/>
  <c r="AO76" i="10"/>
  <c r="AS76" i="10" s="1"/>
  <c r="AO64" i="10"/>
  <c r="AS64" i="10" s="1"/>
  <c r="AO52" i="10"/>
  <c r="AS52" i="10" s="1"/>
  <c r="AO40" i="10"/>
  <c r="AS40" i="10" s="1"/>
  <c r="AO28" i="10"/>
  <c r="AS28" i="10" s="1"/>
  <c r="AO16" i="10"/>
  <c r="AS16" i="10" s="1"/>
  <c r="AO4" i="10"/>
  <c r="AS4" i="10" s="1"/>
  <c r="AO219" i="10"/>
  <c r="AS219" i="10" s="1"/>
  <c r="AU219" i="10" s="1"/>
  <c r="AP200" i="10"/>
  <c r="AT200" i="10" s="1"/>
  <c r="AP176" i="10"/>
  <c r="AT176" i="10" s="1"/>
  <c r="AU176" i="10" s="1"/>
  <c r="AP173" i="10"/>
  <c r="AP152" i="10"/>
  <c r="AT152" i="10" s="1"/>
  <c r="AP127" i="10"/>
  <c r="AT127" i="10" s="1"/>
  <c r="AP116" i="10"/>
  <c r="AT116" i="10" s="1"/>
  <c r="AP103" i="10"/>
  <c r="AT103" i="10" s="1"/>
  <c r="AR120" i="10"/>
  <c r="BI207" i="10"/>
  <c r="BJ207" i="10" s="1"/>
  <c r="BK207" i="10"/>
  <c r="BI171" i="10"/>
  <c r="BJ171" i="10" s="1"/>
  <c r="BK171" i="10"/>
  <c r="BI135" i="10"/>
  <c r="BJ135" i="10" s="1"/>
  <c r="BK135" i="10"/>
  <c r="BI99" i="10"/>
  <c r="BJ99" i="10" s="1"/>
  <c r="BK99" i="10"/>
  <c r="BI63" i="10"/>
  <c r="BJ63" i="10" s="1"/>
  <c r="BK63" i="10"/>
  <c r="BI27" i="10"/>
  <c r="BJ27" i="10" s="1"/>
  <c r="BK27" i="10"/>
  <c r="BI206" i="10"/>
  <c r="BJ206" i="10" s="1"/>
  <c r="BK206" i="10"/>
  <c r="BI170" i="10"/>
  <c r="BJ170" i="10" s="1"/>
  <c r="BK170" i="10"/>
  <c r="BI134" i="10"/>
  <c r="BJ134" i="10" s="1"/>
  <c r="BK134" i="10"/>
  <c r="BI98" i="10"/>
  <c r="BJ98" i="10" s="1"/>
  <c r="BK98" i="10"/>
  <c r="BI62" i="10"/>
  <c r="BJ62" i="10" s="1"/>
  <c r="BK62" i="10"/>
  <c r="BI26" i="10"/>
  <c r="BJ26" i="10" s="1"/>
  <c r="BK26" i="10"/>
  <c r="BI205" i="10"/>
  <c r="BJ205" i="10" s="1"/>
  <c r="BK205" i="10"/>
  <c r="BI12" i="10"/>
  <c r="BJ12" i="10" s="1"/>
  <c r="BK169" i="10"/>
  <c r="BK133" i="10"/>
  <c r="BK97" i="10"/>
  <c r="BK61" i="10"/>
  <c r="BK25" i="10"/>
  <c r="BI3" i="10"/>
  <c r="BJ3" i="10" s="1"/>
  <c r="BK204" i="10"/>
  <c r="BK168" i="10"/>
  <c r="BK132" i="10"/>
  <c r="BK96" i="10"/>
  <c r="BK60" i="10"/>
  <c r="BK24" i="10"/>
  <c r="BI2" i="10"/>
  <c r="BJ2" i="10" s="1"/>
  <c r="AR202" i="10"/>
  <c r="AQ202" i="10"/>
  <c r="AQ190" i="10"/>
  <c r="AR190" i="10"/>
  <c r="AQ178" i="10"/>
  <c r="AR178" i="10"/>
  <c r="AQ166" i="10"/>
  <c r="AR166" i="10"/>
  <c r="AQ142" i="10"/>
  <c r="AR142" i="10"/>
  <c r="AR106" i="10"/>
  <c r="AQ106" i="10"/>
  <c r="AR94" i="10"/>
  <c r="AQ94" i="10"/>
  <c r="AR58" i="10"/>
  <c r="AQ58" i="10"/>
  <c r="AR33" i="10"/>
  <c r="AQ33" i="10"/>
  <c r="AR201" i="10"/>
  <c r="AQ201" i="10"/>
  <c r="AQ189" i="10"/>
  <c r="AR189" i="10"/>
  <c r="AR105" i="10"/>
  <c r="AQ105" i="10"/>
  <c r="AR93" i="10"/>
  <c r="AQ93" i="10"/>
  <c r="AR81" i="10"/>
  <c r="AQ81" i="10"/>
  <c r="AR57" i="10"/>
  <c r="AQ57" i="10"/>
  <c r="AQ45" i="10"/>
  <c r="AR45" i="10"/>
  <c r="AQ32" i="10"/>
  <c r="AR32" i="10"/>
  <c r="AR200" i="10"/>
  <c r="AQ200" i="10"/>
  <c r="AQ188" i="10"/>
  <c r="AR188" i="10"/>
  <c r="AQ164" i="10"/>
  <c r="AR164" i="10"/>
  <c r="AQ128" i="10"/>
  <c r="AR128" i="10"/>
  <c r="AQ104" i="10"/>
  <c r="AR104" i="10"/>
  <c r="AR92" i="10"/>
  <c r="AQ92" i="10"/>
  <c r="AR80" i="10"/>
  <c r="AQ80" i="10"/>
  <c r="AQ44" i="10"/>
  <c r="AR44" i="10"/>
  <c r="AQ31" i="10"/>
  <c r="AR31" i="10"/>
  <c r="AQ82" i="10"/>
  <c r="AR187" i="10"/>
  <c r="AQ187" i="10"/>
  <c r="AQ163" i="10"/>
  <c r="AR163" i="10"/>
  <c r="AR139" i="10"/>
  <c r="AQ139" i="10"/>
  <c r="AR127" i="10"/>
  <c r="AQ127" i="10"/>
  <c r="AR91" i="10"/>
  <c r="AQ91" i="10"/>
  <c r="AR79" i="10"/>
  <c r="AQ79" i="10"/>
  <c r="AR30" i="10"/>
  <c r="AQ30" i="10"/>
  <c r="AR6" i="10"/>
  <c r="AQ6" i="10"/>
  <c r="AR214" i="10"/>
  <c r="AR116" i="10"/>
  <c r="AR186" i="10"/>
  <c r="AQ186" i="10"/>
  <c r="AQ162" i="10"/>
  <c r="AR162" i="10"/>
  <c r="AQ150" i="10"/>
  <c r="AR150" i="10"/>
  <c r="AR138" i="10"/>
  <c r="AQ138" i="10"/>
  <c r="AR126" i="10"/>
  <c r="AQ126" i="10"/>
  <c r="AR90" i="10"/>
  <c r="AQ90" i="10"/>
  <c r="AR78" i="10"/>
  <c r="AQ78" i="10"/>
  <c r="AR42" i="10"/>
  <c r="AQ42" i="10"/>
  <c r="AR29" i="10"/>
  <c r="AQ29" i="10"/>
  <c r="AR17" i="10"/>
  <c r="AQ17" i="10"/>
  <c r="AR5" i="10"/>
  <c r="AQ5" i="10"/>
  <c r="AQ103" i="10"/>
  <c r="AQ19" i="10"/>
  <c r="AR213" i="10"/>
  <c r="AR177" i="10"/>
  <c r="AR115" i="10"/>
  <c r="AR20" i="10"/>
  <c r="AQ174" i="10"/>
  <c r="AQ153" i="10"/>
  <c r="AQ102" i="10"/>
  <c r="AQ18" i="10"/>
  <c r="AR176" i="10"/>
  <c r="AR175" i="10"/>
  <c r="AQ69" i="10"/>
  <c r="AQ9" i="10"/>
  <c r="AQ118" i="10"/>
  <c r="AQ68" i="10"/>
  <c r="AQ8" i="10"/>
  <c r="AR199" i="10"/>
  <c r="AR70" i="10"/>
  <c r="AR46" i="10"/>
  <c r="AQ117" i="10"/>
  <c r="AQ212" i="10"/>
  <c r="AR130" i="10"/>
  <c r="AQ203" i="10"/>
  <c r="AR203" i="10"/>
  <c r="AQ191" i="10"/>
  <c r="AR191" i="10"/>
  <c r="AQ179" i="10"/>
  <c r="AR179" i="10"/>
  <c r="AQ167" i="10"/>
  <c r="AR167" i="10"/>
  <c r="AQ155" i="10"/>
  <c r="AR155" i="10"/>
  <c r="AQ143" i="10"/>
  <c r="AR143" i="10"/>
  <c r="AQ119" i="10"/>
  <c r="AR119" i="10"/>
  <c r="AQ107" i="10"/>
  <c r="AR107" i="10"/>
  <c r="AQ71" i="10"/>
  <c r="AR71" i="10"/>
  <c r="AQ59" i="10"/>
  <c r="AR59" i="10"/>
  <c r="AR22" i="10"/>
  <c r="AQ22" i="10"/>
  <c r="AQ211" i="10"/>
  <c r="AQ141" i="10"/>
  <c r="AR129" i="10"/>
  <c r="AR67" i="10"/>
  <c r="AR149" i="10"/>
  <c r="AQ149" i="10"/>
  <c r="AR137" i="10"/>
  <c r="AQ137" i="10"/>
  <c r="AR125" i="10"/>
  <c r="AQ125" i="10"/>
  <c r="AR113" i="10"/>
  <c r="AQ113" i="10"/>
  <c r="AR16" i="10"/>
  <c r="AQ16" i="10"/>
  <c r="AQ28" i="10"/>
  <c r="AR136" i="10"/>
  <c r="AQ136" i="10"/>
  <c r="AR124" i="10"/>
  <c r="AQ124" i="10"/>
  <c r="AR100" i="10"/>
  <c r="AQ100" i="10"/>
  <c r="AR15" i="10"/>
  <c r="AQ15" i="10"/>
  <c r="AQ65" i="10"/>
  <c r="AQ27" i="10"/>
  <c r="AQ185" i="10"/>
  <c r="AQ64" i="10"/>
  <c r="AQ4" i="10"/>
  <c r="AQ184" i="10"/>
  <c r="AQ77" i="10"/>
  <c r="AQ161" i="10"/>
  <c r="AQ76" i="10"/>
  <c r="AQ160" i="10"/>
  <c r="AQ89" i="10"/>
  <c r="AQ87" i="10"/>
  <c r="AQ99" i="10"/>
  <c r="AQ111" i="10"/>
  <c r="AQ123" i="10"/>
  <c r="AW156" i="10"/>
  <c r="AY156" i="10" s="1"/>
  <c r="AH38" i="10"/>
  <c r="AW72" i="10"/>
  <c r="AY72" i="10" s="1"/>
  <c r="AK98" i="10"/>
  <c r="AK125" i="10"/>
  <c r="AK181" i="10"/>
  <c r="AK101" i="10"/>
  <c r="AK208" i="10"/>
  <c r="AK130" i="10"/>
  <c r="AK187" i="10"/>
  <c r="AV165" i="10"/>
  <c r="AX165" i="10" s="1"/>
  <c r="AK157" i="10"/>
  <c r="AK220" i="10"/>
  <c r="AK123" i="10"/>
  <c r="AK162" i="10"/>
  <c r="AK131" i="10"/>
  <c r="AK126" i="10"/>
  <c r="AK124" i="10"/>
  <c r="AK118" i="10"/>
  <c r="AK190" i="10"/>
  <c r="AK119" i="10"/>
  <c r="AK128" i="10"/>
  <c r="AK172" i="10"/>
  <c r="AK116" i="10"/>
  <c r="AK112" i="10"/>
  <c r="AK71" i="10"/>
  <c r="AK63" i="10"/>
  <c r="AK76" i="10"/>
  <c r="AK69" i="10"/>
  <c r="AK74" i="10"/>
  <c r="AK57" i="10"/>
  <c r="AK54" i="10"/>
  <c r="AK58" i="10"/>
  <c r="AK14" i="10"/>
  <c r="AK35" i="10"/>
  <c r="AK72" i="10"/>
  <c r="AK18" i="10"/>
  <c r="AK43" i="10"/>
  <c r="AK7" i="10"/>
  <c r="AK5" i="10"/>
  <c r="AK24" i="10"/>
  <c r="AK22" i="10"/>
  <c r="AK50" i="10"/>
  <c r="AK41" i="10"/>
  <c r="AF2" i="10"/>
  <c r="AU156" i="10" l="1"/>
  <c r="AU144" i="10"/>
  <c r="AU72" i="10"/>
  <c r="AV26" i="10"/>
  <c r="AX26" i="10" s="1"/>
  <c r="AU18" i="10"/>
  <c r="AU170" i="10"/>
  <c r="AW150" i="10"/>
  <c r="AY150" i="10" s="1"/>
  <c r="AV36" i="10"/>
  <c r="AX36" i="10" s="1"/>
  <c r="AV213" i="10"/>
  <c r="AX213" i="10" s="1"/>
  <c r="AU80" i="10"/>
  <c r="AU174" i="10"/>
  <c r="AV174" i="10"/>
  <c r="AX174" i="10" s="1"/>
  <c r="AU96" i="10"/>
  <c r="AU132" i="10"/>
  <c r="AU218" i="10"/>
  <c r="AW201" i="10"/>
  <c r="AY201" i="10" s="1"/>
  <c r="AU23" i="10"/>
  <c r="AW147" i="10"/>
  <c r="AY147" i="10" s="1"/>
  <c r="AU127" i="10"/>
  <c r="AU116" i="10"/>
  <c r="AW51" i="10"/>
  <c r="AY51" i="10" s="1"/>
  <c r="AU89" i="10"/>
  <c r="AV19" i="10"/>
  <c r="AX19" i="10" s="1"/>
  <c r="AU169" i="10"/>
  <c r="AW109" i="10"/>
  <c r="AY109" i="10" s="1"/>
  <c r="AV103" i="10"/>
  <c r="AX103" i="10" s="1"/>
  <c r="AV122" i="10"/>
  <c r="AX122" i="10" s="1"/>
  <c r="AU40" i="10"/>
  <c r="AW191" i="10"/>
  <c r="AY191" i="10" s="1"/>
  <c r="AW133" i="10"/>
  <c r="AY133" i="10" s="1"/>
  <c r="AU51" i="10"/>
  <c r="AU50" i="10"/>
  <c r="AU133" i="10"/>
  <c r="AU128" i="10"/>
  <c r="AU26" i="10"/>
  <c r="AW21" i="10"/>
  <c r="AY21" i="10" s="1"/>
  <c r="AU143" i="10"/>
  <c r="AU194" i="10"/>
  <c r="AU146" i="10"/>
  <c r="AV158" i="10"/>
  <c r="AX158" i="10" s="1"/>
  <c r="AW182" i="10"/>
  <c r="AY182" i="10" s="1"/>
  <c r="AU126" i="10"/>
  <c r="AU14" i="10"/>
  <c r="AV176" i="10"/>
  <c r="AX176" i="10" s="1"/>
  <c r="AU48" i="10"/>
  <c r="AU97" i="10"/>
  <c r="AL189" i="10"/>
  <c r="AU192" i="10"/>
  <c r="AU155" i="10"/>
  <c r="AW107" i="10"/>
  <c r="AY107" i="10" s="1"/>
  <c r="AV192" i="10"/>
  <c r="AX192" i="10" s="1"/>
  <c r="AU107" i="10"/>
  <c r="AU58" i="10"/>
  <c r="AU25" i="10"/>
  <c r="AV87" i="10"/>
  <c r="AX87" i="10" s="1"/>
  <c r="AW179" i="10"/>
  <c r="AY179" i="10" s="1"/>
  <c r="AW24" i="10"/>
  <c r="AY24" i="10" s="1"/>
  <c r="AW58" i="10"/>
  <c r="AY58" i="10" s="1"/>
  <c r="AU13" i="10"/>
  <c r="AV209" i="10"/>
  <c r="AX209" i="10" s="1"/>
  <c r="AW13" i="10"/>
  <c r="AY13" i="10" s="1"/>
  <c r="AU212" i="10"/>
  <c r="AW149" i="10"/>
  <c r="AY149" i="10" s="1"/>
  <c r="AU211" i="10"/>
  <c r="AW180" i="10"/>
  <c r="AY180" i="10" s="1"/>
  <c r="AU78" i="10"/>
  <c r="AW204" i="10"/>
  <c r="AY204" i="10" s="1"/>
  <c r="AV194" i="10"/>
  <c r="AX194" i="10" s="1"/>
  <c r="AW106" i="10"/>
  <c r="AY106" i="10" s="1"/>
  <c r="AU209" i="10"/>
  <c r="AU49" i="10"/>
  <c r="AU181" i="10"/>
  <c r="AH2" i="10"/>
  <c r="AR2" i="10" s="1"/>
  <c r="AW122" i="10"/>
  <c r="AY122" i="10" s="1"/>
  <c r="AU62" i="10"/>
  <c r="AW98" i="10"/>
  <c r="AY98" i="10" s="1"/>
  <c r="AQ154" i="10"/>
  <c r="AU179" i="10"/>
  <c r="AU193" i="10"/>
  <c r="AV143" i="10"/>
  <c r="AX143" i="10" s="1"/>
  <c r="AW142" i="10"/>
  <c r="AY142" i="10" s="1"/>
  <c r="AV146" i="10"/>
  <c r="AX146" i="10" s="1"/>
  <c r="AV218" i="10"/>
  <c r="AX218" i="10" s="1"/>
  <c r="AU98" i="10"/>
  <c r="AU206" i="10"/>
  <c r="AU84" i="10"/>
  <c r="AU61" i="10"/>
  <c r="AU36" i="10"/>
  <c r="AW36" i="10"/>
  <c r="AY36" i="10" s="1"/>
  <c r="AW84" i="10"/>
  <c r="AY84" i="10" s="1"/>
  <c r="AV55" i="10"/>
  <c r="AX55" i="10" s="1"/>
  <c r="AU27" i="10"/>
  <c r="AU203" i="10"/>
  <c r="AU180" i="10"/>
  <c r="AW34" i="10"/>
  <c r="AY34" i="10" s="1"/>
  <c r="AW154" i="10"/>
  <c r="AY154" i="10" s="1"/>
  <c r="AV61" i="10"/>
  <c r="AX61" i="10" s="1"/>
  <c r="AU56" i="10"/>
  <c r="AU204" i="10"/>
  <c r="AU24" i="10"/>
  <c r="AU11" i="10"/>
  <c r="AW138" i="10"/>
  <c r="AY138" i="10" s="1"/>
  <c r="AU57" i="10"/>
  <c r="AU3" i="10"/>
  <c r="AU138" i="10"/>
  <c r="AT100" i="10"/>
  <c r="AW220" i="10"/>
  <c r="AY220" i="10" s="1"/>
  <c r="AW48" i="10"/>
  <c r="AY48" i="10" s="1"/>
  <c r="AU68" i="10"/>
  <c r="AQ165" i="10"/>
  <c r="AW95" i="10"/>
  <c r="AY95" i="10" s="1"/>
  <c r="AV132" i="10"/>
  <c r="AX132" i="10" s="1"/>
  <c r="AU217" i="10"/>
  <c r="AU202" i="10"/>
  <c r="AU59" i="10"/>
  <c r="AQ7" i="10"/>
  <c r="AU187" i="10"/>
  <c r="AU153" i="10"/>
  <c r="AU82" i="10"/>
  <c r="AV142" i="10"/>
  <c r="AX142" i="10" s="1"/>
  <c r="AQ3" i="10"/>
  <c r="AU130" i="10"/>
  <c r="AU131" i="10"/>
  <c r="AW45" i="10"/>
  <c r="AY45" i="10" s="1"/>
  <c r="AW9" i="10"/>
  <c r="AY9" i="10" s="1"/>
  <c r="AW81" i="10"/>
  <c r="AY81" i="10" s="1"/>
  <c r="AW115" i="10"/>
  <c r="AY115" i="10" s="1"/>
  <c r="AW217" i="10"/>
  <c r="AY217" i="10" s="1"/>
  <c r="AQ112" i="10"/>
  <c r="AU52" i="10"/>
  <c r="AU29" i="10"/>
  <c r="AU20" i="10"/>
  <c r="AU37" i="10"/>
  <c r="AU165" i="10"/>
  <c r="AU106" i="10"/>
  <c r="AU147" i="10"/>
  <c r="AU110" i="10"/>
  <c r="AU158" i="10"/>
  <c r="AU220" i="10"/>
  <c r="AW16" i="10"/>
  <c r="AY16" i="10" s="1"/>
  <c r="AV104" i="10"/>
  <c r="AX104" i="10" s="1"/>
  <c r="AU16" i="10"/>
  <c r="AU7" i="10"/>
  <c r="AU85" i="10"/>
  <c r="AU166" i="10"/>
  <c r="AU71" i="10"/>
  <c r="AW73" i="10"/>
  <c r="AY73" i="10" s="1"/>
  <c r="AV51" i="10"/>
  <c r="AX51" i="10" s="1"/>
  <c r="AW208" i="10"/>
  <c r="AY208" i="10" s="1"/>
  <c r="AU83" i="10"/>
  <c r="AV23" i="10"/>
  <c r="AX23" i="10" s="1"/>
  <c r="AW104" i="10"/>
  <c r="AY104" i="10" s="1"/>
  <c r="AV212" i="10"/>
  <c r="AX212" i="10" s="1"/>
  <c r="AV50" i="10"/>
  <c r="AX50" i="10" s="1"/>
  <c r="AW97" i="10"/>
  <c r="AY97" i="10" s="1"/>
  <c r="AV144" i="10"/>
  <c r="AX144" i="10" s="1"/>
  <c r="AU191" i="10"/>
  <c r="AU182" i="10"/>
  <c r="AW56" i="10"/>
  <c r="AY56" i="10" s="1"/>
  <c r="AW205" i="10"/>
  <c r="AY205" i="10" s="1"/>
  <c r="AU120" i="10"/>
  <c r="AW52" i="10"/>
  <c r="AY52" i="10" s="1"/>
  <c r="AU22" i="10"/>
  <c r="AU145" i="10"/>
  <c r="AW192" i="10"/>
  <c r="AY192" i="10" s="1"/>
  <c r="AW165" i="10"/>
  <c r="AY165" i="10" s="1"/>
  <c r="AZ165" i="10" s="1"/>
  <c r="AU46" i="10"/>
  <c r="AV4" i="10"/>
  <c r="AX4" i="10" s="1"/>
  <c r="AZ4" i="10" s="1"/>
  <c r="AV110" i="10"/>
  <c r="AX110" i="10" s="1"/>
  <c r="AU74" i="10"/>
  <c r="AU122" i="10"/>
  <c r="AV42" i="10"/>
  <c r="AX42" i="10" s="1"/>
  <c r="AV11" i="10"/>
  <c r="AX11" i="10" s="1"/>
  <c r="AV85" i="10"/>
  <c r="AX85" i="10" s="1"/>
  <c r="AV133" i="10"/>
  <c r="AX133" i="10" s="1"/>
  <c r="AU76" i="10"/>
  <c r="AU178" i="10"/>
  <c r="AU134" i="10"/>
  <c r="AU45" i="10"/>
  <c r="AU142" i="10"/>
  <c r="AU35" i="10"/>
  <c r="AU190" i="10"/>
  <c r="AW146" i="10"/>
  <c r="AY146" i="10" s="1"/>
  <c r="AU119" i="10"/>
  <c r="AW196" i="10"/>
  <c r="AY196" i="10" s="1"/>
  <c r="AU162" i="10"/>
  <c r="AU8" i="10"/>
  <c r="AU168" i="10"/>
  <c r="AW59" i="10"/>
  <c r="AY59" i="10" s="1"/>
  <c r="AU92" i="10"/>
  <c r="AU19" i="10"/>
  <c r="AV75" i="10"/>
  <c r="AX75" i="10" s="1"/>
  <c r="AU123" i="10"/>
  <c r="AW77" i="10"/>
  <c r="AY77" i="10" s="1"/>
  <c r="AU108" i="10"/>
  <c r="AU195" i="10"/>
  <c r="AV14" i="10"/>
  <c r="AX14" i="10" s="1"/>
  <c r="AU129" i="10"/>
  <c r="AV38" i="10"/>
  <c r="AX38" i="10" s="1"/>
  <c r="AV188" i="10"/>
  <c r="AX188" i="10" s="1"/>
  <c r="AU101" i="10"/>
  <c r="AV30" i="10"/>
  <c r="AX30" i="10" s="1"/>
  <c r="AV115" i="10"/>
  <c r="AX115" i="10" s="1"/>
  <c r="AU121" i="10"/>
  <c r="AT4" i="10"/>
  <c r="AU4" i="10" s="1"/>
  <c r="AU208" i="10"/>
  <c r="AU214" i="10"/>
  <c r="AU15" i="10"/>
  <c r="AW213" i="10"/>
  <c r="AY213" i="10" s="1"/>
  <c r="AZ213" i="10" s="1"/>
  <c r="AW123" i="10"/>
  <c r="AY123" i="10" s="1"/>
  <c r="AU86" i="10"/>
  <c r="AW94" i="10"/>
  <c r="AY94" i="10" s="1"/>
  <c r="AW199" i="10"/>
  <c r="AY199" i="10" s="1"/>
  <c r="AW194" i="10"/>
  <c r="AY194" i="10" s="1"/>
  <c r="AZ194" i="10" s="1"/>
  <c r="AW190" i="10"/>
  <c r="AY190" i="10" s="1"/>
  <c r="AU105" i="10"/>
  <c r="AU95" i="10"/>
  <c r="AU87" i="10"/>
  <c r="AU47" i="10"/>
  <c r="AW67" i="10"/>
  <c r="AY67" i="10" s="1"/>
  <c r="AV164" i="10"/>
  <c r="AX164" i="10" s="1"/>
  <c r="AV70" i="10"/>
  <c r="AX70" i="10" s="1"/>
  <c r="AV155" i="10"/>
  <c r="AX155" i="10" s="1"/>
  <c r="AU188" i="10"/>
  <c r="AU93" i="10"/>
  <c r="AU213" i="10"/>
  <c r="AW19" i="10"/>
  <c r="AY19" i="10" s="1"/>
  <c r="AZ19" i="10" s="1"/>
  <c r="AV32" i="10"/>
  <c r="AX32" i="10" s="1"/>
  <c r="AW69" i="10"/>
  <c r="AY69" i="10" s="1"/>
  <c r="AV137" i="10"/>
  <c r="AX137" i="10" s="1"/>
  <c r="AW112" i="10"/>
  <c r="AY112" i="10" s="1"/>
  <c r="AV166" i="10"/>
  <c r="AX166" i="10" s="1"/>
  <c r="AU151" i="10"/>
  <c r="AU34" i="10"/>
  <c r="AW75" i="10"/>
  <c r="AY75" i="10" s="1"/>
  <c r="AV91" i="10"/>
  <c r="AX91" i="10" s="1"/>
  <c r="AW214" i="10"/>
  <c r="AY214" i="10" s="1"/>
  <c r="AW212" i="10"/>
  <c r="AY212" i="10" s="1"/>
  <c r="AZ212" i="10" s="1"/>
  <c r="AW3" i="10"/>
  <c r="AY3" i="10" s="1"/>
  <c r="AU207" i="10"/>
  <c r="AU9" i="10"/>
  <c r="AW118" i="10"/>
  <c r="AY118" i="10" s="1"/>
  <c r="AV3" i="10"/>
  <c r="AX3" i="10" s="1"/>
  <c r="AU161" i="10"/>
  <c r="AV6" i="10"/>
  <c r="AX6" i="10" s="1"/>
  <c r="AV56" i="10"/>
  <c r="AX56" i="10" s="1"/>
  <c r="AW99" i="10"/>
  <c r="AY99" i="10" s="1"/>
  <c r="AV80" i="10"/>
  <c r="AX80" i="10" s="1"/>
  <c r="AV204" i="10"/>
  <c r="AX204" i="10" s="1"/>
  <c r="AU28" i="10"/>
  <c r="AU172" i="10"/>
  <c r="AU69" i="10"/>
  <c r="AU10" i="10"/>
  <c r="AU197" i="10"/>
  <c r="AV79" i="10"/>
  <c r="AX79" i="10" s="1"/>
  <c r="AS79" i="10"/>
  <c r="AU79" i="10" s="1"/>
  <c r="AS177" i="10"/>
  <c r="AU177" i="10" s="1"/>
  <c r="AU41" i="10"/>
  <c r="AU90" i="10"/>
  <c r="AM45" i="10"/>
  <c r="AL45" i="10"/>
  <c r="AV28" i="10"/>
  <c r="AX28" i="10" s="1"/>
  <c r="AW12" i="10"/>
  <c r="AY12" i="10" s="1"/>
  <c r="AV40" i="10"/>
  <c r="AX40" i="10" s="1"/>
  <c r="AW108" i="10"/>
  <c r="AY108" i="10" s="1"/>
  <c r="AW189" i="10"/>
  <c r="AY189" i="10" s="1"/>
  <c r="AU210" i="10"/>
  <c r="AU99" i="10"/>
  <c r="AM213" i="10"/>
  <c r="AL213" i="10"/>
  <c r="AV45" i="10"/>
  <c r="AX45" i="10" s="1"/>
  <c r="AV210" i="10"/>
  <c r="AX210" i="10" s="1"/>
  <c r="AW25" i="10"/>
  <c r="AY25" i="10" s="1"/>
  <c r="AU112" i="10"/>
  <c r="AR88" i="10"/>
  <c r="AU44" i="10"/>
  <c r="AU150" i="10"/>
  <c r="AU12" i="10"/>
  <c r="AU63" i="10"/>
  <c r="AW167" i="10"/>
  <c r="AY167" i="10" s="1"/>
  <c r="AM108" i="10"/>
  <c r="AL108" i="10"/>
  <c r="AW172" i="10"/>
  <c r="AY172" i="10" s="1"/>
  <c r="AU157" i="10"/>
  <c r="AW103" i="10"/>
  <c r="AY103" i="10" s="1"/>
  <c r="AT111" i="10"/>
  <c r="AU111" i="10" s="1"/>
  <c r="AW111" i="10"/>
  <c r="AY111" i="10" s="1"/>
  <c r="AW148" i="10"/>
  <c r="AY148" i="10" s="1"/>
  <c r="AU39" i="10"/>
  <c r="AL25" i="10"/>
  <c r="AU189" i="10"/>
  <c r="AV21" i="10"/>
  <c r="AX21" i="10" s="1"/>
  <c r="AW90" i="10"/>
  <c r="AY90" i="10" s="1"/>
  <c r="AV206" i="10"/>
  <c r="AX206" i="10" s="1"/>
  <c r="AW211" i="10"/>
  <c r="AY211" i="10" s="1"/>
  <c r="AU124" i="10"/>
  <c r="AU91" i="10"/>
  <c r="AU67" i="10"/>
  <c r="AU32" i="10"/>
  <c r="AU198" i="10"/>
  <c r="AV159" i="10"/>
  <c r="AX159" i="10" s="1"/>
  <c r="AU167" i="10"/>
  <c r="AU205" i="10"/>
  <c r="AU75" i="10"/>
  <c r="AL80" i="10"/>
  <c r="AM80" i="10"/>
  <c r="AU66" i="10"/>
  <c r="AV46" i="10"/>
  <c r="AX46" i="10" s="1"/>
  <c r="AV68" i="10"/>
  <c r="AX68" i="10" s="1"/>
  <c r="AU64" i="10"/>
  <c r="AV191" i="10"/>
  <c r="AX191" i="10" s="1"/>
  <c r="AV78" i="10"/>
  <c r="AX78" i="10" s="1"/>
  <c r="AU53" i="10"/>
  <c r="AU163" i="10"/>
  <c r="AW113" i="10"/>
  <c r="AY113" i="10" s="1"/>
  <c r="AT175" i="10"/>
  <c r="AU175" i="10" s="1"/>
  <c r="AW175" i="10"/>
  <c r="AY175" i="10" s="1"/>
  <c r="AL203" i="10"/>
  <c r="AM203" i="10"/>
  <c r="AW198" i="10"/>
  <c r="AY198" i="10" s="1"/>
  <c r="AW130" i="10"/>
  <c r="AY130" i="10" s="1"/>
  <c r="AW28" i="10"/>
  <c r="AY28" i="10" s="1"/>
  <c r="AV147" i="10"/>
  <c r="AX147" i="10" s="1"/>
  <c r="AZ147" i="10" s="1"/>
  <c r="AW160" i="10"/>
  <c r="AY160" i="10" s="1"/>
  <c r="AW178" i="10"/>
  <c r="AY178" i="10" s="1"/>
  <c r="AQ43" i="10"/>
  <c r="AU136" i="10"/>
  <c r="AU152" i="10"/>
  <c r="AT88" i="10"/>
  <c r="AU88" i="10" s="1"/>
  <c r="AU117" i="10"/>
  <c r="AU70" i="10"/>
  <c r="AS149" i="10"/>
  <c r="AU149" i="10" s="1"/>
  <c r="AV149" i="10"/>
  <c r="AX149" i="10" s="1"/>
  <c r="AU33" i="10"/>
  <c r="AM148" i="10"/>
  <c r="AL148" i="10"/>
  <c r="AW216" i="10"/>
  <c r="AY216" i="10" s="1"/>
  <c r="AU21" i="10"/>
  <c r="AW39" i="10"/>
  <c r="AY39" i="10" s="1"/>
  <c r="AW43" i="10"/>
  <c r="AY43" i="10" s="1"/>
  <c r="AV27" i="10"/>
  <c r="AX27" i="10" s="1"/>
  <c r="AW202" i="10"/>
  <c r="AY202" i="10" s="1"/>
  <c r="AV173" i="10"/>
  <c r="AX173" i="10" s="1"/>
  <c r="AV106" i="10"/>
  <c r="AX106" i="10" s="1"/>
  <c r="AW210" i="10"/>
  <c r="AY210" i="10" s="1"/>
  <c r="AZ210" i="10" s="1"/>
  <c r="AW170" i="10"/>
  <c r="AY170" i="10" s="1"/>
  <c r="AW136" i="10"/>
  <c r="AY136" i="10" s="1"/>
  <c r="AV134" i="10"/>
  <c r="AX134" i="10" s="1"/>
  <c r="AU148" i="10"/>
  <c r="AU104" i="10"/>
  <c r="AU30" i="10"/>
  <c r="AU171" i="10"/>
  <c r="AU141" i="10"/>
  <c r="AM50" i="10"/>
  <c r="AL50" i="10"/>
  <c r="AV150" i="10"/>
  <c r="AX150" i="10" s="1"/>
  <c r="AU114" i="10"/>
  <c r="AM5" i="10"/>
  <c r="AL5" i="10"/>
  <c r="AW5" i="10"/>
  <c r="AY5" i="10" s="1"/>
  <c r="AS221" i="10"/>
  <c r="AU221" i="10" s="1"/>
  <c r="AV221" i="10"/>
  <c r="AX221" i="10" s="1"/>
  <c r="AV9" i="10"/>
  <c r="AX9" i="10" s="1"/>
  <c r="AM125" i="10"/>
  <c r="AL125" i="10"/>
  <c r="AU185" i="10"/>
  <c r="AU31" i="10"/>
  <c r="AL7" i="10"/>
  <c r="AM7" i="10"/>
  <c r="AL35" i="10"/>
  <c r="AM35" i="10"/>
  <c r="AW66" i="10"/>
  <c r="AY66" i="10" s="1"/>
  <c r="AV8" i="10"/>
  <c r="AX8" i="10" s="1"/>
  <c r="AW137" i="10"/>
  <c r="AY137" i="10" s="1"/>
  <c r="AV185" i="10"/>
  <c r="AX185" i="10" s="1"/>
  <c r="AR21" i="10"/>
  <c r="AU184" i="10"/>
  <c r="AS17" i="10"/>
  <c r="AU17" i="10" s="1"/>
  <c r="AV17" i="10"/>
  <c r="AX17" i="10" s="1"/>
  <c r="AT6" i="10"/>
  <c r="AU6" i="10" s="1"/>
  <c r="AW6" i="10"/>
  <c r="AY6" i="10" s="1"/>
  <c r="AS186" i="10"/>
  <c r="AV186" i="10"/>
  <c r="AX186" i="10" s="1"/>
  <c r="AM135" i="10"/>
  <c r="AL135" i="10"/>
  <c r="AU135" i="10"/>
  <c r="AM41" i="10"/>
  <c r="AL41" i="10"/>
  <c r="AM62" i="10"/>
  <c r="AL62" i="10"/>
  <c r="AW200" i="10"/>
  <c r="AY200" i="10" s="1"/>
  <c r="AL57" i="10"/>
  <c r="AM57" i="10"/>
  <c r="AL44" i="10"/>
  <c r="AM44" i="10"/>
  <c r="AW177" i="10"/>
  <c r="AY177" i="10" s="1"/>
  <c r="AZ177" i="10" s="1"/>
  <c r="AW159" i="10"/>
  <c r="AY159" i="10" s="1"/>
  <c r="AL168" i="10"/>
  <c r="AM168" i="10"/>
  <c r="AS81" i="10"/>
  <c r="AU81" i="10" s="1"/>
  <c r="AV81" i="10"/>
  <c r="AX81" i="10" s="1"/>
  <c r="AM221" i="10"/>
  <c r="AL221" i="10"/>
  <c r="AV107" i="10"/>
  <c r="AX107" i="10" s="1"/>
  <c r="AS196" i="10"/>
  <c r="AU196" i="10" s="1"/>
  <c r="AV196" i="10"/>
  <c r="AX196" i="10" s="1"/>
  <c r="AW140" i="10"/>
  <c r="AY140" i="10" s="1"/>
  <c r="AT140" i="10"/>
  <c r="AU140" i="10" s="1"/>
  <c r="AM2" i="10"/>
  <c r="AV201" i="10"/>
  <c r="AX201" i="10" s="1"/>
  <c r="AS201" i="10"/>
  <c r="AU201" i="10" s="1"/>
  <c r="AU43" i="10"/>
  <c r="AM206" i="10"/>
  <c r="AL206" i="10"/>
  <c r="AM47" i="10"/>
  <c r="AL47" i="10"/>
  <c r="AU164" i="10"/>
  <c r="AR114" i="10"/>
  <c r="AQ114" i="10"/>
  <c r="AV113" i="10"/>
  <c r="AX113" i="10" s="1"/>
  <c r="AS113" i="10"/>
  <c r="AU113" i="10" s="1"/>
  <c r="AL24" i="10"/>
  <c r="AM24" i="10"/>
  <c r="AU125" i="10"/>
  <c r="AM190" i="10"/>
  <c r="AL190" i="10"/>
  <c r="AV47" i="10"/>
  <c r="AX47" i="10" s="1"/>
  <c r="AW125" i="10"/>
  <c r="AY125" i="10" s="1"/>
  <c r="AW163" i="10"/>
  <c r="AY163" i="10" s="1"/>
  <c r="AM184" i="10"/>
  <c r="AL184" i="10"/>
  <c r="AM220" i="10"/>
  <c r="AL220" i="10"/>
  <c r="AW168" i="10"/>
  <c r="AY168" i="10" s="1"/>
  <c r="AW31" i="10"/>
  <c r="AY31" i="10" s="1"/>
  <c r="AM69" i="10"/>
  <c r="AL69" i="10"/>
  <c r="AM157" i="10"/>
  <c r="AL157" i="10"/>
  <c r="AV198" i="10"/>
  <c r="AX198" i="10" s="1"/>
  <c r="AL98" i="10"/>
  <c r="AM98" i="10"/>
  <c r="AP2" i="10"/>
  <c r="AL200" i="10"/>
  <c r="AM200" i="10"/>
  <c r="AM204" i="10"/>
  <c r="AL204" i="10"/>
  <c r="AM208" i="10"/>
  <c r="AL208" i="10"/>
  <c r="AM123" i="10"/>
  <c r="AL123" i="10"/>
  <c r="AS216" i="10"/>
  <c r="AU216" i="10" s="1"/>
  <c r="AV216" i="10"/>
  <c r="AX216" i="10" s="1"/>
  <c r="AL22" i="10"/>
  <c r="AM22" i="10"/>
  <c r="AL126" i="10"/>
  <c r="AM126" i="10"/>
  <c r="AM130" i="10"/>
  <c r="AL130" i="10"/>
  <c r="AL38" i="10"/>
  <c r="AM38" i="10"/>
  <c r="AL58" i="10"/>
  <c r="AM58" i="10"/>
  <c r="AM13" i="10"/>
  <c r="AL13" i="10"/>
  <c r="AV15" i="10"/>
  <c r="AX15" i="10" s="1"/>
  <c r="AM63" i="10"/>
  <c r="AL63" i="10"/>
  <c r="AW89" i="10"/>
  <c r="AY89" i="10" s="1"/>
  <c r="AL128" i="10"/>
  <c r="AM128" i="10"/>
  <c r="AM118" i="10"/>
  <c r="AL118" i="10"/>
  <c r="AW7" i="10"/>
  <c r="AY7" i="10" s="1"/>
  <c r="AM14" i="10"/>
  <c r="AL14" i="10"/>
  <c r="AL54" i="10"/>
  <c r="AM54" i="10"/>
  <c r="AM76" i="10"/>
  <c r="AL76" i="10"/>
  <c r="AM71" i="10"/>
  <c r="AL71" i="10"/>
  <c r="AM112" i="10"/>
  <c r="AL112" i="10"/>
  <c r="AV168" i="10"/>
  <c r="AX168" i="10" s="1"/>
  <c r="AM124" i="10"/>
  <c r="AL124" i="10"/>
  <c r="AV170" i="10"/>
  <c r="AX170" i="10" s="1"/>
  <c r="AW184" i="10"/>
  <c r="AY184" i="10" s="1"/>
  <c r="AW49" i="10"/>
  <c r="AY49" i="10" s="1"/>
  <c r="AR198" i="10"/>
  <c r="AW54" i="10"/>
  <c r="AY54" i="10" s="1"/>
  <c r="AT54" i="10"/>
  <c r="AU54" i="10" s="1"/>
  <c r="AU103" i="10"/>
  <c r="AU139" i="10"/>
  <c r="AL42" i="10"/>
  <c r="AM42" i="10"/>
  <c r="AU118" i="10"/>
  <c r="AL202" i="10"/>
  <c r="AM202" i="10"/>
  <c r="AU200" i="10"/>
  <c r="AU60" i="10"/>
  <c r="AL72" i="10"/>
  <c r="AM72" i="10"/>
  <c r="AM215" i="10"/>
  <c r="AL215" i="10"/>
  <c r="AU215" i="10"/>
  <c r="AV44" i="10"/>
  <c r="AX44" i="10" s="1"/>
  <c r="AM101" i="10"/>
  <c r="AL101" i="10"/>
  <c r="AS160" i="10"/>
  <c r="AU160" i="10" s="1"/>
  <c r="AV160" i="10"/>
  <c r="AX160" i="10" s="1"/>
  <c r="AW92" i="10"/>
  <c r="AY92" i="10" s="1"/>
  <c r="AW151" i="10"/>
  <c r="AY151" i="10" s="1"/>
  <c r="AU5" i="10"/>
  <c r="AL217" i="10"/>
  <c r="AM217" i="10"/>
  <c r="AL43" i="10"/>
  <c r="AM43" i="10"/>
  <c r="AV66" i="10"/>
  <c r="AX66" i="10" s="1"/>
  <c r="AV59" i="10"/>
  <c r="AX59" i="10" s="1"/>
  <c r="AM131" i="10"/>
  <c r="AL131" i="10"/>
  <c r="AW164" i="10"/>
  <c r="AY164" i="10" s="1"/>
  <c r="AL181" i="10"/>
  <c r="AM181" i="10"/>
  <c r="AW114" i="10"/>
  <c r="AY114" i="10" s="1"/>
  <c r="AW121" i="10"/>
  <c r="AY121" i="10" s="1"/>
  <c r="AL18" i="10"/>
  <c r="AM18" i="10"/>
  <c r="AL116" i="10"/>
  <c r="AM116" i="10"/>
  <c r="AW176" i="10"/>
  <c r="AY176" i="10" s="1"/>
  <c r="AL187" i="10"/>
  <c r="AM187" i="10"/>
  <c r="AW174" i="10"/>
  <c r="AY174" i="10" s="1"/>
  <c r="AU65" i="10"/>
  <c r="AU115" i="10"/>
  <c r="AW126" i="10"/>
  <c r="AY126" i="10" s="1"/>
  <c r="AU55" i="10"/>
  <c r="AU38" i="10"/>
  <c r="AU159" i="10"/>
  <c r="AU199" i="10"/>
  <c r="AV89" i="10"/>
  <c r="AX89" i="10" s="1"/>
  <c r="AL74" i="10"/>
  <c r="AM74" i="10"/>
  <c r="AM172" i="10"/>
  <c r="AL172" i="10"/>
  <c r="AU137" i="10"/>
  <c r="AL119" i="10"/>
  <c r="AM119" i="10"/>
  <c r="AW143" i="10"/>
  <c r="AY143" i="10" s="1"/>
  <c r="AL162" i="10"/>
  <c r="AM162" i="10"/>
  <c r="AV163" i="10"/>
  <c r="AX163" i="10" s="1"/>
  <c r="AW173" i="10"/>
  <c r="AY173" i="10" s="1"/>
  <c r="AT173" i="10"/>
  <c r="AU173" i="10" s="1"/>
  <c r="AS100" i="10"/>
  <c r="AV100" i="10"/>
  <c r="AX100" i="10" s="1"/>
  <c r="AZ100" i="10" s="1"/>
  <c r="AS77" i="10"/>
  <c r="AU77" i="10" s="1"/>
  <c r="AV77" i="10"/>
  <c r="AX77" i="10" s="1"/>
  <c r="AT186" i="10"/>
  <c r="AW186" i="10"/>
  <c r="AY186" i="10" s="1"/>
  <c r="AV94" i="10"/>
  <c r="AX94" i="10" s="1"/>
  <c r="AS94" i="10"/>
  <c r="AU94" i="10" s="1"/>
  <c r="AS154" i="10"/>
  <c r="AU154" i="10" s="1"/>
  <c r="AV154" i="10"/>
  <c r="AX154" i="10" s="1"/>
  <c r="AW102" i="10"/>
  <c r="AY102" i="10" s="1"/>
  <c r="AT102" i="10"/>
  <c r="AU102" i="10" s="1"/>
  <c r="AR38" i="10"/>
  <c r="AQ38" i="10"/>
  <c r="AW20" i="10"/>
  <c r="AY20" i="10" s="1"/>
  <c r="AV182" i="10"/>
  <c r="AX182" i="10" s="1"/>
  <c r="AW86" i="10"/>
  <c r="AY86" i="10" s="1"/>
  <c r="AV25" i="10"/>
  <c r="AX25" i="10" s="1"/>
  <c r="AV97" i="10"/>
  <c r="AX97" i="10" s="1"/>
  <c r="AV95" i="10"/>
  <c r="AX95" i="10" s="1"/>
  <c r="AW166" i="10"/>
  <c r="AY166" i="10" s="1"/>
  <c r="AW33" i="10"/>
  <c r="AY33" i="10" s="1"/>
  <c r="AV167" i="10"/>
  <c r="AX167" i="10" s="1"/>
  <c r="AW169" i="10"/>
  <c r="AY169" i="10" s="1"/>
  <c r="AV93" i="10"/>
  <c r="AX93" i="10" s="1"/>
  <c r="AW96" i="10"/>
  <c r="AY96" i="10" s="1"/>
  <c r="AW153" i="10"/>
  <c r="AY153" i="10" s="1"/>
  <c r="AW188" i="10"/>
  <c r="AY188" i="10" s="1"/>
  <c r="AW60" i="10"/>
  <c r="AY60" i="10" s="1"/>
  <c r="AV180" i="10"/>
  <c r="AX180" i="10" s="1"/>
  <c r="AW42" i="10"/>
  <c r="AY42" i="10" s="1"/>
  <c r="AV49" i="10"/>
  <c r="AX49" i="10" s="1"/>
  <c r="AV156" i="10"/>
  <c r="AX156" i="10" s="1"/>
  <c r="AZ156" i="10" s="1"/>
  <c r="AW158" i="10"/>
  <c r="AY158" i="10" s="1"/>
  <c r="AV37" i="10"/>
  <c r="AX37" i="10" s="1"/>
  <c r="AW155" i="10"/>
  <c r="AY155" i="10" s="1"/>
  <c r="AV189" i="10"/>
  <c r="AX189" i="10" s="1"/>
  <c r="AW62" i="10"/>
  <c r="AY62" i="10" s="1"/>
  <c r="AW46" i="10"/>
  <c r="AY46" i="10" s="1"/>
  <c r="AW22" i="10"/>
  <c r="AY22" i="10" s="1"/>
  <c r="AW105" i="10"/>
  <c r="AY105" i="10" s="1"/>
  <c r="AV211" i="10"/>
  <c r="AX211" i="10" s="1"/>
  <c r="AW195" i="10"/>
  <c r="AY195" i="10" s="1"/>
  <c r="AW135" i="10"/>
  <c r="AY135" i="10" s="1"/>
  <c r="AW215" i="10"/>
  <c r="AY215" i="10" s="1"/>
  <c r="AV135" i="10"/>
  <c r="AX135" i="10" s="1"/>
  <c r="AV207" i="10"/>
  <c r="AX207" i="10" s="1"/>
  <c r="AV136" i="10"/>
  <c r="AX136" i="10" s="1"/>
  <c r="AV202" i="10"/>
  <c r="AX202" i="10" s="1"/>
  <c r="AV98" i="10"/>
  <c r="AX98" i="10" s="1"/>
  <c r="AV123" i="10"/>
  <c r="AX123" i="10" s="1"/>
  <c r="AV214" i="10"/>
  <c r="AX214" i="10" s="1"/>
  <c r="AV102" i="10"/>
  <c r="AX102" i="10" s="1"/>
  <c r="AV184" i="10"/>
  <c r="AX184" i="10" s="1"/>
  <c r="AV96" i="10"/>
  <c r="AX96" i="10" s="1"/>
  <c r="AW206" i="10"/>
  <c r="AY206" i="10" s="1"/>
  <c r="AW128" i="10"/>
  <c r="AY128" i="10" s="1"/>
  <c r="AW197" i="10"/>
  <c r="AY197" i="10" s="1"/>
  <c r="AV220" i="10"/>
  <c r="AX220" i="10" s="1"/>
  <c r="AV208" i="10"/>
  <c r="AX208" i="10" s="1"/>
  <c r="AW101" i="10"/>
  <c r="AY101" i="10" s="1"/>
  <c r="AV197" i="10"/>
  <c r="AX197" i="10" s="1"/>
  <c r="AV116" i="10"/>
  <c r="AX116" i="10" s="1"/>
  <c r="AW218" i="10"/>
  <c r="AY218" i="10" s="1"/>
  <c r="AW124" i="10"/>
  <c r="AY124" i="10" s="1"/>
  <c r="AW152" i="10"/>
  <c r="AY152" i="10" s="1"/>
  <c r="AV200" i="10"/>
  <c r="AX200" i="10" s="1"/>
  <c r="AW116" i="10"/>
  <c r="AY116" i="10" s="1"/>
  <c r="AV141" i="10"/>
  <c r="AX141" i="10" s="1"/>
  <c r="AW119" i="10"/>
  <c r="AY119" i="10" s="1"/>
  <c r="AV217" i="10"/>
  <c r="AX217" i="10" s="1"/>
  <c r="AV131" i="10"/>
  <c r="AX131" i="10" s="1"/>
  <c r="AW162" i="10"/>
  <c r="AY162" i="10" s="1"/>
  <c r="AW145" i="10"/>
  <c r="AY145" i="10" s="1"/>
  <c r="AV219" i="10"/>
  <c r="AX219" i="10" s="1"/>
  <c r="AV101" i="10"/>
  <c r="AX101" i="10" s="1"/>
  <c r="AV187" i="10"/>
  <c r="AX187" i="10" s="1"/>
  <c r="AW207" i="10"/>
  <c r="AY207" i="10" s="1"/>
  <c r="AW120" i="10"/>
  <c r="AY120" i="10" s="1"/>
  <c r="AV169" i="10"/>
  <c r="AX169" i="10" s="1"/>
  <c r="AV190" i="10"/>
  <c r="AX190" i="10" s="1"/>
  <c r="AV181" i="10"/>
  <c r="AX181" i="10" s="1"/>
  <c r="AV111" i="10"/>
  <c r="AX111" i="10" s="1"/>
  <c r="AW127" i="10"/>
  <c r="AY127" i="10" s="1"/>
  <c r="AV127" i="10"/>
  <c r="AX127" i="10" s="1"/>
  <c r="AV118" i="10"/>
  <c r="AX118" i="10" s="1"/>
  <c r="AV125" i="10"/>
  <c r="AX125" i="10" s="1"/>
  <c r="AZ125" i="10" s="1"/>
  <c r="AV121" i="10"/>
  <c r="AX121" i="10" s="1"/>
  <c r="AV179" i="10"/>
  <c r="AX179" i="10" s="1"/>
  <c r="AW161" i="10"/>
  <c r="AY161" i="10" s="1"/>
  <c r="AV215" i="10"/>
  <c r="AX215" i="10" s="1"/>
  <c r="AV120" i="10"/>
  <c r="AX120" i="10" s="1"/>
  <c r="AW110" i="10"/>
  <c r="AY110" i="10" s="1"/>
  <c r="AV139" i="10"/>
  <c r="AX139" i="10" s="1"/>
  <c r="AV128" i="10"/>
  <c r="AX128" i="10" s="1"/>
  <c r="AW183" i="10"/>
  <c r="AY183" i="10" s="1"/>
  <c r="AV124" i="10"/>
  <c r="AX124" i="10" s="1"/>
  <c r="AW141" i="10"/>
  <c r="AY141" i="10" s="1"/>
  <c r="AW144" i="10"/>
  <c r="AY144" i="10" s="1"/>
  <c r="AV99" i="10"/>
  <c r="AX99" i="10" s="1"/>
  <c r="AW209" i="10"/>
  <c r="AY209" i="10" s="1"/>
  <c r="AV183" i="10"/>
  <c r="AX183" i="10" s="1"/>
  <c r="AV157" i="10"/>
  <c r="AX157" i="10" s="1"/>
  <c r="AV126" i="10"/>
  <c r="AX126" i="10" s="1"/>
  <c r="AW117" i="10"/>
  <c r="AY117" i="10" s="1"/>
  <c r="AV153" i="10"/>
  <c r="AX153" i="10" s="1"/>
  <c r="AV119" i="10"/>
  <c r="AX119" i="10" s="1"/>
  <c r="AW221" i="10"/>
  <c r="AY221" i="10" s="1"/>
  <c r="AV148" i="10"/>
  <c r="AX148" i="10" s="1"/>
  <c r="AV108" i="10"/>
  <c r="AX108" i="10" s="1"/>
  <c r="AV162" i="10"/>
  <c r="AX162" i="10" s="1"/>
  <c r="AV193" i="10"/>
  <c r="AX193" i="10" s="1"/>
  <c r="AW187" i="10"/>
  <c r="AY187" i="10" s="1"/>
  <c r="AV130" i="10"/>
  <c r="AX130" i="10" s="1"/>
  <c r="AV145" i="10"/>
  <c r="AX145" i="10" s="1"/>
  <c r="AW193" i="10"/>
  <c r="AY193" i="10" s="1"/>
  <c r="AW129" i="10"/>
  <c r="AY129" i="10" s="1"/>
  <c r="AV178" i="10"/>
  <c r="AX178" i="10" s="1"/>
  <c r="AV109" i="10"/>
  <c r="AX109" i="10" s="1"/>
  <c r="AV112" i="10"/>
  <c r="AX112" i="10" s="1"/>
  <c r="AW181" i="10"/>
  <c r="AY181" i="10" s="1"/>
  <c r="AV105" i="10"/>
  <c r="AX105" i="10" s="1"/>
  <c r="AW132" i="10"/>
  <c r="AY132" i="10" s="1"/>
  <c r="AV172" i="10"/>
  <c r="AX172" i="10" s="1"/>
  <c r="AV161" i="10"/>
  <c r="AX161" i="10" s="1"/>
  <c r="AV114" i="10"/>
  <c r="AX114" i="10" s="1"/>
  <c r="AV151" i="10"/>
  <c r="AX151" i="10" s="1"/>
  <c r="AW139" i="10"/>
  <c r="AY139" i="10" s="1"/>
  <c r="AV117" i="10"/>
  <c r="AX117" i="10" s="1"/>
  <c r="AV140" i="10"/>
  <c r="AX140" i="10" s="1"/>
  <c r="AV205" i="10"/>
  <c r="AX205" i="10" s="1"/>
  <c r="AV152" i="10"/>
  <c r="AX152" i="10" s="1"/>
  <c r="AV129" i="10"/>
  <c r="AX129" i="10" s="1"/>
  <c r="AV138" i="10"/>
  <c r="AX138" i="10" s="1"/>
  <c r="AV171" i="10"/>
  <c r="AX171" i="10" s="1"/>
  <c r="AW185" i="10"/>
  <c r="AY185" i="10" s="1"/>
  <c r="AW131" i="10"/>
  <c r="AY131" i="10" s="1"/>
  <c r="AW219" i="10"/>
  <c r="AY219" i="10" s="1"/>
  <c r="AW171" i="10"/>
  <c r="AY171" i="10" s="1"/>
  <c r="AV175" i="10"/>
  <c r="AX175" i="10" s="1"/>
  <c r="AW134" i="10"/>
  <c r="AY134" i="10" s="1"/>
  <c r="AW157" i="10"/>
  <c r="AY157" i="10" s="1"/>
  <c r="AV199" i="10"/>
  <c r="AX199" i="10" s="1"/>
  <c r="AW203" i="10"/>
  <c r="AY203" i="10" s="1"/>
  <c r="AV195" i="10"/>
  <c r="AX195" i="10" s="1"/>
  <c r="AV203" i="10"/>
  <c r="AX203" i="10" s="1"/>
  <c r="AW30" i="10"/>
  <c r="AY30" i="10" s="1"/>
  <c r="AV90" i="10"/>
  <c r="AX90" i="10" s="1"/>
  <c r="AV73" i="10"/>
  <c r="AX73" i="10" s="1"/>
  <c r="AV71" i="10"/>
  <c r="AX71" i="10" s="1"/>
  <c r="AW53" i="10"/>
  <c r="AY53" i="10" s="1"/>
  <c r="AW82" i="10"/>
  <c r="AY82" i="10" s="1"/>
  <c r="AW55" i="10"/>
  <c r="AY55" i="10" s="1"/>
  <c r="AW78" i="10"/>
  <c r="AY78" i="10" s="1"/>
  <c r="AV82" i="10"/>
  <c r="AX82" i="10" s="1"/>
  <c r="AW71" i="10"/>
  <c r="AY71" i="10" s="1"/>
  <c r="AW47" i="10"/>
  <c r="AY47" i="10" s="1"/>
  <c r="AV18" i="10"/>
  <c r="AX18" i="10" s="1"/>
  <c r="AW29" i="10"/>
  <c r="AY29" i="10" s="1"/>
  <c r="AV69" i="10"/>
  <c r="AX69" i="10" s="1"/>
  <c r="AW50" i="10"/>
  <c r="AY50" i="10" s="1"/>
  <c r="AW41" i="10"/>
  <c r="AY41" i="10" s="1"/>
  <c r="AV53" i="10"/>
  <c r="AX53" i="10" s="1"/>
  <c r="AV43" i="10"/>
  <c r="AX43" i="10" s="1"/>
  <c r="AW26" i="10"/>
  <c r="AY26" i="10" s="1"/>
  <c r="AW38" i="10"/>
  <c r="AY38" i="10" s="1"/>
  <c r="AW27" i="10"/>
  <c r="AY27" i="10" s="1"/>
  <c r="AW44" i="10"/>
  <c r="AY44" i="10" s="1"/>
  <c r="AW57" i="10"/>
  <c r="AY57" i="10" s="1"/>
  <c r="AV88" i="10"/>
  <c r="AX88" i="10" s="1"/>
  <c r="AZ88" i="10" s="1"/>
  <c r="AV48" i="10"/>
  <c r="AX48" i="10" s="1"/>
  <c r="AW87" i="10"/>
  <c r="AY87" i="10" s="1"/>
  <c r="AV84" i="10"/>
  <c r="AX84" i="10" s="1"/>
  <c r="AW83" i="10"/>
  <c r="AY83" i="10" s="1"/>
  <c r="AV63" i="10"/>
  <c r="AX63" i="10" s="1"/>
  <c r="AW85" i="10"/>
  <c r="AY85" i="10" s="1"/>
  <c r="AV74" i="10"/>
  <c r="AX74" i="10" s="1"/>
  <c r="AW64" i="10"/>
  <c r="AY64" i="10" s="1"/>
  <c r="AV20" i="10"/>
  <c r="AX20" i="10" s="1"/>
  <c r="AV86" i="10"/>
  <c r="AX86" i="10" s="1"/>
  <c r="AW14" i="10"/>
  <c r="AY14" i="10" s="1"/>
  <c r="AV16" i="10"/>
  <c r="AX16" i="10" s="1"/>
  <c r="AW65" i="10"/>
  <c r="AY65" i="10" s="1"/>
  <c r="AV65" i="10"/>
  <c r="AX65" i="10" s="1"/>
  <c r="AV24" i="10"/>
  <c r="AX24" i="10" s="1"/>
  <c r="AW10" i="10"/>
  <c r="AY10" i="10" s="1"/>
  <c r="AV5" i="10"/>
  <c r="AX5" i="10" s="1"/>
  <c r="AW70" i="10"/>
  <c r="AY70" i="10" s="1"/>
  <c r="AV58" i="10"/>
  <c r="AX58" i="10" s="1"/>
  <c r="AW74" i="10"/>
  <c r="AY74" i="10" s="1"/>
  <c r="AW79" i="10"/>
  <c r="AY79" i="10" s="1"/>
  <c r="AV54" i="10"/>
  <c r="AX54" i="10" s="1"/>
  <c r="AV41" i="10"/>
  <c r="AX41" i="10" s="1"/>
  <c r="AV35" i="10"/>
  <c r="AX35" i="10" s="1"/>
  <c r="AV62" i="10"/>
  <c r="AX62" i="10" s="1"/>
  <c r="AW23" i="10"/>
  <c r="AY23" i="10" s="1"/>
  <c r="AW91" i="10"/>
  <c r="AY91" i="10" s="1"/>
  <c r="AV57" i="10"/>
  <c r="AX57" i="10" s="1"/>
  <c r="AW17" i="10"/>
  <c r="AY17" i="10" s="1"/>
  <c r="AW15" i="10"/>
  <c r="AY15" i="10" s="1"/>
  <c r="AW80" i="10"/>
  <c r="AY80" i="10" s="1"/>
  <c r="AW68" i="10"/>
  <c r="AY68" i="10" s="1"/>
  <c r="AV33" i="10"/>
  <c r="AX33" i="10" s="1"/>
  <c r="AV34" i="10"/>
  <c r="AX34" i="10" s="1"/>
  <c r="AV7" i="10"/>
  <c r="AX7" i="10" s="1"/>
  <c r="AV12" i="10"/>
  <c r="AX12" i="10" s="1"/>
  <c r="AW93" i="10"/>
  <c r="AY93" i="10" s="1"/>
  <c r="AV31" i="10"/>
  <c r="AX31" i="10" s="1"/>
  <c r="AW40" i="10"/>
  <c r="AY40" i="10" s="1"/>
  <c r="AV83" i="10"/>
  <c r="AX83" i="10" s="1"/>
  <c r="AW18" i="10"/>
  <c r="AY18" i="10" s="1"/>
  <c r="AW37" i="10"/>
  <c r="AY37" i="10" s="1"/>
  <c r="AV72" i="10"/>
  <c r="AX72" i="10" s="1"/>
  <c r="AZ72" i="10" s="1"/>
  <c r="AV67" i="10"/>
  <c r="AX67" i="10" s="1"/>
  <c r="AV76" i="10"/>
  <c r="AX76" i="10" s="1"/>
  <c r="AV92" i="10"/>
  <c r="AX92" i="10" s="1"/>
  <c r="AW35" i="10"/>
  <c r="AY35" i="10" s="1"/>
  <c r="AV60" i="10"/>
  <c r="AX60" i="10" s="1"/>
  <c r="AV64" i="10"/>
  <c r="AX64" i="10" s="1"/>
  <c r="AV22" i="10"/>
  <c r="AX22" i="10" s="1"/>
  <c r="AV10" i="10"/>
  <c r="AX10" i="10" s="1"/>
  <c r="AV13" i="10"/>
  <c r="AX13" i="10" s="1"/>
  <c r="AW32" i="10"/>
  <c r="AY32" i="10" s="1"/>
  <c r="AW76" i="10"/>
  <c r="AY76" i="10" s="1"/>
  <c r="AW11" i="10"/>
  <c r="AY11" i="10" s="1"/>
  <c r="AW61" i="10"/>
  <c r="AY61" i="10" s="1"/>
  <c r="AV39" i="10"/>
  <c r="AX39" i="10" s="1"/>
  <c r="AW8" i="10"/>
  <c r="AY8" i="10" s="1"/>
  <c r="AV52" i="10"/>
  <c r="AX52" i="10" s="1"/>
  <c r="AV29" i="10"/>
  <c r="AX29" i="10" s="1"/>
  <c r="AW63" i="10"/>
  <c r="AY63" i="10" s="1"/>
  <c r="AZ150" i="10" l="1"/>
  <c r="AZ133" i="10"/>
  <c r="AZ106" i="10"/>
  <c r="AZ81" i="10"/>
  <c r="AZ36" i="10"/>
  <c r="AZ26" i="10"/>
  <c r="AZ109" i="10"/>
  <c r="AZ127" i="10"/>
  <c r="AZ27" i="10"/>
  <c r="AZ11" i="10"/>
  <c r="AZ122" i="10"/>
  <c r="AZ191" i="10"/>
  <c r="AZ75" i="10"/>
  <c r="AZ123" i="10"/>
  <c r="AZ174" i="10"/>
  <c r="AZ103" i="10"/>
  <c r="AZ204" i="10"/>
  <c r="AZ59" i="10"/>
  <c r="AZ104" i="10"/>
  <c r="AZ201" i="10"/>
  <c r="AZ138" i="10"/>
  <c r="AZ98" i="10"/>
  <c r="AZ209" i="10"/>
  <c r="AZ51" i="10"/>
  <c r="AQ2" i="10"/>
  <c r="AZ160" i="10"/>
  <c r="AZ176" i="10"/>
  <c r="AZ216" i="10"/>
  <c r="AZ144" i="10"/>
  <c r="AZ107" i="10"/>
  <c r="AZ149" i="10"/>
  <c r="AZ142" i="10"/>
  <c r="AZ61" i="10"/>
  <c r="AZ66" i="10"/>
  <c r="AZ192" i="10"/>
  <c r="AZ158" i="10"/>
  <c r="AZ154" i="10"/>
  <c r="AZ15" i="10"/>
  <c r="AZ13" i="10"/>
  <c r="AZ21" i="10"/>
  <c r="AZ20" i="10"/>
  <c r="AZ9" i="10"/>
  <c r="AZ44" i="10"/>
  <c r="AZ97" i="10"/>
  <c r="AZ179" i="10"/>
  <c r="AZ180" i="10"/>
  <c r="AZ143" i="10"/>
  <c r="AZ172" i="10"/>
  <c r="AZ99" i="10"/>
  <c r="AZ16" i="10"/>
  <c r="AZ162" i="10"/>
  <c r="AZ182" i="10"/>
  <c r="AZ164" i="10"/>
  <c r="AZ218" i="10"/>
  <c r="AZ58" i="10"/>
  <c r="AZ70" i="10"/>
  <c r="AZ85" i="10"/>
  <c r="AZ24" i="10"/>
  <c r="AU100" i="10"/>
  <c r="AZ30" i="10"/>
  <c r="AZ94" i="10"/>
  <c r="AZ38" i="10"/>
  <c r="AZ208" i="10"/>
  <c r="AZ55" i="10"/>
  <c r="AZ23" i="10"/>
  <c r="AZ206" i="10"/>
  <c r="AZ34" i="10"/>
  <c r="AZ105" i="10"/>
  <c r="AZ80" i="10"/>
  <c r="AZ43" i="10"/>
  <c r="AZ217" i="10"/>
  <c r="AZ113" i="10"/>
  <c r="AZ146" i="10"/>
  <c r="AZ84" i="10"/>
  <c r="AZ52" i="10"/>
  <c r="AZ87" i="10"/>
  <c r="AZ42" i="10"/>
  <c r="AZ95" i="10"/>
  <c r="AZ6" i="10"/>
  <c r="AZ115" i="10"/>
  <c r="AZ118" i="10"/>
  <c r="AZ79" i="10"/>
  <c r="AZ112" i="10"/>
  <c r="AZ78" i="10"/>
  <c r="AZ136" i="10"/>
  <c r="AZ205" i="10"/>
  <c r="AZ189" i="10"/>
  <c r="AZ110" i="10"/>
  <c r="AZ220" i="10"/>
  <c r="AZ89" i="10"/>
  <c r="AZ132" i="10"/>
  <c r="AZ170" i="10"/>
  <c r="AZ178" i="10"/>
  <c r="AZ50" i="10"/>
  <c r="AZ167" i="10"/>
  <c r="AZ45" i="10"/>
  <c r="AZ69" i="10"/>
  <c r="AZ73" i="10"/>
  <c r="AZ130" i="10"/>
  <c r="AZ77" i="10"/>
  <c r="AZ56" i="10"/>
  <c r="AZ48" i="10"/>
  <c r="AZ166" i="10"/>
  <c r="AZ159" i="10"/>
  <c r="AZ137" i="10"/>
  <c r="AZ3" i="10"/>
  <c r="AZ32" i="10"/>
  <c r="AZ47" i="10"/>
  <c r="AZ200" i="10"/>
  <c r="AZ28" i="10"/>
  <c r="AZ214" i="10"/>
  <c r="AZ91" i="10"/>
  <c r="AZ175" i="10"/>
  <c r="AZ155" i="10"/>
  <c r="AZ196" i="10"/>
  <c r="AZ188" i="10"/>
  <c r="AZ199" i="10"/>
  <c r="AZ25" i="10"/>
  <c r="AZ198" i="10"/>
  <c r="AZ111" i="10"/>
  <c r="AZ67" i="10"/>
  <c r="AZ14" i="10"/>
  <c r="AZ190" i="10"/>
  <c r="AZ40" i="10"/>
  <c r="AZ108" i="10"/>
  <c r="AZ211" i="10"/>
  <c r="AZ8" i="10"/>
  <c r="AZ39" i="10"/>
  <c r="AZ119" i="10"/>
  <c r="AZ12" i="10"/>
  <c r="AZ148" i="10"/>
  <c r="AZ187" i="10"/>
  <c r="AZ184" i="10"/>
  <c r="AZ49" i="10"/>
  <c r="AZ173" i="10"/>
  <c r="AZ92" i="10"/>
  <c r="AZ102" i="10"/>
  <c r="AZ54" i="10"/>
  <c r="AZ134" i="10"/>
  <c r="AZ46" i="10"/>
  <c r="AZ168" i="10"/>
  <c r="AZ68" i="10"/>
  <c r="AZ90" i="10"/>
  <c r="AZ202" i="10"/>
  <c r="AZ121" i="10"/>
  <c r="AU186" i="10"/>
  <c r="AZ37" i="10"/>
  <c r="AX2" i="10"/>
  <c r="AS2" i="10"/>
  <c r="AZ7" i="10"/>
  <c r="AZ151" i="10"/>
  <c r="AZ17" i="10"/>
  <c r="AZ5" i="10"/>
  <c r="AZ114" i="10"/>
  <c r="AZ126" i="10"/>
  <c r="AZ221" i="10"/>
  <c r="AZ186" i="10"/>
  <c r="AZ163" i="10"/>
  <c r="AZ185" i="10"/>
  <c r="AZ120" i="10"/>
  <c r="AZ141" i="10"/>
  <c r="AT2" i="10"/>
  <c r="AW2" i="10"/>
  <c r="AY2" i="10" s="1"/>
  <c r="AZ140" i="10"/>
  <c r="AZ22" i="10"/>
  <c r="AZ31" i="10"/>
  <c r="AZ53" i="10"/>
  <c r="AZ171" i="10"/>
  <c r="AZ215" i="10"/>
  <c r="AZ33" i="10"/>
  <c r="AZ63" i="10"/>
  <c r="AZ62" i="10"/>
  <c r="AZ29" i="10"/>
  <c r="AZ60" i="10"/>
  <c r="AZ93" i="10"/>
  <c r="AZ145" i="10"/>
  <c r="AZ128" i="10"/>
  <c r="AZ101" i="10"/>
  <c r="AZ83" i="10"/>
  <c r="AZ41" i="10"/>
  <c r="AZ153" i="10"/>
  <c r="AZ169" i="10"/>
  <c r="AZ139" i="10"/>
  <c r="AZ124" i="10"/>
  <c r="AZ86" i="10"/>
  <c r="AZ10" i="10"/>
  <c r="AZ193" i="10"/>
  <c r="AZ96" i="10"/>
  <c r="AZ71" i="10"/>
  <c r="AZ157" i="10"/>
  <c r="AZ197" i="10"/>
  <c r="AZ181" i="10"/>
  <c r="AZ129" i="10"/>
  <c r="AZ203" i="10"/>
  <c r="AZ161" i="10"/>
  <c r="AZ117" i="10"/>
  <c r="AZ152" i="10"/>
  <c r="AZ219" i="10"/>
  <c r="AZ207" i="10"/>
  <c r="AZ183" i="10"/>
  <c r="AZ131" i="10"/>
  <c r="AZ195" i="10"/>
  <c r="AZ116" i="10"/>
  <c r="AZ135" i="10"/>
  <c r="AZ64" i="10"/>
  <c r="AZ65" i="10"/>
  <c r="AZ82" i="10"/>
  <c r="AZ74" i="10"/>
  <c r="AZ76" i="10"/>
  <c r="AZ35" i="10"/>
  <c r="AZ18" i="10"/>
  <c r="AZ57" i="10"/>
  <c r="AZ2" i="10" l="1"/>
  <c r="AU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RAMESH HAVALER</author>
  </authors>
  <commentList>
    <comment ref="AH1" authorId="0" shapeId="0" xr:uid="{0880E961-EB22-447E-B255-3BF14B46DA25}">
      <text>
        <r>
          <rPr>
            <b/>
            <sz val="9"/>
            <color indexed="81"/>
            <rFont val="Tahoma"/>
            <family val="2"/>
          </rPr>
          <t>Consider Moisture as3% Constant</t>
        </r>
      </text>
    </comment>
  </commentList>
</comments>
</file>

<file path=xl/sharedStrings.xml><?xml version="1.0" encoding="utf-8"?>
<sst xmlns="http://schemas.openxmlformats.org/spreadsheetml/2006/main" count="2137" uniqueCount="243">
  <si>
    <t>Date</t>
  </si>
  <si>
    <t>Origin</t>
  </si>
  <si>
    <t>Month</t>
  </si>
  <si>
    <r>
      <t>CK Moisture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(%)</t>
    </r>
  </si>
  <si>
    <t>Tested RCN (g)</t>
  </si>
  <si>
    <r>
      <t xml:space="preserve">RCN Moisture </t>
    </r>
    <r>
      <rPr>
        <b/>
        <sz val="11"/>
        <color rgb="FFFF0000"/>
        <rFont val="Calibri"/>
        <family val="2"/>
        <scheme val="minor"/>
      </rPr>
      <t>(%)</t>
    </r>
  </si>
  <si>
    <t>Total Ck (g)</t>
  </si>
  <si>
    <r>
      <t xml:space="preserve">Healty Ck </t>
    </r>
    <r>
      <rPr>
        <b/>
        <sz val="11"/>
        <color theme="1"/>
        <rFont val="Calibri"/>
        <family val="2"/>
        <scheme val="minor"/>
      </rPr>
      <t xml:space="preserve"> (g)</t>
    </r>
  </si>
  <si>
    <t>Spotted CK (g)</t>
  </si>
  <si>
    <t>Premature CK (g)</t>
  </si>
  <si>
    <t>Rotten/Mouldy CK (g)</t>
  </si>
  <si>
    <t>Insect Damage CK (g)</t>
  </si>
  <si>
    <t>Total CK counting 0% in KOR (g)</t>
  </si>
  <si>
    <t>Total CK counting 50% in KOR (g)</t>
  </si>
  <si>
    <t>FINAL DEFECTIVE CK (% vs RCN)</t>
  </si>
  <si>
    <t>KOR Calc (LB)</t>
  </si>
  <si>
    <t>USEFUL CK for KOR (g)</t>
  </si>
  <si>
    <t>CK Yield  (%)</t>
  </si>
  <si>
    <t>% Good CK vs total CK</t>
  </si>
  <si>
    <t>% Bad CK vs total CK</t>
  </si>
  <si>
    <r>
      <t>Max Total Yield</t>
    </r>
    <r>
      <rPr>
        <b/>
        <sz val="11"/>
        <rFont val="Calibri"/>
        <family val="2"/>
        <scheme val="minor"/>
      </rPr>
      <t xml:space="preserve"> %</t>
    </r>
    <r>
      <rPr>
        <sz val="11"/>
        <rFont val="Calibri"/>
        <family val="2"/>
        <scheme val="minor"/>
      </rPr>
      <t xml:space="preserve"> at 4.5 % moisture</t>
    </r>
  </si>
  <si>
    <t>MAX TOTAL YIELD</t>
  </si>
  <si>
    <t>FINAL HEALTHY CK corrected to 4.5% moisture (g)</t>
  </si>
  <si>
    <t>FINAL DEFECTIVE CK corrected to 4.5% moisture (g)</t>
  </si>
  <si>
    <t>Max defective % corrected to 4.5% moisture</t>
  </si>
  <si>
    <t>RCN Sizes Involved</t>
  </si>
  <si>
    <t>Ck Input Borma</t>
  </si>
  <si>
    <t>Ck Output Borma</t>
  </si>
  <si>
    <t xml:space="preserve">Testa going Output </t>
  </si>
  <si>
    <t>Normalise the Testa &amp; Moisture of Surface Defects</t>
  </si>
  <si>
    <t>Surface Defects CK detected after Peeling (g)</t>
  </si>
  <si>
    <t>FINAL DEFECTIVE CK (g)
(Obtained Testa  Corrected)</t>
  </si>
  <si>
    <t>FINAL HEALTHY CK (g)
(Obtained Testa  Corrected)</t>
  </si>
  <si>
    <r>
      <t xml:space="preserve">Testa Obtained
</t>
    </r>
    <r>
      <rPr>
        <b/>
        <sz val="11"/>
        <color rgb="FFFF0000"/>
        <rFont val="Calibri"/>
        <family val="2"/>
        <scheme val="minor"/>
      </rPr>
      <t>(%)</t>
    </r>
  </si>
  <si>
    <t>Crop Year</t>
  </si>
  <si>
    <t>IVC</t>
  </si>
  <si>
    <t>The File in Another Formate so when it fix in Excel its loss the clairty.</t>
  </si>
  <si>
    <t>COUNTRY</t>
  </si>
  <si>
    <t>SL No.</t>
  </si>
  <si>
    <t>VALIDATION BORMA</t>
  </si>
  <si>
    <t>BIN NO</t>
  </si>
  <si>
    <t>All</t>
  </si>
  <si>
    <t>Nut Count</t>
  </si>
  <si>
    <t>Void (g)</t>
  </si>
  <si>
    <t>KOR (lbs)</t>
  </si>
  <si>
    <t>SHOT (lbs)</t>
  </si>
  <si>
    <t>FOT (lbs)</t>
  </si>
  <si>
    <t>FINAL HEALTHY CK (% vs RCN)
= MAX WW YIELD</t>
  </si>
  <si>
    <t>Before Peeled SPOT</t>
  </si>
  <si>
    <t>After Peeled Spot</t>
  </si>
  <si>
    <t>Before Peeled Oil</t>
  </si>
  <si>
    <t>After Peeled Oil</t>
  </si>
  <si>
    <t>Before Peeled Dessert</t>
  </si>
  <si>
    <t>After Peeled Dessert</t>
  </si>
  <si>
    <t>Total Defect %</t>
  </si>
  <si>
    <t>Total Spot %</t>
  </si>
  <si>
    <t>Total Defect (g)</t>
  </si>
  <si>
    <t>Supplier</t>
  </si>
  <si>
    <t>Truck No</t>
  </si>
  <si>
    <t>SASSANDRA</t>
  </si>
  <si>
    <t>-</t>
  </si>
  <si>
    <t>CPAS.SCOOPS</t>
  </si>
  <si>
    <t>1861kyO1/1648KR01</t>
  </si>
  <si>
    <r>
      <t>Max WW Yield</t>
    </r>
    <r>
      <rPr>
        <b/>
        <sz val="11"/>
        <rFont val="Calibri"/>
        <family val="2"/>
        <scheme val="minor"/>
      </rPr>
      <t xml:space="preserve"> %</t>
    </r>
    <r>
      <rPr>
        <sz val="11"/>
        <rFont val="Calibri"/>
        <family val="2"/>
        <scheme val="minor"/>
      </rPr>
      <t xml:space="preserve">  
at 4.5 % moisture</t>
    </r>
  </si>
  <si>
    <t>ANA-05A</t>
  </si>
  <si>
    <t>Fruit</t>
  </si>
  <si>
    <t>Category</t>
  </si>
  <si>
    <t>Receipts</t>
  </si>
  <si>
    <t>Transfer</t>
  </si>
  <si>
    <t>Storage BIN</t>
  </si>
  <si>
    <t>BIN-02A</t>
  </si>
  <si>
    <t>BIN-09</t>
  </si>
  <si>
    <t>I C F B (0401.0177)</t>
  </si>
  <si>
    <t>5967CK07/5966CK07</t>
  </si>
  <si>
    <t>DALOA</t>
  </si>
  <si>
    <t>ANA-02A</t>
  </si>
  <si>
    <t>ANA-02B</t>
  </si>
  <si>
    <t>BIN-03A</t>
  </si>
  <si>
    <t>KONG</t>
  </si>
  <si>
    <t>1070KA01/2482HR01</t>
  </si>
  <si>
    <t>ANAGROCI UT CCA(0201-112610-0037)</t>
  </si>
  <si>
    <t>FN-87080</t>
  </si>
  <si>
    <t>FN-87090</t>
  </si>
  <si>
    <t>Row Labels</t>
  </si>
  <si>
    <t>Grand Total</t>
  </si>
  <si>
    <t>Average of KOR (lbs)</t>
  </si>
  <si>
    <t>Average of Total Spot %</t>
  </si>
  <si>
    <t>Average of Total Defect %</t>
  </si>
  <si>
    <t>BIN-08A</t>
  </si>
  <si>
    <t>BIN-04A</t>
  </si>
  <si>
    <t>Before Peeled SSW/ Blemish</t>
  </si>
  <si>
    <t>After Peeled SSW/ Blemish</t>
  </si>
  <si>
    <t>BIN</t>
  </si>
  <si>
    <t>BIN Qty (MT)</t>
  </si>
  <si>
    <t>BIN NO.</t>
  </si>
  <si>
    <t>BIN-001A</t>
  </si>
  <si>
    <t>BIN-002</t>
  </si>
  <si>
    <t>BIN-005</t>
  </si>
  <si>
    <t>BIN-001</t>
  </si>
  <si>
    <t>BIN-003</t>
  </si>
  <si>
    <t>BIN-010</t>
  </si>
  <si>
    <t>BIN-013</t>
  </si>
  <si>
    <t>BIN-07A</t>
  </si>
  <si>
    <t>BIN-009</t>
  </si>
  <si>
    <t>BIN-008B</t>
  </si>
  <si>
    <t>BIN-03B</t>
  </si>
  <si>
    <t>BIN-007</t>
  </si>
  <si>
    <t>BIN-011</t>
  </si>
  <si>
    <t>BIN-06A</t>
  </si>
  <si>
    <t>BIN-012</t>
  </si>
  <si>
    <t>BIN-03C</t>
  </si>
  <si>
    <t>BIN-05B</t>
  </si>
  <si>
    <t>BIN-006</t>
  </si>
  <si>
    <t>BIN-015</t>
  </si>
  <si>
    <t>BIN-004</t>
  </si>
  <si>
    <t>BIN-016</t>
  </si>
  <si>
    <t>Supplier Name</t>
  </si>
  <si>
    <t>VAVOUA</t>
  </si>
  <si>
    <t>SCAAMT COOP CA</t>
  </si>
  <si>
    <t>COP JAVA SCOOP</t>
  </si>
  <si>
    <t xml:space="preserve">SOVA SCOOP </t>
  </si>
  <si>
    <t>KOUNAHIRI</t>
  </si>
  <si>
    <t>RCN SOCOSAM</t>
  </si>
  <si>
    <t>KOROGHO</t>
  </si>
  <si>
    <t>RCN SCOOPS SKS</t>
  </si>
  <si>
    <t>WOROBOUGOU</t>
  </si>
  <si>
    <t>BONIEREDOUGOU</t>
  </si>
  <si>
    <t>SCOOPS WEBE(EUNI)</t>
  </si>
  <si>
    <t>DIANRA</t>
  </si>
  <si>
    <t>SCOOPS DPVICA</t>
  </si>
  <si>
    <t>SCOOPS WEBE (EUNI)</t>
  </si>
  <si>
    <t>DECARRE DAVID &amp; DJOUMA</t>
  </si>
  <si>
    <t>SCOOPS AGRO NEGOCE</t>
  </si>
  <si>
    <t>KANIASSO</t>
  </si>
  <si>
    <t xml:space="preserve"> SCOOPS-SOCOSIDJI</t>
  </si>
  <si>
    <t>BOUAFLE</t>
  </si>
  <si>
    <t xml:space="preserve"> SCOOP  KOB S</t>
  </si>
  <si>
    <t>SCOOPS COOPRES</t>
  </si>
  <si>
    <t>BOUNDIALI</t>
  </si>
  <si>
    <t>KONONFIA</t>
  </si>
  <si>
    <t>SCOOPS ICFB</t>
  </si>
  <si>
    <t>KOTI</t>
  </si>
  <si>
    <t>SCOOP CA BENKADI</t>
  </si>
  <si>
    <t>AGNIBILEKRO</t>
  </si>
  <si>
    <t>DE MARAHOUE</t>
  </si>
  <si>
    <t>MARANDALLAH</t>
  </si>
  <si>
    <t>SCOOPS BENKADY-CINPA</t>
  </si>
  <si>
    <t>GUEMON</t>
  </si>
  <si>
    <t xml:space="preserve"> RCN SIMAYAT COOP CA</t>
  </si>
  <si>
    <t>BAGOUE</t>
  </si>
  <si>
    <t xml:space="preserve"> RCN SCOOP BAOBAB</t>
  </si>
  <si>
    <t>GUEZON</t>
  </si>
  <si>
    <t>SCOOPS DJGUISSEME</t>
  </si>
  <si>
    <t>GBEKE</t>
  </si>
  <si>
    <t>SCOOPS CDAG</t>
  </si>
  <si>
    <t>BOWNDIALI</t>
  </si>
  <si>
    <t>CPAS SCOOPS</t>
  </si>
  <si>
    <t>BERE</t>
  </si>
  <si>
    <t>RCN SCOOPS COOPRAKA</t>
  </si>
  <si>
    <t>PORO</t>
  </si>
  <si>
    <t xml:space="preserve">KONE ADAMA </t>
  </si>
  <si>
    <t>BAFFBEBO</t>
  </si>
  <si>
    <t>GUESSABO</t>
  </si>
  <si>
    <t>IBERE</t>
  </si>
  <si>
    <t>MINIGNAN</t>
  </si>
  <si>
    <t>SCOOPS PS</t>
  </si>
  <si>
    <t>KONANFLA</t>
  </si>
  <si>
    <t>SEITIFLA</t>
  </si>
  <si>
    <t>BOUKE</t>
  </si>
  <si>
    <t>BONIERDOUGOU</t>
  </si>
  <si>
    <t>SCOOP EUNI</t>
  </si>
  <si>
    <t>HAUT SASSANDRA</t>
  </si>
  <si>
    <t>ABENGOUROU</t>
  </si>
  <si>
    <t>SCOOPS CADEXI</t>
  </si>
  <si>
    <t xml:space="preserve"> RCN SCOOP SAHS</t>
  </si>
  <si>
    <t>OCEAN NEGOSE</t>
  </si>
  <si>
    <t>KOROGO</t>
  </si>
  <si>
    <t>SCOOP DYNAMAQUE-CDAG</t>
  </si>
  <si>
    <t>BOUAKE</t>
  </si>
  <si>
    <t>BELIER</t>
  </si>
  <si>
    <t>SCOOPS SCNB</t>
  </si>
  <si>
    <t>MARAHOUE</t>
  </si>
  <si>
    <t>BAGOISE</t>
  </si>
  <si>
    <t>COOP CA TOE SEYDOU</t>
  </si>
  <si>
    <t>DJEBONOUA</t>
  </si>
  <si>
    <t>SCOOPS LAGANFIA</t>
  </si>
  <si>
    <t>IFFOU</t>
  </si>
  <si>
    <t>HAMBOL</t>
  </si>
  <si>
    <t>SCOOPS EUNI(WEBE)</t>
  </si>
  <si>
    <t>DIARNA</t>
  </si>
  <si>
    <t>BROBO</t>
  </si>
  <si>
    <t>NAFANA</t>
  </si>
  <si>
    <t>RCN SCOOPS AH AL NOUR</t>
  </si>
  <si>
    <t>KOLIA</t>
  </si>
  <si>
    <t>CAPCD- SCOOPS</t>
  </si>
  <si>
    <t>TIEBISSOU</t>
  </si>
  <si>
    <t>MAKANO</t>
  </si>
  <si>
    <t>SCOOPS PAGNG YELEN (CDAG)</t>
  </si>
  <si>
    <t>RCN SOCOOP ADD COOP CA</t>
  </si>
  <si>
    <t>SCOOPS BENKADI-CDGA</t>
  </si>
  <si>
    <t>DUFFREBO</t>
  </si>
  <si>
    <t>RCN SCOOPS CORISPORT</t>
  </si>
  <si>
    <t>BROUMA SARL</t>
  </si>
  <si>
    <t>BORO</t>
  </si>
  <si>
    <t>SCAN COOP CA</t>
  </si>
  <si>
    <t>SCOOPS BENKADI-CDAG</t>
  </si>
  <si>
    <t>RCN SOLANDA CI</t>
  </si>
  <si>
    <t>FOLON</t>
  </si>
  <si>
    <t>CODJISA</t>
  </si>
  <si>
    <t>SCOOPS MOAYE BKE</t>
  </si>
  <si>
    <t>TCHOLOGO</t>
  </si>
  <si>
    <t>NAFI</t>
  </si>
  <si>
    <t>KABADOUGOU</t>
  </si>
  <si>
    <t>BEWER</t>
  </si>
  <si>
    <t>NZI</t>
  </si>
  <si>
    <t>SCOOPS ADD COOPCA</t>
  </si>
  <si>
    <t>SCOOPS SAHS</t>
  </si>
  <si>
    <t>NAFA</t>
  </si>
  <si>
    <t>ANAGROCI UT CcA</t>
  </si>
  <si>
    <t>ICFB</t>
  </si>
  <si>
    <t>Moisture</t>
  </si>
  <si>
    <t>Good Kernel (gm)</t>
  </si>
  <si>
    <t>Immature (gm)</t>
  </si>
  <si>
    <t>Spotted (gm)</t>
  </si>
  <si>
    <t>VOIDS (gm)</t>
  </si>
  <si>
    <t>OIL (gm)</t>
  </si>
  <si>
    <t>Rejection (gm)</t>
  </si>
  <si>
    <t>Fiche CCA</t>
  </si>
  <si>
    <t>Qty (Kg's)</t>
  </si>
  <si>
    <t>(Multiple Items)</t>
  </si>
  <si>
    <t>Sum of Qty (Kg's)</t>
  </si>
  <si>
    <t>BIN-10</t>
  </si>
  <si>
    <t>BIN-12</t>
  </si>
  <si>
    <t>BIN-08B</t>
  </si>
  <si>
    <t>BIN-02B</t>
  </si>
  <si>
    <t>BIN-06</t>
  </si>
  <si>
    <t>ANAGROCI</t>
  </si>
  <si>
    <t>BTM No / FICHE NO</t>
  </si>
  <si>
    <t>AA718FY01</t>
  </si>
  <si>
    <t>Other rejection /Oil (g)</t>
  </si>
  <si>
    <t>BIN-15</t>
  </si>
  <si>
    <t>BIN-04</t>
  </si>
  <si>
    <t>BIN-11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</si>
</sst>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,##0.0_ ;[Red]\-#,##0.0\ "/>
    <numFmt numFmtId="168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 Light"/>
      <family val="1"/>
      <scheme val="maj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</cellStyleXfs>
  <cellXfs count="1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5" borderId="0" xfId="0" applyFill="1"/>
    <xf numFmtId="14" fontId="0" fillId="0" borderId="0" xfId="0" applyNumberFormat="1" applyAlignment="1">
      <alignment horizontal="center" vertical="center"/>
    </xf>
    <xf numFmtId="166" fontId="0" fillId="0" borderId="0" xfId="1" applyNumberFormat="1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43" fontId="0" fillId="0" borderId="0" xfId="1" applyFont="1" applyFill="1"/>
    <xf numFmtId="165" fontId="0" fillId="0" borderId="0" xfId="1" applyNumberFormat="1" applyFont="1" applyFill="1"/>
    <xf numFmtId="165" fontId="0" fillId="0" borderId="0" xfId="1" applyNumberFormat="1" applyFont="1" applyFill="1" applyAlignment="1">
      <alignment horizontal="center"/>
    </xf>
    <xf numFmtId="164" fontId="0" fillId="0" borderId="0" xfId="2" applyNumberFormat="1" applyFont="1" applyFill="1" applyAlignment="1">
      <alignment horizontal="center"/>
    </xf>
    <xf numFmtId="10" fontId="0" fillId="4" borderId="2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4" borderId="1" xfId="2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6" fontId="0" fillId="6" borderId="2" xfId="1" applyNumberFormat="1" applyFont="1" applyFill="1" applyBorder="1" applyAlignment="1">
      <alignment horizontal="center" vertical="center"/>
    </xf>
    <xf numFmtId="43" fontId="0" fillId="6" borderId="2" xfId="1" applyFont="1" applyFill="1" applyBorder="1" applyAlignment="1">
      <alignment horizontal="center" vertical="center"/>
    </xf>
    <xf numFmtId="167" fontId="0" fillId="5" borderId="2" xfId="1" applyNumberFormat="1" applyFont="1" applyFill="1" applyBorder="1" applyAlignment="1">
      <alignment horizontal="center" vertical="center"/>
    </xf>
    <xf numFmtId="165" fontId="0" fillId="6" borderId="2" xfId="1" applyNumberFormat="1" applyFont="1" applyFill="1" applyBorder="1" applyAlignment="1">
      <alignment horizontal="center" vertical="center"/>
    </xf>
    <xf numFmtId="9" fontId="0" fillId="6" borderId="2" xfId="2" applyFont="1" applyFill="1" applyBorder="1" applyAlignment="1">
      <alignment horizontal="center" vertical="center"/>
    </xf>
    <xf numFmtId="164" fontId="0" fillId="5" borderId="2" xfId="2" applyNumberFormat="1" applyFont="1" applyFill="1" applyBorder="1" applyAlignment="1">
      <alignment horizontal="center"/>
    </xf>
    <xf numFmtId="164" fontId="0" fillId="5" borderId="2" xfId="2" applyNumberFormat="1" applyFont="1" applyFill="1" applyBorder="1" applyAlignment="1">
      <alignment horizontal="center" vertical="center"/>
    </xf>
    <xf numFmtId="164" fontId="0" fillId="6" borderId="2" xfId="2" applyNumberFormat="1" applyFont="1" applyFill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 applyProtection="1">
      <alignment horizontal="center" vertical="center" wrapText="1"/>
      <protection locked="0"/>
    </xf>
    <xf numFmtId="166" fontId="0" fillId="6" borderId="1" xfId="1" applyNumberFormat="1" applyFont="1" applyFill="1" applyBorder="1" applyAlignment="1">
      <alignment horizontal="center" vertical="center" wrapText="1"/>
    </xf>
    <xf numFmtId="43" fontId="0" fillId="6" borderId="1" xfId="1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 vertical="center" wrapText="1"/>
    </xf>
    <xf numFmtId="165" fontId="0" fillId="6" borderId="1" xfId="1" applyNumberFormat="1" applyFont="1" applyFill="1" applyBorder="1" applyAlignment="1">
      <alignment horizontal="center" vertical="center" wrapText="1"/>
    </xf>
    <xf numFmtId="43" fontId="4" fillId="6" borderId="1" xfId="1" applyFont="1" applyFill="1" applyBorder="1" applyAlignment="1">
      <alignment horizontal="center" vertical="center" wrapText="1"/>
    </xf>
    <xf numFmtId="165" fontId="0" fillId="5" borderId="1" xfId="1" applyNumberFormat="1" applyFont="1" applyFill="1" applyBorder="1" applyAlignment="1">
      <alignment horizontal="center" vertical="center" wrapText="1"/>
    </xf>
    <xf numFmtId="165" fontId="4" fillId="6" borderId="1" xfId="1" applyNumberFormat="1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/>
    </xf>
    <xf numFmtId="165" fontId="0" fillId="6" borderId="1" xfId="1" applyNumberFormat="1" applyFont="1" applyFill="1" applyBorder="1" applyAlignment="1">
      <alignment horizontal="center" vertical="center"/>
    </xf>
    <xf numFmtId="9" fontId="0" fillId="6" borderId="1" xfId="2" applyFont="1" applyFill="1" applyBorder="1" applyAlignment="1">
      <alignment horizontal="center" vertical="center"/>
    </xf>
    <xf numFmtId="164" fontId="0" fillId="5" borderId="1" xfId="2" applyNumberFormat="1" applyFont="1" applyFill="1" applyBorder="1" applyAlignment="1">
      <alignment horizontal="center"/>
    </xf>
    <xf numFmtId="164" fontId="0" fillId="5" borderId="1" xfId="2" applyNumberFormat="1" applyFont="1" applyFill="1" applyBorder="1" applyAlignment="1">
      <alignment horizontal="center" vertical="center"/>
    </xf>
    <xf numFmtId="164" fontId="0" fillId="6" borderId="1" xfId="2" applyNumberFormat="1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66" fontId="0" fillId="6" borderId="1" xfId="2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43" fontId="1" fillId="8" borderId="1" xfId="0" applyNumberFormat="1" applyFont="1" applyFill="1" applyBorder="1"/>
    <xf numFmtId="9" fontId="1" fillId="8" borderId="1" xfId="2" applyFont="1" applyFill="1" applyBorder="1"/>
    <xf numFmtId="10" fontId="1" fillId="8" borderId="1" xfId="0" applyNumberFormat="1" applyFont="1" applyFill="1" applyBorder="1"/>
    <xf numFmtId="43" fontId="0" fillId="5" borderId="1" xfId="1" applyFont="1" applyFill="1" applyBorder="1" applyAlignment="1">
      <alignment horizontal="center" vertical="center"/>
    </xf>
    <xf numFmtId="43" fontId="1" fillId="8" borderId="1" xfId="1" applyFont="1" applyFill="1" applyBorder="1"/>
    <xf numFmtId="43" fontId="1" fillId="7" borderId="1" xfId="1" applyFont="1" applyFill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68" fontId="0" fillId="0" borderId="0" xfId="0" applyNumberFormat="1"/>
    <xf numFmtId="0" fontId="1" fillId="9" borderId="3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9" borderId="4" xfId="0" applyNumberFormat="1" applyFont="1" applyFill="1" applyBorder="1" applyAlignment="1">
      <alignment horizontal="center"/>
    </xf>
    <xf numFmtId="49" fontId="7" fillId="6" borderId="5" xfId="0" applyNumberFormat="1" applyFont="1" applyFill="1" applyBorder="1" applyAlignment="1">
      <alignment horizontal="center" vertical="center" shrinkToFit="1"/>
    </xf>
    <xf numFmtId="0" fontId="8" fillId="7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5" borderId="5" xfId="0" applyFont="1" applyFill="1" applyBorder="1" applyAlignment="1">
      <alignment horizontal="center" vertical="center" wrapText="1" shrinkToFit="1"/>
    </xf>
    <xf numFmtId="0" fontId="8" fillId="9" borderId="5" xfId="0" applyFont="1" applyFill="1" applyBorder="1" applyAlignment="1">
      <alignment vertical="center" wrapText="1"/>
    </xf>
    <xf numFmtId="0" fontId="8" fillId="9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8" fillId="9" borderId="5" xfId="0" applyFont="1" applyFill="1" applyBorder="1" applyAlignment="1">
      <alignment wrapText="1"/>
    </xf>
    <xf numFmtId="0" fontId="8" fillId="9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left"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8" fillId="9" borderId="5" xfId="0" applyFon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9" borderId="7" xfId="0" applyFont="1" applyFill="1" applyBorder="1" applyAlignment="1">
      <alignment wrapText="1"/>
    </xf>
    <xf numFmtId="0" fontId="8" fillId="0" borderId="7" xfId="0" applyFont="1" applyBorder="1" applyAlignment="1">
      <alignment wrapText="1"/>
    </xf>
    <xf numFmtId="0" fontId="10" fillId="0" borderId="5" xfId="0" applyFont="1" applyBorder="1" applyAlignment="1">
      <alignment horizontal="left" wrapText="1"/>
    </xf>
    <xf numFmtId="0" fontId="8" fillId="0" borderId="8" xfId="0" applyFont="1" applyBorder="1" applyAlignment="1">
      <alignment wrapText="1"/>
    </xf>
    <xf numFmtId="0" fontId="8" fillId="9" borderId="8" xfId="0" applyFont="1" applyFill="1" applyBorder="1" applyAlignment="1">
      <alignment wrapText="1"/>
    </xf>
    <xf numFmtId="0" fontId="8" fillId="0" borderId="7" xfId="0" applyFont="1" applyBorder="1" applyAlignment="1">
      <alignment horizontal="left" vertical="center" wrapText="1"/>
    </xf>
    <xf numFmtId="0" fontId="7" fillId="10" borderId="5" xfId="0" applyFont="1" applyFill="1" applyBorder="1" applyAlignment="1">
      <alignment vertical="center" wrapText="1" shrinkToFit="1"/>
    </xf>
    <xf numFmtId="1" fontId="11" fillId="9" borderId="5" xfId="3" applyNumberFormat="1" applyFont="1" applyFill="1" applyBorder="1" applyAlignment="1">
      <alignment vertical="center" wrapText="1"/>
    </xf>
    <xf numFmtId="0" fontId="11" fillId="0" borderId="5" xfId="3" applyFont="1" applyBorder="1" applyAlignment="1">
      <alignment vertical="center" wrapText="1"/>
    </xf>
    <xf numFmtId="0" fontId="11" fillId="9" borderId="5" xfId="3" applyFont="1" applyFill="1" applyBorder="1" applyAlignment="1">
      <alignment vertical="center" wrapText="1"/>
    </xf>
    <xf numFmtId="0" fontId="8" fillId="9" borderId="5" xfId="0" applyFont="1" applyFill="1" applyBorder="1"/>
    <xf numFmtId="0" fontId="8" fillId="0" borderId="5" xfId="0" applyFont="1" applyBorder="1"/>
    <xf numFmtId="0" fontId="9" fillId="0" borderId="5" xfId="0" applyFont="1" applyBorder="1" applyAlignment="1">
      <alignment vertical="center"/>
    </xf>
    <xf numFmtId="0" fontId="8" fillId="0" borderId="7" xfId="0" applyFont="1" applyBorder="1"/>
    <xf numFmtId="2" fontId="11" fillId="9" borderId="5" xfId="0" applyNumberFormat="1" applyFont="1" applyFill="1" applyBorder="1" applyAlignment="1">
      <alignment vertical="center" wrapText="1"/>
    </xf>
    <xf numFmtId="2" fontId="11" fillId="0" borderId="5" xfId="0" applyNumberFormat="1" applyFont="1" applyBorder="1" applyAlignment="1">
      <alignment vertical="center" wrapText="1"/>
    </xf>
    <xf numFmtId="49" fontId="12" fillId="5" borderId="5" xfId="0" applyNumberFormat="1" applyFont="1" applyFill="1" applyBorder="1" applyAlignment="1">
      <alignment horizontal="center" vertical="center" wrapText="1" shrinkToFit="1"/>
    </xf>
    <xf numFmtId="2" fontId="0" fillId="0" borderId="0" xfId="0" applyNumberFormat="1"/>
    <xf numFmtId="43" fontId="8" fillId="9" borderId="5" xfId="1" applyFont="1" applyFill="1" applyBorder="1" applyAlignment="1">
      <alignment horizontal="left" vertical="center" wrapText="1"/>
    </xf>
    <xf numFmtId="43" fontId="8" fillId="0" borderId="5" xfId="1" applyFont="1" applyBorder="1" applyAlignment="1">
      <alignment horizontal="left" vertical="center" wrapText="1"/>
    </xf>
    <xf numFmtId="43" fontId="8" fillId="9" borderId="5" xfId="1" applyFont="1" applyFill="1" applyBorder="1" applyAlignment="1">
      <alignment horizontal="left" wrapText="1"/>
    </xf>
    <xf numFmtId="43" fontId="8" fillId="0" borderId="5" xfId="1" applyFont="1" applyBorder="1" applyAlignment="1">
      <alignment horizontal="left" wrapText="1"/>
    </xf>
    <xf numFmtId="43" fontId="9" fillId="0" borderId="5" xfId="1" applyFont="1" applyBorder="1" applyAlignment="1">
      <alignment horizontal="left" vertical="center" wrapText="1"/>
    </xf>
    <xf numFmtId="43" fontId="8" fillId="9" borderId="5" xfId="1" applyFont="1" applyFill="1" applyBorder="1" applyAlignment="1">
      <alignment wrapText="1"/>
    </xf>
    <xf numFmtId="43" fontId="8" fillId="9" borderId="5" xfId="1" applyFont="1" applyFill="1" applyBorder="1" applyAlignment="1">
      <alignment horizontal="left"/>
    </xf>
    <xf numFmtId="43" fontId="8" fillId="0" borderId="5" xfId="1" applyFont="1" applyBorder="1" applyAlignment="1">
      <alignment wrapText="1"/>
    </xf>
    <xf numFmtId="43" fontId="8" fillId="0" borderId="5" xfId="1" applyFont="1" applyBorder="1" applyAlignment="1">
      <alignment horizontal="left"/>
    </xf>
    <xf numFmtId="43" fontId="8" fillId="0" borderId="9" xfId="1" applyFont="1" applyBorder="1" applyAlignment="1">
      <alignment horizontal="left" vertical="center" wrapText="1"/>
    </xf>
    <xf numFmtId="43" fontId="8" fillId="0" borderId="9" xfId="1" applyFont="1" applyBorder="1" applyAlignment="1">
      <alignment horizontal="left" wrapText="1"/>
    </xf>
    <xf numFmtId="43" fontId="10" fillId="0" borderId="5" xfId="1" applyFont="1" applyBorder="1" applyAlignment="1">
      <alignment horizontal="left" wrapText="1"/>
    </xf>
    <xf numFmtId="43" fontId="8" fillId="0" borderId="7" xfId="1" applyFont="1" applyBorder="1" applyAlignment="1">
      <alignment horizontal="left" vertical="center" wrapText="1"/>
    </xf>
    <xf numFmtId="43" fontId="8" fillId="0" borderId="7" xfId="1" applyFont="1" applyBorder="1" applyAlignment="1">
      <alignment wrapText="1"/>
    </xf>
    <xf numFmtId="43" fontId="0" fillId="0" borderId="0" xfId="0" applyNumberFormat="1"/>
    <xf numFmtId="0" fontId="0" fillId="0" borderId="1" xfId="0" applyFill="1" applyBorder="1" applyAlignment="1">
      <alignment horizontal="center"/>
    </xf>
  </cellXfs>
  <cellStyles count="4">
    <cellStyle name="Comma" xfId="1" builtinId="3"/>
    <cellStyle name="Normal" xfId="0" builtinId="0"/>
    <cellStyle name="Normal 185" xfId="3" xr:uid="{A92D2C68-8EEF-4AA5-AF9B-C1F204ADF47D}"/>
    <cellStyle name="Percent" xfId="2" builtinId="5"/>
  </cellStyles>
  <dxfs count="13">
    <dxf>
      <numFmt numFmtId="35" formatCode="_(* #,##0.00_);_(* \(#,##0.00\);_(* &quot;-&quot;??_);_(@_)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0.0"/>
    </dxf>
    <dxf>
      <numFmt numFmtId="14" formatCode="0.00%"/>
    </dxf>
    <dxf>
      <numFmt numFmtId="14" formatCode="0.00%"/>
    </dxf>
    <dxf>
      <numFmt numFmtId="168" formatCode="0.0"/>
    </dxf>
    <dxf>
      <numFmt numFmtId="14" formatCode="0.00%"/>
    </dxf>
    <dxf>
      <numFmt numFmtId="14" formatCode="0.00%"/>
    </dxf>
    <dxf>
      <numFmt numFmtId="168" formatCode="0.0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FA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514350</xdr:colOff>
      <xdr:row>27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A73E37-B0BE-40AB-9525-590892231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91150" cy="515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vek GS" id="{36CC948E-2682-42B5-9F11-A7DC87FDA51E}" userId="S::vivek.g@intersnack.co.in::8a679eef-3a6e-43a4-80fb-6883f5b1d859" providerId="AD"/>
  <person displayName="Sai Lokesh R" id="{8DAD1036-C2A1-494D-8B8E-9A929B0A131E}" userId="S::sailokesh.r@intersnack.co.in::b86aacad-2d12-4a8d-8134-ce3b0aaa60e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6.420183101851" createdVersion="8" refreshedVersion="8" minRefreshableVersion="3" recordCount="253" xr:uid="{A53D138A-188B-4AF9-B3D4-69496ED591C1}">
  <cacheSource type="worksheet">
    <worksheetSource ref="B3:O256" sheet="Offloading BIN Report"/>
  </cacheSource>
  <cacheFields count="14">
    <cacheField name="Fiche CCA" numFmtId="0">
      <sharedItems containsSemiMixedTypes="0" containsString="0" containsNumber="1" containsInteger="1" minValue="14" maxValue="89784"/>
    </cacheField>
    <cacheField name="BIN NO." numFmtId="0">
      <sharedItems count="24">
        <s v="BIN-03A"/>
        <s v="BIN-001A"/>
        <s v="BIN-04A"/>
        <s v="BIN-02A"/>
        <s v="BIN-002"/>
        <s v="BIN-005"/>
        <s v="BIN-001"/>
        <s v="BIN-003"/>
        <s v="BIN-010"/>
        <s v="BIN-013"/>
        <s v="BIN-07A"/>
        <s v="BIN-009"/>
        <s v="BIN-008B"/>
        <s v="BIN-03B"/>
        <s v="BIN-007"/>
        <s v="BIN-011"/>
        <s v="BIN-06A"/>
        <s v="BIN-012"/>
        <s v="BIN-03C"/>
        <s v="BIN-05B"/>
        <s v="BIN-006"/>
        <s v="BIN-015"/>
        <s v="BIN-004"/>
        <s v="BIN-016"/>
      </sharedItems>
    </cacheField>
    <cacheField name="Origin" numFmtId="0">
      <sharedItems containsBlank="1" count="59">
        <s v="VAVOUA"/>
        <s v="KOUNAHIRI"/>
        <s v="KOROGHO"/>
        <s v="WOROBOUGOU"/>
        <s v="BONIEREDOUGOU"/>
        <s v="DIANRA"/>
        <s v="KANIASSO"/>
        <s v="BOUAFLE"/>
        <s v="BOUNDIALI"/>
        <s v="KONONFIA"/>
        <s v="KOTI"/>
        <s v="AGNIBILEKRO"/>
        <s v="DE MARAHOUE"/>
        <s v="MARANDALLAH"/>
        <s v="GUEMON"/>
        <s v="BAGOUE"/>
        <s v="GUEZON"/>
        <s v="GBEKE"/>
        <s v="BOWNDIALI"/>
        <s v="BERE"/>
        <s v="SASSANDRA"/>
        <s v="PORO"/>
        <s v="BAFFBEBO"/>
        <s v="GUESSABO"/>
        <s v="IBERE"/>
        <s v="MINIGNAN"/>
        <s v="KONANFLA"/>
        <s v="SEITIFLA"/>
        <s v="BOUKE"/>
        <s v="BONIERDOUGOU"/>
        <s v="HAUT SASSANDRA"/>
        <s v="ABENGOUROU"/>
        <s v="DALOA"/>
        <s v="KOROGO"/>
        <s v="BOUAKE"/>
        <s v="BELIER"/>
        <s v="MARAHOUE"/>
        <s v="BAGOISE"/>
        <s v="DJEBONOUA"/>
        <s v="IFFOU"/>
        <s v="HAMBOL"/>
        <s v="DIARNA"/>
        <s v="BROBO"/>
        <s v="NAFANA"/>
        <s v="KOLIA"/>
        <s v="TIEBISSOU"/>
        <s v="MAKANO"/>
        <s v="DUFFREBO"/>
        <s v="BORO"/>
        <s v="FOLON"/>
        <s v="TCHOLOGO"/>
        <s v="NAFI"/>
        <s v="KABADOUGOU"/>
        <s v="BEWER"/>
        <s v="NZI"/>
        <m/>
        <s v="NAFA"/>
        <s v="HOMBOL" u="1"/>
        <s v="HUMBOL" u="1"/>
      </sharedItems>
    </cacheField>
    <cacheField name="Supplier Name" numFmtId="0">
      <sharedItems/>
    </cacheField>
    <cacheField name="Qty (Kg's)" numFmtId="43">
      <sharedItems containsSemiMixedTypes="0" containsString="0" containsNumber="1" containsInteger="1" minValue="19346" maxValue="58887"/>
    </cacheField>
    <cacheField name="KOR (lbs)" numFmtId="0">
      <sharedItems containsSemiMixedTypes="0" containsString="0" containsNumber="1" minValue="36.96" maxValue="48.576000000000001"/>
    </cacheField>
    <cacheField name="Good Kernel (gm)" numFmtId="0">
      <sharedItems containsSemiMixedTypes="0" containsString="0" containsNumber="1" containsInteger="1" minValue="191" maxValue="263"/>
    </cacheField>
    <cacheField name="Immature (gm)" numFmtId="0">
      <sharedItems containsSemiMixedTypes="0" containsString="0" containsNumber="1" minValue="6" maxValue="32"/>
    </cacheField>
    <cacheField name="Spotted (gm)" numFmtId="0">
      <sharedItems containsString="0" containsBlank="1" containsNumber="1" containsInteger="1" minValue="4" maxValue="20"/>
    </cacheField>
    <cacheField name="Rejection (gm)" numFmtId="0">
      <sharedItems containsSemiMixedTypes="0" containsString="0" containsNumber="1" minValue="8.6" maxValue="71"/>
    </cacheField>
    <cacheField name="VOIDS (gm)" numFmtId="0">
      <sharedItems containsSemiMixedTypes="0" containsString="0" containsNumber="1" containsInteger="1" minValue="0" maxValue="53"/>
    </cacheField>
    <cacheField name="OIL (gm)" numFmtId="0">
      <sharedItems containsString="0" containsBlank="1" containsNumber="1" containsInteger="1" minValue="0" maxValue="23"/>
    </cacheField>
    <cacheField name="Moisture" numFmtId="0">
      <sharedItems containsSemiMixedTypes="0" containsString="0" containsNumber="1" minValue="7.6" maxValue="14.7"/>
    </cacheField>
    <cacheField name="Nut Count" numFmtId="0">
      <sharedItems containsSemiMixedTypes="0" containsString="0" containsNumber="1" containsInteger="1" minValue="137" maxValue="1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3.704548379632" createdVersion="8" refreshedVersion="8" minRefreshableVersion="3" recordCount="220" xr:uid="{87BF9AC8-9E93-41CD-95CB-2FFEA61042F2}">
  <cacheSource type="worksheet">
    <worksheetSource ref="A1:BK221" sheet="Source data"/>
  </cacheSource>
  <cacheFields count="63">
    <cacheField name="SL No." numFmtId="0">
      <sharedItems containsSemiMixedTypes="0" containsString="0" containsNumber="1" containsInteger="1" minValue="1" maxValue="220"/>
    </cacheField>
    <cacheField name="Date" numFmtId="14">
      <sharedItems containsNonDate="0" containsDate="1" containsString="0" containsBlank="1" minDate="2026-06-18T00:00:00" maxDate="2026-08-20T00:00:00"/>
    </cacheField>
    <cacheField name="Month" numFmtId="14">
      <sharedItems/>
    </cacheField>
    <cacheField name="Category" numFmtId="14">
      <sharedItems containsBlank="1" count="4">
        <s v="Receipts"/>
        <s v="Transfer"/>
        <s v="Storage BIN"/>
        <m/>
      </sharedItems>
    </cacheField>
    <cacheField name="COUNTRY" numFmtId="14">
      <sharedItems containsBlank="1"/>
    </cacheField>
    <cacheField name="RCN Sizes Involved" numFmtId="14">
      <sharedItems containsBlank="1"/>
    </cacheField>
    <cacheField name="BIN NO" numFmtId="0">
      <sharedItems containsBlank="1" count="19">
        <s v="-"/>
        <s v="ANA-05A"/>
        <s v="BIN-02A"/>
        <s v="BIN-09"/>
        <s v="ANA-02A"/>
        <s v="ANA-02B"/>
        <s v="BIN-03A"/>
        <s v="BIN-08A"/>
        <s v="BIN-04A"/>
        <s v="BIN-10"/>
        <s v="BIN-12"/>
        <s v="BIN-08B"/>
        <s v="BIN-02B"/>
        <s v="BIN-06"/>
        <s v="BOUAKE"/>
        <s v="BIN-03B"/>
        <s v="BIN-016"/>
        <s v="BIN-010"/>
        <m/>
      </sharedItems>
    </cacheField>
    <cacheField name="Supplier" numFmtId="0">
      <sharedItems containsBlank="1" count="6">
        <s v="CPAS.SCOOPS"/>
        <s v="-"/>
        <s v="I C F B (0401.0177)"/>
        <s v="ANAGROCI UT CCA(0201-112610-0037)"/>
        <s v="ANAGROCI"/>
        <m/>
      </sharedItems>
    </cacheField>
    <cacheField name="Truck No" numFmtId="0">
      <sharedItems containsBlank="1"/>
    </cacheField>
    <cacheField name="Origin" numFmtId="0">
      <sharedItems containsBlank="1" count="6">
        <s v="SASSANDRA"/>
        <s v="-"/>
        <s v="DALOA"/>
        <s v="KONG"/>
        <s v="BOUAKE"/>
        <m/>
      </sharedItems>
    </cacheField>
    <cacheField name="Crop Year" numFmtId="0">
      <sharedItems containsString="0" containsBlank="1" containsNumber="1" containsInteger="1" minValue="2026" maxValue="2026"/>
    </cacheField>
    <cacheField name="BTM No / FICHE NO" numFmtId="0">
      <sharedItems containsBlank="1" containsMixedTypes="1" containsNumber="1" containsInteger="1" minValue="101" maxValue="51701"/>
    </cacheField>
    <cacheField name="Tested RCN (g)" numFmtId="166">
      <sharedItems containsString="0" containsBlank="1" containsNumber="1" containsInteger="1" minValue="1000" maxValue="1000"/>
    </cacheField>
    <cacheField name="Nut Count" numFmtId="166">
      <sharedItems containsString="0" containsBlank="1" containsNumber="1" containsInteger="1" minValue="160" maxValue="196"/>
    </cacheField>
    <cacheField name="RCN Moisture (%)" numFmtId="166">
      <sharedItems containsString="0" containsBlank="1" containsNumber="1" minValue="7.3" maxValue="9.5"/>
    </cacheField>
    <cacheField name="Total Ck (g)" numFmtId="43">
      <sharedItems containsString="0" containsBlank="1" containsNumber="1" containsInteger="1" minValue="0" maxValue="310"/>
    </cacheField>
    <cacheField name="CK Moisture (%)" numFmtId="166">
      <sharedItems containsString="0" containsBlank="1" containsNumber="1" minValue="7" maxValue="8.9"/>
    </cacheField>
    <cacheField name="Healty Ck  (g)" numFmtId="0">
      <sharedItems containsString="0" containsBlank="1" containsNumber="1" containsInteger="1" minValue="178" maxValue="261"/>
    </cacheField>
    <cacheField name="Spotted CK (g)" numFmtId="0">
      <sharedItems containsString="0" containsBlank="1" containsNumber="1" containsInteger="1" minValue="6" maxValue="30"/>
    </cacheField>
    <cacheField name="Premature CK (g)" numFmtId="0">
      <sharedItems containsString="0" containsBlank="1" containsNumber="1" containsInteger="1" minValue="3" maxValue="23"/>
    </cacheField>
    <cacheField name="Rotten/Mouldy CK (g)" numFmtId="0">
      <sharedItems containsString="0" containsBlank="1" containsNumber="1" containsInteger="1" minValue="8" maxValue="67"/>
    </cacheField>
    <cacheField name="Insect Damage CK (g)" numFmtId="0">
      <sharedItems containsString="0" containsBlank="1" containsNumber="1" containsInteger="1" minValue="0" maxValue="0"/>
    </cacheField>
    <cacheField name="Other rejection /Oil (g)" numFmtId="0">
      <sharedItems containsString="0" containsBlank="1" containsNumber="1" containsInteger="1" minValue="0" maxValue="6"/>
    </cacheField>
    <cacheField name="Void (g)" numFmtId="0">
      <sharedItems containsString="0" containsBlank="1" containsNumber="1" containsInteger="1" minValue="0" maxValue="48"/>
    </cacheField>
    <cacheField name="Fruit" numFmtId="0">
      <sharedItems containsString="0" containsBlank="1" containsNumber="1" containsInteger="1" minValue="0" maxValue="10"/>
    </cacheField>
    <cacheField name="KOR (lbs)" numFmtId="43">
      <sharedItems containsBlank="1" containsMixedTypes="1" containsNumber="1" minValue="36.067256" maxValue="48.060280000000006"/>
    </cacheField>
    <cacheField name="SHOT (lbs)" numFmtId="43">
      <sharedItems containsBlank="1" containsMixedTypes="1" containsNumber="1" minValue="38.977328" maxValue="50.970352000000005"/>
    </cacheField>
    <cacheField name="FOT (lbs)" numFmtId="43">
      <sharedItems containsMixedTypes="1" containsNumber="1" minValue="48.853936000000004" maxValue="54.674080000000004"/>
    </cacheField>
    <cacheField name="Ck Input Borma" numFmtId="0">
      <sharedItems containsString="0" containsBlank="1" containsNumber="1" containsInteger="1" minValue="178" maxValue="261"/>
    </cacheField>
    <cacheField name="Ck Output Borma" numFmtId="43">
      <sharedItems containsString="0" containsBlank="1" containsNumber="1" minValue="149" maxValue="219"/>
    </cacheField>
    <cacheField name="Testa going Output " numFmtId="0">
      <sharedItems containsString="0" containsBlank="1" containsNumber="1" containsInteger="1" minValue="23" maxValue="45"/>
    </cacheField>
    <cacheField name="VALIDATION BORMA" numFmtId="43">
      <sharedItems containsSemiMixedTypes="0" containsString="0" containsNumber="1" minValue="-19.5" maxValue="0"/>
    </cacheField>
    <cacheField name="Surface Defects CK detected after Peeling (g)" numFmtId="43">
      <sharedItems containsSemiMixedTypes="0" containsString="0" containsNumber="1" minValue="0" maxValue="49"/>
    </cacheField>
    <cacheField name="Normalise the Testa &amp; Moisture of Surface Defects" numFmtId="165">
      <sharedItems containsMixedTypes="1" containsNumber="1" minValue="9.6343771668446969" maxValue="59.515018247896535"/>
    </cacheField>
    <cacheField name="Total CK counting 50% in KOR (g)" numFmtId="165">
      <sharedItems containsSemiMixedTypes="0" containsString="0" containsNumber="1" containsInteger="1" minValue="0" maxValue="53"/>
    </cacheField>
    <cacheField name="Total CK counting 0% in KOR (g)" numFmtId="165">
      <sharedItems containsSemiMixedTypes="0" containsString="0" containsNumber="1" containsInteger="1" minValue="0" maxValue="67"/>
    </cacheField>
    <cacheField name="USEFUL CK for KOR (g)" numFmtId="165">
      <sharedItems containsSemiMixedTypes="0" containsString="0" containsNumber="1" minValue="0" maxValue="272.5"/>
    </cacheField>
    <cacheField name="CK Yield  (%)" numFmtId="9">
      <sharedItems containsMixedTypes="1" containsNumber="1" minValue="0.20449999999999999" maxValue="0.27250000000000002"/>
    </cacheField>
    <cacheField name="KOR Calc (LB)" numFmtId="43">
      <sharedItems containsMixedTypes="1" containsNumber="1" minValue="36.035242290748897" maxValue="48.017621145374449"/>
    </cacheField>
    <cacheField name="Testa Obtained_x000a_(%)" numFmtId="43">
      <sharedItems containsMixedTypes="1" containsNumber="1" minValue="12.376237623762377" maxValue="19.313304721030043"/>
    </cacheField>
    <cacheField name="FINAL HEALTHY CK (g)_x000a_(Obtained Testa  Corrected)" numFmtId="43">
      <sharedItems containsMixedTypes="1" containsNumber="1" minValue="154.19767441860463" maxValue="224.17322834645671"/>
    </cacheField>
    <cacheField name="FINAL DEFECTIVE CK (g)_x000a_(Obtained Testa  Corrected)" numFmtId="43">
      <sharedItems containsMixedTypes="1" containsNumber="1" minValue="29.75" maxValue="97.889534883720927"/>
    </cacheField>
    <cacheField name="% Good CK vs total CK" numFmtId="164">
      <sharedItems containsMixedTypes="1" containsNumber="1" minValue="0.43055196451899175" maxValue="0.82086035169666161"/>
    </cacheField>
    <cacheField name="% Bad CK vs total CK" numFmtId="164">
      <sharedItems containsMixedTypes="1" containsNumber="1" minValue="0.17913964830333839" maxValue="0.5694480354810082"/>
    </cacheField>
    <cacheField name="FINAL HEALTHY CK (% vs RCN)_x000a_= MAX WW YIELD" numFmtId="164">
      <sharedItems containsMixedTypes="1" containsNumber="1" minValue="0.15419767441860463" maxValue="0.2241732283464567"/>
    </cacheField>
    <cacheField name="FINAL DEFECTIVE CK (% vs RCN)" numFmtId="164">
      <sharedItems containsMixedTypes="1" containsNumber="1" minValue="2.9749999999999999E-2" maxValue="9.788953488372093E-2"/>
    </cacheField>
    <cacheField name="MAX TOTAL YIELD" numFmtId="164">
      <sharedItems containsMixedTypes="1" containsNumber="1" minValue="0.22893607305936076" maxValue="0.26500000000000001"/>
    </cacheField>
    <cacheField name="FINAL HEALTHY CK corrected to 4.5% moisture (g)" numFmtId="43">
      <sharedItems containsMixedTypes="1" containsNumber="1" minValue="148.22352368196761" maxValue="217.1311374036361"/>
    </cacheField>
    <cacheField name="FINAL DEFECTIVE CK corrected to 4.5% moisture (g)" numFmtId="43">
      <sharedItems containsMixedTypes="1" containsNumber="1" minValue="28.787408376963349" maxValue="94.09695604529405"/>
    </cacheField>
    <cacheField name="Max WW Yield %  _x000a_at 4.5 % moisture" numFmtId="10">
      <sharedItems containsMixedTypes="1" containsNumber="1" minValue="0.14822352368196762" maxValue="0.2171311374036361"/>
    </cacheField>
    <cacheField name="Max defective % corrected to 4.5% moisture" numFmtId="10">
      <sharedItems containsMixedTypes="1" containsNumber="1" minValue="2.878740837696335E-2" maxValue="9.4096956045294056E-2"/>
    </cacheField>
    <cacheField name="Max Total Yield % at 4.5 % moisture" numFmtId="10">
      <sharedItems containsMixedTypes="1" containsNumber="1" minValue="0.22150464032130823" maxValue="0.25638176608813956"/>
    </cacheField>
    <cacheField name="Before Peeled SPOT" numFmtId="43">
      <sharedItems containsSemiMixedTypes="0" containsString="0" containsNumber="1" minValue="0" maxValue="28.837696335078533"/>
    </cacheField>
    <cacheField name="After Peeled Spot" numFmtId="43">
      <sharedItems containsString="0" containsBlank="1" containsNumber="1" minValue="2" maxValue="15"/>
    </cacheField>
    <cacheField name="Before Peeled SSW/ Blemish" numFmtId="43">
      <sharedItems containsSemiMixedTypes="0" containsString="0" containsNumber="1" minValue="0" maxValue="22.108900523560209"/>
    </cacheField>
    <cacheField name="After Peeled SSW/ Blemish" numFmtId="43">
      <sharedItems containsString="0" containsBlank="1" containsNumber="1" minValue="3" maxValue="33"/>
    </cacheField>
    <cacheField name="Before Peeled Oil" numFmtId="43">
      <sharedItems containsSemiMixedTypes="0" containsString="0" containsNumber="1" minValue="0" maxValue="5.8228272251308901"/>
    </cacheField>
    <cacheField name="After Peeled Oil" numFmtId="43">
      <sharedItems containsString="0" containsBlank="1" containsNumber="1" minValue="0" maxValue="2"/>
    </cacheField>
    <cacheField name="Before Peeled Dessert" numFmtId="43">
      <sharedItems containsSemiMixedTypes="0" containsString="0" containsNumber="1" containsInteger="1" minValue="0" maxValue="0"/>
    </cacheField>
    <cacheField name="After Peeled Dessert" numFmtId="43">
      <sharedItems containsString="0" containsBlank="1" containsNumber="1" minValue="0" maxValue="9"/>
    </cacheField>
    <cacheField name="Total Defect (g)" numFmtId="43">
      <sharedItems containsSemiMixedTypes="0" containsString="0" containsNumber="1" minValue="0" maxValue="94.946596858638742"/>
    </cacheField>
    <cacheField name="Total Defect %" numFmtId="9">
      <sharedItems containsMixedTypes="1" containsNumber="1" minValue="0.10663801877190998" maxValue="0.42759056484546681"/>
    </cacheField>
    <cacheField name="Total Spot %" numFmtId="10">
      <sharedItems containsMixedTypes="1" containsNumber="1" minValue="4.77507442767683E-2" maxValue="0.2942127270810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n v="68687"/>
    <x v="0"/>
    <x v="0"/>
    <s v="SCAAMT COOP CA"/>
    <n v="52684"/>
    <n v="46.815999999999995"/>
    <n v="253"/>
    <n v="16"/>
    <n v="10"/>
    <n v="18"/>
    <n v="5"/>
    <n v="13"/>
    <n v="7.9"/>
    <n v="187"/>
  </r>
  <r>
    <n v="68684"/>
    <x v="1"/>
    <x v="0"/>
    <s v="SCAAMT COOP CA"/>
    <n v="49031"/>
    <n v="48.576000000000001"/>
    <n v="263"/>
    <n v="16"/>
    <n v="10"/>
    <n v="18"/>
    <n v="5"/>
    <n v="13"/>
    <n v="7.8"/>
    <n v="193"/>
  </r>
  <r>
    <n v="77593"/>
    <x v="1"/>
    <x v="0"/>
    <s v="SCAAMT COOP CA"/>
    <n v="38681"/>
    <n v="48.223999999999997"/>
    <n v="259"/>
    <n v="18"/>
    <n v="12"/>
    <n v="18"/>
    <n v="5"/>
    <n v="8"/>
    <n v="7.8"/>
    <n v="187"/>
  </r>
  <r>
    <n v="77584"/>
    <x v="0"/>
    <x v="0"/>
    <s v="COP JAVA SCOOP"/>
    <n v="45816"/>
    <n v="47.167999999999999"/>
    <n v="250"/>
    <n v="30"/>
    <n v="6"/>
    <n v="13"/>
    <n v="21"/>
    <n v="20"/>
    <n v="8.6"/>
    <n v="187"/>
  </r>
  <r>
    <n v="77585"/>
    <x v="0"/>
    <x v="0"/>
    <s v="SOVA SCOOP "/>
    <n v="48142"/>
    <n v="47.343999999999994"/>
    <n v="253"/>
    <n v="26"/>
    <n v="6"/>
    <n v="31"/>
    <n v="0"/>
    <n v="19"/>
    <n v="7.6"/>
    <n v="174"/>
  </r>
  <r>
    <n v="77591"/>
    <x v="0"/>
    <x v="0"/>
    <s v="SCAAMT COOP CA"/>
    <n v="39014"/>
    <n v="46.287999999999997"/>
    <n v="246"/>
    <n v="22"/>
    <n v="12"/>
    <n v="26"/>
    <n v="16"/>
    <n v="23"/>
    <n v="7.8"/>
    <n v="185"/>
  </r>
  <r>
    <n v="72555"/>
    <x v="0"/>
    <x v="0"/>
    <s v="COP JAVA SCOOP"/>
    <n v="42057"/>
    <n v="47.343999999999994"/>
    <n v="256"/>
    <n v="18"/>
    <n v="8"/>
    <n v="19"/>
    <n v="0"/>
    <n v="11"/>
    <n v="8.4"/>
    <n v="181"/>
  </r>
  <r>
    <n v="77583"/>
    <x v="0"/>
    <x v="0"/>
    <s v="COP JAVA SCOOP"/>
    <n v="45176"/>
    <n v="45.583999999999996"/>
    <n v="238"/>
    <n v="32"/>
    <n v="10"/>
    <n v="29"/>
    <n v="8"/>
    <n v="20"/>
    <n v="9.1"/>
    <n v="187"/>
  </r>
  <r>
    <n v="77665"/>
    <x v="2"/>
    <x v="0"/>
    <s v="SCAAMT COOP CA"/>
    <n v="41592"/>
    <n v="45.936"/>
    <n v="244"/>
    <n v="24"/>
    <n v="10"/>
    <n v="24"/>
    <n v="14"/>
    <n v="15"/>
    <n v="8.8000000000000007"/>
    <n v="189"/>
  </r>
  <r>
    <n v="77667"/>
    <x v="0"/>
    <x v="0"/>
    <s v="SCAAMT COOP CA"/>
    <n v="41669"/>
    <n v="46.991999999999997"/>
    <n v="256"/>
    <n v="14"/>
    <n v="8"/>
    <n v="31"/>
    <n v="12"/>
    <n v="0"/>
    <n v="8.6"/>
    <n v="184"/>
  </r>
  <r>
    <n v="77669"/>
    <x v="3"/>
    <x v="1"/>
    <s v="RCN SOCOSAM"/>
    <n v="32654"/>
    <n v="45.231999999999999"/>
    <n v="245"/>
    <n v="20"/>
    <n v="4"/>
    <n v="29"/>
    <n v="17"/>
    <n v="0"/>
    <n v="9.3000000000000007"/>
    <n v="170"/>
  </r>
  <r>
    <n v="77582"/>
    <x v="0"/>
    <x v="0"/>
    <s v="COP JAVA SCOOP"/>
    <n v="45402"/>
    <n v="47.08"/>
    <n v="254"/>
    <n v="20"/>
    <n v="7"/>
    <n v="22"/>
    <n v="8"/>
    <n v="8"/>
    <n v="9"/>
    <n v="181"/>
  </r>
  <r>
    <n v="77588"/>
    <x v="3"/>
    <x v="0"/>
    <s v="SCAAMT COOP CA"/>
    <n v="40403"/>
    <n v="45.231999999999999"/>
    <n v="239"/>
    <n v="28"/>
    <n v="8"/>
    <n v="29"/>
    <n v="13"/>
    <n v="16"/>
    <n v="9.1"/>
    <n v="182"/>
  </r>
  <r>
    <n v="77666"/>
    <x v="3"/>
    <x v="0"/>
    <s v="SCAAMT COOP CA"/>
    <n v="51900"/>
    <n v="45.583999999999996"/>
    <n v="244"/>
    <n v="20"/>
    <n v="10"/>
    <n v="28"/>
    <n v="16"/>
    <n v="0"/>
    <n v="8.6"/>
    <n v="190"/>
  </r>
  <r>
    <n v="68686"/>
    <x v="0"/>
    <x v="0"/>
    <s v="SCAAMT COOP CA"/>
    <n v="49022"/>
    <n v="46.287999999999997"/>
    <n v="245"/>
    <n v="28"/>
    <n v="8"/>
    <n v="8.6999999999999993"/>
    <n v="17"/>
    <n v="0"/>
    <n v="9.1999999999999993"/>
    <n v="185"/>
  </r>
  <r>
    <n v="77678"/>
    <x v="0"/>
    <x v="0"/>
    <s v="SCAAMT COOP CA"/>
    <n v="41279"/>
    <n v="46.463999999999999"/>
    <n v="247"/>
    <n v="26"/>
    <n v="8"/>
    <n v="9.8000000000000007"/>
    <n v="0"/>
    <n v="0"/>
    <n v="9.9"/>
    <n v="189"/>
  </r>
  <r>
    <n v="77581"/>
    <x v="0"/>
    <x v="0"/>
    <s v="COP JAVA SCOOP"/>
    <n v="44796"/>
    <n v="46.991999999999997"/>
    <n v="253"/>
    <n v="20"/>
    <n v="8"/>
    <n v="8.6"/>
    <n v="10"/>
    <n v="7"/>
    <n v="11.2"/>
    <n v="181"/>
  </r>
  <r>
    <n v="68685"/>
    <x v="0"/>
    <x v="0"/>
    <s v="SCAAMT COOP CA"/>
    <n v="50646"/>
    <n v="46.64"/>
    <n v="248"/>
    <n v="22"/>
    <n v="12"/>
    <n v="9.1"/>
    <n v="8"/>
    <n v="0"/>
    <n v="10.3"/>
    <n v="177"/>
  </r>
  <r>
    <n v="66643"/>
    <x v="2"/>
    <x v="0"/>
    <s v="SCAAMT COOP CA"/>
    <n v="52095"/>
    <n v="45.231999999999999"/>
    <n v="241"/>
    <n v="24"/>
    <n v="8"/>
    <n v="10.5"/>
    <n v="18"/>
    <n v="0"/>
    <n v="10.8"/>
    <n v="189"/>
  </r>
  <r>
    <n v="77630"/>
    <x v="2"/>
    <x v="2"/>
    <s v="RCN SCOOPS SKS"/>
    <n v="39613"/>
    <n v="45.143999999999998"/>
    <n v="239"/>
    <n v="20"/>
    <n v="15"/>
    <n v="17"/>
    <n v="20"/>
    <n v="0"/>
    <n v="9.9"/>
    <n v="175"/>
  </r>
  <r>
    <n v="77677"/>
    <x v="0"/>
    <x v="0"/>
    <s v="SCAAMT COOP CA"/>
    <n v="51373"/>
    <n v="46.111999999999995"/>
    <n v="250"/>
    <n v="18"/>
    <n v="6"/>
    <n v="20"/>
    <n v="4"/>
    <n v="0"/>
    <n v="9.3000000000000007"/>
    <n v="188"/>
  </r>
  <r>
    <n v="82102"/>
    <x v="3"/>
    <x v="0"/>
    <s v="SCAAMT COOP CA"/>
    <n v="40624"/>
    <n v="45.936"/>
    <n v="251"/>
    <n v="12"/>
    <n v="8"/>
    <n v="24"/>
    <n v="13"/>
    <n v="0"/>
    <n v="10.3"/>
    <n v="184"/>
  </r>
  <r>
    <n v="77676"/>
    <x v="4"/>
    <x v="3"/>
    <s v="SCAAMT COOP CA"/>
    <n v="48864"/>
    <n v="45.143999999999998"/>
    <n v="243"/>
    <n v="18"/>
    <n v="9"/>
    <n v="23"/>
    <n v="21"/>
    <n v="0"/>
    <n v="11"/>
    <n v="171"/>
  </r>
  <r>
    <n v="82161"/>
    <x v="2"/>
    <x v="0"/>
    <s v="COP JAVA SCOOP"/>
    <n v="45631"/>
    <n v="45.583999999999996"/>
    <n v="250"/>
    <n v="12"/>
    <n v="6"/>
    <n v="21"/>
    <n v="29"/>
    <n v="0"/>
    <n v="10.1"/>
    <n v="181"/>
  </r>
  <r>
    <n v="82103"/>
    <x v="1"/>
    <x v="0"/>
    <s v="SCAAMT COOP CA"/>
    <n v="49153"/>
    <n v="47.519999999999996"/>
    <n v="260"/>
    <n v="8"/>
    <n v="12"/>
    <n v="12"/>
    <n v="24"/>
    <n v="2"/>
    <n v="10"/>
    <n v="175"/>
  </r>
  <r>
    <n v="82105"/>
    <x v="0"/>
    <x v="0"/>
    <s v="SCAAMT COOP CA"/>
    <n v="53729"/>
    <n v="46.111999999999995"/>
    <n v="250"/>
    <n v="18"/>
    <n v="6"/>
    <n v="25"/>
    <n v="18"/>
    <n v="2"/>
    <n v="10.3"/>
    <n v="173"/>
  </r>
  <r>
    <n v="82104"/>
    <x v="0"/>
    <x v="0"/>
    <s v="SCAAMT COOP CA"/>
    <n v="52280"/>
    <n v="45.583999999999996"/>
    <n v="248"/>
    <n v="16"/>
    <n v="6"/>
    <n v="23"/>
    <n v="10"/>
    <n v="4"/>
    <n v="9.9"/>
    <n v="175"/>
  </r>
  <r>
    <n v="82108"/>
    <x v="0"/>
    <x v="0"/>
    <s v="SCAAMT COOP CA"/>
    <n v="38794"/>
    <n v="46.287999999999997"/>
    <n v="251"/>
    <n v="14"/>
    <n v="10"/>
    <n v="23"/>
    <n v="19"/>
    <n v="4"/>
    <n v="10.1"/>
    <n v="171"/>
  </r>
  <r>
    <n v="82146"/>
    <x v="4"/>
    <x v="4"/>
    <s v="SCOOPS WEBE(EUNI)"/>
    <n v="39234"/>
    <n v="45.055999999999997"/>
    <n v="240"/>
    <n v="22"/>
    <n v="10"/>
    <n v="21"/>
    <n v="9"/>
    <n v="3"/>
    <n v="12.6"/>
    <n v="176"/>
  </r>
  <r>
    <n v="82109"/>
    <x v="0"/>
    <x v="0"/>
    <s v="SCAAMT COOP CA"/>
    <n v="52347"/>
    <n v="46.111999999999995"/>
    <n v="250"/>
    <n v="14"/>
    <n v="10"/>
    <n v="22"/>
    <n v="22"/>
    <n v="4"/>
    <n v="10.6"/>
    <n v="188"/>
  </r>
  <r>
    <n v="82163"/>
    <x v="3"/>
    <x v="0"/>
    <s v="COP JAVA SCOOP"/>
    <n v="45663"/>
    <n v="45.583999999999996"/>
    <n v="246"/>
    <n v="16"/>
    <n v="10"/>
    <n v="25"/>
    <n v="27"/>
    <n v="0"/>
    <n v="10.6"/>
    <n v="179"/>
  </r>
  <r>
    <n v="70328"/>
    <x v="0"/>
    <x v="0"/>
    <s v="SCAAMT COOP CA"/>
    <n v="41826"/>
    <n v="46.64"/>
    <n v="258"/>
    <n v="6"/>
    <n v="8"/>
    <n v="25"/>
    <n v="11"/>
    <n v="9"/>
    <n v="10.1"/>
    <n v="179"/>
  </r>
  <r>
    <n v="82115"/>
    <x v="5"/>
    <x v="5"/>
    <s v="SCOOPS DPVICA"/>
    <n v="40055"/>
    <n v="43.823999999999998"/>
    <n v="234"/>
    <n v="16"/>
    <n v="14"/>
    <n v="21"/>
    <n v="24"/>
    <n v="4"/>
    <n v="11"/>
    <n v="172"/>
  </r>
  <r>
    <n v="82486"/>
    <x v="2"/>
    <x v="4"/>
    <s v="SCOOPS WEBE (EUNI)"/>
    <n v="41073"/>
    <n v="45.583999999999996"/>
    <n v="245"/>
    <n v="18"/>
    <n v="10"/>
    <n v="22"/>
    <n v="9"/>
    <n v="3"/>
    <n v="11.4"/>
    <n v="177"/>
  </r>
  <r>
    <n v="70329"/>
    <x v="0"/>
    <x v="0"/>
    <s v="SCAAMT COOP CA"/>
    <n v="50688"/>
    <n v="46.111999999999995"/>
    <n v="247"/>
    <n v="14"/>
    <n v="16"/>
    <n v="16"/>
    <n v="8"/>
    <n v="4"/>
    <n v="9.9"/>
    <n v="185"/>
  </r>
  <r>
    <n v="72634"/>
    <x v="3"/>
    <x v="0"/>
    <s v="DECARRE DAVID &amp; DJOUMA"/>
    <n v="33376"/>
    <n v="44.879999999999995"/>
    <n v="241"/>
    <n v="18"/>
    <n v="10"/>
    <n v="23"/>
    <n v="27"/>
    <n v="0"/>
    <n v="9.3000000000000007"/>
    <n v="193"/>
  </r>
  <r>
    <n v="83396"/>
    <x v="3"/>
    <x v="0"/>
    <s v="SCAAMT COOP CA"/>
    <n v="51174"/>
    <n v="47.167999999999999"/>
    <n v="256"/>
    <n v="14"/>
    <n v="10"/>
    <n v="18"/>
    <n v="18"/>
    <n v="3"/>
    <n v="10.199999999999999"/>
    <n v="186"/>
  </r>
  <r>
    <n v="82487"/>
    <x v="3"/>
    <x v="4"/>
    <s v="SCOOPS WEBE(EUNI)"/>
    <n v="40854"/>
    <n v="44.527999999999999"/>
    <n v="234"/>
    <n v="28"/>
    <n v="10"/>
    <n v="18"/>
    <n v="10"/>
    <n v="2"/>
    <n v="11.9"/>
    <n v="189"/>
  </r>
  <r>
    <n v="77595"/>
    <x v="3"/>
    <x v="0"/>
    <s v="SCOOPS AGRO NEGOCE"/>
    <n v="40335"/>
    <n v="45.055999999999997"/>
    <n v="240"/>
    <n v="18"/>
    <n v="14"/>
    <n v="29"/>
    <n v="8"/>
    <n v="3"/>
    <n v="9"/>
    <n v="189"/>
  </r>
  <r>
    <n v="83395"/>
    <x v="3"/>
    <x v="0"/>
    <s v="SCAAMT COOP CA"/>
    <n v="40227"/>
    <n v="45.936"/>
    <n v="245"/>
    <n v="18"/>
    <n v="14"/>
    <n v="23"/>
    <n v="8"/>
    <n v="2"/>
    <n v="10.8"/>
    <n v="183"/>
  </r>
  <r>
    <n v="83394"/>
    <x v="3"/>
    <x v="0"/>
    <s v="SCAAMT COOP CA"/>
    <n v="53411"/>
    <n v="45.407999999999994"/>
    <n v="238"/>
    <n v="22"/>
    <n v="18"/>
    <n v="28"/>
    <n v="14"/>
    <m/>
    <n v="9.9"/>
    <n v="188"/>
  </r>
  <r>
    <n v="82476"/>
    <x v="5"/>
    <x v="1"/>
    <s v="RCN SOCOSAM"/>
    <n v="28453"/>
    <n v="44.791999999999994"/>
    <n v="241"/>
    <n v="16"/>
    <n v="11"/>
    <n v="25"/>
    <n v="6"/>
    <n v="2"/>
    <n v="9.8000000000000007"/>
    <n v="176"/>
  </r>
  <r>
    <n v="82480"/>
    <x v="0"/>
    <x v="0"/>
    <s v="SCAAMT COOP CA"/>
    <n v="52055"/>
    <n v="46.287999999999997"/>
    <n v="248"/>
    <n v="16"/>
    <n v="14"/>
    <n v="27"/>
    <n v="6"/>
    <n v="2"/>
    <n v="9.8000000000000007"/>
    <n v="184"/>
  </r>
  <r>
    <n v="72609"/>
    <x v="3"/>
    <x v="6"/>
    <s v=" SCOOPS-SOCOSIDJI"/>
    <n v="40907"/>
    <n v="45.231999999999999"/>
    <n v="242"/>
    <n v="14"/>
    <n v="16"/>
    <n v="24"/>
    <n v="20"/>
    <n v="2"/>
    <n v="8.4"/>
    <n v="192"/>
  </r>
  <r>
    <n v="83398"/>
    <x v="5"/>
    <x v="7"/>
    <s v=" SCOOP  KOB S"/>
    <n v="31511"/>
    <n v="44.351999999999997"/>
    <n v="236"/>
    <n v="20"/>
    <n v="12"/>
    <n v="32"/>
    <n v="16"/>
    <n v="2"/>
    <n v="9.9"/>
    <n v="186"/>
  </r>
  <r>
    <n v="82162"/>
    <x v="5"/>
    <x v="0"/>
    <s v="COP JAVA SCOOP"/>
    <n v="44460"/>
    <n v="44.616"/>
    <n v="242"/>
    <n v="10"/>
    <n v="13"/>
    <n v="29"/>
    <n v="19"/>
    <n v="2"/>
    <n v="9.8000000000000007"/>
    <n v="182"/>
  </r>
  <r>
    <n v="82477"/>
    <x v="5"/>
    <x v="0"/>
    <s v="SCAAMT COOP CA"/>
    <n v="51870"/>
    <n v="44.263999999999996"/>
    <n v="238"/>
    <n v="16"/>
    <n v="11"/>
    <n v="29"/>
    <n v="22"/>
    <n v="3"/>
    <n v="9.5"/>
    <n v="187"/>
  </r>
  <r>
    <n v="82110"/>
    <x v="3"/>
    <x v="0"/>
    <s v="SCAAMT COOP CA"/>
    <n v="53155"/>
    <n v="44.879999999999995"/>
    <n v="244"/>
    <n v="14"/>
    <n v="8"/>
    <n v="28"/>
    <n v="19"/>
    <n v="2"/>
    <n v="9.1"/>
    <n v="188"/>
  </r>
  <r>
    <n v="82478"/>
    <x v="0"/>
    <x v="0"/>
    <s v="SCAAMT COOP CA"/>
    <n v="41855"/>
    <n v="45.936"/>
    <n v="245"/>
    <n v="18"/>
    <n v="14"/>
    <n v="23"/>
    <n v="8"/>
    <n v="2"/>
    <n v="10.8"/>
    <n v="183"/>
  </r>
  <r>
    <n v="82479"/>
    <x v="3"/>
    <x v="0"/>
    <s v="SCAAMT COOP CA"/>
    <n v="41122"/>
    <n v="45.847999999999999"/>
    <n v="248"/>
    <n v="13"/>
    <n v="12"/>
    <n v="29"/>
    <n v="18"/>
    <n v="3"/>
    <n v="9.3000000000000007"/>
    <n v="180"/>
  </r>
  <r>
    <n v="83407"/>
    <x v="5"/>
    <x v="0"/>
    <s v="SCAAMT COOP CA"/>
    <n v="42285"/>
    <n v="44.527999999999999"/>
    <n v="243"/>
    <n v="6"/>
    <n v="14"/>
    <n v="27"/>
    <n v="21"/>
    <n v="2"/>
    <n v="9.4"/>
    <n v="175"/>
  </r>
  <r>
    <n v="83406"/>
    <x v="5"/>
    <x v="0"/>
    <s v="COP JAVA SCOOP"/>
    <n v="45728"/>
    <n v="44.527999999999999"/>
    <n v="240"/>
    <n v="12"/>
    <n v="14"/>
    <n v="29"/>
    <n v="18"/>
    <n v="2"/>
    <n v="9.6"/>
    <n v="181"/>
  </r>
  <r>
    <n v="82015"/>
    <x v="5"/>
    <x v="2"/>
    <s v="SCOOPS COOPRES"/>
    <n v="45127"/>
    <n v="44.175999999999995"/>
    <n v="238"/>
    <n v="12"/>
    <n v="14"/>
    <n v="27"/>
    <n v="32"/>
    <n v="0"/>
    <n v="8.9"/>
    <n v="181"/>
  </r>
  <r>
    <n v="84376"/>
    <x v="5"/>
    <x v="8"/>
    <s v="SCOOPS DPVICA"/>
    <n v="40241"/>
    <n v="44.175999999999995"/>
    <n v="238"/>
    <n v="10"/>
    <n v="16"/>
    <n v="26"/>
    <n v="18"/>
    <n v="3"/>
    <n v="10.199999999999999"/>
    <n v="174"/>
  </r>
  <r>
    <n v="82296"/>
    <x v="5"/>
    <x v="9"/>
    <s v="SCOOPS ICFB"/>
    <n v="40233"/>
    <n v="44.175999999999995"/>
    <n v="240"/>
    <n v="12"/>
    <n v="10"/>
    <n v="24"/>
    <n v="19"/>
    <n v="3"/>
    <n v="9.8000000000000007"/>
    <n v="172"/>
  </r>
  <r>
    <n v="82495"/>
    <x v="6"/>
    <x v="10"/>
    <s v="SCOOP CA BENKADI"/>
    <n v="45590"/>
    <n v="44.351999999999997"/>
    <n v="233"/>
    <n v="20"/>
    <n v="18"/>
    <n v="30"/>
    <n v="11"/>
    <n v="3"/>
    <n v="11.2"/>
    <n v="183"/>
  </r>
  <r>
    <n v="83408"/>
    <x v="5"/>
    <x v="0"/>
    <s v="SCAAMT COOP CA"/>
    <n v="42323"/>
    <n v="44.351999999999997"/>
    <n v="243"/>
    <n v="6"/>
    <n v="12"/>
    <n v="24"/>
    <n v="29"/>
    <n v="2"/>
    <n v="8.6"/>
    <n v="190"/>
  </r>
  <r>
    <n v="83409"/>
    <x v="3"/>
    <x v="0"/>
    <s v="SCAAMT COOP CA"/>
    <n v="51029"/>
    <n v="43.911999999999999"/>
    <n v="241"/>
    <n v="17"/>
    <m/>
    <n v="28"/>
    <n v="20"/>
    <n v="2"/>
    <n v="9.1"/>
    <n v="187"/>
  </r>
  <r>
    <n v="84377"/>
    <x v="5"/>
    <x v="5"/>
    <s v="SCOOPS DPVICA"/>
    <n v="45172"/>
    <n v="42.943999999999996"/>
    <n v="239"/>
    <n v="10"/>
    <m/>
    <n v="18"/>
    <n v="28"/>
    <n v="3"/>
    <n v="8.8000000000000007"/>
    <n v="169"/>
  </r>
  <r>
    <n v="83410"/>
    <x v="0"/>
    <x v="0"/>
    <s v="SCAAMT COOP CA"/>
    <n v="41182"/>
    <n v="45.698399999999992"/>
    <n v="247"/>
    <n v="9.3000000000000007"/>
    <n v="16"/>
    <n v="24"/>
    <n v="24"/>
    <n v="2"/>
    <n v="9.3000000000000007"/>
    <n v="182"/>
  </r>
  <r>
    <n v="83411"/>
    <x v="7"/>
    <x v="0"/>
    <s v="SCAAMT COOP CA"/>
    <n v="41220"/>
    <n v="46.2"/>
    <n v="249"/>
    <n v="8"/>
    <n v="18"/>
    <n v="22"/>
    <n v="0"/>
    <n v="2"/>
    <n v="10.1"/>
    <n v="185"/>
  </r>
  <r>
    <n v="82173"/>
    <x v="8"/>
    <x v="5"/>
    <s v="SCOOPS DPVICA"/>
    <n v="39950"/>
    <n v="41.975999999999999"/>
    <n v="223"/>
    <n v="15"/>
    <n v="16"/>
    <n v="23"/>
    <n v="29"/>
    <n v="3"/>
    <n v="8.8000000000000007"/>
    <n v="170"/>
  </r>
  <r>
    <n v="83404"/>
    <x v="9"/>
    <x v="0"/>
    <s v="COP JAVA SCOOP"/>
    <n v="45835"/>
    <n v="42.591999999999999"/>
    <n v="229"/>
    <n v="12"/>
    <n v="14"/>
    <n v="39"/>
    <n v="24"/>
    <n v="0"/>
    <n v="9.3000000000000007"/>
    <n v="185"/>
  </r>
  <r>
    <n v="82496"/>
    <x v="4"/>
    <x v="11"/>
    <s v="SCOOP CA BENKADI"/>
    <n v="43380"/>
    <n v="44.351999999999997"/>
    <n v="238"/>
    <n v="12"/>
    <n v="16"/>
    <n v="31"/>
    <n v="8"/>
    <n v="2"/>
    <n v="11.8"/>
    <n v="177"/>
  </r>
  <r>
    <n v="78893"/>
    <x v="3"/>
    <x v="0"/>
    <s v="SCAAMT COOP CA"/>
    <n v="39900"/>
    <n v="45.055999999999997"/>
    <n v="243"/>
    <n v="12"/>
    <n v="14"/>
    <n v="29"/>
    <n v="15"/>
    <n v="0"/>
    <n v="11"/>
    <n v="170"/>
  </r>
  <r>
    <n v="78892"/>
    <x v="3"/>
    <x v="0"/>
    <s v="SCAAMT COOP CA"/>
    <n v="50651"/>
    <n v="45.583999999999996"/>
    <n v="248"/>
    <n v="12"/>
    <n v="10"/>
    <n v="29"/>
    <n v="25"/>
    <n v="3"/>
    <n v="10.5"/>
    <n v="182"/>
  </r>
  <r>
    <n v="87134"/>
    <x v="10"/>
    <x v="7"/>
    <s v=" SCOOP  KOB S"/>
    <n v="36706"/>
    <n v="45.055999999999997"/>
    <n v="243"/>
    <n v="12"/>
    <n v="14"/>
    <n v="29"/>
    <n v="15"/>
    <n v="0"/>
    <n v="11"/>
    <n v="170"/>
  </r>
  <r>
    <n v="87137"/>
    <x v="5"/>
    <x v="0"/>
    <s v="SCAAMT COOP CA"/>
    <n v="40217"/>
    <n v="44.351999999999997"/>
    <n v="240"/>
    <n v="10"/>
    <n v="14"/>
    <n v="26"/>
    <n v="28"/>
    <n v="4"/>
    <n v="9.1"/>
    <n v="189"/>
  </r>
  <r>
    <n v="82297"/>
    <x v="0"/>
    <x v="12"/>
    <s v="SCOOPS ICFB"/>
    <n v="35953"/>
    <n v="45.936"/>
    <n v="249"/>
    <n v="10"/>
    <n v="14"/>
    <n v="20"/>
    <n v="16"/>
    <n v="3"/>
    <n v="9.4"/>
    <n v="169"/>
  </r>
  <r>
    <n v="87136"/>
    <x v="3"/>
    <x v="0"/>
    <s v="SCAAMT COOP CA"/>
    <n v="49215"/>
    <n v="44.879999999999995"/>
    <n v="238"/>
    <n v="20"/>
    <n v="14"/>
    <n v="21"/>
    <n v="15"/>
    <n v="5"/>
    <n v="9.8000000000000007"/>
    <n v="187"/>
  </r>
  <r>
    <n v="87135"/>
    <x v="3"/>
    <x v="0"/>
    <s v="SCAAMT COOP CA"/>
    <n v="50641"/>
    <n v="45.143999999999998"/>
    <n v="243"/>
    <n v="11"/>
    <n v="16"/>
    <n v="23"/>
    <n v="21"/>
    <n v="2"/>
    <n v="9.1"/>
    <n v="187"/>
  </r>
  <r>
    <n v="87139"/>
    <x v="6"/>
    <x v="0"/>
    <s v="SCAAMT COOP CA"/>
    <n v="53554"/>
    <n v="44"/>
    <n v="233"/>
    <n v="14"/>
    <n v="20"/>
    <n v="24"/>
    <n v="19"/>
    <n v="4"/>
    <n v="10"/>
    <n v="182"/>
  </r>
  <r>
    <n v="83405"/>
    <x v="5"/>
    <x v="0"/>
    <s v="COP JAVA SCOOP"/>
    <n v="45668"/>
    <n v="44.616"/>
    <n v="240"/>
    <n v="13"/>
    <n v="14"/>
    <n v="26"/>
    <n v="12"/>
    <n v="0"/>
    <n v="9.4"/>
    <n v="180"/>
  </r>
  <r>
    <n v="87138"/>
    <x v="5"/>
    <x v="0"/>
    <s v="SCAAMT COOP CA"/>
    <n v="43048"/>
    <n v="44.175999999999995"/>
    <n v="239"/>
    <n v="10"/>
    <n v="14"/>
    <n v="28"/>
    <n v="17"/>
    <n v="3"/>
    <n v="9.1999999999999993"/>
    <n v="184"/>
  </r>
  <r>
    <n v="78912"/>
    <x v="11"/>
    <x v="0"/>
    <s v="SCAAMT COOP CA"/>
    <n v="50362"/>
    <n v="44.351999999999997"/>
    <n v="241"/>
    <n v="12"/>
    <n v="10"/>
    <n v="30"/>
    <n v="18"/>
    <n v="3"/>
    <n v="10.8"/>
    <n v="187"/>
  </r>
  <r>
    <n v="78911"/>
    <x v="6"/>
    <x v="0"/>
    <s v="SCAAMT COOP CA"/>
    <n v="46982"/>
    <n v="44.175999999999995"/>
    <n v="238"/>
    <n v="16"/>
    <n v="10"/>
    <n v="31"/>
    <n v="14"/>
    <n v="2"/>
    <n v="10.4"/>
    <n v="185"/>
  </r>
  <r>
    <n v="87140"/>
    <x v="5"/>
    <x v="0"/>
    <s v="SCAAMT COOP CA"/>
    <n v="53476"/>
    <n v="44.44"/>
    <n v="238"/>
    <n v="17"/>
    <n v="12"/>
    <n v="24"/>
    <n v="19"/>
    <n v="3"/>
    <n v="9.9"/>
    <n v="182"/>
  </r>
  <r>
    <n v="87142"/>
    <x v="5"/>
    <x v="0"/>
    <s v="COP JAVA SCOOP"/>
    <n v="46189"/>
    <n v="44"/>
    <n v="233"/>
    <n v="20"/>
    <n v="14"/>
    <n v="25"/>
    <n v="18"/>
    <n v="3"/>
    <n v="11"/>
    <n v="184"/>
  </r>
  <r>
    <n v="37970"/>
    <x v="6"/>
    <x v="13"/>
    <s v="SCOOPS BENKADY-CINPA"/>
    <n v="41622"/>
    <n v="43.471999999999994"/>
    <n v="233"/>
    <n v="18"/>
    <n v="10"/>
    <n v="28"/>
    <n v="26"/>
    <n v="0"/>
    <n v="13.7"/>
    <n v="162"/>
  </r>
  <r>
    <n v="33286"/>
    <x v="11"/>
    <x v="14"/>
    <s v=" RCN SIMAYAT COOP CA"/>
    <n v="51192"/>
    <n v="43.647999999999996"/>
    <n v="230"/>
    <n v="22"/>
    <n v="14"/>
    <n v="24"/>
    <n v="21"/>
    <n v="2"/>
    <n v="12.2"/>
    <n v="183"/>
  </r>
  <r>
    <n v="23302"/>
    <x v="5"/>
    <x v="15"/>
    <s v=" RCN SCOOP BAOBAB"/>
    <n v="39941"/>
    <n v="44.175999999999995"/>
    <n v="238"/>
    <n v="16"/>
    <n v="10"/>
    <n v="22"/>
    <n v="26"/>
    <n v="3"/>
    <n v="9.1999999999999993"/>
    <n v="170"/>
  </r>
  <r>
    <n v="37636"/>
    <x v="3"/>
    <x v="16"/>
    <s v="SCOOPS DJGUISSEME"/>
    <n v="52089"/>
    <n v="42.064"/>
    <n v="228"/>
    <n v="14"/>
    <n v="8"/>
    <n v="36"/>
    <n v="16"/>
    <n v="0"/>
    <n v="11.6"/>
    <n v="184"/>
  </r>
  <r>
    <n v="87144"/>
    <x v="12"/>
    <x v="0"/>
    <s v="COP JAVA SCOOP"/>
    <n v="48711"/>
    <n v="44.879999999999995"/>
    <n v="238"/>
    <n v="20"/>
    <n v="14"/>
    <n v="21"/>
    <n v="15"/>
    <n v="0"/>
    <n v="11.2"/>
    <n v="183"/>
  </r>
  <r>
    <n v="87143"/>
    <x v="12"/>
    <x v="0"/>
    <s v="COP JAVA SCOOP"/>
    <n v="45011"/>
    <n v="44.351999999999997"/>
    <n v="237"/>
    <n v="16"/>
    <n v="14"/>
    <n v="25"/>
    <n v="20"/>
    <n v="0"/>
    <n v="11.8"/>
    <n v="172"/>
  </r>
  <r>
    <n v="31538"/>
    <x v="12"/>
    <x v="17"/>
    <s v="SCOOPS CDAG"/>
    <n v="40462"/>
    <n v="43.823999999999998"/>
    <n v="232"/>
    <n v="16"/>
    <n v="18"/>
    <n v="28"/>
    <n v="25"/>
    <n v="0"/>
    <n v="11.6"/>
    <n v="162"/>
  </r>
  <r>
    <n v="31541"/>
    <x v="5"/>
    <x v="17"/>
    <s v="SCOOPS CDAG"/>
    <n v="40484"/>
    <n v="44"/>
    <n v="238"/>
    <n v="14"/>
    <n v="10"/>
    <n v="28"/>
    <n v="19"/>
    <n v="0"/>
    <n v="11.4"/>
    <n v="176"/>
  </r>
  <r>
    <n v="78865"/>
    <x v="5"/>
    <x v="0"/>
    <s v="SCAAMT COOP CA"/>
    <n v="42971"/>
    <n v="44.175999999999995"/>
    <n v="238"/>
    <n v="16"/>
    <n v="10"/>
    <n v="23"/>
    <n v="25"/>
    <n v="2"/>
    <n v="10.1"/>
    <n v="183"/>
  </r>
  <r>
    <n v="78864"/>
    <x v="11"/>
    <x v="0"/>
    <s v="SCAAMT COOP CA"/>
    <n v="51166"/>
    <n v="44.527999999999999"/>
    <n v="242"/>
    <n v="12"/>
    <n v="10"/>
    <n v="29"/>
    <n v="12"/>
    <n v="2"/>
    <n v="10.5"/>
    <n v="177"/>
  </r>
  <r>
    <n v="78867"/>
    <x v="11"/>
    <x v="0"/>
    <s v="SCAAMT COOP CA"/>
    <n v="40640"/>
    <n v="44.44"/>
    <n v="240"/>
    <n v="15"/>
    <n v="10"/>
    <n v="29"/>
    <n v="17"/>
    <n v="0"/>
    <n v="10.7"/>
    <n v="181"/>
  </r>
  <r>
    <n v="23293"/>
    <x v="12"/>
    <x v="18"/>
    <s v=" RCN SCOOP BAOBAB"/>
    <n v="39162"/>
    <n v="43.823999999999998"/>
    <n v="234"/>
    <n v="16"/>
    <n v="14"/>
    <n v="21"/>
    <n v="25"/>
    <n v="2"/>
    <n v="11.2"/>
    <n v="178"/>
  </r>
  <r>
    <n v="30266"/>
    <x v="11"/>
    <x v="0"/>
    <s v="CPAS SCOOPS"/>
    <n v="57318"/>
    <n v="43.559999999999995"/>
    <n v="232"/>
    <n v="18"/>
    <n v="13"/>
    <n v="34"/>
    <n v="19"/>
    <n v="0"/>
    <n v="9.8000000000000007"/>
    <n v="185"/>
  </r>
  <r>
    <n v="78868"/>
    <x v="12"/>
    <x v="0"/>
    <s v="SCAAMT COOP CA"/>
    <n v="45928"/>
    <n v="44.527999999999999"/>
    <n v="240"/>
    <n v="12"/>
    <n v="14"/>
    <n v="30"/>
    <n v="13"/>
    <n v="2"/>
    <n v="10.8"/>
    <n v="176"/>
  </r>
  <r>
    <n v="37759"/>
    <x v="11"/>
    <x v="19"/>
    <s v="RCN SCOOPS COOPRAKA"/>
    <n v="36505"/>
    <n v="44.088000000000001"/>
    <n v="240"/>
    <n v="9"/>
    <n v="12"/>
    <n v="27"/>
    <n v="14"/>
    <n v="2"/>
    <n v="9.6"/>
    <n v="168"/>
  </r>
  <r>
    <n v="78913"/>
    <x v="11"/>
    <x v="20"/>
    <s v="SCAAMT COOP CA"/>
    <n v="44993"/>
    <n v="44.44"/>
    <n v="240"/>
    <n v="17"/>
    <n v="8"/>
    <n v="28"/>
    <n v="14"/>
    <n v="2"/>
    <n v="10.199999999999999"/>
    <n v="180"/>
  </r>
  <r>
    <n v="89781"/>
    <x v="9"/>
    <x v="21"/>
    <s v="KONE ADAMA "/>
    <n v="49746"/>
    <n v="42.855999999999995"/>
    <n v="226"/>
    <n v="18"/>
    <n v="17"/>
    <n v="22"/>
    <n v="31"/>
    <n v="3"/>
    <n v="12.3"/>
    <n v="169"/>
  </r>
  <r>
    <n v="89770"/>
    <x v="9"/>
    <x v="21"/>
    <s v="KONE ADAMA "/>
    <n v="49932"/>
    <n v="42.503999999999998"/>
    <n v="223"/>
    <n v="25"/>
    <n v="12"/>
    <n v="28"/>
    <n v="19"/>
    <n v="2"/>
    <n v="11.1"/>
    <n v="168"/>
  </r>
  <r>
    <n v="78874"/>
    <x v="11"/>
    <x v="0"/>
    <s v="SCAAMT COOP CA"/>
    <n v="52091"/>
    <n v="44.616"/>
    <n v="242"/>
    <n v="13"/>
    <n v="10"/>
    <n v="29"/>
    <n v="12"/>
    <n v="2"/>
    <n v="10.5"/>
    <n v="177"/>
  </r>
  <r>
    <n v="78870"/>
    <x v="11"/>
    <x v="0"/>
    <s v="SCAAMT COOP CA"/>
    <n v="49648"/>
    <n v="43.735999999999997"/>
    <n v="235"/>
    <n v="18"/>
    <n v="9"/>
    <n v="32"/>
    <n v="21"/>
    <n v="2"/>
    <n v="9.8000000000000007"/>
    <n v="184"/>
  </r>
  <r>
    <n v="60071"/>
    <x v="12"/>
    <x v="22"/>
    <s v="SCOOP CA BENKADI"/>
    <n v="42703"/>
    <n v="44.088000000000001"/>
    <n v="239"/>
    <n v="9"/>
    <n v="14"/>
    <n v="30"/>
    <n v="23"/>
    <n v="2"/>
    <n v="12.1"/>
    <n v="179"/>
  </r>
  <r>
    <n v="86148"/>
    <x v="12"/>
    <x v="23"/>
    <s v=" RCN SIMAYAT COOP CA"/>
    <n v="28323"/>
    <n v="42.943999999999996"/>
    <n v="226"/>
    <n v="24"/>
    <n v="12"/>
    <n v="34"/>
    <n v="12"/>
    <n v="2"/>
    <n v="11.1"/>
    <n v="189"/>
  </r>
  <r>
    <n v="89777"/>
    <x v="11"/>
    <x v="24"/>
    <s v="KONE ADAMA "/>
    <n v="48155"/>
    <n v="44.351999999999997"/>
    <n v="235"/>
    <n v="23"/>
    <n v="11"/>
    <n v="26"/>
    <n v="6"/>
    <n v="0"/>
    <n v="11.8"/>
    <n v="179"/>
  </r>
  <r>
    <n v="78869"/>
    <x v="6"/>
    <x v="0"/>
    <s v="SCAAMT COOP CA"/>
    <n v="49006"/>
    <n v="43.823999999999998"/>
    <n v="234"/>
    <n v="18"/>
    <n v="12"/>
    <n v="29"/>
    <n v="17"/>
    <n v="2"/>
    <n v="11.2"/>
    <n v="180"/>
  </r>
  <r>
    <n v="78873"/>
    <x v="11"/>
    <x v="0"/>
    <s v="SCAAMT COOP CA"/>
    <n v="51197"/>
    <n v="44.616"/>
    <n v="239"/>
    <n v="17"/>
    <n v="12"/>
    <n v="30"/>
    <n v="11"/>
    <n v="2"/>
    <n v="10.3"/>
    <n v="189"/>
  </r>
  <r>
    <n v="78875"/>
    <x v="11"/>
    <x v="0"/>
    <s v="SCAAMT COOP CA"/>
    <n v="43301"/>
    <n v="44.351999999999997"/>
    <n v="241"/>
    <n v="12"/>
    <n v="10"/>
    <n v="26"/>
    <n v="15"/>
    <n v="2"/>
    <n v="9.4"/>
    <n v="180"/>
  </r>
  <r>
    <n v="87141"/>
    <x v="12"/>
    <x v="7"/>
    <s v=" SCOOP  KOB S"/>
    <n v="37517"/>
    <n v="44.088000000000001"/>
    <n v="235"/>
    <n v="18"/>
    <n v="13"/>
    <n v="26"/>
    <n v="22"/>
    <n v="2"/>
    <n v="11.3"/>
    <n v="174"/>
  </r>
  <r>
    <n v="87150"/>
    <x v="11"/>
    <x v="0"/>
    <s v="COP JAVA SCOOP"/>
    <n v="52291"/>
    <n v="44.088000000000001"/>
    <n v="236"/>
    <n v="19"/>
    <n v="10"/>
    <n v="22"/>
    <n v="28"/>
    <n v="0"/>
    <n v="11.5"/>
    <n v="188"/>
  </r>
  <r>
    <n v="37581"/>
    <x v="9"/>
    <x v="5"/>
    <s v="SCOOPS DPVICA"/>
    <n v="44959"/>
    <n v="42.768000000000001"/>
    <n v="230"/>
    <n v="18"/>
    <n v="8"/>
    <n v="24"/>
    <n v="16"/>
    <n v="2"/>
    <n v="10.1"/>
    <n v="159"/>
  </r>
  <r>
    <n v="77597"/>
    <x v="12"/>
    <x v="25"/>
    <s v="SCOOPS AGRO NEGOCE"/>
    <n v="40410"/>
    <n v="44.527999999999999"/>
    <n v="240"/>
    <n v="16"/>
    <n v="10"/>
    <n v="22"/>
    <n v="28"/>
    <n v="0"/>
    <n v="8.1"/>
    <n v="176"/>
  </r>
  <r>
    <n v="78866"/>
    <x v="12"/>
    <x v="0"/>
    <s v="SCAAMT COOP CA"/>
    <n v="46280"/>
    <n v="44.263999999999996"/>
    <n v="241"/>
    <n v="14"/>
    <n v="7"/>
    <n v="28"/>
    <n v="13"/>
    <n v="0"/>
    <n v="10"/>
    <n v="178"/>
  </r>
  <r>
    <n v="3198"/>
    <x v="6"/>
    <x v="17"/>
    <s v="SCOOPS PS"/>
    <n v="37544"/>
    <n v="43.12"/>
    <n v="231"/>
    <n v="16"/>
    <n v="12"/>
    <n v="38"/>
    <n v="22"/>
    <n v="0"/>
    <n v="13.1"/>
    <n v="160"/>
  </r>
  <r>
    <n v="3197"/>
    <x v="11"/>
    <x v="17"/>
    <s v="SCOOPS PS"/>
    <n v="35114"/>
    <n v="44.175999999999995"/>
    <n v="238"/>
    <n v="16"/>
    <n v="10"/>
    <n v="23"/>
    <n v="25"/>
    <n v="0"/>
    <n v="8.1"/>
    <n v="174"/>
  </r>
  <r>
    <n v="78876"/>
    <x v="11"/>
    <x v="0"/>
    <s v="SCAAMT COOP CA"/>
    <n v="40588"/>
    <n v="44.088000000000001"/>
    <n v="238"/>
    <n v="15"/>
    <n v="10"/>
    <n v="20"/>
    <n v="15"/>
    <n v="0"/>
    <n v="10.199999999999999"/>
    <n v="182"/>
  </r>
  <r>
    <n v="87146"/>
    <x v="9"/>
    <x v="26"/>
    <s v="SCOOPS ICFB"/>
    <n v="33580"/>
    <n v="42.503999999999998"/>
    <n v="230"/>
    <n v="13"/>
    <n v="10"/>
    <n v="38"/>
    <n v="16"/>
    <n v="0"/>
    <n v="9.8000000000000007"/>
    <n v="172"/>
  </r>
  <r>
    <n v="30274"/>
    <x v="13"/>
    <x v="27"/>
    <s v="CPAS SCOOPS"/>
    <n v="55006"/>
    <n v="42.855999999999995"/>
    <n v="228"/>
    <n v="17"/>
    <n v="14"/>
    <n v="32"/>
    <n v="18"/>
    <n v="2"/>
    <n v="10"/>
    <n v="182"/>
  </r>
  <r>
    <n v="78872"/>
    <x v="11"/>
    <x v="0"/>
    <s v="SCAAMT COOP CA"/>
    <n v="51217"/>
    <n v="44.351999999999997"/>
    <n v="240"/>
    <n v="16"/>
    <n v="8"/>
    <n v="21"/>
    <n v="14"/>
    <n v="0"/>
    <n v="10.3"/>
    <n v="177"/>
  </r>
  <r>
    <n v="31888"/>
    <x v="6"/>
    <x v="28"/>
    <s v="SCOOPS CDAG"/>
    <n v="40201"/>
    <n v="43.735999999999997"/>
    <n v="237"/>
    <n v="11"/>
    <n v="12"/>
    <n v="32"/>
    <n v="17"/>
    <n v="2"/>
    <n v="14.1"/>
    <n v="160"/>
  </r>
  <r>
    <n v="78907"/>
    <x v="11"/>
    <x v="0"/>
    <s v="SCAAMT COOP CA"/>
    <n v="47790"/>
    <n v="44.351999999999997"/>
    <n v="240"/>
    <n v="16"/>
    <n v="8"/>
    <n v="27"/>
    <n v="14"/>
    <m/>
    <n v="10.5"/>
    <n v="183"/>
  </r>
  <r>
    <n v="78908"/>
    <x v="11"/>
    <x v="0"/>
    <s v="SCAAMT COOP CA"/>
    <n v="45263"/>
    <n v="43.735999999999997"/>
    <n v="235"/>
    <n v="10"/>
    <n v="17"/>
    <n v="32"/>
    <n v="17"/>
    <n v="2"/>
    <n v="11.2"/>
    <n v="179"/>
  </r>
  <r>
    <n v="78871"/>
    <x v="11"/>
    <x v="0"/>
    <s v="SCAAMT COOP CA"/>
    <n v="47684"/>
    <n v="44.616"/>
    <n v="238"/>
    <n v="20"/>
    <n v="11"/>
    <n v="29"/>
    <n v="25"/>
    <n v="0"/>
    <n v="9.6999999999999993"/>
    <n v="188"/>
  </r>
  <r>
    <n v="78910"/>
    <x v="11"/>
    <x v="0"/>
    <s v="SCAAMT COOP CA"/>
    <n v="49731"/>
    <n v="43.823999999999998"/>
    <n v="234"/>
    <n v="19"/>
    <n v="11"/>
    <n v="29"/>
    <n v="15"/>
    <n v="0"/>
    <n v="9.1999999999999993"/>
    <n v="185"/>
  </r>
  <r>
    <n v="78906"/>
    <x v="11"/>
    <x v="0"/>
    <s v="SCAAMT COOP CA"/>
    <n v="49466"/>
    <n v="44.351999999999997"/>
    <n v="240"/>
    <n v="16"/>
    <n v="8"/>
    <n v="21"/>
    <n v="14"/>
    <m/>
    <n v="10.1"/>
    <n v="186"/>
  </r>
  <r>
    <n v="29107"/>
    <x v="9"/>
    <x v="0"/>
    <s v="COP JAVA SCOOP"/>
    <n v="45376"/>
    <n v="41.711999999999996"/>
    <n v="220"/>
    <n v="18"/>
    <n v="16"/>
    <n v="41"/>
    <n v="21"/>
    <n v="4"/>
    <n v="10.3"/>
    <n v="183"/>
  </r>
  <r>
    <n v="19786"/>
    <x v="13"/>
    <x v="29"/>
    <s v="SCOOP EUNI"/>
    <n v="37788"/>
    <n v="42.503999999999998"/>
    <n v="230"/>
    <n v="13"/>
    <n v="10"/>
    <n v="38"/>
    <n v="16"/>
    <n v="0"/>
    <n v="11.2"/>
    <n v="169"/>
  </r>
  <r>
    <n v="30268"/>
    <x v="13"/>
    <x v="30"/>
    <s v="CPAS SCOOPS"/>
    <n v="39695"/>
    <n v="42.415999999999997"/>
    <n v="223"/>
    <n v="22"/>
    <n v="14"/>
    <n v="33"/>
    <n v="21"/>
    <n v="0"/>
    <n v="10.1"/>
    <n v="181"/>
  </r>
  <r>
    <n v="37582"/>
    <x v="9"/>
    <x v="19"/>
    <s v="SCOOPS DPVICA"/>
    <n v="45076"/>
    <n v="43.12"/>
    <n v="235"/>
    <n v="12"/>
    <n v="8"/>
    <n v="29"/>
    <n v="24"/>
    <n v="2"/>
    <n v="11.4"/>
    <n v="162"/>
  </r>
  <r>
    <n v="3196"/>
    <x v="14"/>
    <x v="17"/>
    <s v="SCOOPS PS"/>
    <n v="41305"/>
    <n v="43.12"/>
    <n v="233"/>
    <n v="13"/>
    <n v="11"/>
    <n v="41"/>
    <n v="22"/>
    <n v="2"/>
    <n v="12.1"/>
    <n v="168"/>
  </r>
  <r>
    <n v="771"/>
    <x v="13"/>
    <x v="31"/>
    <s v="SCOOPS CADEXI"/>
    <n v="43465"/>
    <n v="42.415999999999997"/>
    <n v="224"/>
    <n v="18"/>
    <n v="16"/>
    <n v="45"/>
    <n v="17"/>
    <n v="0"/>
    <n v="11.3"/>
    <n v="181"/>
  </r>
  <r>
    <n v="28912"/>
    <x v="14"/>
    <x v="32"/>
    <s v=" RCN SCOOP SAHS"/>
    <n v="41751"/>
    <n v="42.943999999999996"/>
    <n v="231"/>
    <n v="12"/>
    <n v="14"/>
    <n v="38"/>
    <n v="24"/>
    <n v="4"/>
    <n v="11.9"/>
    <n v="183"/>
  </r>
  <r>
    <n v="35970"/>
    <x v="13"/>
    <x v="20"/>
    <s v="OCEAN NEGOSE"/>
    <n v="43400"/>
    <n v="42.415999999999997"/>
    <n v="228"/>
    <n v="10"/>
    <n v="16"/>
    <n v="39"/>
    <n v="21"/>
    <n v="2"/>
    <n v="11.2"/>
    <n v="184"/>
  </r>
  <r>
    <n v="84903"/>
    <x v="13"/>
    <x v="15"/>
    <s v=" RCN SCOOP BAOBAB"/>
    <n v="39940"/>
    <n v="42.591999999999999"/>
    <n v="230"/>
    <n v="13"/>
    <n v="11"/>
    <n v="33"/>
    <n v="29"/>
    <n v="4"/>
    <n v="10.7"/>
    <n v="173"/>
  </r>
  <r>
    <n v="78878"/>
    <x v="14"/>
    <x v="0"/>
    <s v="SCAAMT COOP CA"/>
    <n v="41702"/>
    <n v="43.031999999999996"/>
    <n v="234"/>
    <n v="15"/>
    <n v="6"/>
    <n v="49"/>
    <n v="13"/>
    <n v="0"/>
    <n v="12.2"/>
    <n v="183"/>
  </r>
  <r>
    <n v="13213"/>
    <x v="13"/>
    <x v="33"/>
    <s v="SCOOP DYNAMAQUE-CDAG"/>
    <n v="40357"/>
    <n v="42.152000000000001"/>
    <n v="226"/>
    <n v="14"/>
    <n v="13"/>
    <n v="41"/>
    <n v="27"/>
    <n v="0"/>
    <n v="10.199999999999999"/>
    <n v="189"/>
  </r>
  <r>
    <n v="30272"/>
    <x v="15"/>
    <x v="0"/>
    <s v="CPAS SCOOPS"/>
    <n v="44942"/>
    <n v="42.152000000000001"/>
    <n v="226"/>
    <n v="14"/>
    <n v="13"/>
    <n v="41"/>
    <n v="27"/>
    <n v="0"/>
    <n v="10.199999999999999"/>
    <n v="189"/>
  </r>
  <r>
    <n v="89240"/>
    <x v="13"/>
    <x v="21"/>
    <s v="KONE ADAMA "/>
    <n v="41862"/>
    <n v="42.239999999999995"/>
    <n v="230"/>
    <n v="8"/>
    <n v="12"/>
    <n v="21"/>
    <n v="20"/>
    <n v="4"/>
    <n v="10.4"/>
    <n v="156"/>
  </r>
  <r>
    <n v="87109"/>
    <x v="16"/>
    <x v="0"/>
    <s v="COP JAVA SCOOP"/>
    <n v="46473"/>
    <n v="42.68"/>
    <n v="230"/>
    <n v="14"/>
    <n v="11"/>
    <n v="39"/>
    <n v="18"/>
    <m/>
    <n v="10.7"/>
    <n v="182"/>
  </r>
  <r>
    <n v="37583"/>
    <x v="14"/>
    <x v="19"/>
    <s v="SCOOPS DPVICA"/>
    <n v="41039"/>
    <n v="43.647999999999996"/>
    <n v="231"/>
    <n v="20"/>
    <n v="14"/>
    <n v="20"/>
    <n v="31"/>
    <n v="2"/>
    <n v="12.3"/>
    <n v="172"/>
  </r>
  <r>
    <n v="32083"/>
    <x v="14"/>
    <x v="34"/>
    <s v="SCOOPS CDAG"/>
    <n v="39329"/>
    <n v="43.735999999999997"/>
    <n v="236"/>
    <n v="12"/>
    <n v="13"/>
    <n v="44"/>
    <n v="7"/>
    <n v="2"/>
    <n v="12.2"/>
    <n v="180"/>
  </r>
  <r>
    <n v="87110"/>
    <x v="13"/>
    <x v="0"/>
    <s v="COP JAVA SCOOP"/>
    <n v="52905"/>
    <n v="42.768000000000001"/>
    <n v="230"/>
    <n v="12"/>
    <n v="14"/>
    <n v="16"/>
    <n v="28"/>
    <n v="0"/>
    <n v="10.8"/>
    <n v="179"/>
  </r>
  <r>
    <n v="35967"/>
    <x v="9"/>
    <x v="0"/>
    <s v="OCEAN NEGOSE"/>
    <n v="41877"/>
    <n v="42.591999999999999"/>
    <n v="231"/>
    <n v="12"/>
    <n v="10"/>
    <n v="39"/>
    <n v="21"/>
    <n v="0"/>
    <n v="11.4"/>
    <n v="178"/>
  </r>
  <r>
    <n v="35969"/>
    <x v="8"/>
    <x v="0"/>
    <s v="OCEAN NEGOSE"/>
    <n v="43689"/>
    <n v="42.064"/>
    <n v="227"/>
    <n v="14"/>
    <n v="10"/>
    <n v="16"/>
    <n v="28"/>
    <n v="3"/>
    <n v="9.3000000000000007"/>
    <n v="178"/>
  </r>
  <r>
    <n v="78880"/>
    <x v="8"/>
    <x v="0"/>
    <s v="SCAAMT COOP CA"/>
    <n v="51955"/>
    <n v="42.943999999999996"/>
    <n v="231"/>
    <n v="14"/>
    <n v="12"/>
    <n v="28"/>
    <n v="24"/>
    <n v="0"/>
    <n v="11.1"/>
    <n v="182"/>
  </r>
  <r>
    <n v="78879"/>
    <x v="14"/>
    <x v="0"/>
    <s v="SCAAMT COOP CA"/>
    <n v="52153"/>
    <n v="43.559999999999995"/>
    <n v="231"/>
    <n v="18"/>
    <n v="15"/>
    <n v="30"/>
    <n v="16"/>
    <n v="2"/>
    <n v="11.5"/>
    <n v="185"/>
  </r>
  <r>
    <n v="30273"/>
    <x v="14"/>
    <x v="0"/>
    <s v="CPAS SCOOPS"/>
    <n v="53718"/>
    <n v="43.735999999999997"/>
    <n v="236"/>
    <n v="14"/>
    <n v="11"/>
    <n v="26"/>
    <n v="29"/>
    <n v="2"/>
    <n v="10.3"/>
    <n v="183"/>
  </r>
  <r>
    <n v="36086"/>
    <x v="13"/>
    <x v="35"/>
    <s v="SCOOPS SCNB"/>
    <n v="38807"/>
    <n v="43.031999999999996"/>
    <n v="228"/>
    <n v="19"/>
    <n v="14"/>
    <n v="29"/>
    <n v="15"/>
    <n v="2"/>
    <n v="11.7"/>
    <n v="167"/>
  </r>
  <r>
    <n v="78891"/>
    <x v="14"/>
    <x v="0"/>
    <s v="SCAAMT COOP CA"/>
    <n v="48308"/>
    <n v="43.471999999999994"/>
    <n v="234"/>
    <n v="14"/>
    <n v="12"/>
    <n v="31"/>
    <n v="22"/>
    <m/>
    <n v="10.6"/>
    <n v="181"/>
  </r>
  <r>
    <n v="78888"/>
    <x v="11"/>
    <x v="0"/>
    <s v="SCAAMT COOP CA"/>
    <n v="51183"/>
    <n v="44.527999999999999"/>
    <n v="238"/>
    <n v="16"/>
    <n v="14"/>
    <n v="26"/>
    <n v="21"/>
    <n v="2"/>
    <n v="12.2"/>
    <n v="187"/>
  </r>
  <r>
    <n v="78877"/>
    <x v="13"/>
    <x v="0"/>
    <s v="SCAAMT COOP CA"/>
    <n v="41153"/>
    <n v="42.768000000000001"/>
    <n v="230"/>
    <n v="12"/>
    <n v="14"/>
    <n v="41"/>
    <n v="27"/>
    <n v="0"/>
    <n v="10.9"/>
    <n v="185"/>
  </r>
  <r>
    <n v="82288"/>
    <x v="13"/>
    <x v="36"/>
    <s v="SCOOPS ICFB"/>
    <n v="20232"/>
    <n v="42.415999999999997"/>
    <n v="227"/>
    <n v="18"/>
    <n v="10"/>
    <n v="48"/>
    <n v="8"/>
    <n v="0"/>
    <n v="9.1999999999999993"/>
    <n v="183"/>
  </r>
  <r>
    <n v="23297"/>
    <x v="14"/>
    <x v="37"/>
    <s v=" RCN SCOOP BAOBAB"/>
    <n v="40332"/>
    <n v="43.031999999999996"/>
    <n v="235"/>
    <n v="13"/>
    <n v="6"/>
    <n v="17"/>
    <n v="53"/>
    <n v="3"/>
    <n v="11.3"/>
    <n v="179"/>
  </r>
  <r>
    <n v="78890"/>
    <x v="11"/>
    <x v="0"/>
    <s v="SCAAMT COOP CA"/>
    <n v="50442"/>
    <n v="44.44"/>
    <n v="240"/>
    <n v="14"/>
    <n v="11"/>
    <n v="25"/>
    <n v="18"/>
    <n v="0"/>
    <n v="10.199999999999999"/>
    <n v="168"/>
  </r>
  <r>
    <n v="77674"/>
    <x v="14"/>
    <x v="17"/>
    <s v="COOP CA TOE SEYDOU"/>
    <n v="49438"/>
    <n v="44.44"/>
    <n v="240"/>
    <n v="14"/>
    <n v="11"/>
    <n v="25"/>
    <n v="18"/>
    <n v="0"/>
    <n v="10.199999999999999"/>
    <n v="168"/>
  </r>
  <r>
    <n v="30271"/>
    <x v="8"/>
    <x v="0"/>
    <s v="CPAS SCOOPS"/>
    <n v="44970"/>
    <n v="42.855999999999995"/>
    <n v="232"/>
    <n v="12"/>
    <n v="11"/>
    <n v="27"/>
    <n v="16"/>
    <n v="2"/>
    <n v="10.5"/>
    <n v="181"/>
  </r>
  <r>
    <n v="3191"/>
    <x v="14"/>
    <x v="34"/>
    <s v="SCOOPS PS"/>
    <n v="38677"/>
    <n v="43.735999999999997"/>
    <n v="231"/>
    <n v="19"/>
    <n v="16"/>
    <n v="19"/>
    <n v="21"/>
    <n v="0"/>
    <n v="12.5"/>
    <n v="167"/>
  </r>
  <r>
    <n v="78905"/>
    <x v="11"/>
    <x v="0"/>
    <s v="SCAAMT COOP CA"/>
    <n v="47352"/>
    <n v="44.088000000000001"/>
    <n v="235"/>
    <n v="21"/>
    <n v="10"/>
    <n v="29"/>
    <n v="20"/>
    <n v="0"/>
    <n v="11.1"/>
    <n v="182"/>
  </r>
  <r>
    <n v="75865"/>
    <x v="15"/>
    <x v="38"/>
    <s v="SCOOPS LAGANFIA"/>
    <n v="39686"/>
    <n v="41.623999999999995"/>
    <n v="221"/>
    <n v="21"/>
    <n v="10"/>
    <n v="28"/>
    <n v="34"/>
    <n v="3"/>
    <n v="10.6"/>
    <n v="165"/>
  </r>
  <r>
    <n v="14"/>
    <x v="14"/>
    <x v="39"/>
    <s v="SCOOP CA BENKADI"/>
    <n v="39297"/>
    <n v="43.647999999999996"/>
    <n v="238"/>
    <n v="14"/>
    <n v="6"/>
    <n v="35"/>
    <n v="19"/>
    <n v="0"/>
    <n v="12.7"/>
    <n v="186"/>
  </r>
  <r>
    <n v="30269"/>
    <x v="8"/>
    <x v="20"/>
    <s v="CPAS SCOOPS"/>
    <n v="43554"/>
    <n v="44.088000000000001"/>
    <n v="235"/>
    <n v="15"/>
    <n v="16"/>
    <n v="19"/>
    <n v="18"/>
    <n v="0"/>
    <n v="10.9"/>
    <n v="187"/>
  </r>
  <r>
    <n v="35968"/>
    <x v="8"/>
    <x v="20"/>
    <s v="OCEAN NEGOSE"/>
    <n v="40966"/>
    <n v="43.823999999999998"/>
    <n v="242"/>
    <n v="8"/>
    <n v="6"/>
    <n v="36"/>
    <n v="6"/>
    <n v="2"/>
    <n v="12.3"/>
    <n v="174"/>
  </r>
  <r>
    <n v="19784"/>
    <x v="14"/>
    <x v="40"/>
    <s v="SCOOPS EUNI(WEBE)"/>
    <n v="42504"/>
    <n v="44.263999999999996"/>
    <n v="240"/>
    <n v="16"/>
    <n v="7"/>
    <n v="25"/>
    <n v="19"/>
    <n v="0"/>
    <n v="10.4"/>
    <n v="169"/>
  </r>
  <r>
    <n v="65511"/>
    <x v="16"/>
    <x v="1"/>
    <s v="SCOOPS LAGANFIA"/>
    <n v="43410"/>
    <n v="43.647999999999996"/>
    <n v="238"/>
    <n v="11"/>
    <n v="9"/>
    <n v="28"/>
    <n v="16"/>
    <n v="0"/>
    <n v="14.3"/>
    <n v="165"/>
  </r>
  <r>
    <n v="30270"/>
    <x v="14"/>
    <x v="0"/>
    <s v="CPAS SCOOPS"/>
    <n v="42060"/>
    <n v="43.384"/>
    <n v="235"/>
    <n v="14"/>
    <n v="9"/>
    <n v="40"/>
    <n v="18"/>
    <n v="0"/>
    <n v="10.199999999999999"/>
    <n v="183"/>
  </r>
  <r>
    <n v="89784"/>
    <x v="16"/>
    <x v="19"/>
    <s v="KONE ADAMA "/>
    <n v="38983"/>
    <n v="44"/>
    <n v="240"/>
    <n v="8"/>
    <n v="12"/>
    <n v="17"/>
    <n v="20"/>
    <n v="2"/>
    <n v="12.8"/>
    <n v="170"/>
  </r>
  <r>
    <n v="78889"/>
    <x v="11"/>
    <x v="0"/>
    <s v="SCAAMT COOP CA"/>
    <n v="41538"/>
    <n v="43.559999999999995"/>
    <n v="233"/>
    <n v="18"/>
    <n v="11"/>
    <n v="39"/>
    <n v="28"/>
    <n v="2"/>
    <n v="11.1"/>
    <n v="180"/>
  </r>
  <r>
    <n v="37585"/>
    <x v="14"/>
    <x v="41"/>
    <s v="SCOOPS DPVICA"/>
    <n v="44988"/>
    <n v="43.471999999999994"/>
    <n v="234"/>
    <n v="18"/>
    <n v="8"/>
    <n v="22"/>
    <n v="14"/>
    <n v="3"/>
    <n v="10.9"/>
    <n v="164"/>
  </r>
  <r>
    <n v="32357"/>
    <x v="13"/>
    <x v="42"/>
    <s v="SCOOPS PS"/>
    <n v="48614"/>
    <n v="42.064"/>
    <n v="225"/>
    <n v="20"/>
    <n v="8"/>
    <n v="34"/>
    <n v="28"/>
    <n v="2"/>
    <n v="10"/>
    <n v="164"/>
  </r>
  <r>
    <n v="31981"/>
    <x v="8"/>
    <x v="43"/>
    <s v="SCOOPS LAGANFIA"/>
    <n v="36498"/>
    <n v="42.943999999999996"/>
    <n v="234"/>
    <n v="8"/>
    <n v="12"/>
    <n v="24"/>
    <n v="19"/>
    <n v="0"/>
    <n v="12.2"/>
    <n v="168"/>
  </r>
  <r>
    <n v="18444"/>
    <x v="8"/>
    <x v="0"/>
    <s v="RCN SCOOPS AH AL NOUR"/>
    <n v="38318"/>
    <n v="42.768000000000001"/>
    <n v="231"/>
    <n v="14"/>
    <n v="10"/>
    <n v="32"/>
    <n v="22"/>
    <n v="0"/>
    <n v="10.7"/>
    <n v="189"/>
  </r>
  <r>
    <n v="83831"/>
    <x v="8"/>
    <x v="44"/>
    <s v=" RCN SCOOP BAOBAB"/>
    <n v="39085"/>
    <n v="44"/>
    <n v="236"/>
    <n v="17"/>
    <n v="11"/>
    <n v="26"/>
    <n v="18"/>
    <n v="0"/>
    <n v="13.7"/>
    <n v="178"/>
  </r>
  <r>
    <n v="19783"/>
    <x v="11"/>
    <x v="40"/>
    <s v="SCOOP EUNI"/>
    <n v="40289"/>
    <n v="44.44"/>
    <n v="242"/>
    <n v="12"/>
    <n v="9"/>
    <n v="26"/>
    <n v="7"/>
    <m/>
    <n v="13.4"/>
    <n v="173"/>
  </r>
  <r>
    <n v="78882"/>
    <x v="14"/>
    <x v="0"/>
    <s v="SCAAMT COOP CA"/>
    <n v="47267"/>
    <n v="42.327999999999996"/>
    <n v="229"/>
    <n v="12"/>
    <n v="11"/>
    <n v="38"/>
    <n v="19"/>
    <n v="0"/>
    <n v="11.5"/>
    <n v="175"/>
  </r>
  <r>
    <n v="83830"/>
    <x v="14"/>
    <x v="44"/>
    <s v=" RCN SCOOP BAOBAB"/>
    <n v="39746"/>
    <n v="43.295999999999999"/>
    <n v="228"/>
    <n v="24"/>
    <n v="12"/>
    <n v="24"/>
    <n v="16"/>
    <n v="4"/>
    <n v="13.3"/>
    <n v="173"/>
  </r>
  <r>
    <n v="87093"/>
    <x v="9"/>
    <x v="36"/>
    <s v="CAPCD- SCOOPS"/>
    <n v="39634"/>
    <n v="41.975999999999999"/>
    <n v="225"/>
    <n v="14"/>
    <n v="13"/>
    <n v="32"/>
    <n v="17"/>
    <n v="0"/>
    <n v="12.3"/>
    <n v="182"/>
  </r>
  <r>
    <n v="32358"/>
    <x v="6"/>
    <x v="42"/>
    <s v="SCOOPS PS"/>
    <n v="45557"/>
    <n v="43.384"/>
    <n v="235"/>
    <n v="12"/>
    <n v="11"/>
    <n v="29"/>
    <n v="21"/>
    <n v="3"/>
    <n v="13.6"/>
    <n v="173"/>
  </r>
  <r>
    <n v="36095"/>
    <x v="11"/>
    <x v="45"/>
    <s v="SCOOPS SCNB"/>
    <n v="39769"/>
    <n v="42.064"/>
    <n v="225"/>
    <n v="16"/>
    <n v="12"/>
    <n v="30"/>
    <n v="17"/>
    <n v="2"/>
    <n v="10.8"/>
    <n v="172"/>
  </r>
  <r>
    <n v="87648"/>
    <x v="14"/>
    <x v="15"/>
    <s v="KONE ADAMA "/>
    <n v="41383"/>
    <n v="43.735999999999997"/>
    <n v="240"/>
    <n v="10"/>
    <n v="7"/>
    <n v="22"/>
    <n v="30"/>
    <n v="4"/>
    <n v="10.199999999999999"/>
    <n v="170"/>
  </r>
  <r>
    <n v="78883"/>
    <x v="14"/>
    <x v="0"/>
    <s v="SCAAMT COOP CA"/>
    <n v="39298"/>
    <n v="44.351999999999997"/>
    <n v="240"/>
    <n v="9"/>
    <n v="15"/>
    <n v="26"/>
    <n v="20"/>
    <n v="2"/>
    <n v="11.8"/>
    <n v="185"/>
  </r>
  <r>
    <n v="89242"/>
    <x v="11"/>
    <x v="46"/>
    <s v="KONE ADAMA "/>
    <n v="49979"/>
    <n v="43.823999999999998"/>
    <n v="236"/>
    <n v="15"/>
    <n v="11"/>
    <n v="25"/>
    <n v="35"/>
    <n v="3"/>
    <n v="11.4"/>
    <n v="165"/>
  </r>
  <r>
    <n v="78884"/>
    <x v="13"/>
    <x v="0"/>
    <s v="SCAAMT COOP CA"/>
    <n v="51199"/>
    <n v="42.68"/>
    <n v="232"/>
    <n v="10"/>
    <n v="11"/>
    <n v="26"/>
    <n v="44"/>
    <n v="0"/>
    <n v="11.5"/>
    <n v="184"/>
  </r>
  <r>
    <n v="28997"/>
    <x v="14"/>
    <x v="0"/>
    <s v="CPAS SCOOPS"/>
    <n v="54200"/>
    <n v="42.064"/>
    <n v="224"/>
    <n v="12"/>
    <n v="18"/>
    <n v="41"/>
    <n v="20"/>
    <n v="0"/>
    <n v="9.6999999999999993"/>
    <n v="187"/>
  </r>
  <r>
    <n v="19800"/>
    <x v="14"/>
    <x v="40"/>
    <s v="SCOOPS PAGNG YELEN (CDAG)"/>
    <n v="37684"/>
    <n v="42.768000000000001"/>
    <n v="227"/>
    <n v="22"/>
    <n v="10"/>
    <n v="17"/>
    <n v="20"/>
    <n v="4"/>
    <n v="12.7"/>
    <n v="170"/>
  </r>
  <r>
    <n v="23295"/>
    <x v="15"/>
    <x v="15"/>
    <s v=" RCN SCOOP BAOBAB"/>
    <n v="41610"/>
    <n v="43.12"/>
    <n v="232"/>
    <n v="10"/>
    <n v="16"/>
    <n v="23"/>
    <n v="22"/>
    <n v="4"/>
    <n v="11.5"/>
    <n v="175"/>
  </r>
  <r>
    <n v="78885"/>
    <x v="15"/>
    <x v="0"/>
    <s v="SCAAMT COOP CA"/>
    <n v="41543"/>
    <n v="43.207999999999998"/>
    <n v="232"/>
    <n v="15"/>
    <n v="12"/>
    <n v="33"/>
    <n v="13"/>
    <n v="0"/>
    <n v="11.4"/>
    <n v="180"/>
  </r>
  <r>
    <n v="78896"/>
    <x v="14"/>
    <x v="0"/>
    <s v="SCAAMT COOP CA"/>
    <n v="51435"/>
    <n v="43.471999999999994"/>
    <n v="237"/>
    <n v="10"/>
    <n v="10"/>
    <n v="35"/>
    <n v="21"/>
    <n v="0"/>
    <n v="10.9"/>
    <n v="172"/>
  </r>
  <r>
    <n v="35051"/>
    <x v="9"/>
    <x v="39"/>
    <s v="RCN SOCOOP ADD COOP CA"/>
    <n v="48176"/>
    <n v="44.088000000000001"/>
    <n v="239"/>
    <n v="13"/>
    <n v="10"/>
    <n v="25"/>
    <n v="12"/>
    <n v="0"/>
    <n v="10.1"/>
    <n v="171"/>
  </r>
  <r>
    <n v="78904"/>
    <x v="15"/>
    <x v="0"/>
    <s v="SCAAMT COOP CA"/>
    <n v="39426"/>
    <n v="43.207999999999998"/>
    <n v="231"/>
    <n v="14"/>
    <n v="15"/>
    <n v="20"/>
    <n v="46"/>
    <n v="0"/>
    <n v="10.1"/>
    <n v="171"/>
  </r>
  <r>
    <n v="32360"/>
    <x v="14"/>
    <x v="0"/>
    <s v="SCOOPS PS"/>
    <n v="45895"/>
    <n v="44"/>
    <n v="237"/>
    <n v="16"/>
    <n v="10"/>
    <n v="21"/>
    <n v="28"/>
    <n v="4"/>
    <n v="11.1"/>
    <n v="190"/>
  </r>
  <r>
    <n v="39822"/>
    <x v="8"/>
    <x v="42"/>
    <s v="SCOOPS PS"/>
    <n v="43912"/>
    <n v="42.064"/>
    <n v="228"/>
    <n v="11"/>
    <n v="11"/>
    <n v="36"/>
    <n v="17"/>
    <n v="0"/>
    <n v="11.3"/>
    <n v="168"/>
  </r>
  <r>
    <n v="37589"/>
    <x v="14"/>
    <x v="19"/>
    <s v="SCOOPS DPVICA"/>
    <n v="39407"/>
    <n v="44.175999999999995"/>
    <n v="239"/>
    <n v="16"/>
    <n v="8"/>
    <n v="24"/>
    <n v="18"/>
    <n v="0"/>
    <n v="13.4"/>
    <n v="168"/>
  </r>
  <r>
    <n v="78895"/>
    <x v="8"/>
    <x v="0"/>
    <s v="SCAAMT COOP CA"/>
    <n v="41416"/>
    <n v="42.68"/>
    <n v="225"/>
    <n v="19"/>
    <n v="16"/>
    <n v="45"/>
    <n v="21"/>
    <n v="2"/>
    <n v="10.8"/>
    <n v="182"/>
  </r>
  <r>
    <n v="78894"/>
    <x v="14"/>
    <x v="0"/>
    <s v="SCAAMT COOP CA"/>
    <n v="45259"/>
    <n v="43.471999999999994"/>
    <n v="234"/>
    <n v="18"/>
    <n v="8"/>
    <n v="37"/>
    <n v="24"/>
    <n v="0"/>
    <n v="11.1"/>
    <n v="183"/>
  </r>
  <r>
    <n v="37965"/>
    <x v="15"/>
    <x v="13"/>
    <s v="SCOOPS BENKADI-CDGA"/>
    <n v="43365"/>
    <n v="42.855999999999995"/>
    <n v="228"/>
    <n v="16"/>
    <n v="15"/>
    <n v="23"/>
    <n v="17"/>
    <n v="0"/>
    <n v="13.1"/>
    <n v="169"/>
  </r>
  <r>
    <n v="37577"/>
    <x v="17"/>
    <x v="19"/>
    <s v="SCOOPS DPVICA"/>
    <n v="44949"/>
    <n v="43.735999999999997"/>
    <n v="238"/>
    <n v="12"/>
    <n v="9"/>
    <n v="12"/>
    <n v="35"/>
    <n v="2"/>
    <n v="12.1"/>
    <n v="165"/>
  </r>
  <r>
    <n v="773"/>
    <x v="9"/>
    <x v="47"/>
    <s v="SCOOPS CADEXI"/>
    <n v="43149"/>
    <n v="42.943999999999996"/>
    <n v="234"/>
    <n v="8"/>
    <n v="12"/>
    <n v="38"/>
    <n v="19"/>
    <n v="2"/>
    <n v="10.8"/>
    <n v="185"/>
  </r>
  <r>
    <n v="89248"/>
    <x v="17"/>
    <x v="19"/>
    <s v="KONE ADAMA "/>
    <n v="49586"/>
    <n v="44.263999999999996"/>
    <n v="243"/>
    <n v="9"/>
    <n v="8"/>
    <n v="24"/>
    <n v="19"/>
    <n v="2"/>
    <n v="11.2"/>
    <n v="174"/>
  </r>
  <r>
    <n v="28914"/>
    <x v="11"/>
    <x v="32"/>
    <s v=" RCN SCOOP SAHS"/>
    <n v="40578"/>
    <n v="44.704000000000001"/>
    <n v="240"/>
    <n v="12"/>
    <n v="16"/>
    <n v="32"/>
    <n v="5"/>
    <n v="0"/>
    <n v="11.5"/>
    <n v="183"/>
  </r>
  <r>
    <n v="78897"/>
    <x v="17"/>
    <x v="0"/>
    <s v="SCAAMT COOP CA"/>
    <n v="53109"/>
    <n v="42.855999999999995"/>
    <n v="229"/>
    <n v="18"/>
    <n v="11"/>
    <n v="21"/>
    <n v="33"/>
    <n v="0"/>
    <n v="11.9"/>
    <n v="181"/>
  </r>
  <r>
    <n v="37813"/>
    <x v="13"/>
    <x v="19"/>
    <s v="RCN SCOOPS CORISPORT"/>
    <n v="39977"/>
    <n v="42.152000000000001"/>
    <n v="229"/>
    <n v="11"/>
    <n v="10"/>
    <n v="27"/>
    <n v="18"/>
    <n v="3"/>
    <n v="13.2"/>
    <n v="167"/>
  </r>
  <r>
    <n v="2582"/>
    <x v="15"/>
    <x v="13"/>
    <s v="BROUMA SARL"/>
    <n v="19346"/>
    <n v="42.768000000000001"/>
    <n v="229"/>
    <n v="20"/>
    <n v="8"/>
    <n v="24"/>
    <n v="27"/>
    <n v="3"/>
    <n v="11.3"/>
    <n v="164"/>
  </r>
  <r>
    <n v="14643"/>
    <x v="9"/>
    <x v="48"/>
    <s v="SCAN COOP CA"/>
    <n v="40027"/>
    <n v="43.031999999999996"/>
    <n v="233"/>
    <n v="12"/>
    <n v="11"/>
    <n v="19"/>
    <n v="41"/>
    <n v="3"/>
    <n v="11.8"/>
    <n v="160"/>
  </r>
  <r>
    <n v="28996"/>
    <x v="17"/>
    <x v="0"/>
    <s v="CPAS SCOOPS"/>
    <n v="46939"/>
    <n v="42.943999999999996"/>
    <n v="228"/>
    <n v="16"/>
    <n v="16"/>
    <n v="37"/>
    <n v="17"/>
    <n v="2"/>
    <n v="10.199999999999999"/>
    <n v="178"/>
  </r>
  <r>
    <n v="39825"/>
    <x v="13"/>
    <x v="17"/>
    <s v="SCOOPS PS"/>
    <n v="36727"/>
    <n v="43.207999999999998"/>
    <n v="231"/>
    <n v="17"/>
    <n v="12"/>
    <n v="31"/>
    <n v="16"/>
    <n v="0"/>
    <n v="12.9"/>
    <n v="161"/>
  </r>
  <r>
    <n v="35052"/>
    <x v="18"/>
    <x v="39"/>
    <s v="RCN SOCOOP ADD COOP CA"/>
    <n v="38695"/>
    <n v="44.44"/>
    <n v="240"/>
    <n v="14"/>
    <n v="11"/>
    <n v="48"/>
    <n v="12"/>
    <n v="0"/>
    <n v="10.9"/>
    <n v="191"/>
  </r>
  <r>
    <n v="62874"/>
    <x v="18"/>
    <x v="15"/>
    <s v=" RCN SCOOP BAOBAB"/>
    <n v="39951"/>
    <n v="43.12"/>
    <n v="230"/>
    <n v="14"/>
    <n v="16"/>
    <n v="25"/>
    <n v="38"/>
    <n v="2"/>
    <n v="9.8000000000000007"/>
    <n v="171"/>
  </r>
  <r>
    <n v="83413"/>
    <x v="13"/>
    <x v="32"/>
    <s v="SCOOPS ICFB"/>
    <n v="40255"/>
    <n v="42.503999999999998"/>
    <n v="234"/>
    <n v="8"/>
    <n v="7"/>
    <n v="40"/>
    <n v="18"/>
    <m/>
    <n v="13"/>
    <n v="180"/>
  </r>
  <r>
    <n v="78900"/>
    <x v="11"/>
    <x v="0"/>
    <s v="SCAAMT COOP CA"/>
    <n v="39501"/>
    <n v="44.527999999999999"/>
    <n v="242"/>
    <n v="13"/>
    <n v="9"/>
    <n v="26"/>
    <n v="38"/>
    <n v="0"/>
    <n v="10.199999999999999"/>
    <n v="183"/>
  </r>
  <r>
    <n v="78899"/>
    <x v="15"/>
    <x v="0"/>
    <s v="SCAAMT COOP CA"/>
    <n v="51065"/>
    <n v="42.152000000000001"/>
    <n v="228"/>
    <n v="13"/>
    <n v="10"/>
    <n v="38"/>
    <n v="9"/>
    <n v="0"/>
    <n v="10.1"/>
    <n v="175"/>
  </r>
  <r>
    <n v="37964"/>
    <x v="13"/>
    <x v="19"/>
    <s v="SCOOPS BENKADI-CDAG"/>
    <n v="39591"/>
    <n v="43.207999999999998"/>
    <n v="232"/>
    <n v="15"/>
    <n v="12"/>
    <n v="33"/>
    <n v="13"/>
    <n v="2"/>
    <n v="10.199999999999999"/>
    <n v="188"/>
  </r>
  <r>
    <n v="39786"/>
    <x v="18"/>
    <x v="19"/>
    <s v="RCN SOLANDA CI"/>
    <n v="50358"/>
    <n v="43.823999999999998"/>
    <n v="235"/>
    <n v="16"/>
    <n v="12"/>
    <n v="37"/>
    <n v="12"/>
    <n v="0"/>
    <n v="11.6"/>
    <n v="175"/>
  </r>
  <r>
    <n v="87107"/>
    <x v="11"/>
    <x v="0"/>
    <s v="COP JAVA SCOOP"/>
    <n v="52503"/>
    <n v="43.735999999999997"/>
    <n v="235"/>
    <n v="8"/>
    <n v="19"/>
    <n v="35"/>
    <n v="19"/>
    <n v="2"/>
    <n v="9.6999999999999993"/>
    <n v="181"/>
  </r>
  <r>
    <n v="89243"/>
    <x v="13"/>
    <x v="19"/>
    <s v="KONE ADAMA "/>
    <n v="35352"/>
    <n v="42.327999999999996"/>
    <n v="229"/>
    <n v="8"/>
    <n v="15"/>
    <n v="38"/>
    <n v="19"/>
    <n v="4"/>
    <n v="11.9"/>
    <n v="175"/>
  </r>
  <r>
    <n v="83832"/>
    <x v="17"/>
    <x v="15"/>
    <s v=" RCN SCOOP BAOBAB"/>
    <n v="40047"/>
    <n v="42.943999999999996"/>
    <n v="231"/>
    <n v="10"/>
    <n v="16"/>
    <n v="18"/>
    <n v="45"/>
    <n v="4"/>
    <n v="12.2"/>
    <n v="177"/>
  </r>
  <r>
    <n v="13554"/>
    <x v="17"/>
    <x v="49"/>
    <s v="CODJISA"/>
    <n v="39186"/>
    <n v="43.823999999999998"/>
    <n v="235"/>
    <n v="16"/>
    <n v="12"/>
    <n v="15"/>
    <n v="33"/>
    <n v="0"/>
    <n v="11.4"/>
    <n v="170"/>
  </r>
  <r>
    <n v="14644"/>
    <x v="13"/>
    <x v="21"/>
    <s v="SCAN COOP CA"/>
    <n v="40931"/>
    <n v="44.44"/>
    <n v="239"/>
    <n v="16"/>
    <n v="11"/>
    <n v="24"/>
    <n v="21"/>
    <n v="4"/>
    <n v="11.7"/>
    <n v="176"/>
  </r>
  <r>
    <n v="28995"/>
    <x v="14"/>
    <x v="0"/>
    <s v="CPAS SCOOPS"/>
    <n v="51626"/>
    <n v="43.823999999999998"/>
    <n v="234"/>
    <n v="17"/>
    <n v="13"/>
    <n v="22"/>
    <n v="16"/>
    <n v="0"/>
    <n v="11.3"/>
    <n v="165"/>
  </r>
  <r>
    <n v="36087"/>
    <x v="18"/>
    <x v="35"/>
    <s v="SCOOPS SCNB"/>
    <n v="39104"/>
    <n v="44.44"/>
    <n v="240"/>
    <n v="14"/>
    <n v="11"/>
    <n v="29"/>
    <n v="6"/>
    <n v="0"/>
    <n v="11.9"/>
    <n v="174"/>
  </r>
  <r>
    <n v="78902"/>
    <x v="17"/>
    <x v="0"/>
    <s v="SCAAMT COOP CA"/>
    <n v="51863"/>
    <n v="42.855999999999995"/>
    <n v="228"/>
    <n v="17"/>
    <n v="14"/>
    <n v="37"/>
    <n v="15"/>
    <n v="0"/>
    <n v="10.199999999999999"/>
    <n v="182"/>
  </r>
  <r>
    <n v="87106"/>
    <x v="17"/>
    <x v="0"/>
    <s v="COP JAVA SCOOP"/>
    <n v="52377"/>
    <n v="43.207999999999998"/>
    <n v="236"/>
    <n v="8"/>
    <n v="11"/>
    <n v="27"/>
    <n v="14"/>
    <n v="2"/>
    <n v="10.1"/>
    <n v="178"/>
  </r>
  <r>
    <n v="78901"/>
    <x v="18"/>
    <x v="0"/>
    <s v="SCAAMT COOP CA"/>
    <n v="56317"/>
    <n v="44.527999999999999"/>
    <n v="241"/>
    <n v="10"/>
    <n v="14"/>
    <n v="36"/>
    <n v="10"/>
    <n v="0"/>
    <n v="9.6999999999999993"/>
    <n v="182"/>
  </r>
  <r>
    <n v="89244"/>
    <x v="17"/>
    <x v="19"/>
    <s v="KONE ADAMA "/>
    <n v="45877"/>
    <n v="43.823999999999998"/>
    <n v="234"/>
    <n v="18"/>
    <n v="12"/>
    <n v="28"/>
    <n v="21"/>
    <n v="2"/>
    <n v="13.5"/>
    <n v="162"/>
  </r>
  <r>
    <n v="89245"/>
    <x v="14"/>
    <x v="19"/>
    <s v="KONE ADAMA "/>
    <n v="48544"/>
    <n v="43.12"/>
    <n v="234"/>
    <n v="10"/>
    <n v="12"/>
    <n v="24"/>
    <n v="32"/>
    <n v="0"/>
    <n v="10.4"/>
    <n v="171"/>
  </r>
  <r>
    <n v="9053"/>
    <x v="14"/>
    <x v="14"/>
    <s v="SCOOPS MOAYE BKE"/>
    <n v="39718"/>
    <n v="43.031999999999996"/>
    <n v="231"/>
    <n v="17"/>
    <n v="10"/>
    <n v="34"/>
    <n v="29"/>
    <n v="0"/>
    <n v="8.6"/>
    <n v="192"/>
  </r>
  <r>
    <n v="36093"/>
    <x v="6"/>
    <x v="50"/>
    <s v="SCOOPS SCNB"/>
    <n v="49861"/>
    <n v="43.559999999999995"/>
    <n v="236"/>
    <n v="13"/>
    <n v="10"/>
    <n v="27"/>
    <n v="23"/>
    <n v="2"/>
    <n v="14.7"/>
    <n v="173"/>
  </r>
  <r>
    <n v="83399"/>
    <x v="3"/>
    <x v="40"/>
    <s v="SCOOP EUNI"/>
    <n v="41760"/>
    <n v="44"/>
    <n v="239"/>
    <n v="12"/>
    <n v="10"/>
    <n v="31"/>
    <n v="10"/>
    <n v="0"/>
    <n v="12.6"/>
    <n v="180"/>
  </r>
  <r>
    <n v="16"/>
    <x v="13"/>
    <x v="51"/>
    <s v="SCOOP CA BENKADI"/>
    <n v="43860"/>
    <n v="41.711999999999996"/>
    <n v="222"/>
    <n v="13"/>
    <n v="17"/>
    <n v="46"/>
    <n v="24"/>
    <n v="0"/>
    <n v="12.1"/>
    <n v="175"/>
  </r>
  <r>
    <n v="78909"/>
    <x v="14"/>
    <x v="0"/>
    <s v="SCAAMT COOP CA"/>
    <n v="51788"/>
    <n v="41.623999999999995"/>
    <n v="227"/>
    <n v="8"/>
    <n v="11"/>
    <n v="40"/>
    <n v="18"/>
    <n v="0"/>
    <n v="10.7"/>
    <n v="179"/>
  </r>
  <r>
    <n v="39835"/>
    <x v="13"/>
    <x v="17"/>
    <s v="SCOOPS PS"/>
    <n v="46786"/>
    <n v="42.152000000000001"/>
    <n v="228"/>
    <n v="10"/>
    <n v="13"/>
    <n v="36"/>
    <n v="32"/>
    <n v="2"/>
    <n v="12.4"/>
    <n v="163"/>
  </r>
  <r>
    <n v="87037"/>
    <x v="13"/>
    <x v="30"/>
    <s v="CPAS SCOOPS"/>
    <n v="58887"/>
    <n v="42.064"/>
    <n v="230"/>
    <n v="10"/>
    <n v="8"/>
    <n v="47"/>
    <n v="13"/>
    <n v="2"/>
    <n v="11.7"/>
    <n v="182"/>
  </r>
  <r>
    <n v="37590"/>
    <x v="19"/>
    <x v="19"/>
    <s v="SCOOPS DPVICA"/>
    <n v="45125"/>
    <n v="43.12"/>
    <n v="232"/>
    <n v="15"/>
    <n v="11"/>
    <n v="20"/>
    <n v="27"/>
    <n v="3"/>
    <n v="12.4"/>
    <n v="168"/>
  </r>
  <r>
    <n v="18946"/>
    <x v="14"/>
    <x v="40"/>
    <s v="SCOOP EUNI"/>
    <n v="41007"/>
    <n v="44.704000000000001"/>
    <n v="243"/>
    <n v="12"/>
    <n v="10"/>
    <n v="28"/>
    <n v="24"/>
    <n v="0"/>
    <n v="12.2"/>
    <n v="174"/>
  </r>
  <r>
    <n v="78903"/>
    <x v="0"/>
    <x v="0"/>
    <s v="SCAAMT COOP CA"/>
    <n v="50395"/>
    <n v="41.095999999999997"/>
    <n v="221"/>
    <n v="10"/>
    <n v="15"/>
    <n v="34"/>
    <n v="26"/>
    <n v="0"/>
    <n v="10.199999999999999"/>
    <n v="182"/>
  </r>
  <r>
    <n v="66427"/>
    <x v="19"/>
    <x v="0"/>
    <s v="SCAAMT COOP CA"/>
    <n v="40843"/>
    <n v="41.975999999999999"/>
    <n v="227"/>
    <n v="10"/>
    <n v="13"/>
    <n v="48"/>
    <n v="16"/>
    <n v="0"/>
    <n v="10.1"/>
    <n v="168"/>
  </r>
  <r>
    <n v="36092"/>
    <x v="20"/>
    <x v="35"/>
    <s v="SCOOPS SCNB"/>
    <n v="35922"/>
    <n v="42.768000000000001"/>
    <n v="229"/>
    <n v="12"/>
    <n v="16"/>
    <n v="32"/>
    <n v="10"/>
    <n v="0"/>
    <n v="12.2"/>
    <n v="137"/>
  </r>
  <r>
    <n v="87145"/>
    <x v="14"/>
    <x v="12"/>
    <s v="SCOOPS ICFB"/>
    <n v="36079"/>
    <n v="42.327999999999996"/>
    <n v="229"/>
    <n v="12"/>
    <n v="11"/>
    <n v="38"/>
    <n v="20"/>
    <n v="2"/>
    <n v="9.8000000000000007"/>
    <n v="176"/>
  </r>
  <r>
    <n v="31508"/>
    <x v="3"/>
    <x v="35"/>
    <s v="SCOOPS MOAYE BKE"/>
    <n v="46794"/>
    <n v="43.295999999999999"/>
    <n v="228"/>
    <n v="19"/>
    <n v="17"/>
    <n v="36"/>
    <n v="28"/>
    <n v="0"/>
    <n v="8.8000000000000007"/>
    <n v="186"/>
  </r>
  <r>
    <n v="30275"/>
    <x v="0"/>
    <x v="30"/>
    <s v="CPAS SCOOPS"/>
    <n v="53583"/>
    <n v="41.095999999999997"/>
    <n v="220"/>
    <n v="13"/>
    <n v="14"/>
    <n v="48"/>
    <n v="25"/>
    <n v="0"/>
    <n v="12.3"/>
    <n v="184"/>
  </r>
  <r>
    <n v="70332"/>
    <x v="12"/>
    <x v="0"/>
    <s v="SCAAMT COOP CA"/>
    <n v="43112"/>
    <n v="44.44"/>
    <n v="239"/>
    <n v="18"/>
    <n v="9"/>
    <n v="25"/>
    <n v="31"/>
    <n v="0"/>
    <n v="8.5"/>
    <n v="186"/>
  </r>
  <r>
    <n v="87081"/>
    <x v="12"/>
    <x v="17"/>
    <s v="COOP CA TOE SEYDOU"/>
    <n v="36414"/>
    <n v="41.975999999999999"/>
    <n v="221"/>
    <n v="18"/>
    <n v="17"/>
    <n v="46"/>
    <n v="9"/>
    <n v="0"/>
    <n v="11.9"/>
    <n v="162"/>
  </r>
  <r>
    <n v="77598"/>
    <x v="18"/>
    <x v="49"/>
    <s v="SCOOPS AGRO NEGOCE"/>
    <n v="51963"/>
    <n v="44.879999999999995"/>
    <n v="236"/>
    <n v="20"/>
    <n v="18"/>
    <n v="15"/>
    <n v="24"/>
    <n v="2"/>
    <n v="10.7"/>
    <n v="172"/>
  </r>
  <r>
    <n v="39833"/>
    <x v="21"/>
    <x v="17"/>
    <s v="SCOOPS PS"/>
    <n v="42901"/>
    <n v="42.327999999999996"/>
    <n v="228"/>
    <n v="13"/>
    <n v="12"/>
    <n v="25"/>
    <n v="22"/>
    <n v="0"/>
    <n v="12.2"/>
    <n v="184"/>
  </r>
  <r>
    <n v="89077"/>
    <x v="12"/>
    <x v="52"/>
    <s v="KONE ADAMA "/>
    <n v="47210"/>
    <n v="44"/>
    <n v="234"/>
    <n v="15"/>
    <n v="17"/>
    <n v="19"/>
    <n v="28"/>
    <n v="2"/>
    <n v="9.4"/>
    <n v="180"/>
  </r>
  <r>
    <n v="78898"/>
    <x v="12"/>
    <x v="0"/>
    <s v="SCAAMT COOP CA"/>
    <n v="40616"/>
    <n v="42.239999999999995"/>
    <n v="225"/>
    <n v="12"/>
    <n v="18"/>
    <n v="41"/>
    <n v="14"/>
    <n v="2"/>
    <n v="9.1999999999999993"/>
    <n v="186"/>
  </r>
  <r>
    <n v="31509"/>
    <x v="17"/>
    <x v="35"/>
    <s v="SCOOPS MOAYE BKE"/>
    <n v="48562"/>
    <n v="43.295999999999999"/>
    <n v="230"/>
    <n v="20"/>
    <n v="12"/>
    <n v="31"/>
    <n v="19"/>
    <n v="4"/>
    <n v="10.4"/>
    <n v="175"/>
  </r>
  <r>
    <n v="31510"/>
    <x v="9"/>
    <x v="53"/>
    <s v="SCOOPS MOAYE BKE"/>
    <n v="42814"/>
    <n v="44.263999999999996"/>
    <n v="243"/>
    <n v="9"/>
    <n v="8"/>
    <n v="24"/>
    <n v="19"/>
    <n v="2"/>
    <n v="11.2"/>
    <n v="174"/>
  </r>
  <r>
    <n v="31512"/>
    <x v="22"/>
    <x v="54"/>
    <s v="SCOOPS MOAYE BKE"/>
    <n v="39199"/>
    <n v="43.295999999999999"/>
    <n v="228"/>
    <n v="19"/>
    <n v="17"/>
    <n v="36"/>
    <n v="28"/>
    <n v="0"/>
    <n v="8.8000000000000007"/>
    <n v="186"/>
  </r>
  <r>
    <n v="31511"/>
    <x v="22"/>
    <x v="54"/>
    <s v="SCOOPS MOAYE BKE"/>
    <n v="37453"/>
    <n v="44.44"/>
    <n v="239"/>
    <n v="18"/>
    <n v="9"/>
    <n v="25"/>
    <n v="31"/>
    <n v="0"/>
    <n v="8.5"/>
    <n v="186"/>
  </r>
  <r>
    <n v="35056"/>
    <x v="22"/>
    <x v="39"/>
    <s v="SCOOPS ADD COOPCA"/>
    <n v="45324"/>
    <n v="41.975999999999999"/>
    <n v="221"/>
    <n v="18"/>
    <n v="17"/>
    <n v="46"/>
    <n v="9"/>
    <n v="0"/>
    <n v="11.9"/>
    <n v="162"/>
  </r>
  <r>
    <n v="87036"/>
    <x v="9"/>
    <x v="20"/>
    <s v="CPAS SCOOPS"/>
    <n v="55150"/>
    <n v="43.295999999999999"/>
    <n v="230"/>
    <n v="20"/>
    <n v="12"/>
    <n v="31"/>
    <n v="19"/>
    <n v="4"/>
    <n v="10.4"/>
    <n v="175"/>
  </r>
  <r>
    <n v="87130"/>
    <x v="21"/>
    <x v="20"/>
    <s v="CPAS SCOOPS"/>
    <n v="55466"/>
    <n v="41.975999999999999"/>
    <n v="224"/>
    <n v="17"/>
    <n v="12"/>
    <n v="37"/>
    <n v="18"/>
    <n v="0"/>
    <n v="9.8000000000000007"/>
    <n v="163"/>
  </r>
  <r>
    <n v="30581"/>
    <x v="23"/>
    <x v="20"/>
    <s v="SCOOPS SAHS"/>
    <n v="37207"/>
    <n v="39.599999999999994"/>
    <n v="208"/>
    <n v="16"/>
    <n v="18"/>
    <n v="43"/>
    <n v="21"/>
    <n v="0"/>
    <n v="10"/>
    <n v="179"/>
  </r>
  <r>
    <n v="87102"/>
    <x v="23"/>
    <x v="55"/>
    <s v="SCOOPS ICFB"/>
    <n v="33966"/>
    <n v="38.896000000000001"/>
    <n v="205"/>
    <n v="16"/>
    <n v="16"/>
    <n v="54"/>
    <n v="8"/>
    <n v="0"/>
    <n v="8.9"/>
    <n v="184"/>
  </r>
  <r>
    <n v="28967"/>
    <x v="23"/>
    <x v="55"/>
    <s v="SCOOPS SAHS"/>
    <n v="27874"/>
    <n v="36.96"/>
    <n v="191"/>
    <n v="21"/>
    <n v="17"/>
    <n v="58"/>
    <n v="29"/>
    <n v="0"/>
    <n v="9.5"/>
    <n v="185"/>
  </r>
  <r>
    <n v="87080"/>
    <x v="23"/>
    <x v="56"/>
    <s v="ANAGROCI UT CcA"/>
    <n v="41837"/>
    <n v="41.36"/>
    <n v="215"/>
    <n v="24"/>
    <n v="16"/>
    <n v="31"/>
    <n v="30"/>
    <n v="2"/>
    <n v="8.8000000000000007"/>
    <n v="177"/>
  </r>
  <r>
    <n v="87090"/>
    <x v="23"/>
    <x v="20"/>
    <s v="ICFB"/>
    <n v="30444"/>
    <n v="37.839999999999996"/>
    <n v="204"/>
    <n v="12"/>
    <n v="10"/>
    <n v="71"/>
    <n v="9"/>
    <n v="0"/>
    <n v="8.1"/>
    <n v="17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n v="1"/>
    <d v="2026-06-18T00:00:00"/>
    <s v="Jun-26"/>
    <x v="0"/>
    <s v="IVC"/>
    <s v="All"/>
    <x v="0"/>
    <x v="0"/>
    <s v="1861kyO1/1648KR01"/>
    <x v="0"/>
    <n v="2026"/>
    <s v="-"/>
    <n v="1000"/>
    <n v="183"/>
    <n v="9.5"/>
    <n v="283"/>
    <n v="8.5"/>
    <n v="190"/>
    <n v="16"/>
    <n v="15"/>
    <n v="61"/>
    <n v="0"/>
    <n v="1"/>
    <n v="33"/>
    <n v="3"/>
    <n v="36.243624000000004"/>
    <n v="38.977328"/>
    <n v="49.912143999999998"/>
    <n v="190"/>
    <n v="153.5"/>
    <n v="26"/>
    <n v="-10.5"/>
    <n v="23.5"/>
    <n v="28.521074021644825"/>
    <n v="31"/>
    <n v="62"/>
    <n v="205.5"/>
    <n v="0.20549999999999999"/>
    <n v="36.21145374449339"/>
    <n v="14.484679665738161"/>
    <n v="162.4791086350975"/>
    <n v="79.529247910863518"/>
    <n v="0.57059691158429382"/>
    <n v="0.42940308841570607"/>
    <n v="0.16247910863509751"/>
    <n v="7.9529247910863521E-2"/>
    <n v="0.24200835654596103"/>
    <n v="155.67370094357508"/>
    <n v="76.198179935539386"/>
    <n v="0.15567370094357508"/>
    <n v="7.6198179935539387E-2"/>
    <n v="0.23187188087911448"/>
    <n v="15.329842931937172"/>
    <n v="13.5"/>
    <n v="14.3717277486911"/>
    <n v="3"/>
    <n v="0.95811518324607325"/>
    <n v="1.5"/>
    <n v="0"/>
    <n v="5.5"/>
    <n v="54.159685863874344"/>
    <n v="0.25577973938629678"/>
    <n v="0.13615458793858021"/>
  </r>
  <r>
    <n v="2"/>
    <d v="2026-06-18T00:00:00"/>
    <s v="Jun-26"/>
    <x v="0"/>
    <s v="IVC"/>
    <s v="All"/>
    <x v="0"/>
    <x v="0"/>
    <s v="1861kyO1/1648KR01"/>
    <x v="0"/>
    <n v="2026"/>
    <s v="-"/>
    <n v="1000"/>
    <n v="183"/>
    <n v="9.5"/>
    <n v="290"/>
    <n v="8.5"/>
    <n v="197"/>
    <n v="16"/>
    <n v="15"/>
    <n v="61"/>
    <n v="0"/>
    <n v="1"/>
    <n v="33"/>
    <n v="3"/>
    <n v="37.478200000000001"/>
    <n v="40.211904000000004"/>
    <n v="51.146720000000002"/>
    <n v="197"/>
    <n v="153.5"/>
    <n v="24"/>
    <n v="-19.5"/>
    <n v="25.5"/>
    <n v="30.687924266912955"/>
    <n v="31"/>
    <n v="62"/>
    <n v="212.5"/>
    <n v="0.21249999999999999"/>
    <n v="37.444933920704848"/>
    <n v="13.521126760563382"/>
    <n v="170.36338028169016"/>
    <n v="80.425352112676066"/>
    <n v="0.57348991632098989"/>
    <n v="0.42651008367901022"/>
    <n v="0.17036338028169015"/>
    <n v="8.0425352112676068E-2"/>
    <n v="0.25078873239436622"/>
    <n v="163.22774131701203"/>
    <n v="77.056750977066599"/>
    <n v="0.16322774131701204"/>
    <n v="7.7056750977066601E-2"/>
    <n v="0.24028449229407864"/>
    <n v="15.329842931937172"/>
    <n v="7"/>
    <n v="14.3717277486911"/>
    <n v="17.5"/>
    <n v="0.95811518324607325"/>
    <n v="0"/>
    <n v="0"/>
    <n v="1"/>
    <n v="56.159685863874344"/>
    <n v="0.25708225481737129"/>
    <n v="0.10221934617965679"/>
  </r>
  <r>
    <n v="3"/>
    <d v="2026-06-19T00:00:00"/>
    <s v="Jun-26"/>
    <x v="1"/>
    <s v="IVC"/>
    <s v="All"/>
    <x v="1"/>
    <x v="1"/>
    <s v="-"/>
    <x v="1"/>
    <n v="2026"/>
    <n v="1042"/>
    <n v="1000"/>
    <n v="188"/>
    <n v="7.4"/>
    <n v="296"/>
    <n v="7.8"/>
    <n v="245"/>
    <n v="17"/>
    <n v="14"/>
    <n v="20"/>
    <n v="0"/>
    <n v="0"/>
    <n v="11"/>
    <n v="6"/>
    <n v="45.943864000000005"/>
    <n v="48.677568000000001"/>
    <n v="52.204928000000002"/>
    <n v="245"/>
    <n v="202"/>
    <n v="35"/>
    <n v="-8"/>
    <n v="44"/>
    <n v="53.12684770769836"/>
    <n v="31"/>
    <n v="20"/>
    <n v="260.5"/>
    <n v="0.26050000000000001"/>
    <n v="45.903083700440526"/>
    <n v="14.767932489451477"/>
    <n v="208.81856540084385"/>
    <n v="43.46835443037974"/>
    <n v="0.64822010909561367"/>
    <n v="0.35177989090438633"/>
    <n v="0.20881856540084384"/>
    <n v="4.346835443037974E-2"/>
    <n v="0.25228691983122359"/>
    <n v="201.60284533987229"/>
    <n v="41.96630658095301"/>
    <n v="0.2016028453398723"/>
    <n v="4.196630658095301E-2"/>
    <n v="0.24356915192082532"/>
    <n v="16.412565445026178"/>
    <n v="12"/>
    <n v="13.516230366492145"/>
    <n v="27"/>
    <n v="0"/>
    <n v="0"/>
    <n v="0"/>
    <n v="5"/>
    <n v="73.928795811518327"/>
    <n v="0.2774450627180986"/>
    <n v="0.14065626457933753"/>
  </r>
  <r>
    <n v="4"/>
    <d v="2026-06-19T00:00:00"/>
    <s v="Jun-26"/>
    <x v="1"/>
    <s v="IVC"/>
    <s v="All"/>
    <x v="1"/>
    <x v="1"/>
    <s v="-"/>
    <x v="1"/>
    <n v="2026"/>
    <n v="1042"/>
    <n v="1000"/>
    <n v="188"/>
    <n v="7.4"/>
    <n v="289"/>
    <n v="7.8"/>
    <n v="235"/>
    <n v="13"/>
    <n v="17"/>
    <n v="24"/>
    <n v="0"/>
    <n v="0"/>
    <n v="39"/>
    <n v="4"/>
    <n v="44.091999999999999"/>
    <n v="46.737520000000004"/>
    <n v="50.970352000000005"/>
    <n v="235"/>
    <n v="199"/>
    <n v="31"/>
    <n v="-5"/>
    <n v="34"/>
    <n v="40.591247760067908"/>
    <n v="30"/>
    <n v="24"/>
    <n v="250"/>
    <n v="0.25"/>
    <n v="44.052863436123346"/>
    <n v="13.478260869565219"/>
    <n v="203.32608695652175"/>
    <n v="46.721739130434784"/>
    <n v="0.67269464442883076"/>
    <n v="0.32730535557116924"/>
    <n v="0.20332608695652174"/>
    <n v="4.6721739130434786E-2"/>
    <n v="0.25004782608695653"/>
    <n v="196.30015934441158"/>
    <n v="45.107270657864788"/>
    <n v="0.19630015934441158"/>
    <n v="4.5107270657864788E-2"/>
    <n v="0.24140743000227638"/>
    <n v="12.550785340314137"/>
    <n v="11"/>
    <n v="16.412565445026178"/>
    <n v="20"/>
    <n v="0"/>
    <n v="0"/>
    <n v="0"/>
    <n v="3"/>
    <n v="62.96335078534031"/>
    <n v="0.2461015839233823"/>
    <n v="0.11834565497645294"/>
  </r>
  <r>
    <n v="5"/>
    <d v="2026-06-19T00:00:00"/>
    <s v="Jun-26"/>
    <x v="2"/>
    <s v="IVC"/>
    <s v="All"/>
    <x v="2"/>
    <x v="1"/>
    <s v="-"/>
    <x v="1"/>
    <n v="2026"/>
    <s v="-"/>
    <n v="1000"/>
    <n v="191"/>
    <n v="7.9"/>
    <n v="307"/>
    <n v="7.5"/>
    <n v="260"/>
    <n v="11"/>
    <n v="10"/>
    <n v="22"/>
    <n v="0"/>
    <n v="4"/>
    <n v="14"/>
    <n v="5"/>
    <n v="47.707543999999999"/>
    <n v="49.559408000000005"/>
    <n v="54.144976"/>
    <n v="260"/>
    <n v="219"/>
    <n v="35"/>
    <n v="-6"/>
    <n v="25"/>
    <n v="29.828686954671209"/>
    <n v="21"/>
    <n v="26"/>
    <n v="270.5"/>
    <n v="0.27050000000000002"/>
    <n v="47.665198237885463"/>
    <n v="13.779527559055119"/>
    <n v="224.17322834645671"/>
    <n v="40.523622047244096"/>
    <n v="0.74974369070139668"/>
    <n v="0.25025630929860332"/>
    <n v="0.2241732283464567"/>
    <n v="4.0523622047244093E-2"/>
    <n v="0.26469685039370078"/>
    <n v="217.1311374036361"/>
    <n v="39.25062868450344"/>
    <n v="0.2171311374036361"/>
    <n v="3.9250628684503443E-2"/>
    <n v="0.25638176608813956"/>
    <n v="10.654450261780104"/>
    <n v="11"/>
    <n v="9.6858638743455501"/>
    <n v="12"/>
    <n v="3.8743455497382198"/>
    <n v="0"/>
    <n v="0"/>
    <n v="2"/>
    <n v="49.214659685863879"/>
    <n v="0.18082139078580362"/>
    <n v="9.8878768318630614E-2"/>
  </r>
  <r>
    <n v="6"/>
    <d v="2026-06-19T00:00:00"/>
    <s v="Jun-26"/>
    <x v="2"/>
    <s v="IVC"/>
    <s v="All"/>
    <x v="2"/>
    <x v="1"/>
    <s v="-"/>
    <x v="1"/>
    <n v="2026"/>
    <s v="-"/>
    <n v="1000"/>
    <n v="191"/>
    <n v="7.9"/>
    <n v="303"/>
    <n v="7.39"/>
    <n v="234"/>
    <n v="18"/>
    <n v="19"/>
    <n v="32"/>
    <n v="0"/>
    <n v="0"/>
    <n v="16"/>
    <n v="2"/>
    <n v="44.532920000000004"/>
    <n v="47.795728000000004"/>
    <n v="53.439503999999999"/>
    <n v="234"/>
    <n v="197"/>
    <n v="30"/>
    <n v="-7"/>
    <n v="33"/>
    <n v="39.132271326823165"/>
    <n v="37"/>
    <n v="32"/>
    <n v="252.5"/>
    <n v="0.2525"/>
    <n v="44.493392070484582"/>
    <n v="13.215859030837004"/>
    <n v="203.07488986784139"/>
    <n v="59.881057268722465"/>
    <n v="0.64312781740322389"/>
    <n v="0.35687218259677617"/>
    <n v="0.20307488986784139"/>
    <n v="5.9881057268722462E-2"/>
    <n v="0.26295594713656384"/>
    <n v="196.92948220587218"/>
    <n v="58.068949881218714"/>
    <n v="0.19692948220587217"/>
    <n v="5.8068949881218711E-2"/>
    <n v="0.25499843208709089"/>
    <n v="17.455287958115182"/>
    <n v="12"/>
    <n v="18.425026178010469"/>
    <n v="19"/>
    <n v="0"/>
    <n v="0"/>
    <n v="0"/>
    <n v="2"/>
    <n v="68.880314136125648"/>
    <n v="0.26210259187139973"/>
    <n v="0.14951922821378266"/>
  </r>
  <r>
    <n v="7"/>
    <d v="2026-06-22T00:00:00"/>
    <s v="Jun-26"/>
    <x v="2"/>
    <s v="IVC"/>
    <s v="All"/>
    <x v="3"/>
    <x v="1"/>
    <s v="-"/>
    <x v="1"/>
    <n v="2026"/>
    <s v="-"/>
    <n v="1000"/>
    <n v="182"/>
    <n v="9.4"/>
    <n v="287"/>
    <n v="8.1999999999999993"/>
    <n v="229"/>
    <n v="16"/>
    <n v="18"/>
    <n v="24"/>
    <n v="0"/>
    <n v="0"/>
    <n v="48"/>
    <n v="4"/>
    <n v="43.386528000000006"/>
    <n v="46.384783999999996"/>
    <n v="50.617616000000005"/>
    <n v="229"/>
    <n v="189"/>
    <n v="31"/>
    <n v="-9"/>
    <n v="38"/>
    <n v="45.810358486829074"/>
    <n v="34"/>
    <n v="24"/>
    <n v="246"/>
    <n v="0.246"/>
    <n v="43.348017621145374"/>
    <n v="14.09090909090909"/>
    <n v="196.73181818181817"/>
    <n v="49.827272727272721"/>
    <n v="0.63829143384380116"/>
    <n v="0.36170856615619884"/>
    <n v="0.19673181818181817"/>
    <n v="4.982727272727272E-2"/>
    <n v="0.24655909090909089"/>
    <n v="189.10974773917181"/>
    <n v="47.896792003807704"/>
    <n v="0.1891097477391718"/>
    <n v="4.7896792003807705E-2"/>
    <n v="0.2370065397429795"/>
    <n v="15.380104712041884"/>
    <n v="12"/>
    <n v="17.30261780104712"/>
    <n v="22"/>
    <n v="0"/>
    <n v="2"/>
    <n v="0"/>
    <n v="2"/>
    <n v="70.682722513089004"/>
    <n v="0.27958779625073521"/>
    <n v="0.1448682788996925"/>
  </r>
  <r>
    <n v="8"/>
    <d v="2026-06-22T00:00:00"/>
    <s v="Jun-26"/>
    <x v="2"/>
    <s v="IVC"/>
    <s v="All"/>
    <x v="3"/>
    <x v="1"/>
    <s v="-"/>
    <x v="1"/>
    <n v="2026"/>
    <s v="-"/>
    <n v="1000"/>
    <n v="182"/>
    <n v="9.4"/>
    <n v="298"/>
    <n v="8.3000000000000007"/>
    <n v="243"/>
    <n v="10"/>
    <n v="18"/>
    <n v="27"/>
    <n v="0"/>
    <n v="0"/>
    <n v="37"/>
    <n v="4"/>
    <n v="45.326576000000003"/>
    <n v="47.795728000000004"/>
    <n v="52.557664000000003"/>
    <n v="243"/>
    <n v="198"/>
    <n v="32"/>
    <n v="-13"/>
    <n v="39"/>
    <n v="46.993788819875775"/>
    <n v="28"/>
    <n v="27"/>
    <n v="257"/>
    <n v="0.25700000000000001"/>
    <n v="45.286343612334811"/>
    <n v="13.913043478260871"/>
    <n v="209.19130434782608"/>
    <n v="47.347826086956516"/>
    <n v="0.65773896369169205"/>
    <n v="0.34226103630830795"/>
    <n v="0.20919130434782607"/>
    <n v="4.7347826086956514E-2"/>
    <n v="0.2565391304347826"/>
    <n v="200.86746187115867"/>
    <n v="45.463828818575003"/>
    <n v="0.20086746187115867"/>
    <n v="4.5463828818575004E-2"/>
    <n v="0.24633129068973367"/>
    <n v="9.6020942408376957"/>
    <n v="12"/>
    <n v="17.283769633507855"/>
    <n v="24"/>
    <n v="0"/>
    <n v="0"/>
    <n v="0"/>
    <n v="3"/>
    <n v="65.885863874345546"/>
    <n v="0.25319608703175361"/>
    <n v="0.10910148606483684"/>
  </r>
  <r>
    <n v="9"/>
    <d v="2026-06-22T00:00:00"/>
    <s v="Jun-26"/>
    <x v="0"/>
    <s v="IVC"/>
    <s v="All"/>
    <x v="0"/>
    <x v="2"/>
    <s v="5967CK07/5966CK07"/>
    <x v="2"/>
    <n v="2026"/>
    <s v="-"/>
    <n v="1000"/>
    <n v="181"/>
    <n v="9"/>
    <n v="291"/>
    <n v="8.1999999999999993"/>
    <n v="178"/>
    <n v="30"/>
    <n v="23"/>
    <n v="60"/>
    <n v="0"/>
    <n v="0"/>
    <n v="16"/>
    <n v="3"/>
    <n v="36.067256"/>
    <n v="40.741008000000001"/>
    <n v="51.323088000000006"/>
    <n v="178"/>
    <n v="149"/>
    <n v="23"/>
    <n v="-6"/>
    <n v="44"/>
    <n v="52.7093783249734"/>
    <n v="53"/>
    <n v="60"/>
    <n v="204.5"/>
    <n v="0.20449999999999999"/>
    <n v="36.035242290748897"/>
    <n v="13.372093023255815"/>
    <n v="154.19767441860463"/>
    <n v="97.889534883720927"/>
    <n v="0.43055196451899175"/>
    <n v="0.5694480354810082"/>
    <n v="0.15419767441860463"/>
    <n v="9.788953488372093E-2"/>
    <n v="0.25208720930232553"/>
    <n v="148.22352368196761"/>
    <n v="94.09695604529405"/>
    <n v="0.14822352368196762"/>
    <n v="9.4096956045294056E-2"/>
    <n v="0.24232047972726167"/>
    <n v="28.837696335078533"/>
    <n v="15"/>
    <n v="22.108900523560209"/>
    <n v="26"/>
    <n v="0"/>
    <n v="0"/>
    <n v="0"/>
    <n v="3"/>
    <n v="94.946596858638742"/>
    <n v="0.42759056484546681"/>
    <n v="0.294212727081064"/>
  </r>
  <r>
    <n v="10"/>
    <d v="2026-06-22T00:00:00"/>
    <s v="Jun-26"/>
    <x v="1"/>
    <s v="IVC"/>
    <s v="All"/>
    <x v="1"/>
    <x v="1"/>
    <s v="-"/>
    <x v="1"/>
    <n v="2026"/>
    <n v="1043"/>
    <n v="1000"/>
    <n v="193"/>
    <n v="7.4"/>
    <n v="294"/>
    <n v="7"/>
    <n v="242"/>
    <n v="12"/>
    <n v="15"/>
    <n v="25"/>
    <n v="0"/>
    <n v="0"/>
    <n v="35"/>
    <n v="3"/>
    <n v="45.062024000000008"/>
    <n v="47.442992000000004"/>
    <n v="51.852192000000002"/>
    <n v="242"/>
    <n v="194"/>
    <n v="38"/>
    <n v="-10"/>
    <n v="37"/>
    <n v="44.912402669632925"/>
    <n v="27"/>
    <n v="25"/>
    <n v="255.5"/>
    <n v="0.2555"/>
    <n v="45.022026431718061"/>
    <n v="16.379310344827587"/>
    <n v="202.36206896551724"/>
    <n v="43.482758620689651"/>
    <n v="0.6703659773141738"/>
    <n v="0.32963402268582626"/>
    <n v="0.20236206896551723"/>
    <n v="4.3482758620689649E-2"/>
    <n v="0.24584482758620688"/>
    <n v="197.06463260516335"/>
    <n v="42.344466510200398"/>
    <n v="0.19706463260516335"/>
    <n v="4.23444665102004E-2"/>
    <n v="0.23940909911536376"/>
    <n v="11.68586387434555"/>
    <n v="9"/>
    <n v="14.607329842931938"/>
    <n v="19"/>
    <n v="0"/>
    <n v="0"/>
    <n v="0"/>
    <n v="9"/>
    <n v="63.293193717277489"/>
    <n v="0.24161570132310028"/>
    <n v="0.10662816430075026"/>
  </r>
  <r>
    <n v="11"/>
    <d v="2026-06-22T00:00:00"/>
    <s v="Jun-26"/>
    <x v="1"/>
    <s v="IVC"/>
    <s v="All"/>
    <x v="1"/>
    <x v="1"/>
    <s v="-"/>
    <x v="1"/>
    <n v="2026"/>
    <n v="1043"/>
    <n v="1000"/>
    <n v="193"/>
    <n v="7.4"/>
    <n v="295"/>
    <n v="7.39"/>
    <n v="231"/>
    <n v="22"/>
    <n v="17"/>
    <n v="25"/>
    <n v="0"/>
    <n v="0"/>
    <n v="27"/>
    <n v="5"/>
    <n v="44.180184000000004"/>
    <n v="47.61936"/>
    <n v="52.028560000000006"/>
    <n v="231"/>
    <n v="190"/>
    <n v="33"/>
    <n v="-8"/>
    <n v="32"/>
    <n v="38.476798648849531"/>
    <n v="39"/>
    <n v="25"/>
    <n v="250.5"/>
    <n v="0.2505"/>
    <n v="44.140969162995596"/>
    <n v="14.798206278026907"/>
    <n v="196.81614349775782"/>
    <n v="54.529147982062774"/>
    <n v="0.65262102152932366"/>
    <n v="0.34737897847067634"/>
    <n v="0.19681614349775783"/>
    <n v="5.4529147982062771E-2"/>
    <n v="0.2513452914798206"/>
    <n v="190.86013664217123"/>
    <n v="52.878998896532295"/>
    <n v="0.19086013664217122"/>
    <n v="5.2878998896532296E-2"/>
    <n v="0.24373913553870352"/>
    <n v="21.334240837696335"/>
    <n v="6"/>
    <n v="16.485549738219895"/>
    <n v="22"/>
    <n v="0"/>
    <n v="0"/>
    <n v="0"/>
    <n v="4"/>
    <n v="69.81979057591623"/>
    <n v="0.26666146764408288"/>
    <n v="0.14386442546155967"/>
  </r>
  <r>
    <n v="12"/>
    <d v="2026-06-23T00:00:00"/>
    <s v="Jun-26"/>
    <x v="1"/>
    <s v="IVC"/>
    <s v="All"/>
    <x v="4"/>
    <x v="1"/>
    <s v="-"/>
    <x v="1"/>
    <n v="2026"/>
    <n v="1044"/>
    <n v="1000"/>
    <n v="186"/>
    <n v="7.8"/>
    <n v="306"/>
    <n v="7.5"/>
    <n v="260"/>
    <n v="10"/>
    <n v="8"/>
    <n v="28"/>
    <n v="0"/>
    <n v="0"/>
    <n v="14"/>
    <n v="0"/>
    <n v="47.442992000000004"/>
    <n v="49.030304000000001"/>
    <n v="53.968608000000003"/>
    <n v="260"/>
    <n v="213"/>
    <n v="41"/>
    <n v="-6"/>
    <n v="18"/>
    <n v="21.922536709938285"/>
    <n v="18"/>
    <n v="28"/>
    <n v="269"/>
    <n v="0.26900000000000002"/>
    <n v="47.40088105726872"/>
    <n v="16.141732283464567"/>
    <n v="218.03149606299215"/>
    <n v="38.574803149606304"/>
    <n v="0.77803092578451538"/>
    <n v="0.22196907421548459"/>
    <n v="0.21803149606299216"/>
    <n v="3.8574803149606304E-2"/>
    <n v="0.25660629921259848"/>
    <n v="211.18233911860497"/>
    <n v="37.363029228676261"/>
    <n v="0.21118233911860498"/>
    <n v="3.7363029228676264E-2"/>
    <n v="0.24854536834728125"/>
    <n v="9.6858638743455501"/>
    <n v="5"/>
    <n v="7.7486910994764395"/>
    <n v="13"/>
    <n v="0"/>
    <n v="0"/>
    <n v="0"/>
    <n v="0"/>
    <n v="35.434554973821989"/>
    <n v="0.13159634454598484"/>
    <n v="6.8947717719932161E-2"/>
  </r>
  <r>
    <n v="13"/>
    <d v="2026-06-23T00:00:00"/>
    <s v="Jun-26"/>
    <x v="1"/>
    <s v="IVC"/>
    <s v="All"/>
    <x v="4"/>
    <x v="1"/>
    <s v="-"/>
    <x v="1"/>
    <n v="2026"/>
    <n v="1044"/>
    <n v="1000"/>
    <n v="186"/>
    <n v="7.8"/>
    <n v="308"/>
    <n v="7.5"/>
    <n v="257"/>
    <n v="17"/>
    <n v="10"/>
    <n v="24"/>
    <n v="0"/>
    <n v="0"/>
    <n v="10"/>
    <n v="0"/>
    <n v="47.707543999999999"/>
    <n v="50.088512000000001"/>
    <n v="54.321344000000003"/>
    <n v="257"/>
    <n v="216"/>
    <n v="37"/>
    <n v="-4"/>
    <n v="24"/>
    <n v="28.84819997863476"/>
    <n v="27"/>
    <n v="24"/>
    <n v="270.5"/>
    <n v="0.27050000000000002"/>
    <n v="47.665198237885463"/>
    <n v="14.624505928853756"/>
    <n v="219.41501976284587"/>
    <n v="43.541501976284586"/>
    <n v="0.74075259747196509"/>
    <n v="0.25924740252803496"/>
    <n v="0.21941501976284589"/>
    <n v="4.3541501976284584E-2"/>
    <n v="0.26295652173913048"/>
    <n v="212.52240134097639"/>
    <n v="42.173706102684022"/>
    <n v="0.21252240134097639"/>
    <n v="4.2173706102684019E-2"/>
    <n v="0.25469610744366039"/>
    <n v="16.465968586387433"/>
    <n v="6"/>
    <n v="9.6858638743455501"/>
    <n v="18"/>
    <n v="0"/>
    <n v="0"/>
    <n v="0"/>
    <n v="0"/>
    <n v="50.151832460732983"/>
    <n v="0.18231823372668443"/>
    <n v="0.10400911382586775"/>
  </r>
  <r>
    <n v="14"/>
    <d v="2026-06-23T00:00:00"/>
    <s v="Jun-26"/>
    <x v="2"/>
    <s v="IVC"/>
    <s v="All"/>
    <x v="5"/>
    <x v="1"/>
    <s v="-"/>
    <x v="1"/>
    <n v="2026"/>
    <s v="-"/>
    <n v="1000"/>
    <n v="180"/>
    <n v="8.9"/>
    <n v="303"/>
    <n v="7.9"/>
    <n v="245"/>
    <n v="16"/>
    <n v="14"/>
    <n v="25"/>
    <n v="0"/>
    <n v="3"/>
    <n v="25"/>
    <n v="8"/>
    <n v="45.85568"/>
    <n v="48.501200000000004"/>
    <n v="53.439503999999999"/>
    <n v="245"/>
    <n v="201"/>
    <n v="37"/>
    <n v="-7"/>
    <n v="32"/>
    <n v="38.941961149280559"/>
    <n v="30"/>
    <n v="28"/>
    <n v="260"/>
    <n v="0.26"/>
    <n v="45.814977973568283"/>
    <n v="15.546218487394958"/>
    <n v="206.91176470588238"/>
    <n v="48.983193277310932"/>
    <n v="0.68005953416079024"/>
    <n v="0.31994046583920976"/>
    <n v="0.20691176470588238"/>
    <n v="4.8983193277310932E-2"/>
    <n v="0.25589495798319328"/>
    <n v="199.54527255928551"/>
    <n v="47.239289014034938"/>
    <n v="0.1995452725592855"/>
    <n v="4.7239289014034937E-2"/>
    <n v="0.24678456157332043"/>
    <n v="15.430366492146597"/>
    <n v="9"/>
    <n v="13.501570680628271"/>
    <n v="21"/>
    <n v="2.8931937172774864"/>
    <n v="0"/>
    <n v="0"/>
    <n v="2"/>
    <n v="63.82513089005235"/>
    <n v="0.24065936235317339"/>
    <n v="0.12154411190122685"/>
  </r>
  <r>
    <n v="15"/>
    <d v="2026-06-23T00:00:00"/>
    <s v="Jun-26"/>
    <x v="2"/>
    <s v="IVC"/>
    <s v="All"/>
    <x v="5"/>
    <x v="1"/>
    <s v="-"/>
    <x v="1"/>
    <n v="2026"/>
    <s v="-"/>
    <n v="1000"/>
    <n v="180"/>
    <n v="8.9"/>
    <n v="298"/>
    <n v="7.9"/>
    <n v="254"/>
    <n v="14"/>
    <n v="15"/>
    <n v="13"/>
    <n v="0"/>
    <n v="2"/>
    <n v="14"/>
    <n v="3"/>
    <n v="47.354808000000006"/>
    <n v="49.912143999999998"/>
    <n v="52.557664000000003"/>
    <n v="254"/>
    <n v="210"/>
    <n v="37"/>
    <n v="-7"/>
    <n v="32"/>
    <n v="38.751049510521483"/>
    <n v="29"/>
    <n v="15"/>
    <n v="268.5"/>
    <n v="0.26850000000000002"/>
    <n v="47.312775330396477"/>
    <n v="14.979757085020243"/>
    <n v="215.95141700404858"/>
    <n v="37.408906882591097"/>
    <n v="0.72231191439422326"/>
    <n v="0.27768808560577679"/>
    <n v="0.21595141700404857"/>
    <n v="3.7408906882591096E-2"/>
    <n v="0.25336032388663965"/>
    <n v="208.26309430442799"/>
    <n v="36.077071454310364"/>
    <n v="0.20826309430442799"/>
    <n v="3.6077071454310362E-2"/>
    <n v="0.24434016575873835"/>
    <n v="13.501570680628271"/>
    <n v="9"/>
    <n v="14.465968586387435"/>
    <n v="22"/>
    <n v="1.9287958115183246"/>
    <n v="0"/>
    <n v="0"/>
    <n v="1"/>
    <n v="61.89633507853403"/>
    <n v="0.22678913302870213"/>
    <n v="0.10715033657442033"/>
  </r>
  <r>
    <n v="16"/>
    <d v="2026-06-24T00:00:00"/>
    <s v="Jun-26"/>
    <x v="2"/>
    <s v="IVC"/>
    <s v="All"/>
    <x v="6"/>
    <x v="1"/>
    <s v="-"/>
    <x v="1"/>
    <n v="2026"/>
    <s v="-"/>
    <n v="1000"/>
    <n v="187"/>
    <n v="8.6999999999999993"/>
    <n v="306"/>
    <n v="7.95"/>
    <n v="255"/>
    <n v="16"/>
    <n v="11"/>
    <n v="24"/>
    <n v="0"/>
    <n v="0"/>
    <n v="21"/>
    <n v="6"/>
    <n v="47.354808000000006"/>
    <n v="49.735776000000008"/>
    <n v="53.968608000000003"/>
    <n v="255"/>
    <n v="211"/>
    <n v="38"/>
    <n v="-6"/>
    <n v="49"/>
    <n v="59.515018247896535"/>
    <n v="27"/>
    <n v="24"/>
    <n v="268.5"/>
    <n v="0.26850000000000002"/>
    <n v="47.312775330396477"/>
    <n v="15.261044176706825"/>
    <n v="216.0843373493976"/>
    <n v="43.216867469879517"/>
    <n v="0.63883980964739695"/>
    <n v="0.36116019035260305"/>
    <n v="0.21608433734939761"/>
    <n v="4.3216867469879516E-2"/>
    <n v="0.2593012048192771"/>
    <n v="208.27814924619946"/>
    <n v="41.655629849239887"/>
    <n v="0.20827814924619947"/>
    <n v="4.1655629849239886E-2"/>
    <n v="0.24993377909543935"/>
    <n v="15.421989528795811"/>
    <n v="11"/>
    <n v="10.602617801047121"/>
    <n v="33"/>
    <n v="0"/>
    <n v="2"/>
    <n v="0"/>
    <n v="3"/>
    <n v="75.024607329842937"/>
    <n v="0.27601596418844215"/>
    <n v="0.12522269918860574"/>
  </r>
  <r>
    <n v="17"/>
    <d v="2026-06-24T00:00:00"/>
    <s v="Jun-26"/>
    <x v="2"/>
    <s v="IVC"/>
    <s v="All"/>
    <x v="6"/>
    <x v="1"/>
    <s v="-"/>
    <x v="1"/>
    <n v="2026"/>
    <s v="-"/>
    <n v="1000"/>
    <n v="187"/>
    <n v="8.6999999999999993"/>
    <n v="310"/>
    <n v="7.95"/>
    <n v="258"/>
    <n v="14"/>
    <n v="14"/>
    <n v="24"/>
    <n v="0"/>
    <n v="0"/>
    <n v="12"/>
    <n v="2"/>
    <n v="47.972096000000008"/>
    <n v="50.441248000000002"/>
    <n v="54.674080000000004"/>
    <n v="258"/>
    <n v="215"/>
    <n v="37"/>
    <n v="-6"/>
    <n v="40"/>
    <n v="48.339842908012379"/>
    <n v="28"/>
    <n v="24"/>
    <n v="272"/>
    <n v="0.27200000000000002"/>
    <n v="47.929515418502206"/>
    <n v="14.682539682539682"/>
    <n v="220.11904761904762"/>
    <n v="44.36507936507936"/>
    <n v="0.67632308739350844"/>
    <n v="0.32367691260649151"/>
    <n v="0.22011904761904763"/>
    <n v="4.4365079365079357E-2"/>
    <n v="0.26448412698412699"/>
    <n v="212.16710296684118"/>
    <n v="42.762361838278068"/>
    <n v="0.21216710296684119"/>
    <n v="4.2762361838278071E-2"/>
    <n v="0.25492946480511924"/>
    <n v="13.494240837696335"/>
    <n v="12"/>
    <n v="13.494240837696335"/>
    <n v="23"/>
    <n v="0"/>
    <n v="0"/>
    <n v="0"/>
    <n v="5"/>
    <n v="66.988481675392677"/>
    <n v="0.24300414414482857"/>
    <n v="0.11857786436137831"/>
  </r>
  <r>
    <n v="18"/>
    <d v="2026-06-24T00:00:00"/>
    <s v="Jun-26"/>
    <x v="2"/>
    <s v="IVC"/>
    <s v="All"/>
    <x v="2"/>
    <x v="1"/>
    <s v="-"/>
    <x v="1"/>
    <n v="2026"/>
    <s v="-"/>
    <n v="1000"/>
    <n v="192"/>
    <n v="8.4"/>
    <n v="308"/>
    <n v="7.95"/>
    <n v="256"/>
    <n v="10"/>
    <n v="16"/>
    <n v="26"/>
    <n v="0"/>
    <n v="0"/>
    <n v="0"/>
    <n v="4"/>
    <n v="47.442992000000004"/>
    <n v="49.735776000000008"/>
    <n v="54.321344000000003"/>
    <n v="256"/>
    <n v="209"/>
    <n v="42"/>
    <n v="-5"/>
    <n v="40"/>
    <n v="49.204161085154233"/>
    <n v="26"/>
    <n v="26"/>
    <n v="269"/>
    <n v="0.26900000000000002"/>
    <n v="47.40088105726872"/>
    <n v="16.733067729083668"/>
    <n v="213.1633466135458"/>
    <n v="43.298804780876488"/>
    <n v="0.67141506141183693"/>
    <n v="0.32858493858816307"/>
    <n v="0.2131633466135458"/>
    <n v="4.3298804780876485E-2"/>
    <n v="0.2564621513944223"/>
    <n v="205.46268121232345"/>
    <n v="41.734607121253198"/>
    <n v="0.20546268121232344"/>
    <n v="4.1734607121253195E-2"/>
    <n v="0.24719728833357663"/>
    <n v="9.6387434554973819"/>
    <n v="8"/>
    <n v="15.421989528795811"/>
    <n v="29"/>
    <n v="0"/>
    <n v="0"/>
    <n v="0"/>
    <n v="3"/>
    <n v="65.060732984293196"/>
    <n v="0.23935881285610275"/>
    <n v="8.4395901700944423E-2"/>
  </r>
  <r>
    <n v="19"/>
    <d v="2026-06-24T00:00:00"/>
    <s v="Jun-26"/>
    <x v="2"/>
    <s v="IVC"/>
    <s v="All"/>
    <x v="2"/>
    <x v="1"/>
    <s v="-"/>
    <x v="1"/>
    <n v="2026"/>
    <s v="-"/>
    <n v="1000"/>
    <n v="192"/>
    <n v="8.4"/>
    <n v="308"/>
    <n v="8"/>
    <n v="256"/>
    <n v="16"/>
    <n v="16"/>
    <n v="20"/>
    <n v="0"/>
    <n v="0"/>
    <n v="8"/>
    <n v="0"/>
    <n v="47.972096000000008"/>
    <n v="50.793984000000002"/>
    <n v="54.321344000000003"/>
    <n v="256"/>
    <n v="209"/>
    <n v="40"/>
    <n v="-7"/>
    <n v="43"/>
    <n v="52.620001746114895"/>
    <n v="32"/>
    <n v="20"/>
    <n v="272"/>
    <n v="0.27200000000000002"/>
    <n v="47.929515418502206"/>
    <n v="16.064257028112447"/>
    <n v="214.87550200803213"/>
    <n v="43.646586345381529"/>
    <n v="0.6603246696554711"/>
    <n v="0.3396753303445289"/>
    <n v="0.21487550200803213"/>
    <n v="4.364658634538153E-2"/>
    <n v="0.25852208835341367"/>
    <n v="207.000483609832"/>
    <n v="42.04697323324713"/>
    <n v="0.207000483609832"/>
    <n v="4.2046973233247131E-2"/>
    <n v="0.24904745684307913"/>
    <n v="15.413612565445026"/>
    <n v="7"/>
    <n v="15.413612565445026"/>
    <n v="31"/>
    <n v="0"/>
    <n v="0"/>
    <n v="0"/>
    <n v="5"/>
    <n v="73.827225130890056"/>
    <n v="0.26609676932367149"/>
    <n v="0.10724216538490444"/>
  </r>
  <r>
    <n v="20"/>
    <d v="2026-06-25T00:00:00"/>
    <s v="Jun-26"/>
    <x v="0"/>
    <s v="IVC"/>
    <s v="All"/>
    <x v="0"/>
    <x v="3"/>
    <s v="1070KA01/2482HR01"/>
    <x v="3"/>
    <n v="2026"/>
    <s v="FN-87080"/>
    <n v="1000"/>
    <n v="180"/>
    <n v="9.3000000000000007"/>
    <n v="280"/>
    <n v="8.5"/>
    <n v="208"/>
    <n v="15"/>
    <n v="20"/>
    <n v="37"/>
    <n v="0"/>
    <n v="0"/>
    <n v="25"/>
    <n v="6"/>
    <n v="39.770984000000006"/>
    <n v="42.857424000000002"/>
    <n v="49.383040000000001"/>
    <n v="208"/>
    <n v="168"/>
    <n v="33"/>
    <n v="-7"/>
    <n v="31"/>
    <n v="38.258869586493766"/>
    <n v="35"/>
    <n v="37"/>
    <n v="225.5"/>
    <n v="0.22550000000000001"/>
    <n v="39.735682819383257"/>
    <n v="16.417910447761194"/>
    <n v="173.85074626865674"/>
    <n v="60.179104477611943"/>
    <n v="0.60621832290537936"/>
    <n v="0.39378167709462064"/>
    <n v="0.17385074626865674"/>
    <n v="6.017910447761194E-2"/>
    <n v="0.23402985074626867"/>
    <n v="166.56903961866064"/>
    <n v="57.658513714151759"/>
    <n v="0.16656903961866065"/>
    <n v="5.765851371415176E-2"/>
    <n v="0.22422755333281241"/>
    <n v="14.3717277486911"/>
    <n v="5"/>
    <n v="19.162303664921467"/>
    <n v="26"/>
    <n v="0"/>
    <n v="0"/>
    <n v="0"/>
    <n v="0"/>
    <n v="64.534031413612567"/>
    <n v="0.27718185702399423"/>
    <n v="0.11530790326601845"/>
  </r>
  <r>
    <n v="21"/>
    <d v="2026-06-25T00:00:00"/>
    <s v="Jun-26"/>
    <x v="0"/>
    <s v="IVC"/>
    <s v="All"/>
    <x v="0"/>
    <x v="2"/>
    <s v="5967CK07/5966CK07"/>
    <x v="2"/>
    <n v="2026"/>
    <s v="FN-87090"/>
    <n v="1000"/>
    <n v="160"/>
    <n v="8.5"/>
    <n v="297"/>
    <n v="8"/>
    <n v="209"/>
    <n v="11"/>
    <n v="10"/>
    <n v="67"/>
    <n v="0"/>
    <n v="0"/>
    <n v="4"/>
    <n v="5"/>
    <n v="38.712776000000005"/>
    <n v="40.564639999999997"/>
    <n v="52.381295999999999"/>
    <n v="209"/>
    <n v="177"/>
    <n v="25"/>
    <n v="-7"/>
    <n v="24"/>
    <n v="28.436074042186831"/>
    <n v="21"/>
    <n v="67"/>
    <n v="219.5"/>
    <n v="0.2195"/>
    <n v="38.678414096916299"/>
    <n v="12.376237623762377"/>
    <n v="183.13366336633663"/>
    <n v="77.10891089108911"/>
    <n v="0.60795934665930362"/>
    <n v="0.39204065334069638"/>
    <n v="0.18313366336633663"/>
    <n v="7.7108910891089108E-2"/>
    <n v="0.26024257425742575"/>
    <n v="176.42195842620913"/>
    <n v="74.282929863666993"/>
    <n v="0.17642195842620914"/>
    <n v="7.4282929863666997E-2"/>
    <n v="0.25070488828987614"/>
    <n v="10.596858638743456"/>
    <n v="8"/>
    <n v="9.6335078534031418"/>
    <n v="13"/>
    <n v="0"/>
    <n v="0"/>
    <n v="0"/>
    <n v="3"/>
    <n v="44.230366492146601"/>
    <n v="0.19962192816635163"/>
    <n v="0.10506699795900257"/>
  </r>
  <r>
    <n v="22"/>
    <d v="2026-06-25T00:00:00"/>
    <s v="Jun-26"/>
    <x v="1"/>
    <s v="IVC"/>
    <s v="All"/>
    <x v="2"/>
    <x v="1"/>
    <s v="-"/>
    <x v="1"/>
    <n v="2026"/>
    <n v="1045"/>
    <n v="1000"/>
    <n v="184"/>
    <n v="8.1"/>
    <n v="293"/>
    <n v="7.9"/>
    <n v="253"/>
    <n v="9"/>
    <n v="13"/>
    <n v="18"/>
    <n v="0"/>
    <n v="0"/>
    <n v="31"/>
    <n v="5"/>
    <n v="46.561152"/>
    <n v="48.501200000000004"/>
    <n v="51.675823999999999"/>
    <n v="253"/>
    <n v="213"/>
    <n v="37"/>
    <n v="-3"/>
    <n v="36"/>
    <n v="43.526775244299671"/>
    <n v="22"/>
    <n v="18"/>
    <n v="264"/>
    <n v="0.26400000000000001"/>
    <n v="46.519823788546255"/>
    <n v="14.8"/>
    <n v="215.55599999999998"/>
    <n v="34.08"/>
    <n v="0.71492568176006943"/>
    <n v="0.28507431823993062"/>
    <n v="0.21555599999999997"/>
    <n v="3.4079999999999999E-2"/>
    <n v="0.24963599999999997"/>
    <n v="207.88175497382196"/>
    <n v="32.866680628272249"/>
    <n v="0.20788175497382194"/>
    <n v="3.2866680628272249E-2"/>
    <n v="0.24074843560209419"/>
    <n v="8.6795811518324602"/>
    <n v="8"/>
    <n v="12.537172774869109"/>
    <n v="28"/>
    <n v="0"/>
    <n v="0"/>
    <n v="0"/>
    <n v="0"/>
    <n v="57.216753926701571"/>
    <n v="0.21574178264732011"/>
    <n v="7.8307892731607792E-2"/>
  </r>
  <r>
    <n v="23"/>
    <d v="2026-06-25T00:00:00"/>
    <s v="Jun-26"/>
    <x v="1"/>
    <s v="IVC"/>
    <s v="All"/>
    <x v="2"/>
    <x v="1"/>
    <s v="-"/>
    <x v="1"/>
    <n v="2026"/>
    <n v="1045"/>
    <n v="1000"/>
    <n v="184"/>
    <n v="8.1"/>
    <n v="310"/>
    <n v="7.9"/>
    <n v="256"/>
    <n v="16"/>
    <n v="17"/>
    <n v="21"/>
    <n v="0"/>
    <n v="0"/>
    <n v="9"/>
    <n v="3"/>
    <n v="48.060280000000006"/>
    <n v="50.970352000000005"/>
    <n v="54.674080000000004"/>
    <n v="256"/>
    <n v="212"/>
    <n v="36"/>
    <n v="-8"/>
    <n v="40"/>
    <n v="48.24349409828028"/>
    <n v="33"/>
    <n v="21"/>
    <n v="272.5"/>
    <n v="0.27250000000000002"/>
    <n v="48.017621145374449"/>
    <n v="14.516129032258064"/>
    <n v="218.83870967741936"/>
    <n v="46.161290322580648"/>
    <n v="0.6701822771023217"/>
    <n v="0.3298177228976783"/>
    <n v="0.21883870967741936"/>
    <n v="4.616129032258065E-2"/>
    <n v="0.26500000000000001"/>
    <n v="211.04759331194057"/>
    <n v="44.517851714237459"/>
    <n v="0.21104759331194056"/>
    <n v="4.4517851714237458E-2"/>
    <n v="0.25556544502617801"/>
    <n v="15.430366492146597"/>
    <n v="10"/>
    <n v="16.394764397905757"/>
    <n v="27"/>
    <n v="0"/>
    <n v="0"/>
    <n v="0"/>
    <n v="3"/>
    <n v="71.82513089005235"/>
    <n v="0.25770469138028845"/>
    <n v="0.11995455892521979"/>
  </r>
  <r>
    <n v="24"/>
    <d v="2026-06-25T00:00:00"/>
    <s v="Jun-26"/>
    <x v="2"/>
    <s v="IVC"/>
    <s v="All"/>
    <x v="7"/>
    <x v="1"/>
    <s v="-"/>
    <x v="1"/>
    <n v="2026"/>
    <s v="-"/>
    <n v="1000"/>
    <n v="172"/>
    <n v="8.8000000000000007"/>
    <n v="300"/>
    <n v="8.1999999999999993"/>
    <n v="249"/>
    <n v="24"/>
    <n v="11"/>
    <n v="16"/>
    <n v="0"/>
    <n v="0"/>
    <n v="11"/>
    <n v="3"/>
    <n v="47.002071999999998"/>
    <n v="50.088512000000001"/>
    <n v="52.910400000000003"/>
    <n v="249"/>
    <n v="211"/>
    <n v="31"/>
    <n v="-7"/>
    <n v="26"/>
    <n v="30.992005617674071"/>
    <n v="35"/>
    <n v="16"/>
    <n v="266.5"/>
    <n v="0.26650000000000001"/>
    <n v="46.960352422907491"/>
    <n v="12.809917355371901"/>
    <n v="217.10330578512392"/>
    <n v="44.466942148760324"/>
    <n v="0.7266933146077531"/>
    <n v="0.2733066853922469"/>
    <n v="0.21710330578512393"/>
    <n v="4.4466942148760326E-2"/>
    <n v="0.26157024793388428"/>
    <n v="208.69197351910341"/>
    <n v="42.74413915451516"/>
    <n v="0.2086919735191034"/>
    <n v="4.2744139154515158E-2"/>
    <n v="0.25143611267361854"/>
    <n v="23.070157068062827"/>
    <n v="8"/>
    <n v="10.573821989528795"/>
    <n v="18"/>
    <n v="0"/>
    <n v="0"/>
    <n v="0"/>
    <n v="0"/>
    <n v="59.643979057591622"/>
    <n v="0.21847862775783239"/>
    <n v="0.14725192923252525"/>
  </r>
  <r>
    <n v="25"/>
    <d v="2026-06-25T00:00:00"/>
    <s v="Jun-26"/>
    <x v="2"/>
    <s v="IVC"/>
    <s v="All"/>
    <x v="7"/>
    <x v="1"/>
    <s v="-"/>
    <x v="1"/>
    <n v="2026"/>
    <s v="-"/>
    <n v="1000"/>
    <n v="172"/>
    <n v="8.8000000000000007"/>
    <n v="298"/>
    <n v="8.1999999999999993"/>
    <n v="250"/>
    <n v="18"/>
    <n v="9"/>
    <n v="21"/>
    <n v="0"/>
    <n v="0"/>
    <n v="18"/>
    <n v="2"/>
    <n v="46.472968000000002"/>
    <n v="48.853936000000004"/>
    <n v="52.557664000000003"/>
    <n v="250"/>
    <n v="212"/>
    <n v="31"/>
    <n v="-7"/>
    <n v="29"/>
    <n v="34.551852748415321"/>
    <n v="27"/>
    <n v="21"/>
    <n v="263.5"/>
    <n v="0.26350000000000001"/>
    <n v="46.431718061674012"/>
    <n v="12.757201646090534"/>
    <n v="218.10699588477368"/>
    <n v="41.876543209876544"/>
    <n v="0.7229803599046466"/>
    <n v="0.2770196400953534"/>
    <n v="0.21810699588477367"/>
    <n v="4.1876543209876542E-2"/>
    <n v="0.25998353909465022"/>
    <n v="209.6567771960442"/>
    <n v="40.254101221640489"/>
    <n v="0.2096567771960442"/>
    <n v="4.0254101221640491E-2"/>
    <n v="0.2499108784176847"/>
    <n v="17.30261780104712"/>
    <n v="7"/>
    <n v="8.6513089005235599"/>
    <n v="22"/>
    <n v="0"/>
    <n v="0"/>
    <n v="0"/>
    <n v="0"/>
    <n v="54.95392670157068"/>
    <n v="0.20638572316210882"/>
    <n v="0.11463498962758076"/>
  </r>
  <r>
    <n v="26"/>
    <d v="2026-06-26T00:00:00"/>
    <s v="Jun-26"/>
    <x v="1"/>
    <s v="IVC"/>
    <s v="All"/>
    <x v="2"/>
    <x v="1"/>
    <s v="-"/>
    <x v="1"/>
    <n v="2026"/>
    <n v="1046"/>
    <n v="1000"/>
    <n v="190"/>
    <n v="8.5"/>
    <n v="300"/>
    <n v="8"/>
    <n v="239"/>
    <n v="20"/>
    <n v="20"/>
    <n v="18"/>
    <n v="0"/>
    <n v="3"/>
    <n v="22"/>
    <n v="3"/>
    <n v="45.679312000000003"/>
    <n v="49.206672000000005"/>
    <n v="52.910400000000003"/>
    <n v="239"/>
    <n v="195"/>
    <n v="36"/>
    <n v="-8"/>
    <n v="35"/>
    <n v="42.653162055335969"/>
    <n v="40"/>
    <n v="21"/>
    <n v="259"/>
    <n v="0.25900000000000001"/>
    <n v="45.63876651982379"/>
    <n v="15.584415584415584"/>
    <n v="201.75324675324677"/>
    <n v="51.493506493506494"/>
    <n v="0.65448945981554674"/>
    <n v="0.34551054018445321"/>
    <n v="0.20175324675324677"/>
    <n v="5.1493506493506494E-2"/>
    <n v="0.25324675324675328"/>
    <n v="194.35914870469847"/>
    <n v="49.606309920446044"/>
    <n v="0.19435914870469848"/>
    <n v="4.9606309920446047E-2"/>
    <n v="0.24396545862514452"/>
    <n v="19.267015706806284"/>
    <n v="7"/>
    <n v="19.267015706806284"/>
    <n v="26"/>
    <n v="2.8900523560209423"/>
    <n v="2"/>
    <n v="0"/>
    <n v="0"/>
    <n v="76.424083769633512"/>
    <n v="0.28434237182484029"/>
    <n v="0.13470264465028864"/>
  </r>
  <r>
    <n v="27"/>
    <d v="2026-06-26T00:00:00"/>
    <s v="Jun-26"/>
    <x v="1"/>
    <s v="IVC"/>
    <s v="All"/>
    <x v="2"/>
    <x v="1"/>
    <s v="-"/>
    <x v="1"/>
    <n v="2026"/>
    <n v="1046"/>
    <n v="1000"/>
    <n v="190"/>
    <n v="8.5"/>
    <n v="301"/>
    <n v="8"/>
    <n v="246"/>
    <n v="15"/>
    <n v="12"/>
    <n v="26"/>
    <n v="0"/>
    <n v="2"/>
    <n v="23"/>
    <n v="2"/>
    <n v="45.767496000000001"/>
    <n v="48.148463999999997"/>
    <n v="53.086768000000006"/>
    <n v="246"/>
    <n v="203"/>
    <n v="36"/>
    <n v="-7"/>
    <n v="36"/>
    <n v="43.673822084773512"/>
    <n v="27"/>
    <n v="28"/>
    <n v="259.5"/>
    <n v="0.25950000000000001"/>
    <n v="45.726872246696033"/>
    <n v="15.06276150627615"/>
    <n v="208.94560669456069"/>
    <n v="46.71548117154812"/>
    <n v="0.67217999307384213"/>
    <n v="0.32782000692615787"/>
    <n v="0.20894560669456069"/>
    <n v="4.6715481171548119E-2"/>
    <n v="0.2556610878661088"/>
    <n v="201.28791430261344"/>
    <n v="45.003395474161543"/>
    <n v="0.20128791430261345"/>
    <n v="4.5003395474161545E-2"/>
    <n v="0.24629130977677499"/>
    <n v="14.450261780104713"/>
    <n v="8"/>
    <n v="11.560209424083769"/>
    <n v="26"/>
    <n v="1.9267015706806283"/>
    <n v="2"/>
    <n v="0"/>
    <n v="0"/>
    <n v="63.937172774869104"/>
    <n v="0.24311196050326481"/>
    <n v="0.11059242256209217"/>
  </r>
  <r>
    <n v="28"/>
    <d v="2026-06-27T00:00:00"/>
    <s v="Jun-26"/>
    <x v="2"/>
    <s v="IVC"/>
    <s v="All"/>
    <x v="8"/>
    <x v="1"/>
    <s v="-"/>
    <x v="1"/>
    <n v="2026"/>
    <s v="-"/>
    <n v="1000"/>
    <n v="180"/>
    <n v="8.5"/>
    <n v="288"/>
    <n v="7.9"/>
    <n v="240"/>
    <n v="15"/>
    <n v="22"/>
    <n v="11"/>
    <n v="0"/>
    <n v="0"/>
    <n v="32"/>
    <n v="2"/>
    <n v="45.591128000000005"/>
    <n v="48.853936000000004"/>
    <n v="50.793984000000002"/>
    <n v="240"/>
    <n v="201"/>
    <n v="32"/>
    <n v="-7"/>
    <n v="34"/>
    <n v="40.726864343198514"/>
    <n v="37"/>
    <n v="11"/>
    <n v="258.5"/>
    <n v="0.25850000000000001"/>
    <n v="45.55066079295154"/>
    <n v="13.733905579399142"/>
    <n v="207.03862660944208"/>
    <n v="41.407725321888421"/>
    <n v="0.69192060991944959"/>
    <n v="0.30807939008055041"/>
    <n v="0.20703862660944208"/>
    <n v="4.1407725321888418E-2"/>
    <n v="0.24844635193133049"/>
    <n v="199.66761791339911"/>
    <n v="39.933523582679825"/>
    <n v="0.19966761791339913"/>
    <n v="3.9933523582679827E-2"/>
    <n v="0.23960114149607895"/>
    <n v="14.465968586387435"/>
    <n v="8"/>
    <n v="21.216753926701568"/>
    <n v="26"/>
    <n v="0"/>
    <n v="0"/>
    <n v="0"/>
    <n v="0"/>
    <n v="69.682722513089004"/>
    <n v="0.26084894381793455"/>
    <n v="0.11177098799197728"/>
  </r>
  <r>
    <n v="29"/>
    <d v="2026-06-27T00:00:00"/>
    <s v="Jun-26"/>
    <x v="2"/>
    <s v="IVC"/>
    <s v="All"/>
    <x v="8"/>
    <x v="1"/>
    <s v="-"/>
    <x v="1"/>
    <n v="2026"/>
    <s v="-"/>
    <n v="1000"/>
    <n v="180"/>
    <n v="8.5"/>
    <n v="300"/>
    <n v="7.9"/>
    <n v="248"/>
    <n v="17"/>
    <n v="15"/>
    <n v="20"/>
    <n v="0"/>
    <n v="0"/>
    <n v="28"/>
    <n v="2"/>
    <n v="46.561152"/>
    <n v="49.383040000000001"/>
    <n v="52.910400000000003"/>
    <n v="248"/>
    <n v="208"/>
    <n v="32"/>
    <n v="-8"/>
    <n v="35"/>
    <n v="41.777053926891064"/>
    <n v="32"/>
    <n v="20"/>
    <n v="264"/>
    <n v="0.26400000000000001"/>
    <n v="46.519823788546255"/>
    <n v="13.333333333333334"/>
    <n v="214.93333333333334"/>
    <n v="45.06666666666667"/>
    <n v="0.68740982024369646"/>
    <n v="0.31259017975630354"/>
    <n v="0.21493333333333334"/>
    <n v="4.5066666666666672E-2"/>
    <n v="0.26"/>
    <n v="207.28125654450261"/>
    <n v="43.462198952879582"/>
    <n v="0.20728125654450261"/>
    <n v="4.3462198952879581E-2"/>
    <n v="0.25074345549738219"/>
    <n v="16.394764397905757"/>
    <n v="8"/>
    <n v="14.465968586387435"/>
    <n v="27"/>
    <n v="0"/>
    <n v="0"/>
    <n v="0"/>
    <n v="0"/>
    <n v="65.860732984293193"/>
    <n v="0.24390026368853729"/>
    <n v="0.11728252114377767"/>
  </r>
  <r>
    <n v="30"/>
    <d v="2026-06-27T00:00:00"/>
    <s v="Jun-26"/>
    <x v="1"/>
    <s v="IVC"/>
    <s v="All"/>
    <x v="2"/>
    <x v="1"/>
    <s v="-"/>
    <x v="1"/>
    <n v="2026"/>
    <n v="1047"/>
    <n v="1000"/>
    <n v="196"/>
    <n v="8.1"/>
    <n v="301"/>
    <n v="7.6"/>
    <n v="240"/>
    <n v="16"/>
    <n v="21"/>
    <n v="24"/>
    <n v="0"/>
    <n v="0"/>
    <n v="24"/>
    <n v="7"/>
    <n v="45.591128000000005"/>
    <n v="48.853936000000004"/>
    <n v="53.086768000000006"/>
    <n v="246"/>
    <n v="200"/>
    <n v="39"/>
    <n v="-7"/>
    <n v="38"/>
    <n v="46.401311380390872"/>
    <n v="37"/>
    <n v="24"/>
    <n v="258.5"/>
    <n v="0.25850000000000001"/>
    <n v="45.55066079295154"/>
    <n v="16.317991631799163"/>
    <n v="200.83682008368203"/>
    <n v="51.046025104602514"/>
    <n v="0.64318501202527956"/>
    <n v="0.3568149879747205"/>
    <n v="0.20083682008368203"/>
    <n v="5.1046025104602516E-2"/>
    <n v="0.25188284518828452"/>
    <n v="194.31750969353112"/>
    <n v="49.389033713772484"/>
    <n v="0.19431750969353112"/>
    <n v="4.9389033713772484E-2"/>
    <n v="0.24370654340730361"/>
    <n v="15.480628272251311"/>
    <n v="7"/>
    <n v="20.318324607329846"/>
    <n v="28"/>
    <n v="0"/>
    <n v="0"/>
    <n v="0"/>
    <n v="3"/>
    <n v="73.798952879581151"/>
    <n v="0.27536062012596302"/>
    <n v="0.11240314136125655"/>
  </r>
  <r>
    <n v="31"/>
    <d v="2026-06-27T00:00:00"/>
    <s v="Jun-26"/>
    <x v="1"/>
    <s v="IVC"/>
    <s v="All"/>
    <x v="2"/>
    <x v="1"/>
    <s v="-"/>
    <x v="1"/>
    <n v="2026"/>
    <n v="1047"/>
    <n v="1000"/>
    <n v="196"/>
    <n v="8.1"/>
    <n v="295"/>
    <n v="7.6"/>
    <n v="246"/>
    <n v="12"/>
    <n v="18"/>
    <n v="19"/>
    <n v="0"/>
    <n v="0"/>
    <n v="27"/>
    <n v="7"/>
    <n v="46.032048000000003"/>
    <n v="48.677568000000001"/>
    <n v="52.028560000000006"/>
    <n v="246"/>
    <n v="188"/>
    <n v="45"/>
    <n v="-13"/>
    <n v="43"/>
    <n v="53.858852163573189"/>
    <n v="30"/>
    <n v="19"/>
    <n v="261"/>
    <n v="0.26100000000000001"/>
    <n v="45.991189427312776"/>
    <n v="19.313304721030043"/>
    <n v="198.48927038626607"/>
    <n v="39.53648068669527"/>
    <n v="0.65132592486924334"/>
    <n v="0.3486740751307566"/>
    <n v="0.19848927038626607"/>
    <n v="3.9536480686695269E-2"/>
    <n v="0.23802575107296134"/>
    <n v="192.04616318001032"/>
    <n v="38.253097543985795"/>
    <n v="0.19204616318001033"/>
    <n v="3.8253097543985794E-2"/>
    <n v="0.23029926072399612"/>
    <n v="11.610471204188483"/>
    <n v="7"/>
    <n v="17.415706806282724"/>
    <n v="31"/>
    <n v="0"/>
    <n v="0"/>
    <n v="0"/>
    <n v="5"/>
    <n v="72.026178010471213"/>
    <n v="0.26971971265449529"/>
    <n v="9.8991868107385556E-2"/>
  </r>
  <r>
    <n v="32"/>
    <d v="2026-06-29T00:00:00"/>
    <s v="Jun-26"/>
    <x v="1"/>
    <s v="IVC"/>
    <s v="All"/>
    <x v="2"/>
    <x v="1"/>
    <s v="-"/>
    <x v="1"/>
    <n v="2026"/>
    <n v="1048"/>
    <n v="1000"/>
    <n v="196"/>
    <n v="7.8"/>
    <n v="305"/>
    <n v="7.82"/>
    <n v="248"/>
    <n v="15"/>
    <n v="16"/>
    <n v="26"/>
    <n v="0"/>
    <n v="0"/>
    <n v="27"/>
    <n v="4"/>
    <n v="46.472968000000002"/>
    <n v="49.206672000000005"/>
    <n v="53.792240000000007"/>
    <n v="248"/>
    <n v="203"/>
    <n v="37"/>
    <n v="-8"/>
    <n v="32"/>
    <n v="38.864540391986694"/>
    <n v="31"/>
    <n v="26"/>
    <n v="263.5"/>
    <n v="0.26350000000000001"/>
    <n v="46.431718061674012"/>
    <n v="15.416666666666668"/>
    <n v="209.76666666666665"/>
    <n v="48.212499999999999"/>
    <n v="0.68569003150168306"/>
    <n v="0.31430996849831705"/>
    <n v="0.20976666666666666"/>
    <n v="4.8212499999999998E-2"/>
    <n v="0.25797916666666665"/>
    <n v="202.47425479930195"/>
    <n v="46.536421465968587"/>
    <n v="0.20247425479930195"/>
    <n v="4.6536421465968585E-2"/>
    <n v="0.24901067626527054"/>
    <n v="14.478534031413613"/>
    <n v="8"/>
    <n v="15.443769633507854"/>
    <n v="24"/>
    <n v="0"/>
    <n v="0"/>
    <n v="0"/>
    <n v="0"/>
    <n v="61.922303664921465"/>
    <n v="0.22993737513715953"/>
    <n v="0.11073169473602765"/>
  </r>
  <r>
    <n v="33"/>
    <d v="2026-06-29T00:00:00"/>
    <s v="Jun-26"/>
    <x v="1"/>
    <s v="IVC"/>
    <s v="All"/>
    <x v="2"/>
    <x v="1"/>
    <s v="-"/>
    <x v="1"/>
    <n v="2026"/>
    <n v="1048"/>
    <n v="1000"/>
    <n v="196"/>
    <n v="7.8"/>
    <n v="306"/>
    <n v="7.82"/>
    <n v="249"/>
    <n v="11"/>
    <n v="17"/>
    <n v="27"/>
    <n v="0"/>
    <n v="2"/>
    <n v="14"/>
    <n v="3"/>
    <n v="46.384783999999996"/>
    <n v="48.853936000000004"/>
    <n v="53.968608000000003"/>
    <n v="249"/>
    <n v="202"/>
    <n v="39"/>
    <n v="-8"/>
    <n v="35"/>
    <n v="42.790175094911724"/>
    <n v="28"/>
    <n v="29"/>
    <n v="263"/>
    <n v="0.26300000000000001"/>
    <n v="46.343612334801762"/>
    <n v="16.182572614107883"/>
    <n v="208.70539419087137"/>
    <n v="47.775933609958507"/>
    <n v="0.67388831668329507"/>
    <n v="0.32611168331670498"/>
    <n v="0.20870539419087136"/>
    <n v="4.7775933609958507E-2"/>
    <n v="0.25648132780082988"/>
    <n v="201.44987682214165"/>
    <n v="46.115032043622783"/>
    <n v="0.20144987682214166"/>
    <n v="4.6115032043622786E-2"/>
    <n v="0.24756490886576443"/>
    <n v="10.617591623036649"/>
    <n v="8"/>
    <n v="16.409005235602095"/>
    <n v="25"/>
    <n v="1.9304712041884817"/>
    <n v="2"/>
    <n v="0"/>
    <n v="0"/>
    <n v="63.957068062827219"/>
    <n v="0.23920785968122324"/>
    <n v="9.2166295163547768E-2"/>
  </r>
  <r>
    <n v="34"/>
    <d v="2026-06-30T00:00:00"/>
    <s v="Jun-26"/>
    <x v="1"/>
    <s v="IVC"/>
    <s v="All"/>
    <x v="2"/>
    <x v="1"/>
    <s v="-"/>
    <x v="1"/>
    <n v="2026"/>
    <n v="1049"/>
    <n v="1000"/>
    <n v="186"/>
    <n v="7.7"/>
    <n v="292"/>
    <n v="7.55"/>
    <n v="251"/>
    <n v="10"/>
    <n v="12"/>
    <n v="19"/>
    <n v="0"/>
    <n v="0"/>
    <n v="36"/>
    <n v="6"/>
    <n v="46.208416000000007"/>
    <n v="48.148463999999997"/>
    <n v="51.499456000000002"/>
    <n v="251"/>
    <n v="208"/>
    <n v="38"/>
    <n v="-5"/>
    <n v="32"/>
    <n v="38.761272847990782"/>
    <n v="22"/>
    <n v="19"/>
    <n v="262"/>
    <n v="0.26200000000000001"/>
    <n v="46.167400881057269"/>
    <n v="15.447154471544716"/>
    <n v="212.22764227642276"/>
    <n v="34.666666666666664"/>
    <n v="0.72684495600003163"/>
    <n v="0.27315504399996843"/>
    <n v="0.21222764227642277"/>
    <n v="3.4666666666666665E-2"/>
    <n v="0.24689430894308945"/>
    <n v="205.44969139743756"/>
    <n v="33.559511343804537"/>
    <n v="0.20544969139743757"/>
    <n v="3.3559511343804541E-2"/>
    <n v="0.2390092027412421"/>
    <n v="9.6806282722513082"/>
    <n v="7"/>
    <n v="11.616753926701572"/>
    <n v="22"/>
    <n v="0"/>
    <n v="0"/>
    <n v="0"/>
    <n v="3"/>
    <n v="53.297382198952882"/>
    <n v="0.20166925196671004"/>
    <n v="8.0195328231977447E-2"/>
  </r>
  <r>
    <n v="35"/>
    <d v="2026-06-30T00:00:00"/>
    <s v="Jun-26"/>
    <x v="1"/>
    <s v="IVC"/>
    <s v="All"/>
    <x v="2"/>
    <x v="1"/>
    <s v="-"/>
    <x v="1"/>
    <n v="2026"/>
    <n v="1049"/>
    <n v="1000"/>
    <n v="188"/>
    <n v="7.7"/>
    <n v="297"/>
    <n v="7.55"/>
    <n v="250"/>
    <n v="8"/>
    <n v="3"/>
    <n v="32"/>
    <n v="0"/>
    <n v="4"/>
    <n v="21"/>
    <n v="4"/>
    <n v="45.062024000000008"/>
    <n v="46.032048000000003"/>
    <n v="52.381295999999999"/>
    <n v="250"/>
    <n v="207"/>
    <n v="37"/>
    <n v="-6"/>
    <n v="39"/>
    <n v="47.124409295232681"/>
    <n v="11"/>
    <n v="36"/>
    <n v="255.5"/>
    <n v="0.2555"/>
    <n v="45.022026431718061"/>
    <n v="15.163934426229508"/>
    <n v="212.09016393442624"/>
    <n v="39.872950819672134"/>
    <n v="0.68308279698574859"/>
    <n v="0.31691720301425147"/>
    <n v="0.21209016393442626"/>
    <n v="3.9872950819672133E-2"/>
    <n v="0.25196311475409838"/>
    <n v="205.31660372500215"/>
    <n v="38.599521500300405"/>
    <n v="0.20531660372500216"/>
    <n v="3.8599521500300403E-2"/>
    <n v="0.24391612522530257"/>
    <n v="7.7445026178010474"/>
    <n v="8"/>
    <n v="2.9041884816753929"/>
    <n v="27"/>
    <n v="3.8722513089005237"/>
    <n v="0"/>
    <n v="0"/>
    <n v="4"/>
    <n v="53.52094240837696"/>
    <n v="0.21182621236704524"/>
    <n v="7.6060399119811814E-2"/>
  </r>
  <r>
    <n v="36"/>
    <d v="2026-07-01T00:00:00"/>
    <s v="Jul-26"/>
    <x v="1"/>
    <s v="IVC"/>
    <s v="All"/>
    <x v="2"/>
    <x v="1"/>
    <s v="-"/>
    <x v="1"/>
    <n v="2026"/>
    <n v="1050"/>
    <n v="1000"/>
    <n v="191"/>
    <n v="8.1"/>
    <n v="295"/>
    <n v="7.9"/>
    <n v="245"/>
    <n v="18"/>
    <n v="16"/>
    <n v="16"/>
    <n v="0"/>
    <n v="0"/>
    <n v="26"/>
    <n v="4"/>
    <n v="46.208416000000007"/>
    <n v="49.206672000000005"/>
    <n v="52.028560000000006"/>
    <n v="245"/>
    <n v="202"/>
    <n v="35"/>
    <n v="-8"/>
    <n v="39"/>
    <n v="47.140834810813786"/>
    <n v="34"/>
    <n v="16"/>
    <n v="262"/>
    <n v="0.26200000000000001"/>
    <n v="46.167400881057269"/>
    <n v="14.767932489451477"/>
    <n v="208.81856540084385"/>
    <n v="42.616033755274259"/>
    <n v="0.67070903453961428"/>
    <n v="0.32929096546038572"/>
    <n v="0.20881856540084384"/>
    <n v="4.2616033755274257E-2"/>
    <n v="0.2514345991561181"/>
    <n v="201.38418715620648"/>
    <n v="41.098813705348263"/>
    <n v="0.20138418715620648"/>
    <n v="4.1098813705348264E-2"/>
    <n v="0.24248300086155475"/>
    <n v="17.35916230366492"/>
    <n v="7"/>
    <n v="15.430366492146597"/>
    <n v="25"/>
    <n v="0"/>
    <n v="0"/>
    <n v="0"/>
    <n v="7"/>
    <n v="71.78952879581152"/>
    <n v="0.26680910184114975"/>
    <n v="0.1205899123943808"/>
  </r>
  <r>
    <n v="37"/>
    <d v="2026-07-01T00:00:00"/>
    <s v="Jul-26"/>
    <x v="1"/>
    <s v="IVC"/>
    <s v="All"/>
    <x v="2"/>
    <x v="1"/>
    <s v="-"/>
    <x v="1"/>
    <n v="2026"/>
    <n v="1050"/>
    <n v="1000"/>
    <n v="191"/>
    <n v="8.1"/>
    <n v="305"/>
    <n v="7.9"/>
    <n v="246"/>
    <n v="15"/>
    <n v="14"/>
    <n v="26"/>
    <n v="0"/>
    <n v="4"/>
    <n v="14"/>
    <n v="5"/>
    <n v="45.943864000000005"/>
    <n v="48.501200000000004"/>
    <n v="53.792240000000007"/>
    <n v="246"/>
    <n v="201"/>
    <n v="35"/>
    <n v="-10"/>
    <n v="35"/>
    <n v="42.328944220541423"/>
    <n v="29"/>
    <n v="30"/>
    <n v="260.5"/>
    <n v="0.26050000000000001"/>
    <n v="45.903083700440526"/>
    <n v="14.830508474576272"/>
    <n v="209.51694915254237"/>
    <n v="50.25"/>
    <n v="0.66777395337527401"/>
    <n v="0.33222604662472593"/>
    <n v="0.20951694915254238"/>
    <n v="5.0250000000000003E-2"/>
    <n v="0.25976694915254239"/>
    <n v="202.05770698376071"/>
    <n v="48.460994764397903"/>
    <n v="0.20205770698376072"/>
    <n v="4.8460994764397899E-2"/>
    <n v="0.2505187017481586"/>
    <n v="14.465968586387435"/>
    <n v="6"/>
    <n v="13.501570680628271"/>
    <n v="25"/>
    <n v="3.8575916230366492"/>
    <n v="0"/>
    <n v="0"/>
    <n v="4"/>
    <n v="66.82513089005235"/>
    <n v="0.2519711775737834"/>
    <n v="0.10182073923575838"/>
  </r>
  <r>
    <n v="38"/>
    <d v="2026-07-02T00:00:00"/>
    <s v="Jul-26"/>
    <x v="1"/>
    <s v="IVC"/>
    <s v="All"/>
    <x v="2"/>
    <x v="1"/>
    <s v="-"/>
    <x v="1"/>
    <n v="2026"/>
    <n v="1051"/>
    <n v="1000"/>
    <n v="178"/>
    <n v="8.3000000000000007"/>
    <n v="297"/>
    <n v="7.9"/>
    <n v="239"/>
    <n v="13"/>
    <n v="14"/>
    <n v="31"/>
    <n v="0"/>
    <n v="0"/>
    <n v="14"/>
    <n v="2"/>
    <n v="44.532920000000004"/>
    <n v="46.913888"/>
    <n v="52.381295999999999"/>
    <n v="239"/>
    <n v="192"/>
    <n v="37"/>
    <n v="-10"/>
    <n v="37"/>
    <n v="45.264735027903036"/>
    <n v="27"/>
    <n v="31"/>
    <n v="252.5"/>
    <n v="0.2525"/>
    <n v="44.493392070484582"/>
    <n v="16.157205240174672"/>
    <n v="200.38427947598251"/>
    <n v="48.62882096069869"/>
    <n v="0.65230728946833993"/>
    <n v="0.34769271053166007"/>
    <n v="0.2003842794759825"/>
    <n v="4.862882096069869E-2"/>
    <n v="0.24901310043668118"/>
    <n v="193.25017947369622"/>
    <n v="46.897533094035069"/>
    <n v="0.19325017947369622"/>
    <n v="4.689753309403507E-2"/>
    <n v="0.24014771256773129"/>
    <n v="12.537172774869109"/>
    <n v="11"/>
    <n v="13.501570680628271"/>
    <n v="24"/>
    <n v="0"/>
    <n v="0"/>
    <n v="0"/>
    <n v="2"/>
    <n v="63.038743455497382"/>
    <n v="0.24573649106479556"/>
    <n v="0.12258944153577661"/>
  </r>
  <r>
    <n v="39"/>
    <d v="2026-07-02T00:00:00"/>
    <s v="Jul-26"/>
    <x v="1"/>
    <s v="IVC"/>
    <s v="All"/>
    <x v="2"/>
    <x v="1"/>
    <s v="-"/>
    <x v="1"/>
    <n v="2026"/>
    <n v="1051"/>
    <n v="1000"/>
    <n v="178"/>
    <n v="8.3000000000000007"/>
    <n v="298"/>
    <n v="7.9"/>
    <n v="231"/>
    <n v="15"/>
    <n v="12"/>
    <n v="36"/>
    <n v="0"/>
    <n v="4"/>
    <n v="13"/>
    <n v="3"/>
    <n v="43.121976000000004"/>
    <n v="45.502944000000006"/>
    <n v="52.557664000000003"/>
    <n v="231"/>
    <n v="190"/>
    <n v="31"/>
    <n v="-10"/>
    <n v="37"/>
    <n v="44.434683921175584"/>
    <n v="27"/>
    <n v="40"/>
    <n v="244.5"/>
    <n v="0.2445"/>
    <n v="43.083700440528638"/>
    <n v="14.027149321266968"/>
    <n v="198.59728506787332"/>
    <n v="57.601809954751133"/>
    <n v="0.62605810764706182"/>
    <n v="0.37394189235293818"/>
    <n v="0.1985972850678733"/>
    <n v="5.7601809954751129E-2"/>
    <n v="0.25619909502262445"/>
    <n v="191.52680580891237"/>
    <n v="55.551064888299258"/>
    <n v="0.19152680580891238"/>
    <n v="5.5551064888299258E-2"/>
    <n v="0.24707787069721163"/>
    <n v="14.465968586387435"/>
    <n v="12"/>
    <n v="11.572774869109946"/>
    <n v="22"/>
    <n v="3.8575916230366492"/>
    <n v="2"/>
    <n v="0"/>
    <n v="1"/>
    <n v="66.896335078534037"/>
    <n v="0.26886010319083575"/>
    <n v="0.13929457150730229"/>
  </r>
  <r>
    <n v="40"/>
    <d v="2026-07-03T00:00:00"/>
    <s v="Jul-26"/>
    <x v="2"/>
    <s v="IVC"/>
    <s v="All"/>
    <x v="9"/>
    <x v="1"/>
    <s v="-"/>
    <x v="1"/>
    <n v="2026"/>
    <s v="-"/>
    <n v="1000"/>
    <n v="179"/>
    <n v="8.6"/>
    <n v="289"/>
    <n v="7.56"/>
    <n v="236"/>
    <n v="12"/>
    <n v="10"/>
    <n v="26"/>
    <n v="0"/>
    <n v="5"/>
    <n v="26"/>
    <n v="4"/>
    <n v="43.562896000000002"/>
    <n v="45.502944000000006"/>
    <n v="50.970352000000005"/>
    <n v="236"/>
    <n v="192"/>
    <n v="36"/>
    <n v="-8"/>
    <n v="33"/>
    <n v="40.095424628208349"/>
    <n v="22"/>
    <n v="31"/>
    <n v="247"/>
    <n v="0.247"/>
    <n v="43.524229074889867"/>
    <n v="15.789473684210527"/>
    <n v="198.73684210526318"/>
    <n v="44.631578947368425"/>
    <n v="0.67787050301658014"/>
    <n v="0.32212949698341992"/>
    <n v="0.19873684210526318"/>
    <n v="4.4631578947368425E-2"/>
    <n v="0.24336842105263162"/>
    <n v="192.36893910168092"/>
    <n v="43.201499035546988"/>
    <n v="0.19236893910168093"/>
    <n v="4.3201499035546986E-2"/>
    <n v="0.23557043813722792"/>
    <n v="11.615497382198953"/>
    <n v="9"/>
    <n v="9.6795811518324602"/>
    <n v="22"/>
    <n v="4.8397905759162301"/>
    <n v="2"/>
    <n v="0"/>
    <n v="0"/>
    <n v="59.134869109947644"/>
    <n v="0.23679218701256879"/>
    <n v="0.10737238219895288"/>
  </r>
  <r>
    <n v="41"/>
    <d v="2026-07-03T00:00:00"/>
    <s v="Jul-26"/>
    <x v="2"/>
    <s v="IVC"/>
    <s v="All"/>
    <x v="9"/>
    <x v="1"/>
    <s v="-"/>
    <x v="1"/>
    <n v="2026"/>
    <s v="-"/>
    <n v="1000"/>
    <n v="181"/>
    <n v="8.6"/>
    <n v="286"/>
    <n v="7.56"/>
    <n v="240"/>
    <n v="13"/>
    <n v="10"/>
    <n v="21"/>
    <n v="0"/>
    <n v="2"/>
    <n v="34"/>
    <n v="8"/>
    <n v="44.356552000000001"/>
    <n v="46.384783999999996"/>
    <n v="50.441248000000002"/>
    <n v="241"/>
    <n v="196"/>
    <n v="37"/>
    <n v="-8"/>
    <n v="33"/>
    <n v="40.126712513208901"/>
    <n v="23"/>
    <n v="23"/>
    <n v="251.5"/>
    <n v="0.2515"/>
    <n v="44.317180616740089"/>
    <n v="15.879828326180258"/>
    <n v="201.88841201716738"/>
    <n v="38.69527896995708"/>
    <n v="0.6988576485552136"/>
    <n v="0.30114235144478635"/>
    <n v="0.2018884120171674"/>
    <n v="3.869527896995708E-2"/>
    <n v="0.24058369098712448"/>
    <n v="195.41952677347592"/>
    <n v="37.455409298249549"/>
    <n v="0.19541952677347593"/>
    <n v="3.7455409298249552E-2"/>
    <n v="0.23287493607172549"/>
    <n v="12.583455497382198"/>
    <n v="8"/>
    <n v="9.6795811518324602"/>
    <n v="25"/>
    <n v="1.9359162303664921"/>
    <n v="0"/>
    <n v="0"/>
    <n v="0"/>
    <n v="57.198952879581149"/>
    <n v="0.22468587167012449"/>
    <n v="0.10501763008868467"/>
  </r>
  <r>
    <n v="42"/>
    <d v="2026-07-04T00:00:00"/>
    <s v="Jul-26"/>
    <x v="2"/>
    <s v="IVC"/>
    <s v="All"/>
    <x v="10"/>
    <x v="1"/>
    <s v="-"/>
    <x v="1"/>
    <n v="2026"/>
    <s v="-"/>
    <n v="1000"/>
    <n v="180"/>
    <n v="8.6999999999999993"/>
    <n v="289"/>
    <n v="8.1"/>
    <n v="232"/>
    <n v="16"/>
    <n v="13"/>
    <n v="25"/>
    <n v="0"/>
    <n v="3"/>
    <n v="19"/>
    <n v="3"/>
    <n v="43.474711999999997"/>
    <n v="46.032048000000003"/>
    <n v="50.970352000000005"/>
    <n v="232"/>
    <n v="190"/>
    <n v="33"/>
    <n v="-9"/>
    <n v="31"/>
    <n v="37.562372826771153"/>
    <n v="29"/>
    <n v="28"/>
    <n v="246.5"/>
    <n v="0.2465"/>
    <n v="43.436123348017624"/>
    <n v="14.798206278026907"/>
    <n v="197.66816143497755"/>
    <n v="48.56502242152466"/>
    <n v="0.67279455769283347"/>
    <n v="0.32720544230716664"/>
    <n v="0.19766816143497754"/>
    <n v="4.8565022421524662E-2"/>
    <n v="0.2462331838565022"/>
    <n v="190.21679618716689"/>
    <n v="46.734299063226352"/>
    <n v="0.19021679618716689"/>
    <n v="4.6734299063226355E-2"/>
    <n v="0.23695109525039323"/>
    <n v="15.396858638743456"/>
    <n v="9"/>
    <n v="12.509947643979059"/>
    <n v="22"/>
    <n v="2.8869109947643983"/>
    <n v="0"/>
    <n v="0"/>
    <n v="0"/>
    <n v="61.793717277486913"/>
    <n v="0.24603204382574761"/>
    <n v="0.12840451915128134"/>
  </r>
  <r>
    <n v="43"/>
    <d v="2026-07-04T00:00:00"/>
    <s v="Jul-26"/>
    <x v="2"/>
    <s v="IVC"/>
    <s v="All"/>
    <x v="10"/>
    <x v="1"/>
    <s v="-"/>
    <x v="1"/>
    <n v="2026"/>
    <s v="-"/>
    <n v="1000"/>
    <n v="186"/>
    <n v="8.6999999999999993"/>
    <n v="287"/>
    <n v="8.1"/>
    <n v="240"/>
    <n v="12"/>
    <n v="10"/>
    <n v="24"/>
    <n v="0"/>
    <n v="1"/>
    <n v="25"/>
    <n v="7"/>
    <n v="44.268368000000002"/>
    <n v="46.208416000000007"/>
    <n v="50.617616000000005"/>
    <n v="240"/>
    <n v="193"/>
    <n v="37"/>
    <n v="-10"/>
    <n v="30"/>
    <n v="36.75876425225907"/>
    <n v="22"/>
    <n v="25"/>
    <n v="251"/>
    <n v="0.251"/>
    <n v="44.229074889867839"/>
    <n v="16.086956521739133"/>
    <n v="201.39130434782609"/>
    <n v="39.439130434782612"/>
    <n v="0.70815761584578718"/>
    <n v="0.29184238415421276"/>
    <n v="0.20139130434782609"/>
    <n v="3.9439130434782615E-2"/>
    <n v="0.24083043478260871"/>
    <n v="193.79959025722741"/>
    <n v="37.952419758707038"/>
    <n v="0.1937995902572274"/>
    <n v="3.7952419758707036E-2"/>
    <n v="0.23175201001593443"/>
    <n v="11.547643979057593"/>
    <n v="8"/>
    <n v="9.6230366492146597"/>
    <n v="22"/>
    <n v="0.96230366492146602"/>
    <n v="0"/>
    <n v="0"/>
    <n v="0"/>
    <n v="52.132984293193715"/>
    <n v="0.20677553597089432"/>
    <n v="0.10128312942516887"/>
  </r>
  <r>
    <n v="44"/>
    <d v="2026-07-07T00:00:00"/>
    <s v="Jul-26"/>
    <x v="2"/>
    <s v="IVC"/>
    <s v="All"/>
    <x v="11"/>
    <x v="1"/>
    <s v="-"/>
    <x v="1"/>
    <n v="2026"/>
    <s v="-"/>
    <n v="1000"/>
    <n v="184"/>
    <n v="9.1"/>
    <n v="295"/>
    <n v="8.9"/>
    <n v="224"/>
    <n v="17"/>
    <n v="14"/>
    <n v="40"/>
    <n v="0"/>
    <n v="0"/>
    <n v="14"/>
    <n v="5"/>
    <n v="42.240136"/>
    <n v="44.973840000000003"/>
    <n v="52.028560000000006"/>
    <n v="224"/>
    <n v="184"/>
    <n v="30"/>
    <n v="-10"/>
    <n v="23"/>
    <n v="27.922689454948348"/>
    <n v="31"/>
    <n v="40"/>
    <n v="239.5"/>
    <n v="0.23949999999999999"/>
    <n v="42.202643171806166"/>
    <n v="14.018691588785046"/>
    <n v="192.5981308411215"/>
    <n v="61.046728971962615"/>
    <n v="0.66466884930525982"/>
    <n v="0.33533115069474012"/>
    <n v="0.19259813084112151"/>
    <n v="6.1046728971962616E-2"/>
    <n v="0.25364485981308416"/>
    <n v="183.7244996819494"/>
    <n v="58.234104809903599"/>
    <n v="0.1837244996819494"/>
    <n v="5.8234104809903597E-2"/>
    <n v="0.241958604491853"/>
    <n v="16.216753926701568"/>
    <n v="7"/>
    <n v="13.354973821989528"/>
    <n v="15"/>
    <n v="0"/>
    <n v="0"/>
    <n v="0"/>
    <n v="1"/>
    <n v="52.571727748691096"/>
    <n v="0.21612104776048727"/>
    <n v="0.12617801047120417"/>
  </r>
  <r>
    <n v="45"/>
    <d v="2026-07-07T00:00:00"/>
    <s v="Jul-26"/>
    <x v="2"/>
    <s v="IVC"/>
    <s v="All"/>
    <x v="11"/>
    <x v="1"/>
    <s v="-"/>
    <x v="1"/>
    <n v="2026"/>
    <s v="-"/>
    <n v="1000"/>
    <n v="180"/>
    <n v="9.1"/>
    <n v="295"/>
    <n v="8.9"/>
    <n v="234"/>
    <n v="10"/>
    <n v="16"/>
    <n v="31"/>
    <n v="0"/>
    <n v="4"/>
    <n v="9"/>
    <n v="5"/>
    <n v="43.562896000000002"/>
    <n v="45.85568"/>
    <n v="52.028560000000006"/>
    <n v="234"/>
    <n v="195"/>
    <n v="30"/>
    <n v="-9"/>
    <n v="35"/>
    <n v="42.235638492499085"/>
    <n v="26"/>
    <n v="35"/>
    <n v="247"/>
    <n v="0.247"/>
    <n v="43.524229074889867"/>
    <n v="13.333333333333334"/>
    <n v="202.8"/>
    <n v="52.866666666666667"/>
    <n v="0.65004868307627428"/>
    <n v="0.34995131692372566"/>
    <n v="0.20280000000000001"/>
    <n v="5.2866666666666666E-2"/>
    <n v="0.25566666666666665"/>
    <n v="193.45633507853401"/>
    <n v="50.430924956369978"/>
    <n v="0.19345633507853402"/>
    <n v="5.0430924956369978E-2"/>
    <n v="0.24388726003490399"/>
    <n v="9.5392670157068071"/>
    <n v="8"/>
    <n v="15.26282722513089"/>
    <n v="23"/>
    <n v="3.8157068062827224"/>
    <n v="2"/>
    <n v="0"/>
    <n v="2"/>
    <n v="63.617801047120416"/>
    <n v="0.25650173098032591"/>
    <n v="8.9944959054906695E-2"/>
  </r>
  <r>
    <n v="46"/>
    <d v="2026-07-06T00:00:00"/>
    <s v="Jul-26"/>
    <x v="1"/>
    <s v="IVC"/>
    <s v="All"/>
    <x v="12"/>
    <x v="1"/>
    <s v="-"/>
    <x v="1"/>
    <n v="2026"/>
    <n v="1052"/>
    <n v="1000"/>
    <n v="184"/>
    <n v="8.1"/>
    <n v="296"/>
    <n v="7.7"/>
    <n v="242"/>
    <n v="18"/>
    <n v="15"/>
    <n v="21"/>
    <n v="0"/>
    <n v="0"/>
    <n v="23"/>
    <n v="6"/>
    <n v="45.591128000000005"/>
    <n v="48.501200000000004"/>
    <n v="52.204928000000002"/>
    <n v="239"/>
    <n v="199"/>
    <n v="31"/>
    <n v="-9"/>
    <n v="33"/>
    <n v="39.35470347166612"/>
    <n v="33"/>
    <n v="21"/>
    <n v="258.5"/>
    <n v="0.25850000000000001"/>
    <n v="45.55066079295154"/>
    <n v="13.478260869565219"/>
    <n v="209.38260869565218"/>
    <n v="46.721739130434784"/>
    <n v="0.68461248827139831"/>
    <n v="0.31538751172860174"/>
    <n v="0.20938260869565217"/>
    <n v="4.6721739130434786E-2"/>
    <n v="0.25610434782608693"/>
    <n v="202.36664693831094"/>
    <n v="45.15619394491236"/>
    <n v="0.20236664693831094"/>
    <n v="4.5156193944912361E-2"/>
    <n v="0.24752284088322329"/>
    <n v="17.396858638743453"/>
    <n v="8"/>
    <n v="14.497382198952879"/>
    <n v="25"/>
    <n v="0"/>
    <n v="0"/>
    <n v="0"/>
    <n v="0"/>
    <n v="64.89424083769633"/>
    <n v="0.24416034669555794"/>
    <n v="0.12762240521981635"/>
  </r>
  <r>
    <n v="47"/>
    <d v="2026-07-06T00:00:00"/>
    <s v="Jul-26"/>
    <x v="1"/>
    <s v="IVC"/>
    <s v="All"/>
    <x v="12"/>
    <x v="1"/>
    <s v="-"/>
    <x v="1"/>
    <n v="2026"/>
    <n v="1052"/>
    <n v="1000"/>
    <n v="183"/>
    <n v="8.1"/>
    <n v="293"/>
    <n v="7.7"/>
    <n v="239"/>
    <n v="20"/>
    <n v="15"/>
    <n v="19"/>
    <n v="0"/>
    <n v="0"/>
    <n v="31"/>
    <n v="5"/>
    <n v="45.238391999999997"/>
    <n v="48.324832000000001"/>
    <n v="51.675823999999999"/>
    <n v="242"/>
    <n v="199"/>
    <n v="32"/>
    <n v="-11"/>
    <n v="28"/>
    <n v="33.502084769690406"/>
    <n v="35"/>
    <n v="19"/>
    <n v="256.5"/>
    <n v="0.25650000000000001"/>
    <n v="45.198237885462554"/>
    <n v="13.852813852813853"/>
    <n v="205.8917748917749"/>
    <n v="46.519480519480524"/>
    <n v="0.70135807245839454"/>
    <n v="0.29864192754160551"/>
    <n v="0.2058917748917749"/>
    <n v="4.6519480519480523E-2"/>
    <n v="0.25241125541125542"/>
    <n v="198.99278348178871"/>
    <n v="44.960712585843481"/>
    <n v="0.1989927834817887"/>
    <n v="4.4960712585843485E-2"/>
    <n v="0.24395349606763217"/>
    <n v="19.329842931937172"/>
    <n v="7"/>
    <n v="14.497382198952879"/>
    <n v="21"/>
    <n v="0"/>
    <n v="0"/>
    <n v="0"/>
    <n v="0"/>
    <n v="61.827225130890049"/>
    <n v="0.23346988161422208"/>
    <n v="0.13231076850219683"/>
  </r>
  <r>
    <n v="48"/>
    <d v="2026-07-07T00:00:00"/>
    <s v="Jul-26"/>
    <x v="1"/>
    <s v="IVC"/>
    <s v="All"/>
    <x v="12"/>
    <x v="1"/>
    <s v="-"/>
    <x v="1"/>
    <n v="2026"/>
    <n v="1053"/>
    <n v="1000"/>
    <n v="184"/>
    <n v="7.9"/>
    <n v="292"/>
    <n v="7.68"/>
    <n v="245"/>
    <n v="15"/>
    <n v="10"/>
    <n v="22"/>
    <n v="0"/>
    <n v="0"/>
    <n v="26"/>
    <n v="5"/>
    <n v="45.414760000000001"/>
    <n v="47.61936"/>
    <n v="51.499456000000002"/>
    <n v="245"/>
    <n v="206"/>
    <n v="32"/>
    <n v="-7"/>
    <n v="30"/>
    <n v="35.758887610503471"/>
    <n v="25"/>
    <n v="22"/>
    <n v="257.5"/>
    <n v="0.25750000000000001"/>
    <n v="45.374449339207047"/>
    <n v="13.445378151260504"/>
    <n v="212.05882352941177"/>
    <n v="40.680672268907564"/>
    <n v="0.71657915201882372"/>
    <n v="0.28342084798117628"/>
    <n v="0.21205882352941177"/>
    <n v="4.0680672268907564E-2"/>
    <n v="0.25273949579831934"/>
    <n v="204.9975977825685"/>
    <n v="39.326069778696819"/>
    <n v="0.20499759778256851"/>
    <n v="3.9326069778696821E-2"/>
    <n v="0.24432366756126533"/>
    <n v="14.500523560209423"/>
    <n v="6"/>
    <n v="9.6670157068062821"/>
    <n v="24"/>
    <n v="0"/>
    <n v="0"/>
    <n v="0"/>
    <n v="0"/>
    <n v="54.167539267015705"/>
    <n v="0.20753097117915145"/>
    <n v="9.951710466121079E-2"/>
  </r>
  <r>
    <n v="49"/>
    <d v="2026-07-07T00:00:00"/>
    <s v="Jul-26"/>
    <x v="1"/>
    <s v="IVC"/>
    <s v="All"/>
    <x v="12"/>
    <x v="1"/>
    <s v="-"/>
    <x v="1"/>
    <n v="2026"/>
    <n v="1053"/>
    <n v="1000"/>
    <n v="182"/>
    <n v="7.9"/>
    <n v="294"/>
    <n v="7.68"/>
    <n v="248"/>
    <n v="13"/>
    <n v="10"/>
    <n v="23"/>
    <n v="0"/>
    <n v="0"/>
    <n v="23"/>
    <n v="4"/>
    <n v="45.767496000000001"/>
    <n v="47.795728000000004"/>
    <n v="51.852192000000002"/>
    <n v="248"/>
    <n v="208"/>
    <n v="32"/>
    <n v="-8"/>
    <n v="28"/>
    <n v="33.3419988445985"/>
    <n v="23"/>
    <n v="23"/>
    <n v="259.5"/>
    <n v="0.25950000000000001"/>
    <n v="45.726872246696033"/>
    <n v="13.333333333333334"/>
    <n v="214.93333333333334"/>
    <n v="39.866666666666667"/>
    <n v="0.73012925563061737"/>
    <n v="0.26987074436938263"/>
    <n v="0.21493333333333334"/>
    <n v="3.9866666666666668E-2"/>
    <n v="0.25480000000000003"/>
    <n v="207.77639092495639"/>
    <n v="38.539169284467711"/>
    <n v="0.20777639092495639"/>
    <n v="3.8539169284467711E-2"/>
    <n v="0.24631556020942411"/>
    <n v="12.567120418848166"/>
    <n v="7"/>
    <n v="9.6670157068062821"/>
    <n v="21"/>
    <n v="0"/>
    <n v="0"/>
    <n v="0"/>
    <n v="0"/>
    <n v="50.234136125654445"/>
    <n v="0.1917508169882392"/>
    <n v="9.4072694321385417E-2"/>
  </r>
  <r>
    <n v="50"/>
    <d v="2026-07-09T00:00:00"/>
    <s v="Jul-26"/>
    <x v="2"/>
    <s v="IVC"/>
    <s v="All"/>
    <x v="13"/>
    <x v="1"/>
    <s v="-"/>
    <x v="1"/>
    <n v="2026"/>
    <s v="-"/>
    <n v="1000"/>
    <n v="171"/>
    <n v="8.6999999999999993"/>
    <n v="285"/>
    <n v="8.3000000000000007"/>
    <n v="233"/>
    <n v="18"/>
    <n v="17"/>
    <n v="17"/>
    <n v="0"/>
    <n v="0"/>
    <n v="20"/>
    <n v="5"/>
    <n v="44.180184000000004"/>
    <n v="47.266624"/>
    <n v="50.264880000000005"/>
    <n v="233"/>
    <n v="194"/>
    <n v="32"/>
    <n v="-7"/>
    <n v="36"/>
    <n v="43.472655156773236"/>
    <n v="35"/>
    <n v="17"/>
    <n v="250.5"/>
    <n v="0.2505"/>
    <n v="44.140969162995596"/>
    <n v="14.159292035398231"/>
    <n v="200.0088495575221"/>
    <n v="44.637168141592916"/>
    <n v="0.66500822752009392"/>
    <n v="0.33499177247990614"/>
    <n v="0.2000088495575221"/>
    <n v="4.4637168141592916E-2"/>
    <n v="0.24464601769911501"/>
    <n v="192.05038224528559"/>
    <n v="42.861029513969328"/>
    <n v="0.19205038224528559"/>
    <n v="4.2861029513969327E-2"/>
    <n v="0.23491141175925492"/>
    <n v="17.283769633507855"/>
    <n v="8"/>
    <n v="16.323560209424084"/>
    <n v="28"/>
    <n v="0"/>
    <n v="0"/>
    <n v="0"/>
    <n v="0"/>
    <n v="69.607329842931932"/>
    <n v="0.27049186998486302"/>
    <n v="0.13032870945107142"/>
  </r>
  <r>
    <n v="51"/>
    <d v="2026-07-09T00:00:00"/>
    <s v="Jul-26"/>
    <x v="2"/>
    <s v="IVC"/>
    <s v="All"/>
    <x v="13"/>
    <x v="1"/>
    <s v="-"/>
    <x v="1"/>
    <n v="2026"/>
    <s v="-"/>
    <n v="1000"/>
    <n v="174"/>
    <n v="8.6999999999999993"/>
    <n v="289"/>
    <n v="8.3000000000000007"/>
    <n v="235"/>
    <n v="15"/>
    <n v="19"/>
    <n v="18"/>
    <n v="0"/>
    <n v="2"/>
    <n v="17"/>
    <n v="5"/>
    <n v="44.444736000000006"/>
    <n v="47.442992000000004"/>
    <n v="50.970352000000005"/>
    <n v="235"/>
    <n v="197"/>
    <n v="31"/>
    <n v="-7"/>
    <n v="31"/>
    <n v="37.250234364537299"/>
    <n v="34"/>
    <n v="20"/>
    <n v="252"/>
    <n v="0.252"/>
    <n v="44.405286343612332"/>
    <n v="13.596491228070176"/>
    <n v="203.0482456140351"/>
    <n v="46.65789473684211"/>
    <n v="0.68425524441336572"/>
    <n v="0.31574475558663428"/>
    <n v="0.20304824561403509"/>
    <n v="4.6657894736842107E-2"/>
    <n v="0.24970614035087718"/>
    <n v="194.96883898227244"/>
    <n v="44.801350234224309"/>
    <n v="0.19496883898227244"/>
    <n v="4.480135023422431E-2"/>
    <n v="0.23977018921649673"/>
    <n v="14.403141361256544"/>
    <n v="7"/>
    <n v="18.243979057591623"/>
    <n v="24"/>
    <n v="1.9204188481675393"/>
    <n v="0"/>
    <n v="0"/>
    <n v="0"/>
    <n v="65.567539267015704"/>
    <n v="0.25384618503038436"/>
    <n v="0.1086453876205916"/>
  </r>
  <r>
    <n v="52"/>
    <d v="2026-07-09T00:00:00"/>
    <s v="Jul-26"/>
    <x v="0"/>
    <s v="IVC"/>
    <s v="All"/>
    <x v="14"/>
    <x v="4"/>
    <s v="AA718FY01"/>
    <x v="4"/>
    <n v="2026"/>
    <n v="51701"/>
    <n v="1000"/>
    <n v="183"/>
    <n v="8.1999999999999993"/>
    <n v="284"/>
    <n v="7.32"/>
    <n v="225"/>
    <n v="15"/>
    <n v="16"/>
    <n v="22"/>
    <n v="0"/>
    <n v="6"/>
    <n v="27"/>
    <n v="4"/>
    <n v="42.416504000000003"/>
    <n v="45.150207999999999"/>
    <n v="50.088512000000001"/>
    <n v="225"/>
    <n v="188"/>
    <n v="29"/>
    <n v="-8"/>
    <n v="25"/>
    <n v="29.662045112363234"/>
    <n v="31"/>
    <n v="28"/>
    <n v="240.5"/>
    <n v="0.24049999999999999"/>
    <n v="42.378854625550659"/>
    <n v="13.364055299539171"/>
    <n v="194.93087557603684"/>
    <n v="51.115207373271886"/>
    <n v="0.68780970030858013"/>
    <n v="0.31219029969141981"/>
    <n v="0.19493087557603683"/>
    <n v="5.1115207373271888E-2"/>
    <n v="0.24604608294930871"/>
    <n v="189.17480155379158"/>
    <n v="49.605836851883126"/>
    <n v="0.18917480155379157"/>
    <n v="4.9605836851883127E-2"/>
    <n v="0.23878063840567471"/>
    <n v="14.557068062827225"/>
    <n v="6"/>
    <n v="15.527539267015708"/>
    <n v="19"/>
    <n v="5.8228272251308901"/>
    <n v="0"/>
    <n v="0"/>
    <n v="0"/>
    <n v="60.907434554973833"/>
    <n v="0.24515891373543378"/>
    <n v="0.1093461067171661"/>
  </r>
  <r>
    <n v="53"/>
    <d v="2026-07-09T00:00:00"/>
    <s v="Jul-26"/>
    <x v="1"/>
    <s v="IVC"/>
    <s v="All"/>
    <x v="12"/>
    <x v="1"/>
    <s v="-"/>
    <x v="1"/>
    <n v="2026"/>
    <n v="1054"/>
    <n v="1000"/>
    <n v="181"/>
    <n v="8"/>
    <n v="301"/>
    <n v="7.89"/>
    <n v="255"/>
    <n v="14"/>
    <n v="10"/>
    <n v="22"/>
    <n v="0"/>
    <n v="0"/>
    <n v="12"/>
    <n v="3"/>
    <n v="47.090256000000004"/>
    <n v="49.206672000000005"/>
    <n v="53.086768000000006"/>
    <n v="255"/>
    <n v="212"/>
    <n v="36"/>
    <n v="-7"/>
    <n v="29"/>
    <n v="34.972735964362393"/>
    <n v="24"/>
    <n v="22"/>
    <n v="267"/>
    <n v="0.26700000000000002"/>
    <n v="47.048458149779734"/>
    <n v="14.516129032258064"/>
    <n v="217.98387096774195"/>
    <n v="39.322580645161288"/>
    <n v="0.73098758815826448"/>
    <n v="0.26901241184173552"/>
    <n v="0.21798387096774194"/>
    <n v="3.9322580645161288E-2"/>
    <n v="0.25730645161290322"/>
    <n v="210.24601418679276"/>
    <n v="37.926731970950847"/>
    <n v="0.21024601418679276"/>
    <n v="3.7926731970950846E-2"/>
    <n v="0.2481727461577436"/>
    <n v="13.503036649214659"/>
    <n v="6"/>
    <n v="9.6450261780104718"/>
    <n v="23"/>
    <n v="0"/>
    <n v="0"/>
    <n v="0"/>
    <n v="0"/>
    <n v="52.148062827225132"/>
    <n v="0.19378964453051889"/>
    <n v="9.1995455892521963E-2"/>
  </r>
  <r>
    <n v="54"/>
    <d v="2026-07-09T00:00:00"/>
    <s v="Jul-26"/>
    <x v="1"/>
    <s v="IVC"/>
    <s v="All"/>
    <x v="12"/>
    <x v="1"/>
    <s v="-"/>
    <x v="1"/>
    <n v="2026"/>
    <n v="1054"/>
    <n v="1000"/>
    <n v="182"/>
    <n v="8"/>
    <n v="294"/>
    <n v="7.89"/>
    <n v="244"/>
    <n v="14"/>
    <n v="16"/>
    <n v="17"/>
    <n v="0"/>
    <n v="3"/>
    <n v="20"/>
    <n v="3"/>
    <n v="45.679312000000003"/>
    <n v="48.324832000000001"/>
    <n v="51.852192000000002"/>
    <n v="244"/>
    <n v="203"/>
    <n v="32"/>
    <n v="-9"/>
    <n v="19"/>
    <n v="22.733272197672996"/>
    <n v="30"/>
    <n v="20"/>
    <n v="259"/>
    <n v="0.25900000000000001"/>
    <n v="45.63876651982379"/>
    <n v="13.617021276595745"/>
    <n v="210.77446808510635"/>
    <n v="43.191489361702125"/>
    <n v="0.7526079176949898"/>
    <n v="0.24739208230501017"/>
    <n v="0.21077446808510636"/>
    <n v="4.3191489361702126E-2"/>
    <n v="0.2539659574468085"/>
    <n v="203.29252623370834"/>
    <n v="41.658304556087778"/>
    <n v="0.20329252623370833"/>
    <n v="4.165830455608778E-2"/>
    <n v="0.24495083078979613"/>
    <n v="13.503036649214659"/>
    <n v="5"/>
    <n v="15.432041884816753"/>
    <n v="14"/>
    <n v="2.8935078534031411"/>
    <n v="0"/>
    <n v="0"/>
    <n v="0"/>
    <n v="50.828586387434555"/>
    <n v="0.19233311171108489"/>
    <n v="9.1147963789234759E-2"/>
  </r>
  <r>
    <n v="55"/>
    <d v="2026-07-11T00:00:00"/>
    <s v="Jul-26"/>
    <x v="1"/>
    <s v="IVC"/>
    <s v="All"/>
    <x v="12"/>
    <x v="1"/>
    <s v="-"/>
    <x v="1"/>
    <n v="2026"/>
    <n v="1055"/>
    <n v="1000"/>
    <n v="178"/>
    <n v="8.1"/>
    <n v="297"/>
    <n v="7.84"/>
    <n v="249"/>
    <n v="17"/>
    <n v="16"/>
    <n v="15"/>
    <n v="0"/>
    <n v="0"/>
    <n v="9"/>
    <n v="5"/>
    <n v="46.825704000000002"/>
    <n v="49.735776000000008"/>
    <n v="52.381295999999999"/>
    <n v="249"/>
    <n v="205"/>
    <n v="37"/>
    <n v="-7"/>
    <n v="31"/>
    <n v="37.616622546487605"/>
    <n v="33"/>
    <n v="15"/>
    <n v="265.5"/>
    <n v="0.26550000000000001"/>
    <n v="46.784140969162998"/>
    <n v="15.289256198347108"/>
    <n v="210.92975206611573"/>
    <n v="40.66115702479339"/>
    <n v="0.71172854361451987"/>
    <n v="0.28827145638548013"/>
    <n v="0.21092975206611572"/>
    <n v="4.0661157024793393E-2"/>
    <n v="0.25159090909090909"/>
    <n v="203.55273246505993"/>
    <n v="39.239080957119988"/>
    <n v="0.20355273246505992"/>
    <n v="3.923908095711999E-2"/>
    <n v="0.24279181342217993"/>
    <n v="16.405445026178011"/>
    <n v="6"/>
    <n v="15.440418848167539"/>
    <n v="23"/>
    <n v="0"/>
    <n v="0"/>
    <n v="0"/>
    <n v="2"/>
    <n v="62.845863874345554"/>
    <n v="0.23093432944247441"/>
    <n v="0.1092948537862342"/>
  </r>
  <r>
    <n v="56"/>
    <d v="2026-07-11T00:00:00"/>
    <s v="Jul-26"/>
    <x v="1"/>
    <s v="IVC"/>
    <s v="All"/>
    <x v="12"/>
    <x v="1"/>
    <s v="-"/>
    <x v="1"/>
    <n v="2026"/>
    <n v="1055"/>
    <n v="1000"/>
    <n v="178"/>
    <n v="8.1"/>
    <n v="301"/>
    <n v="7.84"/>
    <n v="242"/>
    <n v="24"/>
    <n v="12"/>
    <n v="23"/>
    <n v="0"/>
    <n v="0"/>
    <n v="13"/>
    <n v="3"/>
    <n v="45.85568"/>
    <n v="49.030304000000001"/>
    <n v="53.086768000000006"/>
    <n v="242"/>
    <n v="197"/>
    <n v="38"/>
    <n v="-7"/>
    <n v="20"/>
    <n v="24.454233156028369"/>
    <n v="36"/>
    <n v="23"/>
    <n v="260"/>
    <n v="0.26"/>
    <n v="45.814977973568283"/>
    <n v="16.170212765957448"/>
    <n v="202.86808510638298"/>
    <n v="49.459574468085108"/>
    <n v="0.72274341144176613"/>
    <n v="0.27725658855823376"/>
    <n v="0.20286808510638299"/>
    <n v="4.9459574468085112E-2"/>
    <n v="0.25232765957446812"/>
    <n v="195.77301281051575"/>
    <n v="47.729784114960452"/>
    <n v="0.19577301281051576"/>
    <n v="4.7729784114960455E-2"/>
    <n v="0.24350279692547622"/>
    <n v="23.160628272251312"/>
    <n v="6"/>
    <n v="11.580314136125656"/>
    <n v="14"/>
    <n v="0"/>
    <n v="0"/>
    <n v="0"/>
    <n v="0"/>
    <n v="54.740942408376966"/>
    <n v="0.2040461380895284"/>
    <n v="0.14802349376777316"/>
  </r>
  <r>
    <n v="57"/>
    <d v="2026-07-13T00:00:00"/>
    <s v="Jul-26"/>
    <x v="1"/>
    <s v="IVC"/>
    <s v="All"/>
    <x v="12"/>
    <x v="1"/>
    <s v="-"/>
    <x v="1"/>
    <n v="2026"/>
    <n v="101"/>
    <n v="1000"/>
    <n v="181"/>
    <n v="8"/>
    <n v="301"/>
    <n v="7.77"/>
    <n v="250"/>
    <n v="18"/>
    <n v="10"/>
    <n v="23"/>
    <n v="0"/>
    <n v="0"/>
    <n v="9"/>
    <n v="3"/>
    <n v="46.561152"/>
    <n v="49.030304000000001"/>
    <n v="53.086768000000006"/>
    <n v="250"/>
    <n v="200"/>
    <n v="42"/>
    <n v="-8"/>
    <n v="15"/>
    <n v="18.513722879291169"/>
    <n v="28"/>
    <n v="23"/>
    <n v="264"/>
    <n v="0.26400000000000001"/>
    <n v="46.519823788546255"/>
    <n v="17.355371900826448"/>
    <n v="206.61157024793388"/>
    <n v="42.148760330578511"/>
    <n v="0.76905739907212234"/>
    <n v="0.23094260092787763"/>
    <n v="0.20661157024793389"/>
    <n v="4.2148760330578509E-2"/>
    <n v="0.24876033057851241"/>
    <n v="199.53701700488946"/>
    <n v="40.705551468997449"/>
    <n v="0.19953701700488946"/>
    <n v="4.0705551468997452E-2"/>
    <n v="0.24024256847388692"/>
    <n v="17.383664921465968"/>
    <n v="4"/>
    <n v="9.6575916230366499"/>
    <n v="10"/>
    <n v="0"/>
    <n v="0"/>
    <n v="0"/>
    <n v="1"/>
    <n v="42.041256544502616"/>
    <n v="0.1565892899905382"/>
    <n v="0.10691832460732983"/>
  </r>
  <r>
    <n v="58"/>
    <d v="2026-07-13T00:00:00"/>
    <s v="Jul-26"/>
    <x v="1"/>
    <s v="IVC"/>
    <s v="All"/>
    <x v="12"/>
    <x v="1"/>
    <s v="-"/>
    <x v="1"/>
    <n v="2026"/>
    <n v="101"/>
    <n v="1000"/>
    <n v="181"/>
    <n v="8"/>
    <n v="301"/>
    <n v="7.77"/>
    <n v="249"/>
    <n v="20"/>
    <n v="13"/>
    <n v="19"/>
    <n v="0"/>
    <n v="0"/>
    <n v="17"/>
    <n v="5"/>
    <n v="46.825704000000002"/>
    <n v="49.735776000000008"/>
    <n v="53.086768000000006"/>
    <n v="249"/>
    <n v="205"/>
    <n v="36"/>
    <n v="-8"/>
    <n v="24"/>
    <n v="29.011721103159477"/>
    <n v="33"/>
    <n v="19"/>
    <n v="265.5"/>
    <n v="0.26550000000000001"/>
    <n v="46.784140969162998"/>
    <n v="14.937759336099584"/>
    <n v="211.80497925311204"/>
    <n v="44.232365145228215"/>
    <n v="0.73085806942471931"/>
    <n v="0.26914193057528063"/>
    <n v="0.21180497925311204"/>
    <n v="4.4232365145228214E-2"/>
    <n v="0.25603734439834025"/>
    <n v="204.55259933523061"/>
    <n v="42.71781190936543"/>
    <n v="0.20455259933523062"/>
    <n v="4.2717811909365432E-2"/>
    <n v="0.24727041124459606"/>
    <n v="19.3151832460733"/>
    <n v="6"/>
    <n v="12.554869109947644"/>
    <n v="15"/>
    <n v="0"/>
    <n v="0"/>
    <n v="0"/>
    <n v="3"/>
    <n v="55.870052356020942"/>
    <n v="0.20514509286450847"/>
    <n v="0.12348869876133317"/>
  </r>
  <r>
    <n v="59"/>
    <d v="2026-07-13T00:00:00"/>
    <s v="Jul-26"/>
    <x v="1"/>
    <s v="IVC"/>
    <s v="All"/>
    <x v="12"/>
    <x v="1"/>
    <s v="-"/>
    <x v="1"/>
    <n v="2026"/>
    <n v="102"/>
    <n v="1000"/>
    <n v="182"/>
    <n v="8.1999999999999993"/>
    <n v="294"/>
    <n v="8"/>
    <n v="250"/>
    <n v="14"/>
    <n v="11"/>
    <n v="19"/>
    <n v="0"/>
    <n v="0"/>
    <n v="17"/>
    <n v="4"/>
    <n v="46.296600000000005"/>
    <n v="48.501200000000004"/>
    <n v="51.852192000000002"/>
    <n v="250"/>
    <n v="208"/>
    <n v="34"/>
    <n v="-8"/>
    <n v="19"/>
    <n v="22.847107438016529"/>
    <n v="25"/>
    <n v="19"/>
    <n v="262.5"/>
    <n v="0.26250000000000001"/>
    <n v="46.255506607929519"/>
    <n v="14.049586776859504"/>
    <n v="214.87603305785126"/>
    <n v="37.81818181818182"/>
    <n v="0.77262888626524984"/>
    <n v="0.22737111373475014"/>
    <n v="0.21487603305785125"/>
    <n v="3.781818181818182E-2"/>
    <n v="0.25269421487603305"/>
    <n v="207.00099519709229"/>
    <n v="36.432175154688245"/>
    <n v="0.20700099519709231"/>
    <n v="3.6432175154688246E-2"/>
    <n v="0.24343317035178055"/>
    <n v="13.486910994764397"/>
    <n v="5"/>
    <n v="10.596858638743456"/>
    <n v="14"/>
    <n v="0"/>
    <n v="0"/>
    <n v="0"/>
    <n v="0"/>
    <n v="43.083769633507856"/>
    <n v="0.16262845849802371"/>
    <n v="8.887937978252114E-2"/>
  </r>
  <r>
    <n v="60"/>
    <d v="2026-07-13T00:00:00"/>
    <s v="Jul-26"/>
    <x v="1"/>
    <s v="IVC"/>
    <s v="All"/>
    <x v="12"/>
    <x v="1"/>
    <s v="-"/>
    <x v="1"/>
    <n v="2026"/>
    <n v="102"/>
    <n v="1000"/>
    <n v="184"/>
    <n v="8.1999999999999993"/>
    <n v="300"/>
    <n v="8"/>
    <n v="250"/>
    <n v="14"/>
    <n v="11"/>
    <n v="23"/>
    <n v="0"/>
    <n v="2"/>
    <n v="17"/>
    <n v="2"/>
    <n v="46.296600000000005"/>
    <n v="48.501200000000004"/>
    <n v="52.910400000000003"/>
    <n v="250"/>
    <n v="206"/>
    <n v="36"/>
    <n v="-8"/>
    <n v="23"/>
    <n v="27.857438016528924"/>
    <n v="25"/>
    <n v="25"/>
    <n v="262.5"/>
    <n v="0.26250000000000001"/>
    <n v="46.255506607929519"/>
    <n v="14.87603305785124"/>
    <n v="212.80991735537188"/>
    <n v="42.561983471074377"/>
    <n v="0.74047520661157018"/>
    <n v="0.25952479338842976"/>
    <n v="0.21280991735537189"/>
    <n v="4.2561983471074379E-2"/>
    <n v="0.25537190082644629"/>
    <n v="205.01060101250485"/>
    <n v="41.002120202500969"/>
    <n v="0.20501060101250485"/>
    <n v="4.100212020250097E-2"/>
    <n v="0.24601272121500581"/>
    <n v="13.486910994764397"/>
    <n v="5"/>
    <n v="10.596858638743456"/>
    <n v="16"/>
    <n v="1.9267015706806283"/>
    <n v="0"/>
    <n v="0"/>
    <n v="2"/>
    <n v="49.010471204188484"/>
    <n v="0.185"/>
    <n v="8.9742286382351447E-2"/>
  </r>
  <r>
    <n v="61"/>
    <d v="2026-07-14T00:00:00"/>
    <s v="Jul-26"/>
    <x v="1"/>
    <s v="IVC"/>
    <s v="All"/>
    <x v="7"/>
    <x v="1"/>
    <s v="-"/>
    <x v="1"/>
    <n v="2026"/>
    <n v="103"/>
    <n v="1000"/>
    <n v="168"/>
    <n v="7.6"/>
    <n v="283"/>
    <n v="7.6"/>
    <n v="240"/>
    <n v="15"/>
    <n v="14"/>
    <n v="14"/>
    <n v="0"/>
    <n v="0"/>
    <n v="33"/>
    <n v="8"/>
    <n v="44.885656000000004"/>
    <n v="47.442992000000004"/>
    <n v="49.912143999999998"/>
    <n v="240"/>
    <n v="197"/>
    <n v="34"/>
    <n v="-9"/>
    <n v="8"/>
    <n v="9.6343771668446969"/>
    <n v="29"/>
    <n v="14"/>
    <n v="254.5"/>
    <n v="0.2545"/>
    <n v="44.845814977973568"/>
    <n v="14.718614718614718"/>
    <n v="204.67532467532467"/>
    <n v="36.670995670995673"/>
    <n v="0.81401280153058408"/>
    <n v="0.18598719846941592"/>
    <n v="0.20467532467532468"/>
    <n v="3.6670995670995674E-2"/>
    <n v="0.24134632034632036"/>
    <n v="198.03141361256544"/>
    <n v="35.480628272251316"/>
    <n v="0.19803141361256543"/>
    <n v="3.5480628272251319E-2"/>
    <n v="0.23351204188481675"/>
    <n v="14.513089005235603"/>
    <n v="2"/>
    <n v="13.545549738219897"/>
    <n v="6"/>
    <n v="0"/>
    <m/>
    <n v="0"/>
    <m/>
    <n v="36.058638743455504"/>
    <n v="0.13854423148103448"/>
    <n v="8.3822786828607124E-2"/>
  </r>
  <r>
    <n v="62"/>
    <d v="2026-07-14T00:00:00"/>
    <s v="Jul-26"/>
    <x v="1"/>
    <s v="IVC"/>
    <s v="All"/>
    <x v="7"/>
    <x v="1"/>
    <s v="-"/>
    <x v="1"/>
    <n v="2026"/>
    <n v="103"/>
    <n v="1000"/>
    <n v="168"/>
    <n v="7.6"/>
    <n v="292"/>
    <n v="7.59"/>
    <n v="252"/>
    <n v="10"/>
    <n v="11"/>
    <n v="19"/>
    <n v="0"/>
    <n v="0"/>
    <n v="18"/>
    <n v="5"/>
    <n v="46.296600000000005"/>
    <n v="48.148463999999997"/>
    <n v="51.499456000000002"/>
    <n v="252"/>
    <n v="207"/>
    <n v="36"/>
    <n v="-9"/>
    <n v="21"/>
    <n v="25.308708773701742"/>
    <n v="21"/>
    <n v="19"/>
    <n v="262.5"/>
    <n v="0.26250000000000001"/>
    <n v="46.255506607929519"/>
    <n v="14.814814814814813"/>
    <n v="214.66666666666666"/>
    <n v="34.074074074074076"/>
    <n v="0.7763400384462269"/>
    <n v="0.22365996155377307"/>
    <n v="0.21466666666666664"/>
    <n v="3.4074074074074076E-2"/>
    <n v="0.24874074074074071"/>
    <n v="207.72090750436297"/>
    <n v="32.971572619740158"/>
    <n v="0.20772090750436298"/>
    <n v="3.297157261974016E-2"/>
    <n v="0.24069248012410313"/>
    <n v="9.6764397905759161"/>
    <n v="3"/>
    <n v="10.644083769633507"/>
    <n v="15"/>
    <n v="0"/>
    <n v="0"/>
    <n v="0"/>
    <n v="3"/>
    <n v="41.320523560209423"/>
    <n v="0.15641830304745574"/>
    <n v="6.1238839567999595E-2"/>
  </r>
  <r>
    <n v="63"/>
    <d v="2026-07-15T00:00:00"/>
    <s v="Jul-26"/>
    <x v="1"/>
    <s v="IVC"/>
    <s v="All"/>
    <x v="7"/>
    <x v="1"/>
    <s v="-"/>
    <x v="1"/>
    <n v="2026"/>
    <n v="104"/>
    <n v="1000"/>
    <n v="178"/>
    <n v="7.3"/>
    <n v="290"/>
    <n v="7.03"/>
    <n v="252"/>
    <n v="14"/>
    <n v="14"/>
    <n v="8"/>
    <n v="0"/>
    <n v="2"/>
    <n v="25"/>
    <n v="3"/>
    <n v="46.913888"/>
    <n v="49.383040000000001"/>
    <n v="51.146720000000002"/>
    <n v="252"/>
    <n v="207"/>
    <n v="35"/>
    <n v="-10"/>
    <n v="18"/>
    <n v="21.496403798612722"/>
    <n v="28"/>
    <n v="10"/>
    <n v="266"/>
    <n v="0.26600000000000001"/>
    <n v="46.872246696035241"/>
    <n v="14.462809917355372"/>
    <n v="215.55371900826447"/>
    <n v="32.504132231404959"/>
    <n v="0.79483998690133539"/>
    <n v="0.20516001309866455"/>
    <n v="0.21555371900826448"/>
    <n v="3.2504132231404963E-2"/>
    <n v="0.24805785123966945"/>
    <n v="209.84323828479944"/>
    <n v="31.6430279953269"/>
    <n v="0.20984323828479945"/>
    <n v="3.1643027995326901E-2"/>
    <n v="0.24148626628012634"/>
    <n v="13.629109947643979"/>
    <n v="5"/>
    <n v="13.629109947643979"/>
    <n v="13"/>
    <n v="1.9470157068062828"/>
    <n v="0"/>
    <n v="0"/>
    <n v="0"/>
    <n v="47.205235602094241"/>
    <n v="0.17317798368137186"/>
    <n v="8.999570023016415E-2"/>
  </r>
  <r>
    <n v="64"/>
    <d v="2026-07-15T00:00:00"/>
    <s v="Jul-26"/>
    <x v="1"/>
    <s v="IVC"/>
    <s v="All"/>
    <x v="7"/>
    <x v="1"/>
    <s v="-"/>
    <x v="1"/>
    <n v="2026"/>
    <n v="104"/>
    <n v="1000"/>
    <n v="178"/>
    <n v="7.3"/>
    <n v="293"/>
    <n v="7.03"/>
    <n v="251"/>
    <n v="12"/>
    <n v="17"/>
    <n v="13"/>
    <n v="0"/>
    <n v="0"/>
    <n v="21"/>
    <n v="4"/>
    <n v="46.825704000000002"/>
    <n v="49.383040000000001"/>
    <n v="51.675823999999999"/>
    <n v="251"/>
    <n v="200"/>
    <n v="41"/>
    <n v="-10"/>
    <n v="17"/>
    <n v="20.754386035382851"/>
    <n v="29"/>
    <n v="13"/>
    <n v="265.5"/>
    <n v="0.26550000000000001"/>
    <n v="46.784140969162998"/>
    <n v="17.012448132780083"/>
    <n v="208.29875518672199"/>
    <n v="34.854771784232369"/>
    <n v="0.78582120807036571"/>
    <n v="0.21417879192963429"/>
    <n v="0.208298755186722"/>
    <n v="3.4854771784232366E-2"/>
    <n v="0.24315352697095438"/>
    <n v="202.7804740283722"/>
    <n v="33.931394060524433"/>
    <n v="0.20278047402837221"/>
    <n v="3.3931394060524429E-2"/>
    <n v="0.23671186808889663"/>
    <n v="11.682094240837696"/>
    <n v="4"/>
    <n v="16.549633507853404"/>
    <n v="13"/>
    <n v="0"/>
    <n v="0"/>
    <n v="0"/>
    <n v="0"/>
    <n v="45.2317277486911"/>
    <n v="0.16593793696891471"/>
    <n v="7.8410471204188481E-2"/>
  </r>
  <r>
    <n v="65"/>
    <d v="2026-07-16T00:00:00"/>
    <s v="Jul-26"/>
    <x v="1"/>
    <s v="IVC"/>
    <s v="All"/>
    <x v="7"/>
    <x v="1"/>
    <s v="-"/>
    <x v="1"/>
    <n v="2026"/>
    <n v="105"/>
    <n v="1000"/>
    <n v="174"/>
    <n v="7.4"/>
    <n v="300"/>
    <n v="7.2"/>
    <n v="261"/>
    <n v="14"/>
    <n v="8"/>
    <n v="17"/>
    <n v="0"/>
    <n v="0"/>
    <n v="17"/>
    <n v="3"/>
    <n v="47.972096000000008"/>
    <n v="49.912143999999998"/>
    <n v="52.910400000000003"/>
    <n v="261"/>
    <n v="207"/>
    <n v="44"/>
    <n v="-10"/>
    <n v="12"/>
    <n v="14.741894491001514"/>
    <n v="22"/>
    <n v="17"/>
    <n v="272"/>
    <n v="0.27200000000000002"/>
    <n v="47.929515418502206"/>
    <n v="17.529880478087652"/>
    <n v="215.24701195219126"/>
    <n v="32.163346613545819"/>
    <n v="0.82086035169666161"/>
    <n v="0.17913964830333839"/>
    <n v="0.21524701195219126"/>
    <n v="3.2163346613545821E-2"/>
    <n v="0.24741035856573707"/>
    <n v="209.16149433678899"/>
    <n v="31.254016395152377"/>
    <n v="0.20916149433678899"/>
    <n v="3.1254016395152379E-2"/>
    <n v="0.24041551073194137"/>
    <n v="13.604188481675394"/>
    <n v="2"/>
    <n v="7.7738219895287957"/>
    <n v="10"/>
    <n v="0"/>
    <n v="0"/>
    <n v="0"/>
    <n v="0"/>
    <n v="33.378010471204192"/>
    <n v="0.12137504569270138"/>
    <n v="7.5382553051571946E-2"/>
  </r>
  <r>
    <n v="66"/>
    <d v="2026-07-16T00:00:00"/>
    <s v="Jul-26"/>
    <x v="1"/>
    <s v="IVC"/>
    <s v="All"/>
    <x v="7"/>
    <x v="1"/>
    <s v="-"/>
    <x v="1"/>
    <n v="2026"/>
    <n v="105"/>
    <n v="1000"/>
    <n v="174"/>
    <n v="7.4"/>
    <n v="300"/>
    <n v="7.2"/>
    <n v="255"/>
    <n v="17"/>
    <n v="10"/>
    <n v="15"/>
    <n v="0"/>
    <n v="3"/>
    <n v="20"/>
    <n v="2"/>
    <n v="47.354808000000006"/>
    <n v="49.735776000000008"/>
    <n v="52.910400000000003"/>
    <n v="255"/>
    <n v="203"/>
    <n v="43"/>
    <n v="-9"/>
    <n v="13"/>
    <n v="15.963563568825345"/>
    <n v="27"/>
    <n v="18"/>
    <n v="268.5"/>
    <n v="0.26850000000000002"/>
    <n v="47.312775330396477"/>
    <n v="17.479674796747968"/>
    <n v="210.42682926829269"/>
    <n v="37.134146341463413"/>
    <n v="0.79678812143724886"/>
    <n v="0.20321187856275114"/>
    <n v="0.2104268292682927"/>
    <n v="3.7134146341463413E-2"/>
    <n v="0.24756097560975612"/>
    <n v="204.47758906908442"/>
    <n v="36.084280423956073"/>
    <n v="0.20447758906908442"/>
    <n v="3.6084280423956075E-2"/>
    <n v="0.24056186949304048"/>
    <n v="16.519371727748691"/>
    <n v="3"/>
    <n v="9.7172774869109944"/>
    <n v="10"/>
    <n v="2.915183246073298"/>
    <n v="0"/>
    <n v="0"/>
    <n v="0"/>
    <n v="42.151832460732983"/>
    <n v="0.15382352042064076"/>
    <n v="9.6154540530781735E-2"/>
  </r>
  <r>
    <n v="67"/>
    <d v="2026-07-17T00:00:00"/>
    <s v="Jul-26"/>
    <x v="1"/>
    <s v="IVC"/>
    <s v="All"/>
    <x v="7"/>
    <x v="1"/>
    <s v="-"/>
    <x v="1"/>
    <n v="2026"/>
    <n v="106"/>
    <n v="1000"/>
    <n v="178"/>
    <n v="7.7"/>
    <n v="293"/>
    <n v="7.4"/>
    <n v="252"/>
    <n v="16"/>
    <n v="9"/>
    <n v="14"/>
    <n v="0"/>
    <n v="2"/>
    <n v="21"/>
    <n v="4"/>
    <n v="46.649336000000005"/>
    <n v="48.853936000000004"/>
    <n v="51.675823999999999"/>
    <n v="252"/>
    <n v="208"/>
    <n v="33"/>
    <n v="-11"/>
    <n v="23"/>
    <n v="27.391896615075776"/>
    <n v="25"/>
    <n v="16"/>
    <n v="264.5"/>
    <n v="0.26450000000000001"/>
    <n v="46.607929515418505"/>
    <n v="13.692946058091286"/>
    <n v="217.49377593360998"/>
    <n v="35.385892116182575"/>
    <n v="0.7665805576277277"/>
    <n v="0.23341944237227227"/>
    <n v="0.21749377593361"/>
    <n v="3.5385892116182573E-2"/>
    <n v="0.25287966804979256"/>
    <n v="210.88925289478829"/>
    <n v="34.311346701136195"/>
    <n v="0.2108892528947883"/>
    <n v="3.4311346701136197E-2"/>
    <n v="0.2452005995959245"/>
    <n v="15.514136125654449"/>
    <n v="4"/>
    <n v="8.7267015706806284"/>
    <n v="19"/>
    <n v="1.9392670157068062"/>
    <n v="0"/>
    <n v="0"/>
    <n v="0"/>
    <n v="49.180104712041881"/>
    <n v="0.18310578475021638"/>
    <n v="9.3817962142569461E-2"/>
  </r>
  <r>
    <n v="68"/>
    <d v="2026-07-17T00:00:00"/>
    <s v="Jul-26"/>
    <x v="1"/>
    <s v="IVC"/>
    <s v="All"/>
    <x v="7"/>
    <x v="1"/>
    <s v="-"/>
    <x v="1"/>
    <n v="2026"/>
    <n v="106"/>
    <n v="1000"/>
    <n v="178"/>
    <n v="7.7"/>
    <n v="294"/>
    <n v="7.4"/>
    <n v="250"/>
    <n v="15"/>
    <n v="9"/>
    <n v="20"/>
    <n v="0"/>
    <n v="0"/>
    <n v="24"/>
    <n v="6"/>
    <n v="46.208416000000007"/>
    <n v="48.324832000000001"/>
    <n v="51.852192000000002"/>
    <n v="250"/>
    <n v="208"/>
    <n v="33"/>
    <n v="-9"/>
    <n v="14"/>
    <n v="16.67332837439395"/>
    <n v="24"/>
    <n v="20"/>
    <n v="262"/>
    <n v="0.26200000000000001"/>
    <n v="46.167400881057269"/>
    <n v="13.692946058091286"/>
    <n v="215.76763485477179"/>
    <n v="37.975103734439834"/>
    <n v="0.79362813478097294"/>
    <n v="0.20637186521902703"/>
    <n v="0.21576763485477179"/>
    <n v="3.7975103734439832E-2"/>
    <n v="0.25374273858921165"/>
    <n v="209.21552866546455"/>
    <n v="36.821933045121767"/>
    <n v="0.20921552866546456"/>
    <n v="3.6821933045121769E-2"/>
    <n v="0.24603746171058632"/>
    <n v="14.544502617801047"/>
    <n v="2"/>
    <n v="8.7267015706806284"/>
    <n v="12"/>
    <n v="0"/>
    <n v="0"/>
    <n v="0"/>
    <n v="0"/>
    <n v="37.271204188481676"/>
    <n v="0.14028629534454762"/>
    <n v="7.9540877970197349E-2"/>
  </r>
  <r>
    <n v="69"/>
    <d v="2026-07-18T00:00:00"/>
    <s v="Jul-26"/>
    <x v="1"/>
    <s v="IVC"/>
    <s v="All"/>
    <x v="15"/>
    <x v="1"/>
    <s v="-"/>
    <x v="1"/>
    <n v="2026"/>
    <n v="107"/>
    <n v="1000"/>
    <n v="180"/>
    <n v="7.9"/>
    <n v="284"/>
    <n v="7.6"/>
    <n v="232"/>
    <n v="17"/>
    <n v="7"/>
    <n v="28"/>
    <n v="0"/>
    <n v="0"/>
    <n v="24"/>
    <n v="5"/>
    <n v="43.033791999999998"/>
    <n v="45.150207999999999"/>
    <n v="50.088512000000001"/>
    <n v="232"/>
    <n v="189"/>
    <n v="39"/>
    <n v="-4"/>
    <n v="20"/>
    <n v="24.587035771246295"/>
    <n v="24"/>
    <n v="28"/>
    <n v="244"/>
    <n v="0.24399999999999999"/>
    <n v="42.995594713656388"/>
    <n v="17.10526315789474"/>
    <n v="192.31578947368422"/>
    <n v="43.10526315789474"/>
    <n v="0.73032733883363987"/>
    <n v="0.26967266116636018"/>
    <n v="0.19231578947368422"/>
    <n v="4.3105263157894737E-2"/>
    <n v="0.23542105263157895"/>
    <n v="186.07307798291541"/>
    <n v="41.706034720308629"/>
    <n v="0.18607307798291542"/>
    <n v="4.1706034720308628E-2"/>
    <n v="0.22777911270322404"/>
    <n v="16.448167539267018"/>
    <n v="4"/>
    <n v="6.7727748691099485"/>
    <n v="16"/>
    <n v="0"/>
    <n v="0"/>
    <n v="0"/>
    <n v="0"/>
    <n v="43.22094240837697"/>
    <n v="0.17449607683982685"/>
    <n v="0.10819136264162443"/>
  </r>
  <r>
    <n v="70"/>
    <d v="2026-07-18T00:00:00"/>
    <s v="Jul-26"/>
    <x v="1"/>
    <s v="IVC"/>
    <s v="All"/>
    <x v="15"/>
    <x v="1"/>
    <s v="-"/>
    <x v="1"/>
    <n v="2026"/>
    <n v="107"/>
    <n v="1000"/>
    <n v="180"/>
    <n v="7.9"/>
    <n v="292"/>
    <n v="7.6"/>
    <n v="237"/>
    <n v="14"/>
    <n v="11"/>
    <n v="30"/>
    <n v="0"/>
    <n v="0"/>
    <n v="19"/>
    <n v="5"/>
    <n v="44.003816"/>
    <n v="46.208416000000007"/>
    <n v="51.499456000000002"/>
    <n v="237"/>
    <n v="195"/>
    <n v="37"/>
    <n v="-5"/>
    <n v="26"/>
    <n v="31.647354082698907"/>
    <n v="25"/>
    <n v="30"/>
    <n v="249.5"/>
    <n v="0.2495"/>
    <n v="43.964757709251103"/>
    <n v="15.948275862068966"/>
    <n v="199.20258620689654"/>
    <n v="46.228448275862064"/>
    <n v="0.70326248601815444"/>
    <n v="0.29673751398184556"/>
    <n v="0.19920258620689654"/>
    <n v="4.6228448275862061E-2"/>
    <n v="0.2454310344827586"/>
    <n v="192.73632424625384"/>
    <n v="44.727838960101096"/>
    <n v="0.19273632424625384"/>
    <n v="4.4727838960101095E-2"/>
    <n v="0.23746416320635494"/>
    <n v="13.545549738219897"/>
    <n v="6"/>
    <n v="10.642931937172776"/>
    <n v="20"/>
    <n v="0"/>
    <n v="0"/>
    <n v="0"/>
    <n v="0"/>
    <n v="50.188481675392673"/>
    <n v="0.19798585638280292"/>
    <n v="0.10023358840112767"/>
  </r>
  <r>
    <n v="71"/>
    <d v="2026-07-20T00:00:00"/>
    <s v="Jul-26"/>
    <x v="1"/>
    <s v="IVC"/>
    <s v="All"/>
    <x v="15"/>
    <x v="1"/>
    <s v="-"/>
    <x v="1"/>
    <n v="2026"/>
    <n v="108"/>
    <n v="1000"/>
    <n v="183"/>
    <n v="8.1999999999999993"/>
    <n v="285"/>
    <n v="7.84"/>
    <n v="228"/>
    <n v="14"/>
    <n v="9"/>
    <n v="34"/>
    <n v="0"/>
    <n v="0"/>
    <n v="34"/>
    <n v="3"/>
    <n v="42.240136"/>
    <n v="44.268368000000002"/>
    <n v="50.264880000000005"/>
    <n v="228"/>
    <n v="181"/>
    <n v="37"/>
    <n v="-10"/>
    <n v="20"/>
    <n v="24.623112576452598"/>
    <n v="23"/>
    <n v="34"/>
    <n v="239.5"/>
    <n v="0.23949999999999999"/>
    <n v="42.202643171806166"/>
    <n v="16.972477064220183"/>
    <n v="189.30275229357798"/>
    <n v="47.325688073394495"/>
    <n v="0.71360311376683294"/>
    <n v="0.286396886233167"/>
    <n v="0.18930275229357799"/>
    <n v="4.7325688073394497E-2"/>
    <n v="0.23662844036697248"/>
    <n v="182.68211153273452"/>
    <n v="45.670527883183631"/>
    <n v="0.18268211153273453"/>
    <n v="4.5670527883183633E-2"/>
    <n v="0.22835263941591816"/>
    <n v="13.510366492146597"/>
    <n v="6"/>
    <n v="8.6852356020942398"/>
    <n v="14"/>
    <n v="0"/>
    <n v="0"/>
    <n v="0"/>
    <n v="0"/>
    <n v="42.195602094240833"/>
    <n v="0.17420249557326248"/>
    <n v="0.10779208006710826"/>
  </r>
  <r>
    <n v="72"/>
    <d v="2026-07-20T00:00:00"/>
    <s v="Jul-26"/>
    <x v="1"/>
    <s v="IVC"/>
    <s v="All"/>
    <x v="15"/>
    <x v="1"/>
    <s v="-"/>
    <x v="1"/>
    <n v="2026"/>
    <n v="108"/>
    <n v="1000"/>
    <n v="183"/>
    <n v="8.1999999999999993"/>
    <n v="278"/>
    <n v="7.84"/>
    <n v="236"/>
    <n v="14"/>
    <n v="8"/>
    <n v="20"/>
    <n v="0"/>
    <n v="0"/>
    <n v="19"/>
    <n v="6"/>
    <n v="43.562896000000002"/>
    <n v="45.502944000000006"/>
    <n v="49.030304000000001"/>
    <n v="236"/>
    <n v="194"/>
    <n v="33"/>
    <n v="-9"/>
    <n v="17"/>
    <n v="20.493950379344103"/>
    <n v="22"/>
    <n v="20"/>
    <n v="247"/>
    <n v="0.247"/>
    <n v="43.524229074889867"/>
    <n v="14.537444933920705"/>
    <n v="201.69162995594712"/>
    <n v="35.894273127753301"/>
    <n v="0.77520161734048876"/>
    <n v="0.22479838265951116"/>
    <n v="0.20169162995594711"/>
    <n v="3.5894273127753298E-2"/>
    <n v="0.23758590308370042"/>
    <n v="194.63770279308991"/>
    <n v="34.638913208939734"/>
    <n v="0.19463770279308992"/>
    <n v="3.4638913208939734E-2"/>
    <n v="0.22927661600202964"/>
    <n v="13.510366492146597"/>
    <n v="5"/>
    <n v="7.7202094240837695"/>
    <n v="12"/>
    <n v="0"/>
    <n v="0"/>
    <n v="0"/>
    <n v="0"/>
    <n v="38.230575916230364"/>
    <n v="0.15355078461455643"/>
    <n v="9.5414260268796874E-2"/>
  </r>
  <r>
    <n v="73"/>
    <d v="2026-07-21T00:00:00"/>
    <s v="Jul-26"/>
    <x v="1"/>
    <s v="IVC"/>
    <s v="All"/>
    <x v="15"/>
    <x v="1"/>
    <s v="-"/>
    <x v="1"/>
    <n v="2026"/>
    <n v="109"/>
    <n v="1000"/>
    <n v="173"/>
    <n v="8.3000000000000007"/>
    <n v="294"/>
    <n v="7.9"/>
    <n v="244"/>
    <n v="18"/>
    <n v="9"/>
    <n v="23"/>
    <n v="0"/>
    <n v="0"/>
    <n v="14"/>
    <n v="6"/>
    <n v="45.414760000000001"/>
    <n v="47.795728000000004"/>
    <n v="51.852192000000002"/>
    <n v="244"/>
    <n v="192"/>
    <n v="41"/>
    <n v="-11"/>
    <n v="21"/>
    <n v="26.009142889097038"/>
    <n v="27"/>
    <n v="23"/>
    <n v="257.5"/>
    <n v="0.25750000000000001"/>
    <n v="45.374449339207047"/>
    <n v="17.596566523605151"/>
    <n v="201.06437768240343"/>
    <n v="41.201716738197426"/>
    <n v="0.74146550037722092"/>
    <n v="0.25853449962277902"/>
    <n v="0.20106437768240343"/>
    <n v="4.1201716738197426E-2"/>
    <n v="0.24226609442060085"/>
    <n v="193.90606475967911"/>
    <n v="39.734849335999819"/>
    <n v="0.19390606475967911"/>
    <n v="3.9734849335999821E-2"/>
    <n v="0.23364091409567894"/>
    <n v="17.35916230366492"/>
    <n v="4"/>
    <n v="8.6795811518324602"/>
    <n v="17"/>
    <n v="0"/>
    <n v="0"/>
    <n v="0"/>
    <n v="0"/>
    <n v="47.038743455497382"/>
    <n v="0.17998245129031096"/>
    <n v="0.11124563699825479"/>
  </r>
  <r>
    <n v="74"/>
    <d v="2026-07-21T00:00:00"/>
    <s v="Jul-26"/>
    <x v="1"/>
    <s v="IVC"/>
    <s v="All"/>
    <x v="15"/>
    <x v="1"/>
    <s v="-"/>
    <x v="1"/>
    <n v="2026"/>
    <n v="109"/>
    <n v="1000"/>
    <n v="173"/>
    <n v="8.3000000000000007"/>
    <n v="286"/>
    <n v="7.9"/>
    <n v="242"/>
    <n v="10"/>
    <n v="6"/>
    <n v="28"/>
    <n v="0"/>
    <n v="0"/>
    <n v="23"/>
    <n v="2"/>
    <n v="44.091999999999999"/>
    <n v="45.502944000000006"/>
    <n v="50.441248000000002"/>
    <n v="242"/>
    <n v="191"/>
    <n v="41"/>
    <n v="-10"/>
    <n v="20"/>
    <n v="24.786588790295408"/>
    <n v="16"/>
    <n v="28"/>
    <n v="250"/>
    <n v="0.25"/>
    <n v="44.052863436123346"/>
    <n v="17.672413793103448"/>
    <n v="199.23275862068965"/>
    <n v="36.224137931034484"/>
    <n v="0.75948745178218391"/>
    <n v="0.24051254821781612"/>
    <n v="0.19923275862068965"/>
    <n v="3.6224137931034482E-2"/>
    <n v="0.23545689655172414"/>
    <n v="192.1396551724138"/>
    <n v="34.934482758620689"/>
    <n v="0.1921396551724138"/>
    <n v="3.493448275862069E-2"/>
    <n v="0.22707413793103448"/>
    <n v="9.6439790575916238"/>
    <n v="5"/>
    <n v="5.7863874345549728"/>
    <n v="15"/>
    <n v="0"/>
    <n v="0"/>
    <n v="0"/>
    <n v="0"/>
    <n v="35.430366492146597"/>
    <n v="0.14239661978469645"/>
    <n v="7.6670047421945678E-2"/>
  </r>
  <r>
    <n v="75"/>
    <d v="2026-07-22T00:00:00"/>
    <s v="Jul-26"/>
    <x v="1"/>
    <s v="IVC"/>
    <s v="All"/>
    <x v="15"/>
    <x v="1"/>
    <s v="-"/>
    <x v="1"/>
    <n v="2026"/>
    <n v="110"/>
    <n v="1000"/>
    <n v="173"/>
    <n v="7.7"/>
    <n v="286"/>
    <n v="7.1"/>
    <n v="225"/>
    <n v="17"/>
    <n v="6"/>
    <n v="38"/>
    <n v="0"/>
    <n v="0"/>
    <n v="22"/>
    <n v="5"/>
    <n v="41.711031999999996"/>
    <n v="43.739264000000006"/>
    <n v="50.441248000000002"/>
    <n v="225"/>
    <n v="177"/>
    <n v="37"/>
    <n v="-11"/>
    <n v="13"/>
    <n v="15.920595957868475"/>
    <n v="23"/>
    <n v="38"/>
    <n v="236.5"/>
    <n v="0.23649999999999999"/>
    <n v="41.674008810572687"/>
    <n v="17.289719626168225"/>
    <n v="186.0981308411215"/>
    <n v="50.453271028037385"/>
    <n v="0.7310468672801802"/>
    <n v="0.26895313271981985"/>
    <n v="0.18609813084112151"/>
    <n v="5.0453271028037386E-2"/>
    <n v="0.23655140186915891"/>
    <n v="181.03158487057789"/>
    <n v="49.079674120467779"/>
    <n v="0.18103158487057788"/>
    <n v="4.9079674120467778E-2"/>
    <n v="0.23011125899104568"/>
    <n v="16.537172774869113"/>
    <n v="4"/>
    <n v="5.8366492146596869"/>
    <n v="9"/>
    <n v="0"/>
    <n v="0"/>
    <n v="0"/>
    <n v="0"/>
    <n v="35.3738219895288"/>
    <n v="0.14662835515122052"/>
    <n v="0.11602922471677465"/>
  </r>
  <r>
    <n v="76"/>
    <d v="2026-07-22T00:00:00"/>
    <s v="Jul-26"/>
    <x v="1"/>
    <s v="IVC"/>
    <s v="All"/>
    <x v="15"/>
    <x v="1"/>
    <s v="-"/>
    <x v="1"/>
    <n v="2026"/>
    <n v="110"/>
    <n v="1000"/>
    <n v="173"/>
    <n v="7.7"/>
    <n v="289"/>
    <n v="7.1"/>
    <n v="238"/>
    <n v="13"/>
    <n v="8"/>
    <n v="28"/>
    <n v="0"/>
    <n v="2"/>
    <n v="19"/>
    <n v="3"/>
    <n v="43.827448000000004"/>
    <n v="45.679312000000003"/>
    <n v="50.970352000000005"/>
    <n v="238"/>
    <n v="195"/>
    <n v="32"/>
    <n v="-11"/>
    <n v="20"/>
    <n v="23.826481982900471"/>
    <n v="21"/>
    <n v="30"/>
    <n v="248.5"/>
    <n v="0.2485"/>
    <n v="43.78854625550661"/>
    <n v="14.096916299559471"/>
    <n v="204.44933920704847"/>
    <n v="43.810572687224671"/>
    <n v="0.74108483742941011"/>
    <n v="0.25891516257058989"/>
    <n v="0.20444933920704847"/>
    <n v="4.3810572687224672E-2"/>
    <n v="0.24825991189427316"/>
    <n v="198.88317918675187"/>
    <n v="42.617824111446829"/>
    <n v="0.19888317918675189"/>
    <n v="4.261782411144683E-2"/>
    <n v="0.24150100329819871"/>
    <n v="12.64607329842932"/>
    <n v="5"/>
    <n v="7.7821989528795816"/>
    <n v="15"/>
    <n v="1.9455497382198954"/>
    <n v="0"/>
    <n v="0"/>
    <n v="0"/>
    <n v="42.3738219895288"/>
    <n v="0.16818433072469671"/>
    <n v="9.0492683581688826E-2"/>
  </r>
  <r>
    <n v="77"/>
    <d v="2026-07-23T00:00:00"/>
    <s v="Jul-26"/>
    <x v="1"/>
    <s v="IVC"/>
    <s v="All"/>
    <x v="15"/>
    <x v="1"/>
    <s v="-"/>
    <x v="1"/>
    <n v="2026"/>
    <n v="111"/>
    <n v="1000"/>
    <n v="176"/>
    <n v="8.4"/>
    <n v="281"/>
    <n v="7.1"/>
    <n v="225"/>
    <n v="22"/>
    <n v="7"/>
    <n v="27"/>
    <n v="0"/>
    <n v="0"/>
    <n v="21"/>
    <n v="5"/>
    <n v="42.240136"/>
    <n v="44.797471999999999"/>
    <n v="49.559408000000005"/>
    <n v="225"/>
    <n v="183"/>
    <n v="33"/>
    <n v="-9"/>
    <n v="20"/>
    <n v="24.073077383088147"/>
    <n v="29"/>
    <n v="27"/>
    <n v="239.5"/>
    <n v="0.23949999999999999"/>
    <n v="42.202643171806166"/>
    <n v="15.277777777777777"/>
    <n v="190.62500000000003"/>
    <n v="47.44444444444445"/>
    <n v="0.71504242924167916"/>
    <n v="0.28495757075832079"/>
    <n v="0.19062500000000002"/>
    <n v="4.7444444444444449E-2"/>
    <n v="0.23806944444444447"/>
    <n v="185.43520942408381"/>
    <n v="46.15276323443863"/>
    <n v="0.18543520942408381"/>
    <n v="4.6152763234438628E-2"/>
    <n v="0.23158797265852243"/>
    <n v="21.401047120418848"/>
    <n v="5"/>
    <n v="6.8094240837696338"/>
    <n v="15"/>
    <n v="0"/>
    <n v="0"/>
    <n v="0"/>
    <n v="0"/>
    <n v="48.21047120418848"/>
    <n v="0.19511709314053716"/>
    <n v="0.14426801705146911"/>
  </r>
  <r>
    <n v="78"/>
    <d v="2026-07-23T00:00:00"/>
    <s v="Jul-26"/>
    <x v="1"/>
    <s v="IVC"/>
    <s v="All"/>
    <x v="15"/>
    <x v="1"/>
    <s v="-"/>
    <x v="1"/>
    <n v="2026"/>
    <n v="111"/>
    <n v="1000"/>
    <n v="176"/>
    <n v="8.4"/>
    <n v="285"/>
    <n v="7.1"/>
    <n v="229"/>
    <n v="15"/>
    <n v="5"/>
    <n v="34"/>
    <n v="0"/>
    <n v="2"/>
    <n v="29"/>
    <n v="6"/>
    <n v="42.151952000000001"/>
    <n v="43.915632000000002"/>
    <n v="50.264880000000005"/>
    <n v="229"/>
    <n v="184"/>
    <n v="36"/>
    <n v="-9"/>
    <n v="16"/>
    <n v="19.439866914570896"/>
    <n v="20"/>
    <n v="36"/>
    <n v="239"/>
    <n v="0.23899999999999999"/>
    <n v="42.114537444933923"/>
    <n v="16.363636363636363"/>
    <n v="191.52727272727273"/>
    <n v="46.836363636363643"/>
    <n v="0.73529871258045298"/>
    <n v="0.26470128741954702"/>
    <n v="0.19152727272727274"/>
    <n v="4.6836363636363641E-2"/>
    <n v="0.23836363636363639"/>
    <n v="186.31291765825799"/>
    <n v="45.561237505949556"/>
    <n v="0.186312917658258"/>
    <n v="4.5561237505949558E-2"/>
    <n v="0.23187415516420756"/>
    <n v="14.591623036649215"/>
    <n v="4"/>
    <n v="4.8638743455497382"/>
    <n v="12"/>
    <n v="1.9455497382198954"/>
    <n v="0"/>
    <n v="0"/>
    <n v="0"/>
    <n v="37.401047120418852"/>
    <n v="0.15440880853878375"/>
    <n v="0.10104142954700661"/>
  </r>
  <r>
    <n v="79"/>
    <d v="2026-07-24T00:00:00"/>
    <s v="Jul-26"/>
    <x v="1"/>
    <s v="IVC"/>
    <s v="All"/>
    <x v="15"/>
    <x v="1"/>
    <s v="-"/>
    <x v="1"/>
    <n v="2026"/>
    <n v="112"/>
    <n v="1000"/>
    <n v="173"/>
    <n v="8.5"/>
    <n v="280"/>
    <n v="7.2"/>
    <n v="237"/>
    <n v="10"/>
    <n v="4"/>
    <n v="29"/>
    <n v="0"/>
    <n v="0"/>
    <n v="34"/>
    <n v="3"/>
    <n v="43.033791999999998"/>
    <n v="44.268368000000002"/>
    <n v="49.383040000000001"/>
    <n v="237"/>
    <n v="192"/>
    <n v="36"/>
    <n v="-9"/>
    <n v="24"/>
    <n v="29.047186932849367"/>
    <n v="14"/>
    <n v="29"/>
    <n v="244"/>
    <n v="0.24399999999999999"/>
    <n v="42.995594713656388"/>
    <n v="15.789473684210527"/>
    <n v="199.57894736842107"/>
    <n v="36.21052631578948"/>
    <n v="0.74268861809696651"/>
    <n v="0.25731138190303349"/>
    <n v="0.19957894736842108"/>
    <n v="3.6210526315789478E-2"/>
    <n v="0.23578947368421055"/>
    <n v="193.93640121245522"/>
    <n v="35.186773215761924"/>
    <n v="0.19393640121245523"/>
    <n v="3.5186773215761927E-2"/>
    <n v="0.22912317442821717"/>
    <n v="9.7172774869109944"/>
    <n v="7"/>
    <n v="3.8869109947643978"/>
    <n v="17"/>
    <n v="0"/>
    <n v="0"/>
    <n v="0"/>
    <n v="0"/>
    <n v="37.604188481675394"/>
    <n v="0.15417639785684847"/>
    <n v="8.7069153577661429E-2"/>
  </r>
  <r>
    <n v="80"/>
    <d v="2026-07-24T00:00:00"/>
    <s v="Jul-26"/>
    <x v="1"/>
    <s v="IVC"/>
    <s v="All"/>
    <x v="15"/>
    <x v="1"/>
    <s v="-"/>
    <x v="1"/>
    <n v="2026"/>
    <n v="112"/>
    <n v="1000"/>
    <n v="173"/>
    <n v="8.5"/>
    <n v="278"/>
    <n v="7.2"/>
    <n v="226"/>
    <n v="9"/>
    <n v="6"/>
    <n v="33"/>
    <n v="0"/>
    <n v="4"/>
    <n v="38"/>
    <n v="7"/>
    <n v="41.181927999999999"/>
    <n v="42.504688000000002"/>
    <n v="49.030304000000001"/>
    <n v="226"/>
    <n v="178"/>
    <n v="35"/>
    <n v="-13"/>
    <n v="18"/>
    <n v="21.906265177270519"/>
    <n v="15"/>
    <n v="37"/>
    <n v="233.5"/>
    <n v="0.23350000000000001"/>
    <n v="41.145374449339208"/>
    <n v="16.431924882629108"/>
    <n v="188.86384976525824"/>
    <n v="43.455399061032864"/>
    <n v="0.73415012526161683"/>
    <n v="0.26584987473838312"/>
    <n v="0.18886384976525825"/>
    <n v="4.3455399061032865E-2"/>
    <n v="0.23231924882629112"/>
    <n v="183.52424354152842"/>
    <n v="42.22681709805078"/>
    <n v="0.18352424354152841"/>
    <n v="4.2226817098050783E-2"/>
    <n v="0.2257510606395792"/>
    <n v="8.7455497382198946"/>
    <n v="5"/>
    <n v="5.8303664921465961"/>
    <n v="13"/>
    <n v="3.8869109947643978"/>
    <n v="0"/>
    <n v="0"/>
    <n v="0"/>
    <n v="36.462827225130887"/>
    <n v="0.15570002861639717"/>
    <n v="7.7222189540561204E-2"/>
  </r>
  <r>
    <n v="81"/>
    <d v="2026-07-25T00:00:00"/>
    <s v="Jul-26"/>
    <x v="1"/>
    <s v="IVC"/>
    <s v="All"/>
    <x v="15"/>
    <x v="1"/>
    <s v="-"/>
    <x v="1"/>
    <n v="2026"/>
    <n v="113"/>
    <n v="1000"/>
    <n v="172"/>
    <n v="8.6999999999999993"/>
    <n v="284"/>
    <n v="7.8"/>
    <n v="226"/>
    <n v="17"/>
    <n v="4"/>
    <n v="37"/>
    <n v="0"/>
    <n v="0"/>
    <n v="28"/>
    <n v="3"/>
    <n v="41.711031999999996"/>
    <n v="43.562896000000002"/>
    <n v="50.088512000000001"/>
    <n v="226"/>
    <n v="184"/>
    <n v="35"/>
    <n v="-7"/>
    <n v="16"/>
    <n v="19.523172773105916"/>
    <n v="21"/>
    <n v="37"/>
    <n v="236.5"/>
    <n v="0.23649999999999999"/>
    <n v="41.674008810572687"/>
    <n v="15.981735159817353"/>
    <n v="189.88127853881281"/>
    <n v="48.730593607305941"/>
    <n v="0.72703108178483833"/>
    <n v="0.27296891821516167"/>
    <n v="0.18988127853881281"/>
    <n v="4.8730593607305944E-2"/>
    <n v="0.23861187214611876"/>
    <n v="183.31993592961823"/>
    <n v="47.046709220875478"/>
    <n v="0.18331993592961823"/>
    <n v="4.7046709220875477E-2"/>
    <n v="0.23036664515049371"/>
    <n v="16.412565445026178"/>
    <n v="5"/>
    <n v="3.8617801047120421"/>
    <n v="11"/>
    <n v="0"/>
    <n v="0"/>
    <n v="0"/>
    <n v="0"/>
    <n v="36.274345549738221"/>
    <n v="0.15211606523400106"/>
    <n v="0.11637263828818575"/>
  </r>
  <r>
    <n v="82"/>
    <d v="2026-07-25T00:00:00"/>
    <s v="Jul-26"/>
    <x v="1"/>
    <s v="IVC"/>
    <s v="All"/>
    <x v="15"/>
    <x v="1"/>
    <s v="-"/>
    <x v="1"/>
    <n v="2026"/>
    <n v="113"/>
    <n v="1000"/>
    <n v="172"/>
    <n v="8.6999999999999993"/>
    <n v="284"/>
    <n v="7.8"/>
    <n v="232"/>
    <n v="15"/>
    <n v="7"/>
    <n v="25"/>
    <n v="0"/>
    <n v="5"/>
    <n v="24"/>
    <n v="7"/>
    <n v="42.857424000000002"/>
    <n v="44.797471999999999"/>
    <n v="50.088512000000001"/>
    <n v="232"/>
    <n v="190"/>
    <n v="35"/>
    <n v="-7"/>
    <n v="15"/>
    <n v="18.235719450469993"/>
    <n v="22"/>
    <n v="30"/>
    <n v="243"/>
    <n v="0.24299999999999999"/>
    <n v="42.819383259911895"/>
    <n v="15.555555555555555"/>
    <n v="195.9111111111111"/>
    <n v="43.911111111111111"/>
    <n v="0.75269112869552823"/>
    <n v="0.24730887130447179"/>
    <n v="0.19591111111111109"/>
    <n v="4.3911111111111109E-2"/>
    <n v="0.23982222222222221"/>
    <n v="189.14140779522978"/>
    <n v="42.393763816172196"/>
    <n v="0.18914140779522978"/>
    <n v="4.2393763816172193E-2"/>
    <n v="0.23153517161140197"/>
    <n v="14.481675392670157"/>
    <n v="5"/>
    <n v="6.7581151832460726"/>
    <n v="10"/>
    <n v="4.827225130890052"/>
    <n v="0"/>
    <n v="0"/>
    <n v="0"/>
    <n v="41.067015706806281"/>
    <n v="0.16746801714861564"/>
    <n v="0.1025351336456324"/>
  </r>
  <r>
    <n v="83"/>
    <d v="2026-07-27T00:00:00"/>
    <s v="Jul-26"/>
    <x v="1"/>
    <s v="IVC"/>
    <s v="All"/>
    <x v="15"/>
    <x v="1"/>
    <s v="-"/>
    <x v="1"/>
    <n v="2026"/>
    <n v="114"/>
    <n v="1000"/>
    <n v="178"/>
    <n v="9"/>
    <n v="294"/>
    <n v="7.6"/>
    <n v="225"/>
    <n v="26"/>
    <n v="5"/>
    <n v="38"/>
    <n v="0"/>
    <n v="0"/>
    <n v="17"/>
    <n v="3"/>
    <n v="42.416504000000003"/>
    <n v="45.150207999999999"/>
    <n v="51.852192000000002"/>
    <n v="225"/>
    <n v="186"/>
    <n v="30"/>
    <n v="-9"/>
    <n v="21"/>
    <n v="25.107323232323228"/>
    <n v="31"/>
    <n v="38"/>
    <n v="240.5"/>
    <n v="0.24049999999999999"/>
    <n v="42.378854625550659"/>
    <n v="13.888888888888888"/>
    <n v="193.75"/>
    <n v="59.416666666666671"/>
    <n v="0.67990706383563526"/>
    <n v="0.32009293616436468"/>
    <n v="0.19375000000000001"/>
    <n v="5.9416666666666673E-2"/>
    <n v="0.25316666666666665"/>
    <n v="187.4607329842932"/>
    <n v="57.487958115183247"/>
    <n v="0.18746073298429319"/>
    <n v="5.7487958115183244E-2"/>
    <n v="0.24494869109947642"/>
    <n v="25.156020942408379"/>
    <n v="5"/>
    <n v="4.837696335078534"/>
    <n v="16"/>
    <n v="0"/>
    <n v="0"/>
    <n v="0"/>
    <n v="0"/>
    <n v="50.993717277486915"/>
    <n v="0.20587713068181818"/>
    <n v="0.16212914485165794"/>
  </r>
  <r>
    <n v="84"/>
    <d v="2026-07-27T00:00:00"/>
    <s v="Jul-26"/>
    <x v="1"/>
    <s v="IVC"/>
    <s v="All"/>
    <x v="15"/>
    <x v="1"/>
    <s v="-"/>
    <x v="1"/>
    <n v="2026"/>
    <n v="114"/>
    <n v="1000"/>
    <n v="178"/>
    <n v="9"/>
    <n v="289"/>
    <n v="7.6"/>
    <n v="239"/>
    <n v="16"/>
    <n v="8"/>
    <n v="26"/>
    <n v="0"/>
    <n v="0"/>
    <n v="16"/>
    <n v="4"/>
    <n v="44.268368000000002"/>
    <n v="46.384783999999996"/>
    <n v="50.970352000000005"/>
    <n v="239"/>
    <n v="194"/>
    <n v="34"/>
    <n v="-11"/>
    <n v="19"/>
    <n v="22.920274170274169"/>
    <n v="24"/>
    <n v="26"/>
    <n v="251"/>
    <n v="0.251"/>
    <n v="44.229074889867839"/>
    <n v="14.912280701754387"/>
    <n v="203.35964912280701"/>
    <n v="42.543859649122808"/>
    <n v="0.74768071221358412"/>
    <n v="0.25231928778641582"/>
    <n v="0.20335964912280702"/>
    <n v="4.2543859649122807E-2"/>
    <n v="0.24590350877192982"/>
    <n v="196.75844585285205"/>
    <n v="41.16285478093139"/>
    <n v="0.19675844585285204"/>
    <n v="4.1162854780931388E-2"/>
    <n v="0.23792130063378342"/>
    <n v="15.480628272251311"/>
    <n v="4"/>
    <n v="7.7403141361256553"/>
    <n v="15"/>
    <n v="0"/>
    <n v="0"/>
    <n v="0"/>
    <n v="0"/>
    <n v="42.220942408376963"/>
    <n v="0.16592184748078284"/>
    <n v="0.10041560965077995"/>
  </r>
  <r>
    <n v="85"/>
    <d v="2026-07-28T00:00:00"/>
    <s v="Jul-26"/>
    <x v="1"/>
    <s v="IVC"/>
    <s v="All"/>
    <x v="15"/>
    <x v="1"/>
    <s v="-"/>
    <x v="1"/>
    <n v="2026"/>
    <n v="115"/>
    <n v="1000"/>
    <n v="174"/>
    <n v="9"/>
    <n v="291"/>
    <n v="8.1999999999999993"/>
    <n v="243"/>
    <n v="15"/>
    <n v="7"/>
    <n v="25"/>
    <n v="0"/>
    <n v="1"/>
    <n v="13"/>
    <n v="5"/>
    <n v="44.797471999999999"/>
    <n v="46.737520000000004"/>
    <n v="51.323088000000006"/>
    <n v="243"/>
    <n v="195"/>
    <n v="35"/>
    <n v="-13"/>
    <n v="15"/>
    <n v="18.261579994316566"/>
    <n v="22"/>
    <n v="26"/>
    <n v="254"/>
    <n v="0.254"/>
    <n v="44.757709251101325"/>
    <n v="15.217391304347828"/>
    <n v="206.02173913043478"/>
    <n v="40.695652173913047"/>
    <n v="0.77229697596454783"/>
    <n v="0.22770302403545212"/>
    <n v="0.20602173913043478"/>
    <n v="4.0695652173913049E-2"/>
    <n v="0.24671739130434783"/>
    <n v="198.03974504894148"/>
    <n v="39.118961984976096"/>
    <n v="0.19803974504894148"/>
    <n v="3.9118961984976094E-2"/>
    <n v="0.23715870703391756"/>
    <n v="14.418848167539267"/>
    <n v="4"/>
    <n v="6.7287958115183253"/>
    <n v="11"/>
    <n v="0.96125654450261777"/>
    <n v="0"/>
    <n v="0"/>
    <n v="0"/>
    <n v="37.108900523560209"/>
    <n v="0.14567764212603279"/>
    <n v="9.4455631628406492E-2"/>
  </r>
  <r>
    <n v="86"/>
    <d v="2026-07-28T00:00:00"/>
    <s v="Jul-26"/>
    <x v="1"/>
    <s v="IVC"/>
    <s v="All"/>
    <x v="15"/>
    <x v="1"/>
    <s v="-"/>
    <x v="1"/>
    <n v="2026"/>
    <n v="115"/>
    <n v="1000"/>
    <n v="174"/>
    <n v="9"/>
    <n v="289"/>
    <n v="8.1999999999999993"/>
    <n v="239"/>
    <n v="13"/>
    <n v="5"/>
    <n v="31"/>
    <n v="0"/>
    <n v="1"/>
    <n v="23"/>
    <n v="3"/>
    <n v="43.739264000000006"/>
    <n v="45.326576000000003"/>
    <n v="50.970352000000005"/>
    <n v="239"/>
    <n v="186"/>
    <n v="41"/>
    <n v="-12"/>
    <n v="20"/>
    <n v="24.949852677243197"/>
    <n v="18"/>
    <n v="32"/>
    <n v="248"/>
    <n v="0.248"/>
    <n v="43.70044052863436"/>
    <n v="18.061674008810574"/>
    <n v="195.83259911894274"/>
    <n v="40.969162995594715"/>
    <n v="0.74065794921369132"/>
    <n v="0.25934205078630868"/>
    <n v="0.19583259911894274"/>
    <n v="4.0969162995594714E-2"/>
    <n v="0.23680176211453746"/>
    <n v="188.24536753004131"/>
    <n v="39.381876052309892"/>
    <n v="0.18824536753004131"/>
    <n v="3.9381876052309889E-2"/>
    <n v="0.2276272435823512"/>
    <n v="12.496335078534029"/>
    <n v="4"/>
    <n v="4.8062827225130889"/>
    <n v="16"/>
    <n v="0.96125654450261777"/>
    <n v="0"/>
    <n v="0"/>
    <n v="0"/>
    <n v="38.263874345549738"/>
    <n v="0.15488754948585573"/>
    <n v="8.8689973540505548E-2"/>
  </r>
  <r>
    <n v="87"/>
    <d v="2026-07-29T00:00:00"/>
    <s v="Jul-26"/>
    <x v="1"/>
    <s v="IVC"/>
    <s v="All"/>
    <x v="15"/>
    <x v="1"/>
    <s v="-"/>
    <x v="1"/>
    <n v="2026"/>
    <n v="116"/>
    <n v="1000"/>
    <n v="172"/>
    <n v="8.8000000000000007"/>
    <n v="286"/>
    <n v="8.1999999999999993"/>
    <n v="229"/>
    <n v="15"/>
    <n v="4"/>
    <n v="34"/>
    <n v="0"/>
    <n v="4"/>
    <n v="23"/>
    <n v="4"/>
    <n v="42.063768000000003"/>
    <n v="43.739264000000006"/>
    <n v="50.441248000000002"/>
    <n v="229"/>
    <n v="184"/>
    <n v="34"/>
    <n v="-11"/>
    <n v="14"/>
    <n v="17.100197877316067"/>
    <n v="19"/>
    <n v="38"/>
    <n v="238.5"/>
    <n v="0.23849999999999999"/>
    <n v="42.026431718061673"/>
    <n v="15.596330275229356"/>
    <n v="193.28440366972478"/>
    <n v="48.11009174311927"/>
    <n v="0.74090839903036332"/>
    <n v="0.25909160096963657"/>
    <n v="0.19328440366972477"/>
    <n v="4.8110091743119268E-2"/>
    <n v="0.24139449541284402"/>
    <n v="185.79589797780872"/>
    <n v="46.246140544694747"/>
    <n v="0.18579589797780871"/>
    <n v="4.6246140544694746E-2"/>
    <n v="0.23204203852250346"/>
    <n v="14.418848167539267"/>
    <n v="5"/>
    <n v="3.8450261780104711"/>
    <n v="9"/>
    <n v="3.8450261780104711"/>
    <n v="0"/>
    <n v="0"/>
    <n v="0"/>
    <n v="36.108900523560209"/>
    <n v="0.15146883126010263"/>
    <n v="0.10553721830184384"/>
  </r>
  <r>
    <n v="88"/>
    <d v="2026-07-29T00:00:00"/>
    <s v="Jul-26"/>
    <x v="1"/>
    <s v="IVC"/>
    <s v="All"/>
    <x v="15"/>
    <x v="1"/>
    <s v="-"/>
    <x v="1"/>
    <n v="2026"/>
    <n v="116"/>
    <n v="1000"/>
    <n v="172"/>
    <n v="8.8000000000000007"/>
    <n v="288"/>
    <n v="8.1999999999999993"/>
    <n v="241"/>
    <n v="13"/>
    <n v="5"/>
    <n v="27"/>
    <n v="0"/>
    <n v="2"/>
    <n v="26"/>
    <n v="3"/>
    <n v="44.091999999999999"/>
    <n v="45.679312000000003"/>
    <n v="50.793984000000002"/>
    <n v="241"/>
    <n v="196"/>
    <n v="35"/>
    <n v="-10"/>
    <n v="15"/>
    <n v="18.251138839374136"/>
    <n v="18"/>
    <n v="29"/>
    <n v="250"/>
    <n v="0.25"/>
    <n v="44.052863436123346"/>
    <n v="15.15151515151515"/>
    <n v="204.48484848484847"/>
    <n v="39.878787878787875"/>
    <n v="0.7734335456966176"/>
    <n v="0.2265664543033824"/>
    <n v="0.20448484848484846"/>
    <n v="3.9878787878787875E-2"/>
    <n v="0.24436363636363634"/>
    <n v="196.56239885768679"/>
    <n v="38.333745835316513"/>
    <n v="0.19656239885768678"/>
    <n v="3.8333745835316513E-2"/>
    <n v="0.23489614469300329"/>
    <n v="12.496335078534029"/>
    <n v="4"/>
    <n v="4.8062827225130889"/>
    <n v="11"/>
    <n v="1.9225130890052355"/>
    <n v="0"/>
    <n v="0"/>
    <n v="0"/>
    <n v="34.225130890052355"/>
    <n v="0.13746940217528453"/>
    <n v="8.4164974890479749E-2"/>
  </r>
  <r>
    <n v="89"/>
    <d v="2026-07-30T00:00:00"/>
    <s v="Jul-26"/>
    <x v="1"/>
    <s v="IVC"/>
    <s v="All"/>
    <x v="15"/>
    <x v="1"/>
    <s v="-"/>
    <x v="1"/>
    <n v="2026"/>
    <n v="117"/>
    <n v="1000"/>
    <n v="180"/>
    <n v="8.4"/>
    <n v="278"/>
    <n v="7.6"/>
    <n v="222"/>
    <n v="20"/>
    <n v="11"/>
    <n v="23"/>
    <n v="0"/>
    <n v="2"/>
    <n v="28"/>
    <n v="4"/>
    <n v="41.8874"/>
    <n v="44.621104000000003"/>
    <n v="49.030304000000001"/>
    <n v="222"/>
    <n v="178"/>
    <n v="34"/>
    <n v="-10"/>
    <n v="16"/>
    <n v="19.49032099975496"/>
    <n v="31"/>
    <n v="25"/>
    <n v="237.5"/>
    <n v="0.23749999999999999"/>
    <n v="41.85022026431718"/>
    <n v="16.037735849056602"/>
    <n v="186.39622641509436"/>
    <n v="47.018867924528301"/>
    <n v="0.72845208273469431"/>
    <n v="0.27154791726530558"/>
    <n v="0.18639622641509437"/>
    <n v="4.70188679245283E-2"/>
    <n v="0.23341509433962268"/>
    <n v="180.34566828015411"/>
    <n v="45.492601007606439"/>
    <n v="0.18034566828015411"/>
    <n v="4.5492601007606437E-2"/>
    <n v="0.22583826928776055"/>
    <n v="19.350785340314136"/>
    <n v="3"/>
    <n v="10.642931937172776"/>
    <n v="13"/>
    <n v="1.9350785340314138"/>
    <n v="0"/>
    <n v="0"/>
    <n v="0"/>
    <n v="47.92879581151832"/>
    <n v="0.19579761476994675"/>
    <n v="0.12556620977704572"/>
  </r>
  <r>
    <n v="90"/>
    <d v="2026-07-30T00:00:00"/>
    <s v="Jul-26"/>
    <x v="1"/>
    <s v="IVC"/>
    <s v="All"/>
    <x v="15"/>
    <x v="1"/>
    <s v="-"/>
    <x v="1"/>
    <n v="2026"/>
    <n v="117"/>
    <n v="1000"/>
    <n v="180"/>
    <n v="8.4"/>
    <n v="277"/>
    <n v="7.6"/>
    <n v="228"/>
    <n v="16"/>
    <n v="5"/>
    <n v="28"/>
    <n v="0"/>
    <n v="0"/>
    <n v="35"/>
    <n v="5"/>
    <n v="42.063768000000003"/>
    <n v="43.915632000000002"/>
    <n v="48.853936000000004"/>
    <n v="228"/>
    <n v="181"/>
    <n v="38"/>
    <n v="-9"/>
    <n v="17"/>
    <n v="20.942942141572278"/>
    <n v="21"/>
    <n v="28"/>
    <n v="238.5"/>
    <n v="0.23849999999999999"/>
    <n v="42.026431718061673"/>
    <n v="17.351598173515981"/>
    <n v="188.43835616438358"/>
    <n v="40.497716894977167"/>
    <n v="0.74749840382103871"/>
    <n v="0.25250159617896129"/>
    <n v="0.18843835616438359"/>
    <n v="4.0497716894977165E-2"/>
    <n v="0.22893607305936076"/>
    <n v="182.32150900093242"/>
    <n v="39.183131320375814"/>
    <n v="0.18232150900093241"/>
    <n v="3.9183131320375812E-2"/>
    <n v="0.22150464032130823"/>
    <n v="15.480628272251311"/>
    <n v="4"/>
    <n v="4.837696335078534"/>
    <n v="13"/>
    <n v="0"/>
    <n v="0"/>
    <n v="0"/>
    <n v="0"/>
    <n v="37.318324607329842"/>
    <n v="0.15490098923833862"/>
    <n v="0.10762778050967574"/>
  </r>
  <r>
    <n v="91"/>
    <d v="2026-07-31T00:00:00"/>
    <s v="Jul-26"/>
    <x v="1"/>
    <s v="IVC"/>
    <s v="All"/>
    <x v="15"/>
    <x v="1"/>
    <s v="-"/>
    <x v="1"/>
    <n v="2026"/>
    <n v="118"/>
    <n v="1000"/>
    <n v="174"/>
    <n v="8.4"/>
    <n v="282"/>
    <n v="7.9"/>
    <n v="245"/>
    <n v="9"/>
    <n v="3"/>
    <n v="25"/>
    <n v="0"/>
    <n v="0"/>
    <n v="34"/>
    <n v="5"/>
    <n v="44.268368000000002"/>
    <n v="45.326576000000003"/>
    <n v="49.735776000000008"/>
    <n v="245"/>
    <n v="204"/>
    <n v="35"/>
    <n v="-6"/>
    <n v="21"/>
    <n v="25.356193695228491"/>
    <n v="12"/>
    <n v="25"/>
    <n v="251"/>
    <n v="0.251"/>
    <n v="44.229074889867839"/>
    <n v="14.644351464435145"/>
    <n v="209.12133891213389"/>
    <n v="31.581589958158997"/>
    <n v="0.7788787457616011"/>
    <n v="0.2211212542383989"/>
    <n v="0.20912133891213389"/>
    <n v="3.1581589958158997E-2"/>
    <n v="0.24070292887029288"/>
    <n v="201.67618129641394"/>
    <n v="30.457219216193124"/>
    <n v="0.20167618129641393"/>
    <n v="3.0457219216193123E-2"/>
    <n v="0.23213340051260706"/>
    <n v="8.6795811518324602"/>
    <n v="4"/>
    <n v="2.8931937172774864"/>
    <n v="17"/>
    <n v="0"/>
    <n v="0"/>
    <n v="0"/>
    <n v="0"/>
    <n v="32.572774869109949"/>
    <n v="0.13142118404542519"/>
    <n v="6.2154809567806175E-2"/>
  </r>
  <r>
    <n v="92"/>
    <d v="2026-07-31T00:00:00"/>
    <s v="Jul-26"/>
    <x v="1"/>
    <s v="IVC"/>
    <s v="All"/>
    <x v="15"/>
    <x v="1"/>
    <s v="-"/>
    <x v="1"/>
    <n v="2026"/>
    <n v="118"/>
    <n v="1000"/>
    <n v="174"/>
    <n v="8.4"/>
    <n v="281"/>
    <n v="7.9"/>
    <n v="232"/>
    <n v="15"/>
    <n v="5"/>
    <n v="29"/>
    <n v="0"/>
    <n v="0"/>
    <n v="37"/>
    <n v="4"/>
    <n v="42.681056000000005"/>
    <n v="44.444736000000006"/>
    <n v="49.559408000000005"/>
    <n v="232"/>
    <n v="189"/>
    <n v="34"/>
    <n v="-9"/>
    <n v="17"/>
    <n v="20.634278396946193"/>
    <n v="20"/>
    <n v="29"/>
    <n v="242"/>
    <n v="0.24199999999999999"/>
    <n v="42.643171806167402"/>
    <n v="15.246636771300448"/>
    <n v="196.62780269058297"/>
    <n v="41.529147982062781"/>
    <n v="0.752191180082042"/>
    <n v="0.247808819917958"/>
    <n v="0.19662780269058297"/>
    <n v="4.1529147982062781E-2"/>
    <n v="0.23815695067264575"/>
    <n v="189.62744112882399"/>
    <n v="40.050623341863684"/>
    <n v="0.18962744112882399"/>
    <n v="4.0050623341863684E-2"/>
    <n v="0.22967806447068767"/>
    <n v="14.465968586387435"/>
    <n v="4"/>
    <n v="4.8219895287958119"/>
    <n v="13"/>
    <n v="0"/>
    <n v="0"/>
    <n v="0"/>
    <n v="0"/>
    <n v="36.287958115183244"/>
    <n v="0.14931578856660291"/>
    <n v="9.7703537494113396E-2"/>
  </r>
  <r>
    <n v="93"/>
    <d v="2026-08-01T00:00:00"/>
    <s v="Aug-26"/>
    <x v="1"/>
    <s v="IVC"/>
    <s v="All"/>
    <x v="15"/>
    <x v="1"/>
    <s v="-"/>
    <x v="1"/>
    <n v="2026"/>
    <n v="119"/>
    <n v="1000"/>
    <n v="174"/>
    <n v="8.4"/>
    <n v="284"/>
    <n v="7.9"/>
    <n v="234"/>
    <n v="15"/>
    <n v="6"/>
    <n v="29"/>
    <n v="0"/>
    <n v="0"/>
    <n v="29"/>
    <n v="4"/>
    <n v="43.121976000000004"/>
    <n v="44.973840000000003"/>
    <n v="50.088512000000001"/>
    <n v="234"/>
    <n v="188"/>
    <n v="38"/>
    <n v="-8"/>
    <n v="15"/>
    <n v="18.454354155256407"/>
    <n v="21"/>
    <n v="29"/>
    <n v="244.5"/>
    <n v="0.2445"/>
    <n v="43.083700440528638"/>
    <n v="16.814159292035399"/>
    <n v="194.65486725663715"/>
    <n v="41.592920353982301"/>
    <n v="0.75896354170684366"/>
    <n v="0.24103645829315637"/>
    <n v="0.19465486725663714"/>
    <n v="4.15929203539823E-2"/>
    <n v="0.23624778761061943"/>
    <n v="187.72474632812862"/>
    <n v="40.112125283788167"/>
    <n v="0.18772474632812861"/>
    <n v="4.0112125283788165E-2"/>
    <n v="0.22783687161191676"/>
    <n v="14.465968586387435"/>
    <n v="4"/>
    <n v="5.7863874345549728"/>
    <n v="11"/>
    <n v="0"/>
    <n v="0"/>
    <n v="0"/>
    <n v="0"/>
    <n v="35.252356020942408"/>
    <n v="0.1433480232483873"/>
    <n v="9.822323716163528E-2"/>
  </r>
  <r>
    <n v="94"/>
    <d v="2026-08-01T00:00:00"/>
    <s v="Aug-26"/>
    <x v="1"/>
    <s v="IVC"/>
    <s v="All"/>
    <x v="15"/>
    <x v="1"/>
    <s v="-"/>
    <x v="1"/>
    <n v="2026"/>
    <n v="119"/>
    <n v="1000"/>
    <n v="174"/>
    <n v="8.4"/>
    <n v="286"/>
    <n v="7.9"/>
    <n v="237"/>
    <n v="16"/>
    <n v="7"/>
    <n v="25"/>
    <n v="0"/>
    <n v="1"/>
    <n v="26"/>
    <n v="4"/>
    <n v="43.827448000000004"/>
    <n v="45.85568"/>
    <n v="50.441248000000002"/>
    <n v="237"/>
    <n v="196"/>
    <n v="33"/>
    <n v="-8"/>
    <n v="16"/>
    <n v="19.279594517066602"/>
    <n v="23"/>
    <n v="26"/>
    <n v="248.5"/>
    <n v="0.2485"/>
    <n v="43.78854625550661"/>
    <n v="14.410480349344978"/>
    <n v="202.84716157205241"/>
    <n v="41.938864628820959"/>
    <n v="0.76126015903123567"/>
    <n v="0.23873984096876433"/>
    <n v="0.2028471615720524"/>
    <n v="4.193886462882096E-2"/>
    <n v="0.24478602620087336"/>
    <n v="195.62537780927778"/>
    <n v="40.445753217951932"/>
    <n v="0.19562537780927777"/>
    <n v="4.0445753217951935E-2"/>
    <n v="0.23607113102722971"/>
    <n v="15.430366492146597"/>
    <n v="5"/>
    <n v="6.7507853403141356"/>
    <n v="11"/>
    <n v="0.96439790575916229"/>
    <n v="0"/>
    <n v="0"/>
    <n v="0"/>
    <n v="39.145549738219891"/>
    <n v="0.15611793201369747"/>
    <n v="0.10423656373544182"/>
  </r>
  <r>
    <n v="95"/>
    <d v="2026-08-03T00:00:00"/>
    <s v="Aug-26"/>
    <x v="1"/>
    <s v="IVC"/>
    <s v="All"/>
    <x v="16"/>
    <x v="1"/>
    <s v="-"/>
    <x v="1"/>
    <n v="2026"/>
    <n v="120"/>
    <n v="1000"/>
    <n v="188"/>
    <n v="8.1999999999999993"/>
    <n v="302"/>
    <n v="7.7"/>
    <n v="225"/>
    <n v="21"/>
    <n v="6"/>
    <n v="50"/>
    <n v="0"/>
    <n v="0"/>
    <n v="6"/>
    <n v="2"/>
    <n v="42.063768000000003"/>
    <n v="44.444736000000006"/>
    <n v="53.263136000000003"/>
    <n v="225"/>
    <n v="182"/>
    <n v="35"/>
    <n v="-8"/>
    <n v="18"/>
    <n v="21.967637088036906"/>
    <n v="27"/>
    <n v="50"/>
    <n v="238.5"/>
    <n v="0.23849999999999999"/>
    <n v="42.026431718061673"/>
    <n v="16.129032258064516"/>
    <n v="188.70967741935485"/>
    <n v="64.58064516129032"/>
    <n v="0.67229259242371886"/>
    <n v="0.32770740757628114"/>
    <n v="0.18870967741935485"/>
    <n v="6.458064516129032E-2"/>
    <n v="0.25329032258064516"/>
    <n v="182.386421212633"/>
    <n v="62.416686370545506"/>
    <n v="0.18238642121263299"/>
    <n v="6.2416686370545503E-2"/>
    <n v="0.2448031075831785"/>
    <n v="20.296335078534032"/>
    <n v="5"/>
    <n v="5.7989528795811518"/>
    <n v="13"/>
    <n v="0"/>
    <n v="0"/>
    <n v="0"/>
    <n v="0"/>
    <n v="44.095287958115179"/>
    <n v="0.18104782541402259"/>
    <n v="0.13899085207985731"/>
  </r>
  <r>
    <n v="96"/>
    <d v="2026-08-03T00:00:00"/>
    <s v="Aug-26"/>
    <x v="1"/>
    <s v="IVC"/>
    <s v="All"/>
    <x v="16"/>
    <x v="1"/>
    <s v="-"/>
    <x v="1"/>
    <n v="2026"/>
    <n v="120"/>
    <n v="1000"/>
    <n v="188"/>
    <n v="8.1999999999999993"/>
    <n v="298"/>
    <n v="7.7"/>
    <n v="212"/>
    <n v="15"/>
    <n v="7"/>
    <n v="64"/>
    <n v="0"/>
    <n v="0"/>
    <n v="17"/>
    <n v="2"/>
    <n v="39.330064"/>
    <n v="41.270111999999997"/>
    <n v="52.557664000000003"/>
    <n v="212"/>
    <n v="170"/>
    <n v="34"/>
    <n v="-8"/>
    <n v="15"/>
    <n v="18.391115926327195"/>
    <n v="22"/>
    <n v="64"/>
    <n v="223"/>
    <n v="0.223"/>
    <n v="39.295154185022028"/>
    <n v="16.666666666666668"/>
    <n v="176.66666666666666"/>
    <n v="71.666666666666657"/>
    <n v="0.64969424185796243"/>
    <n v="0.35030575814203757"/>
    <n v="0.17666666666666667"/>
    <n v="7.1666666666666656E-2"/>
    <n v="0.24833333333333332"/>
    <n v="170.74694589877834"/>
    <n v="69.265270506108195"/>
    <n v="0.17074694589877834"/>
    <n v="6.9265270506108201E-2"/>
    <n v="0.24001221640488654"/>
    <n v="14.497382198952879"/>
    <n v="5"/>
    <n v="6.7654450261780106"/>
    <n v="10"/>
    <n v="0"/>
    <n v="0"/>
    <n v="0"/>
    <n v="0"/>
    <n v="36.262827225130891"/>
    <n v="0.16034206554249891"/>
    <n v="0.11469048352325222"/>
  </r>
  <r>
    <n v="97"/>
    <d v="2026-08-03T00:00:00"/>
    <s v="Aug-26"/>
    <x v="1"/>
    <s v="IVC"/>
    <s v="All"/>
    <x v="15"/>
    <x v="1"/>
    <s v="-"/>
    <x v="1"/>
    <n v="2026"/>
    <n v="120"/>
    <n v="1000"/>
    <n v="175"/>
    <n v="8.1999999999999993"/>
    <n v="283"/>
    <n v="7.7"/>
    <n v="224"/>
    <n v="15"/>
    <n v="11"/>
    <n v="33"/>
    <n v="0"/>
    <n v="0"/>
    <n v="22"/>
    <n v="3"/>
    <n v="41.799216000000001"/>
    <n v="44.091999999999999"/>
    <n v="49.912143999999998"/>
    <n v="224"/>
    <n v="174"/>
    <n v="40"/>
    <n v="-10"/>
    <n v="12"/>
    <n v="14.968256700519436"/>
    <n v="26"/>
    <n v="33"/>
    <n v="237"/>
    <n v="0.23699999999999999"/>
    <n v="41.76211453744493"/>
    <n v="18.691588785046729"/>
    <n v="182.13084112149534"/>
    <n v="47.971962616822431"/>
    <n v="0.73862806819604432"/>
    <n v="0.26137193180395557"/>
    <n v="0.18213084112149533"/>
    <n v="4.7971962616822433E-2"/>
    <n v="0.23010280373831776"/>
    <n v="176.02802759700546"/>
    <n v="46.36452512599697"/>
    <n v="0.17602802759700545"/>
    <n v="4.6364525125996967E-2"/>
    <n v="0.2223925527230024"/>
    <n v="14.497382198952879"/>
    <n v="3"/>
    <n v="10.631413612565444"/>
    <n v="9"/>
    <n v="0"/>
    <n v="0"/>
    <n v="0"/>
    <n v="0"/>
    <n v="37.128795811518323"/>
    <n v="0.15366413867822318"/>
    <n v="0.10055966781007401"/>
  </r>
  <r>
    <n v="98"/>
    <d v="2026-08-03T00:00:00"/>
    <s v="Aug-26"/>
    <x v="1"/>
    <s v="IVC"/>
    <s v="All"/>
    <x v="15"/>
    <x v="1"/>
    <s v="-"/>
    <x v="1"/>
    <n v="2026"/>
    <n v="120"/>
    <n v="1000"/>
    <n v="175"/>
    <n v="8.1999999999999993"/>
    <n v="286"/>
    <n v="7.7"/>
    <n v="237"/>
    <n v="12"/>
    <n v="7"/>
    <n v="30"/>
    <n v="0"/>
    <n v="0"/>
    <n v="42"/>
    <n v="4"/>
    <n v="43.474711999999997"/>
    <n v="45.150207999999999"/>
    <n v="50.441248000000002"/>
    <n v="237"/>
    <n v="186"/>
    <n v="39"/>
    <n v="-12"/>
    <n v="13"/>
    <n v="16.030046948356809"/>
    <n v="19"/>
    <n v="30"/>
    <n v="246.5"/>
    <n v="0.2465"/>
    <n v="43.436123348017624"/>
    <n v="17.333333333333332"/>
    <n v="195.92"/>
    <n v="40.506666666666668"/>
    <n v="0.77262221346728388"/>
    <n v="0.22737778653271612"/>
    <n v="0.19591999999999998"/>
    <n v="4.050666666666667E-2"/>
    <n v="0.23642666666666665"/>
    <n v="189.35514136125653"/>
    <n v="39.149375218150084"/>
    <n v="0.18935514136125653"/>
    <n v="3.9149375218150081E-2"/>
    <n v="0.22850451657940662"/>
    <n v="11.597905759162304"/>
    <n v="3"/>
    <n v="6.7654450261780106"/>
    <n v="10"/>
    <n v="0"/>
    <n v="0"/>
    <n v="0"/>
    <n v="0"/>
    <n v="31.363350785340316"/>
    <n v="0.12676056338028172"/>
    <n v="7.8483364296571531E-2"/>
  </r>
  <r>
    <n v="99"/>
    <d v="2026-08-04T00:00:00"/>
    <s v="Aug-26"/>
    <x v="1"/>
    <s v="IVC"/>
    <s v="All"/>
    <x v="16"/>
    <x v="1"/>
    <s v="-"/>
    <x v="1"/>
    <n v="2026"/>
    <n v="121"/>
    <n v="1000"/>
    <n v="171"/>
    <n v="8.3000000000000007"/>
    <n v="290"/>
    <n v="7.7"/>
    <n v="235"/>
    <n v="16"/>
    <n v="8"/>
    <n v="28"/>
    <n v="0"/>
    <n v="3"/>
    <n v="12"/>
    <n v="3"/>
    <n v="43.562896000000002"/>
    <n v="45.679312000000003"/>
    <n v="51.146720000000002"/>
    <n v="235"/>
    <n v="196"/>
    <n v="33"/>
    <n v="-6"/>
    <n v="13"/>
    <n v="15.630727597023188"/>
    <n v="24"/>
    <n v="31"/>
    <n v="247"/>
    <n v="0.247"/>
    <n v="43.524229074889867"/>
    <n v="14.410480349344978"/>
    <n v="201.13537117903931"/>
    <n v="47.074235807860262"/>
    <n v="0.75644576690681653"/>
    <n v="0.24355423309318344"/>
    <n v="0.20113537117903932"/>
    <n v="4.7074235807860264E-2"/>
    <n v="0.24820960698689959"/>
    <n v="194.39575664738561"/>
    <n v="45.496879215345572"/>
    <n v="0.19439575664738562"/>
    <n v="4.5496879215345572E-2"/>
    <n v="0.23989263586273119"/>
    <n v="15.463874345549737"/>
    <n v="3"/>
    <n v="7.7319371727748685"/>
    <n v="10"/>
    <n v="2.8994764397905759"/>
    <n v="0"/>
    <n v="0"/>
    <n v="0"/>
    <n v="39.095287958115179"/>
    <n v="0.15618032519440966"/>
    <n v="9.4203440538519062E-2"/>
  </r>
  <r>
    <n v="100"/>
    <d v="2026-08-04T00:00:00"/>
    <s v="Aug-26"/>
    <x v="1"/>
    <s v="IVC"/>
    <s v="All"/>
    <x v="16"/>
    <x v="1"/>
    <s v="-"/>
    <x v="1"/>
    <n v="2026"/>
    <n v="121"/>
    <n v="1000"/>
    <n v="171"/>
    <n v="8.3000000000000007"/>
    <n v="282"/>
    <n v="7.7"/>
    <n v="227"/>
    <n v="20"/>
    <n v="6"/>
    <n v="27"/>
    <n v="0"/>
    <n v="2"/>
    <n v="24"/>
    <n v="3"/>
    <n v="42.328319999999998"/>
    <n v="44.621104000000003"/>
    <n v="49.735776000000008"/>
    <n v="227"/>
    <n v="186"/>
    <n v="34"/>
    <n v="-7"/>
    <n v="19"/>
    <n v="23.053383236481828"/>
    <n v="26"/>
    <n v="29"/>
    <n v="240"/>
    <n v="0.24"/>
    <n v="42.290748898678416"/>
    <n v="15.454545454545453"/>
    <n v="191.91818181818181"/>
    <n v="46.5"/>
    <n v="0.72321495306212114"/>
    <n v="0.27678504693787886"/>
    <n v="0.19191818181818182"/>
    <n v="4.65E-2"/>
    <n v="0.23841818181818181"/>
    <n v="185.48741551642073"/>
    <n v="44.941884816753927"/>
    <n v="0.18548741551642073"/>
    <n v="4.494188481675393E-2"/>
    <n v="0.23042930033317466"/>
    <n v="19.329842931937172"/>
    <n v="4"/>
    <n v="5.7989528795811518"/>
    <n v="15"/>
    <n v="1.9329842931937171"/>
    <n v="0"/>
    <n v="0"/>
    <n v="0"/>
    <n v="46.061780104712042"/>
    <n v="0.18837439351830046"/>
    <n v="0.12542926307493102"/>
  </r>
  <r>
    <n v="101"/>
    <d v="2026-08-05T00:00:00"/>
    <s v="Aug-26"/>
    <x v="1"/>
    <s v="IVC"/>
    <s v="All"/>
    <x v="17"/>
    <x v="1"/>
    <s v="-"/>
    <x v="1"/>
    <n v="2026"/>
    <n v="122"/>
    <n v="1000"/>
    <n v="176"/>
    <n v="8.4"/>
    <n v="285"/>
    <n v="7.7"/>
    <n v="230"/>
    <n v="17"/>
    <n v="8"/>
    <n v="30"/>
    <n v="0"/>
    <n v="0"/>
    <n v="17"/>
    <n v="3"/>
    <n v="42.769240000000003"/>
    <n v="44.973840000000003"/>
    <n v="50.264880000000005"/>
    <n v="230"/>
    <n v="192"/>
    <n v="31"/>
    <n v="-7"/>
    <n v="16"/>
    <n v="19.15220887241351"/>
    <n v="25"/>
    <n v="30"/>
    <n v="242.5"/>
    <n v="0.24249999999999999"/>
    <n v="42.731277533039645"/>
    <n v="13.901345291479821"/>
    <n v="198.02690582959639"/>
    <n v="47.354260089686093"/>
    <n v="0.73981681097398777"/>
    <n v="0.26018318902601234"/>
    <n v="0.19802690582959639"/>
    <n v="4.7354260089686094E-2"/>
    <n v="0.2453811659192825"/>
    <n v="191.39144929918058"/>
    <n v="45.767520484586669"/>
    <n v="0.19139144929918059"/>
    <n v="4.5767520484586668E-2"/>
    <n v="0.23715896978376727"/>
    <n v="16.430366492146597"/>
    <n v="3"/>
    <n v="7.7319371727748685"/>
    <n v="13"/>
    <n v="0"/>
    <n v="0"/>
    <n v="0"/>
    <n v="0"/>
    <n v="40.162303664921467"/>
    <n v="0.16295965840290613"/>
    <n v="0.10119982547993019"/>
  </r>
  <r>
    <n v="102"/>
    <d v="2026-08-05T00:00:00"/>
    <s v="Aug-26"/>
    <x v="1"/>
    <s v="IVC"/>
    <s v="All"/>
    <x v="17"/>
    <x v="1"/>
    <s v="-"/>
    <x v="1"/>
    <n v="2026"/>
    <n v="122"/>
    <n v="1000"/>
    <n v="174"/>
    <n v="8.4"/>
    <n v="290"/>
    <n v="7.7"/>
    <n v="231"/>
    <n v="15"/>
    <n v="7"/>
    <n v="37"/>
    <n v="0"/>
    <n v="0"/>
    <n v="15"/>
    <n v="3"/>
    <n v="42.681056000000005"/>
    <n v="44.621104000000003"/>
    <n v="51.146720000000002"/>
    <n v="231"/>
    <n v="186"/>
    <n v="36"/>
    <n v="-9"/>
    <n v="17"/>
    <n v="20.762788790957806"/>
    <n v="22"/>
    <n v="37"/>
    <n v="242"/>
    <n v="0.24199999999999999"/>
    <n v="42.643171806167402"/>
    <n v="16.216216216216214"/>
    <n v="193.54054054054058"/>
    <n v="49.432432432432435"/>
    <n v="0.72495590072083516"/>
    <n v="0.2750440992791649"/>
    <n v="0.19354054054054057"/>
    <n v="4.9432432432432435E-2"/>
    <n v="0.24297297297297299"/>
    <n v="187.0554124805434"/>
    <n v="47.776057733125796"/>
    <n v="0.18705541248054339"/>
    <n v="4.7776057733125793E-2"/>
    <n v="0.23483147021366918"/>
    <n v="14.497382198952879"/>
    <n v="4"/>
    <n v="6.7654450261780106"/>
    <n v="13"/>
    <n v="0"/>
    <n v="0"/>
    <n v="0"/>
    <n v="0"/>
    <n v="38.262827225130891"/>
    <n v="0.15647977252386319"/>
    <n v="9.9448291392219765E-2"/>
  </r>
  <r>
    <n v="103"/>
    <d v="2026-08-06T00:00:00"/>
    <s v="Aug-26"/>
    <x v="1"/>
    <s v="IVC"/>
    <s v="All"/>
    <x v="17"/>
    <x v="1"/>
    <s v="-"/>
    <x v="1"/>
    <n v="2026"/>
    <n v="123"/>
    <n v="1000"/>
    <n v="181"/>
    <n v="8.6"/>
    <n v="285"/>
    <n v="7.5"/>
    <n v="229"/>
    <n v="6"/>
    <n v="4"/>
    <n v="46"/>
    <n v="0"/>
    <n v="0"/>
    <n v="24"/>
    <n v="3"/>
    <n v="41.270111999999997"/>
    <n v="42.151952000000001"/>
    <n v="50.264880000000005"/>
    <n v="229"/>
    <n v="189"/>
    <n v="31"/>
    <n v="-9"/>
    <n v="15"/>
    <n v="17.946191646191647"/>
    <n v="10"/>
    <n v="46"/>
    <n v="234"/>
    <n v="0.23400000000000001"/>
    <n v="41.233480176211451"/>
    <n v="14.09090909090909"/>
    <n v="196.73181818181817"/>
    <n v="48.109090909090902"/>
    <n v="0.74053967843441526"/>
    <n v="0.25946032156558474"/>
    <n v="0.19673181818181817"/>
    <n v="4.81090909090909E-2"/>
    <n v="0.24484090909090908"/>
    <n v="190.55176106615895"/>
    <n v="46.597810566396944"/>
    <n v="0.19055176106615895"/>
    <n v="4.6597810566396947E-2"/>
    <n v="0.2371495716325559"/>
    <n v="5.8115183246073299"/>
    <n v="5"/>
    <n v="3.8743455497382198"/>
    <n v="10"/>
    <n v="0"/>
    <n v="0"/>
    <n v="0"/>
    <n v="0"/>
    <n v="24.68586387434555"/>
    <n v="0.10663801877190998"/>
    <n v="5.7203800659298046E-2"/>
  </r>
  <r>
    <n v="104"/>
    <d v="2026-08-06T00:00:00"/>
    <s v="Aug-26"/>
    <x v="1"/>
    <s v="IVC"/>
    <s v="All"/>
    <x v="17"/>
    <x v="1"/>
    <s v="-"/>
    <x v="1"/>
    <n v="2026"/>
    <n v="123"/>
    <n v="1000"/>
    <n v="181"/>
    <n v="8.6"/>
    <n v="278"/>
    <n v="7.5"/>
    <n v="221"/>
    <n v="21"/>
    <n v="8"/>
    <n v="28"/>
    <n v="0"/>
    <n v="0"/>
    <n v="32"/>
    <n v="2"/>
    <n v="41.534664000000006"/>
    <n v="44.091999999999999"/>
    <n v="49.030304000000001"/>
    <n v="221"/>
    <n v="182"/>
    <n v="30"/>
    <n v="-9"/>
    <n v="16"/>
    <n v="19.152677205507391"/>
    <n v="29"/>
    <n v="28"/>
    <n v="235.5"/>
    <n v="0.23549999999999999"/>
    <n v="41.497797356828194"/>
    <n v="14.150943396226415"/>
    <n v="189.72641509433964"/>
    <n v="48.933962264150942"/>
    <n v="0.72606950645500945"/>
    <n v="0.27393049354499061"/>
    <n v="0.18972641509433966"/>
    <n v="4.8933962264150942E-2"/>
    <n v="0.23866037735849061"/>
    <n v="183.76642299713524"/>
    <n v="47.396769732292796"/>
    <n v="0.18376642299713525"/>
    <n v="4.7396769732292794E-2"/>
    <n v="0.23116319272942804"/>
    <n v="20.340314136125656"/>
    <n v="3"/>
    <n v="7.7486910994764395"/>
    <n v="13"/>
    <n v="0"/>
    <n v="0"/>
    <n v="0"/>
    <n v="0"/>
    <n v="44.089005235602095"/>
    <n v="0.18207567567567567"/>
    <n v="0.12824348426442669"/>
  </r>
  <r>
    <n v="105"/>
    <d v="2026-08-09T00:00:00"/>
    <s v="Aug-26"/>
    <x v="1"/>
    <s v="IVC"/>
    <s v="All"/>
    <x v="15"/>
    <x v="1"/>
    <s v="-"/>
    <x v="1"/>
    <n v="2026"/>
    <n v="124"/>
    <n v="1000"/>
    <n v="187"/>
    <n v="7.6"/>
    <n v="288"/>
    <n v="7.4"/>
    <n v="206"/>
    <n v="19"/>
    <n v="12"/>
    <n v="51"/>
    <n v="0"/>
    <n v="0"/>
    <n v="17"/>
    <n v="3"/>
    <n v="39.065512000000005"/>
    <n v="41.799216000000001"/>
    <n v="50.793984000000002"/>
    <n v="206"/>
    <n v="168"/>
    <n v="30"/>
    <n v="-8"/>
    <n v="14"/>
    <n v="16.887230839714643"/>
    <n v="31"/>
    <n v="51"/>
    <n v="221.5"/>
    <n v="0.2215"/>
    <n v="39.030837004405285"/>
    <n v="15.151515151515152"/>
    <n v="174.78787878787878"/>
    <n v="69.575757575757564"/>
    <n v="0.65664155958432413"/>
    <n v="0.34335844041567587"/>
    <n v="0.17478787878787877"/>
    <n v="6.9575757575757569E-2"/>
    <n v="0.24436363636363634"/>
    <n v="169.48018403934634"/>
    <n v="67.46298587973979"/>
    <n v="0.16948018403934634"/>
    <n v="6.7462985879739784E-2"/>
    <n v="0.23694316991908612"/>
    <n v="18.423036649214659"/>
    <n v="5"/>
    <n v="11.635602094240836"/>
    <n v="9"/>
    <n v="0"/>
    <n v="0"/>
    <n v="0"/>
    <n v="0"/>
    <n v="44.058638743455496"/>
    <n v="0.19172339630551077"/>
    <n v="0.13942283719770629"/>
  </r>
  <r>
    <n v="106"/>
    <d v="2026-08-09T00:00:00"/>
    <s v="Aug-26"/>
    <x v="1"/>
    <s v="IVC"/>
    <s v="All"/>
    <x v="15"/>
    <x v="1"/>
    <s v="-"/>
    <x v="1"/>
    <n v="2026"/>
    <n v="124"/>
    <n v="1000"/>
    <n v="187"/>
    <n v="7.6"/>
    <n v="285"/>
    <n v="7.4"/>
    <n v="226"/>
    <n v="13"/>
    <n v="5"/>
    <n v="40"/>
    <n v="0"/>
    <n v="1"/>
    <n v="16"/>
    <n v="3"/>
    <n v="41.446480000000001"/>
    <n v="43.033791999999998"/>
    <n v="50.264880000000005"/>
    <n v="226"/>
    <n v="180"/>
    <n v="37"/>
    <n v="-9"/>
    <n v="17"/>
    <n v="20.844124175135118"/>
    <n v="18"/>
    <n v="41"/>
    <n v="235"/>
    <n v="0.23499999999999999"/>
    <n v="41.409691629955944"/>
    <n v="17.050691244239633"/>
    <n v="187.46543778801842"/>
    <n v="48.940092165898612"/>
    <n v="0.71984517833285933"/>
    <n v="0.28015482166714079"/>
    <n v="0.18746543778801841"/>
    <n v="4.8940092165898612E-2"/>
    <n v="0.23640552995391703"/>
    <n v="181.77277004367019"/>
    <n v="47.453953241489124"/>
    <n v="0.18177277004367018"/>
    <n v="4.7453953241489127E-2"/>
    <n v="0.22922672328515931"/>
    <n v="12.60523560209424"/>
    <n v="5"/>
    <n v="4.848167539267016"/>
    <n v="12"/>
    <n v="0.96963350785340308"/>
    <n v="0"/>
    <n v="0"/>
    <n v="0"/>
    <n v="35.423036649214659"/>
    <n v="0.1497229401975711"/>
    <n v="9.7806864456079112E-2"/>
  </r>
  <r>
    <n v="107"/>
    <d v="2026-08-10T00:00:00"/>
    <s v="Aug-26"/>
    <x v="1"/>
    <s v="IVC"/>
    <s v="All"/>
    <x v="9"/>
    <x v="5"/>
    <m/>
    <x v="5"/>
    <n v="2026"/>
    <n v="125"/>
    <n v="1000"/>
    <n v="175"/>
    <n v="7.8"/>
    <n v="283"/>
    <n v="7.3"/>
    <n v="238"/>
    <n v="12"/>
    <n v="5"/>
    <n v="28"/>
    <n v="0"/>
    <m/>
    <n v="16"/>
    <n v="3"/>
    <n v="43.474711999999997"/>
    <n v="44.973840000000003"/>
    <n v="49.912143999999998"/>
    <n v="238"/>
    <n v="200"/>
    <n v="33"/>
    <n v="-5"/>
    <n v="18"/>
    <n v="21.502562606775282"/>
    <n v="17"/>
    <n v="28"/>
    <n v="246.5"/>
    <n v="0.2465"/>
    <n v="43.436123348017624"/>
    <n v="14.163090128755364"/>
    <n v="204.29184549356225"/>
    <n v="38.626609442060087"/>
    <n v="0.76500861269690712"/>
    <n v="0.23499138730309288"/>
    <n v="0.20429184549356225"/>
    <n v="3.8626609442060089E-2"/>
    <n v="0.24291845493562234"/>
    <n v="198.3021369345887"/>
    <n v="37.49410152124576"/>
    <n v="0.1983021369345887"/>
    <n v="3.7494101521245757E-2"/>
    <n v="0.23579623845583447"/>
    <n v="11.648167539267016"/>
    <n v="5"/>
    <n v="4.8534031413612562"/>
    <n v="13"/>
    <n v="0"/>
    <m/>
    <n v="0"/>
    <m/>
    <n v="34.501570680628269"/>
    <n v="0.13938701694269939"/>
    <n v="8.3240837696335071E-2"/>
  </r>
  <r>
    <n v="108"/>
    <d v="2026-08-10T00:00:00"/>
    <s v="Aug-26"/>
    <x v="1"/>
    <s v="IVC"/>
    <s v="All"/>
    <x v="9"/>
    <x v="5"/>
    <m/>
    <x v="5"/>
    <n v="2026"/>
    <n v="125"/>
    <n v="1000"/>
    <n v="175"/>
    <n v="7.8"/>
    <n v="282"/>
    <n v="7.3"/>
    <n v="240"/>
    <n v="11"/>
    <n v="6"/>
    <n v="25"/>
    <n v="0"/>
    <m/>
    <n v="35"/>
    <n v="7"/>
    <n v="43.827448000000004"/>
    <n v="45.326576000000003"/>
    <n v="49.735776000000008"/>
    <n v="240"/>
    <n v="194"/>
    <n v="39"/>
    <n v="-7"/>
    <n v="15"/>
    <n v="18.322985679958887"/>
    <n v="17"/>
    <n v="25"/>
    <n v="248.5"/>
    <n v="0.2485"/>
    <n v="43.78854625550661"/>
    <n v="16.738197424892704"/>
    <n v="199.82832618025751"/>
    <n v="34.969957081545061"/>
    <n v="0.78608870326255709"/>
    <n v="0.21391129673744289"/>
    <n v="0.1998283261802575"/>
    <n v="3.4969957081545058E-2"/>
    <n v="0.23479828326180258"/>
    <n v="193.96948520324472"/>
    <n v="33.944659910567829"/>
    <n v="0.19396948520324472"/>
    <n v="3.3944659910567831E-2"/>
    <n v="0.22791414511381256"/>
    <n v="10.677486910994764"/>
    <n v="4"/>
    <n v="5.8240837696335079"/>
    <n v="11"/>
    <n v="0"/>
    <m/>
    <n v="0"/>
    <m/>
    <n v="31.501570680628273"/>
    <n v="0.12627655421656403"/>
    <n v="7.5657149025746204E-2"/>
  </r>
  <r>
    <n v="109"/>
    <d v="2026-08-11T00:00:00"/>
    <s v="Aug-26"/>
    <x v="1"/>
    <s v="IVC"/>
    <s v="All"/>
    <x v="9"/>
    <x v="5"/>
    <m/>
    <x v="5"/>
    <n v="2026"/>
    <n v="126"/>
    <n v="1000"/>
    <n v="178"/>
    <n v="8.3000000000000007"/>
    <n v="278"/>
    <n v="7.6"/>
    <n v="239"/>
    <n v="11"/>
    <n v="4"/>
    <n v="24"/>
    <m/>
    <m/>
    <n v="35"/>
    <n v="3"/>
    <n v="43.474711999999997"/>
    <n v="44.797471999999999"/>
    <n v="49.030304000000001"/>
    <n v="239"/>
    <n v="192"/>
    <n v="37"/>
    <n v="-10"/>
    <n v="22"/>
    <n v="26.826783114992722"/>
    <n v="15"/>
    <n v="24"/>
    <n v="246.5"/>
    <n v="0.2465"/>
    <n v="43.436123348017624"/>
    <n v="16.157205240174672"/>
    <n v="200.38427947598251"/>
    <n v="32.698689956331876"/>
    <n v="0.76321301037772393"/>
    <n v="0.23678698962227598"/>
    <n v="0.2003842794759825"/>
    <n v="3.2698689956331878E-2"/>
    <n v="0.23308296943231438"/>
    <n v="193.87965888566265"/>
    <n v="31.637266512723198"/>
    <n v="0.19387965888566264"/>
    <n v="3.1637266512723194E-2"/>
    <n v="0.22551692539838583"/>
    <n v="10.642931937172776"/>
    <n v="6"/>
    <n v="3.8701570680628277"/>
    <n v="16"/>
    <n v="0"/>
    <m/>
    <n v="0"/>
    <m/>
    <n v="36.513089005235599"/>
    <n v="0.14857517810273713"/>
    <n v="8.6681937172774878E-2"/>
  </r>
  <r>
    <n v="110"/>
    <d v="2026-08-11T00:00:00"/>
    <s v="Aug-26"/>
    <x v="1"/>
    <s v="IVC"/>
    <s v="All"/>
    <x v="9"/>
    <x v="5"/>
    <m/>
    <x v="5"/>
    <n v="2026"/>
    <n v="126"/>
    <n v="1000"/>
    <n v="181"/>
    <n v="8.3000000000000007"/>
    <n v="283"/>
    <n v="7.6"/>
    <n v="236"/>
    <n v="18"/>
    <n v="5"/>
    <n v="24"/>
    <m/>
    <m/>
    <n v="13"/>
    <n v="4"/>
    <n v="43.65108"/>
    <n v="45.679312000000003"/>
    <n v="49.912143999999998"/>
    <n v="236"/>
    <n v="194"/>
    <n v="31"/>
    <n v="-11"/>
    <n v="21"/>
    <n v="25.082828282828281"/>
    <n v="23"/>
    <n v="24"/>
    <n v="247.5"/>
    <n v="0.2475"/>
    <n v="43.612334801762117"/>
    <n v="13.777777777777779"/>
    <n v="203.48444444444448"/>
    <n v="40.524444444444448"/>
    <n v="0.74529035942463506"/>
    <n v="0.25470964057536494"/>
    <n v="0.20348444444444447"/>
    <n v="4.0524444444444446E-2"/>
    <n v="0.24400888888888891"/>
    <n v="196.87919022687612"/>
    <n v="39.208991273996517"/>
    <n v="0.19687919022687611"/>
    <n v="3.9208991273996519E-2"/>
    <n v="0.23608818150087263"/>
    <n v="17.415706806282724"/>
    <n v="7"/>
    <n v="4.837696335078534"/>
    <n v="14"/>
    <n v="0"/>
    <m/>
    <n v="0"/>
    <m/>
    <n v="43.253403141361261"/>
    <n v="0.1726044226044226"/>
    <n v="0.12585415879527179"/>
  </r>
  <r>
    <n v="111"/>
    <d v="2026-08-12T00:00:00"/>
    <s v="Aug-26"/>
    <x v="1"/>
    <s v="IVC"/>
    <s v="All"/>
    <x v="9"/>
    <x v="5"/>
    <m/>
    <x v="5"/>
    <n v="2026"/>
    <n v="127"/>
    <n v="1000"/>
    <n v="173"/>
    <n v="8"/>
    <n v="282"/>
    <n v="7.4"/>
    <n v="235"/>
    <n v="17"/>
    <n v="6"/>
    <n v="24"/>
    <m/>
    <m/>
    <n v="34"/>
    <n v="4"/>
    <n v="43.474711999999997"/>
    <n v="45.502944000000006"/>
    <n v="49.735776000000008"/>
    <n v="235"/>
    <n v="191"/>
    <n v="36"/>
    <n v="-8"/>
    <n v="17"/>
    <n v="20.631915966546469"/>
    <n v="23"/>
    <n v="24"/>
    <n v="246.5"/>
    <n v="0.2465"/>
    <n v="43.436123348017624"/>
    <n v="15.859030837004406"/>
    <n v="197.73127753303964"/>
    <n v="39.546255506607928"/>
    <n v="0.76017051075692743"/>
    <n v="0.2398294892430726"/>
    <n v="0.19773127753303965"/>
    <n v="3.9546255506607925E-2"/>
    <n v="0.23727753303964758"/>
    <n v="191.72687224669602"/>
    <n v="38.345374449339204"/>
    <n v="0.19172687224669602"/>
    <n v="3.8345374449339206E-2"/>
    <n v="0.23007224669603521"/>
    <n v="16.483769633507851"/>
    <n v="4"/>
    <n v="5.817801047120418"/>
    <n v="13"/>
    <n v="0"/>
    <m/>
    <n v="0"/>
    <m/>
    <n v="39.301570680628274"/>
    <n v="0.1571023155356874"/>
    <n v="0.10724486719114058"/>
  </r>
  <r>
    <n v="112"/>
    <d v="2026-08-12T00:00:00"/>
    <s v="Aug-26"/>
    <x v="1"/>
    <s v="IVC"/>
    <s v="All"/>
    <x v="9"/>
    <x v="5"/>
    <m/>
    <x v="5"/>
    <n v="2026"/>
    <n v="127"/>
    <n v="1000"/>
    <n v="173"/>
    <n v="8"/>
    <n v="284"/>
    <n v="7.4"/>
    <n v="231"/>
    <n v="20"/>
    <n v="6"/>
    <n v="27"/>
    <m/>
    <m/>
    <n v="24"/>
    <n v="4"/>
    <n v="43.033791999999998"/>
    <n v="45.326576000000003"/>
    <n v="50.088512000000001"/>
    <n v="231"/>
    <n v="188"/>
    <n v="36"/>
    <n v="-7"/>
    <n v="19"/>
    <n v="23.101473310706574"/>
    <n v="26"/>
    <n v="27"/>
    <n v="244"/>
    <n v="0.24399999999999999"/>
    <n v="42.995594713656388"/>
    <n v="16.071428571428569"/>
    <n v="193.875"/>
    <n v="44.482142857142861"/>
    <n v="0.73203706580737116"/>
    <n v="0.26796293419262879"/>
    <n v="0.19387499999999999"/>
    <n v="4.4482142857142859E-2"/>
    <n v="0.23835714285714285"/>
    <n v="187.98769633507851"/>
    <n v="43.131376215407634"/>
    <n v="0.1879876963350785"/>
    <n v="4.3131376215407635E-2"/>
    <n v="0.23111907255048614"/>
    <n v="19.392670157068064"/>
    <n v="4"/>
    <n v="5.817801047120418"/>
    <n v="15"/>
    <n v="0"/>
    <m/>
    <n v="0"/>
    <m/>
    <n v="44.21047120418848"/>
    <n v="0.17741257742182184"/>
    <n v="0.12442909658014928"/>
  </r>
  <r>
    <n v="113"/>
    <d v="2026-08-13T00:00:00"/>
    <s v="Aug-26"/>
    <x v="1"/>
    <s v="IVC"/>
    <s v="All"/>
    <x v="9"/>
    <x v="5"/>
    <m/>
    <x v="5"/>
    <n v="2026"/>
    <n v="128"/>
    <n v="1000"/>
    <n v="175"/>
    <n v="7.8"/>
    <n v="291"/>
    <n v="7.92"/>
    <n v="238"/>
    <n v="18"/>
    <n v="8"/>
    <n v="23"/>
    <m/>
    <n v="4"/>
    <n v="23"/>
    <n v="3"/>
    <n v="44.268368000000002"/>
    <n v="46.561152"/>
    <n v="51.323088000000006"/>
    <n v="238"/>
    <n v="191"/>
    <n v="38"/>
    <n v="-9"/>
    <n v="15"/>
    <n v="18.423556125487991"/>
    <n v="26"/>
    <n v="27"/>
    <n v="251"/>
    <n v="0.251"/>
    <n v="44.229074889867839"/>
    <n v="16.593886462882097"/>
    <n v="198.50655021834061"/>
    <n v="44.20524017467249"/>
    <n v="0.75455822637289349"/>
    <n v="0.24544177362710651"/>
    <n v="0.1985065502183406"/>
    <n v="4.4205240174672492E-2"/>
    <n v="0.2427117903930131"/>
    <n v="191.39772925764194"/>
    <n v="42.622183406113535"/>
    <n v="0.19139772925764195"/>
    <n v="4.2622183406113533E-2"/>
    <n v="0.23401991266375549"/>
    <n v="17.35539267015707"/>
    <n v="3"/>
    <n v="7.7135078534031409"/>
    <n v="12"/>
    <n v="3.8567539267015705"/>
    <m/>
    <n v="0"/>
    <m/>
    <n v="43.925654450261781"/>
    <n v="0.17256486454466474"/>
    <n v="0.10657273649296894"/>
  </r>
  <r>
    <n v="114"/>
    <d v="2026-08-13T00:00:00"/>
    <s v="Aug-26"/>
    <x v="1"/>
    <s v="IVC"/>
    <s v="All"/>
    <x v="9"/>
    <x v="5"/>
    <m/>
    <x v="5"/>
    <n v="2026"/>
    <n v="128"/>
    <n v="1000"/>
    <n v="178"/>
    <n v="7.8"/>
    <n v="293"/>
    <n v="7.9"/>
    <n v="239"/>
    <n v="20"/>
    <n v="9"/>
    <n v="21"/>
    <m/>
    <n v="4"/>
    <n v="2"/>
    <n v="3"/>
    <n v="44.709288000000001"/>
    <n v="47.266624"/>
    <n v="51.675823999999999"/>
    <n v="239"/>
    <n v="193"/>
    <n v="37"/>
    <n v="-9"/>
    <n v="16"/>
    <n v="19.562101685313696"/>
    <n v="29"/>
    <n v="25"/>
    <n v="253.5"/>
    <n v="0.2535"/>
    <n v="44.669603524229075"/>
    <n v="16.086956521739133"/>
    <n v="200.55217391304348"/>
    <n v="45.313043478260873"/>
    <n v="0.74893480653476552"/>
    <n v="0.25106519346523443"/>
    <n v="0.20055217391304347"/>
    <n v="4.5313043478260873E-2"/>
    <n v="0.24586521739130435"/>
    <n v="193.4120965171864"/>
    <n v="43.699804234008653"/>
    <n v="0.19341209651718641"/>
    <n v="4.3699804234008655E-2"/>
    <n v="0.23711190075119506"/>
    <n v="19.287958115183248"/>
    <n v="4"/>
    <n v="8.6795811518324602"/>
    <n v="12"/>
    <n v="3.8575916230366492"/>
    <m/>
    <n v="0"/>
    <m/>
    <n v="47.825130890052357"/>
    <n v="0.18503978478940802"/>
    <n v="0.12066299541545725"/>
  </r>
  <r>
    <n v="115"/>
    <d v="2026-08-14T00:00:00"/>
    <s v="Aug-26"/>
    <x v="1"/>
    <s v="IVC"/>
    <s v="All"/>
    <x v="9"/>
    <x v="5"/>
    <m/>
    <x v="5"/>
    <n v="2026"/>
    <n v="129"/>
    <n v="1000"/>
    <n v="179"/>
    <n v="7.7"/>
    <n v="294"/>
    <n v="7.59"/>
    <n v="247"/>
    <n v="8"/>
    <n v="7"/>
    <n v="30"/>
    <m/>
    <n v="2"/>
    <n v="3"/>
    <n v="6"/>
    <n v="44.885656000000004"/>
    <n v="46.208416000000007"/>
    <n v="51.852192000000002"/>
    <n v="247"/>
    <n v="204"/>
    <n v="33"/>
    <n v="-10"/>
    <n v="19"/>
    <n v="22.720703962391049"/>
    <n v="15"/>
    <n v="32"/>
    <n v="254.5"/>
    <n v="0.2545"/>
    <n v="44.845814977973568"/>
    <n v="13.924050632911392"/>
    <n v="212.60759493670886"/>
    <n v="40.455696202531648"/>
    <n v="0.76285474842724132"/>
    <n v="0.23714525157275865"/>
    <n v="0.21260759493670886"/>
    <n v="4.045569620253165E-2"/>
    <n v="0.25306329113924053"/>
    <n v="205.72845914242163"/>
    <n v="39.146710848962826"/>
    <n v="0.20572845914242163"/>
    <n v="3.9146710848962825E-2"/>
    <n v="0.24487516999138445"/>
    <n v="7.7411518324607327"/>
    <n v="3"/>
    <n v="6.7735078534031414"/>
    <n v="16"/>
    <n v="1.9352879581151832"/>
    <m/>
    <n v="0"/>
    <m/>
    <n v="35.449947643979058"/>
    <n v="0.13982946890351744"/>
    <n v="5.2652705061082029E-2"/>
  </r>
  <r>
    <n v="116"/>
    <d v="2026-08-14T00:00:00"/>
    <s v="Aug-26"/>
    <x v="1"/>
    <s v="IVC"/>
    <s v="All"/>
    <x v="9"/>
    <x v="5"/>
    <m/>
    <x v="5"/>
    <n v="2026"/>
    <n v="129"/>
    <n v="1000"/>
    <n v="178"/>
    <n v="7.7"/>
    <n v="282"/>
    <n v="7.59"/>
    <n v="247"/>
    <n v="8"/>
    <n v="5"/>
    <n v="22"/>
    <m/>
    <n v="0"/>
    <n v="17"/>
    <n v="8"/>
    <n v="44.709288000000001"/>
    <n v="45.85568"/>
    <n v="49.735776000000008"/>
    <n v="247"/>
    <n v="204"/>
    <n v="36"/>
    <n v="-7"/>
    <n v="15"/>
    <n v="18.106806622659885"/>
    <n v="13"/>
    <n v="22"/>
    <n v="253.5"/>
    <n v="0.2535"/>
    <n v="44.669603524229075"/>
    <n v="15"/>
    <n v="209.95"/>
    <n v="29.75"/>
    <n v="0.81167799069978763"/>
    <n v="0.18832200930021237"/>
    <n v="0.20995"/>
    <n v="2.9749999999999999E-2"/>
    <n v="0.2397"/>
    <n v="203.15685340314133"/>
    <n v="28.787408376963349"/>
    <n v="0.20315685340314132"/>
    <n v="2.878740837696335E-2"/>
    <n v="0.23194426178010469"/>
    <n v="7.7411518324607327"/>
    <n v="2"/>
    <n v="4.838219895287958"/>
    <n v="13"/>
    <n v="0"/>
    <m/>
    <n v="0"/>
    <m/>
    <n v="27.579371727748693"/>
    <n v="0.10962141959328413"/>
    <n v="4.77507442767683E-2"/>
  </r>
  <r>
    <n v="117"/>
    <d v="2026-08-17T00:00:00"/>
    <s v="Aug-26"/>
    <x v="1"/>
    <s v="IVC"/>
    <s v="All"/>
    <x v="9"/>
    <x v="5"/>
    <m/>
    <x v="5"/>
    <n v="2026"/>
    <n v="130"/>
    <n v="1000"/>
    <n v="181"/>
    <n v="8.1"/>
    <n v="282"/>
    <n v="7.55"/>
    <n v="236"/>
    <n v="12"/>
    <n v="7"/>
    <n v="27"/>
    <m/>
    <m/>
    <n v="24"/>
    <n v="3"/>
    <n v="43.298344000000007"/>
    <n v="44.973840000000003"/>
    <n v="49.735776000000008"/>
    <n v="236"/>
    <n v="193"/>
    <n v="35"/>
    <n v="-8"/>
    <n v="13"/>
    <n v="15.733635061152068"/>
    <n v="19"/>
    <n v="27"/>
    <n v="245.5"/>
    <n v="0.2455"/>
    <n v="43.259911894273131"/>
    <n v="15.350877192982457"/>
    <n v="199.77192982456143"/>
    <n v="38.938596491228076"/>
    <n v="0.78108640049236855"/>
    <n v="0.21891359950763145"/>
    <n v="0.19977192982456143"/>
    <n v="3.8938596491228078E-2"/>
    <n v="0.23871052631578951"/>
    <n v="193.39177918618537"/>
    <n v="37.695007807476813"/>
    <n v="0.19339177918618539"/>
    <n v="3.769500780747681E-2"/>
    <n v="0.2310867869936622"/>
    <n v="11.616753926701572"/>
    <n v="4"/>
    <n v="6.7764397905759157"/>
    <n v="9"/>
    <n v="0"/>
    <m/>
    <n v="0"/>
    <m/>
    <n v="31.393193717277487"/>
    <n v="0.12717208029777621"/>
    <n v="8.0915823454412283E-2"/>
  </r>
  <r>
    <n v="118"/>
    <d v="2026-08-17T00:00:00"/>
    <s v="Aug-26"/>
    <x v="1"/>
    <s v="IVC"/>
    <s v="All"/>
    <x v="9"/>
    <x v="5"/>
    <m/>
    <x v="5"/>
    <n v="2026"/>
    <n v="130"/>
    <n v="1000"/>
    <n v="185"/>
    <n v="8.1"/>
    <n v="278"/>
    <n v="7.55"/>
    <n v="234"/>
    <n v="14"/>
    <n v="5"/>
    <n v="25"/>
    <m/>
    <m/>
    <n v="38"/>
    <n v="10"/>
    <n v="42.945608"/>
    <n v="44.621104000000003"/>
    <n v="49.030304000000001"/>
    <n v="234"/>
    <n v="196"/>
    <n v="32"/>
    <n v="-6"/>
    <n v="17"/>
    <n v="20.34006053532967"/>
    <n v="19"/>
    <n v="25"/>
    <n v="243.5"/>
    <n v="0.24349999999999999"/>
    <n v="42.907488986784138"/>
    <n v="14.035087719298247"/>
    <n v="201.15789473684211"/>
    <n v="37.824561403508774"/>
    <n v="0.76856093332615227"/>
    <n v="0.23143906667384773"/>
    <n v="0.20115789473684212"/>
    <n v="3.7824561403508775E-2"/>
    <n v="0.23898245614035091"/>
    <n v="194.73348029760263"/>
    <n v="36.616551850831272"/>
    <n v="0.19473348029760262"/>
    <n v="3.6616551850831271E-2"/>
    <n v="0.23135003214843389"/>
    <n v="13.552879581151831"/>
    <n v="5"/>
    <n v="4.8403141361256541"/>
    <n v="12"/>
    <n v="0"/>
    <m/>
    <n v="0"/>
    <m/>
    <n v="35.393193717277484"/>
    <n v="0.14450926363358463"/>
    <n v="9.4657548883427714E-2"/>
  </r>
  <r>
    <n v="119"/>
    <d v="2026-08-18T00:00:00"/>
    <s v="Aug-26"/>
    <x v="1"/>
    <s v="IVC"/>
    <s v="All"/>
    <x v="9"/>
    <x v="5"/>
    <m/>
    <x v="5"/>
    <n v="2026"/>
    <n v="131"/>
    <n v="1000"/>
    <n v="180"/>
    <n v="7.8"/>
    <n v="285"/>
    <n v="7.3"/>
    <n v="241"/>
    <n v="15"/>
    <n v="4"/>
    <n v="25"/>
    <m/>
    <m/>
    <n v="42"/>
    <n v="5"/>
    <n v="44.180184000000004"/>
    <n v="45.85568"/>
    <n v="50.264880000000005"/>
    <n v="241"/>
    <n v="198"/>
    <n v="35"/>
    <n v="-8"/>
    <n v="19"/>
    <n v="22.867804677046731"/>
    <n v="19"/>
    <n v="25"/>
    <n v="250.5"/>
    <n v="0.2505"/>
    <n v="44.140969162995596"/>
    <n v="15.02145922746781"/>
    <n v="204.79828326180257"/>
    <n v="37.39055793991416"/>
    <n v="0.76537612394018695"/>
    <n v="0.23462387605981311"/>
    <n v="0.20479828326180258"/>
    <n v="3.7390557939914158E-2"/>
    <n v="0.24218884120171674"/>
    <n v="198.79372626564501"/>
    <n v="36.294290272565888"/>
    <n v="0.19879372626564501"/>
    <n v="3.6294290272565886E-2"/>
    <n v="0.2350880165382109"/>
    <n v="14.560209424083769"/>
    <n v="3"/>
    <n v="3.8827225130890053"/>
    <n v="16"/>
    <n v="0"/>
    <m/>
    <n v="0"/>
    <m/>
    <n v="37.442931937172773"/>
    <n v="0.14836113185627747"/>
    <n v="8.8687926384261456E-2"/>
  </r>
  <r>
    <n v="120"/>
    <d v="2026-08-18T00:00:00"/>
    <s v="Aug-26"/>
    <x v="1"/>
    <s v="IVC"/>
    <s v="All"/>
    <x v="9"/>
    <x v="5"/>
    <m/>
    <x v="5"/>
    <n v="2026"/>
    <n v="131"/>
    <n v="1000"/>
    <n v="180"/>
    <n v="7.8"/>
    <n v="289"/>
    <n v="7.3"/>
    <n v="231"/>
    <n v="21"/>
    <n v="8"/>
    <n v="26"/>
    <m/>
    <n v="3"/>
    <n v="19"/>
    <n v="6"/>
    <n v="43.298344000000007"/>
    <n v="45.85568"/>
    <n v="50.970352000000005"/>
    <n v="231"/>
    <n v="191"/>
    <n v="33"/>
    <n v="-7"/>
    <n v="17"/>
    <n v="20.409202111265216"/>
    <n v="29"/>
    <n v="29"/>
    <n v="245.5"/>
    <n v="0.2455"/>
    <n v="43.259911894273131"/>
    <n v="14.732142857142856"/>
    <n v="196.96875"/>
    <n v="49.455357142857139"/>
    <n v="0.72868788196794043"/>
    <n v="0.27131211803205957"/>
    <n v="0.19696875"/>
    <n v="4.9455357142857141E-2"/>
    <n v="0.24642410714285715"/>
    <n v="191.19374999999999"/>
    <n v="48.005357142857136"/>
    <n v="0.19119375"/>
    <n v="4.8005357142857134E-2"/>
    <n v="0.23919910714285714"/>
    <n v="20.384293193717276"/>
    <n v="3"/>
    <n v="7.7654450261780106"/>
    <n v="14"/>
    <n v="2.912041884816754"/>
    <m/>
    <n v="0"/>
    <m/>
    <n v="48.061780104712035"/>
    <n v="0.19043647830055596"/>
    <n v="0.12243085441736794"/>
  </r>
  <r>
    <n v="121"/>
    <d v="2026-08-19T00:00:00"/>
    <s v="Aug-26"/>
    <x v="1"/>
    <s v="IVC"/>
    <s v="All"/>
    <x v="15"/>
    <x v="5"/>
    <m/>
    <x v="5"/>
    <n v="2026"/>
    <n v="132"/>
    <n v="1000"/>
    <n v="177"/>
    <n v="7.5"/>
    <n v="290"/>
    <n v="7.4"/>
    <n v="240"/>
    <n v="15"/>
    <n v="6"/>
    <n v="29"/>
    <m/>
    <m/>
    <n v="9"/>
    <n v="2"/>
    <n v="44.180184000000004"/>
    <n v="46.032048000000003"/>
    <n v="51.146720000000002"/>
    <n v="240"/>
    <n v="202"/>
    <n v="30"/>
    <n v="-8"/>
    <n v="21"/>
    <n v="24.842388470991292"/>
    <n v="21"/>
    <n v="29"/>
    <n v="250.5"/>
    <n v="0.2505"/>
    <n v="44.140969162995596"/>
    <n v="12.931034482758621"/>
    <n v="208.9655172413793"/>
    <n v="43.53448275862069"/>
    <n v="0.74192279837589203"/>
    <n v="0.25807720162410791"/>
    <n v="0.20896551724137929"/>
    <n v="4.3534482758620693E-2"/>
    <n v="0.2525"/>
    <n v="202.61996750315939"/>
    <n v="42.212493229824879"/>
    <n v="0.20261996750315939"/>
    <n v="4.2212493229824878E-2"/>
    <n v="0.24483246073298426"/>
    <n v="14.544502617801047"/>
    <n v="6"/>
    <n v="5.817801047120418"/>
    <n v="15"/>
    <n v="0"/>
    <m/>
    <n v="0"/>
    <m/>
    <n v="41.36230366492147"/>
    <n v="0.16343933864601179"/>
    <n v="0.10170545850396558"/>
  </r>
  <r>
    <n v="122"/>
    <d v="2026-08-19T00:00:00"/>
    <s v="Aug-26"/>
    <x v="1"/>
    <s v="IVC"/>
    <s v="All"/>
    <x v="15"/>
    <x v="5"/>
    <m/>
    <x v="5"/>
    <n v="2026"/>
    <n v="132"/>
    <n v="1000"/>
    <n v="179"/>
    <n v="7.5"/>
    <n v="290"/>
    <n v="7.4"/>
    <n v="231"/>
    <n v="25"/>
    <n v="6"/>
    <n v="28"/>
    <m/>
    <m/>
    <n v="17"/>
    <n v="2"/>
    <n v="43.474711999999997"/>
    <n v="46.208416000000007"/>
    <n v="51.146720000000002"/>
    <n v="231"/>
    <n v="189"/>
    <n v="31"/>
    <n v="-11"/>
    <n v="19"/>
    <n v="22.707294325544868"/>
    <n v="31"/>
    <n v="28"/>
    <n v="246.5"/>
    <n v="0.2465"/>
    <n v="43.436123348017624"/>
    <n v="14.09090909090909"/>
    <n v="198.45"/>
    <n v="50.68636363636363"/>
    <n v="0.71825070922225909"/>
    <n v="0.28174929077774091"/>
    <n v="0.19844999999999999"/>
    <n v="5.0686363636363634E-2"/>
    <n v="0.24913636363636363"/>
    <n v="192.42376963350782"/>
    <n v="49.147196573060441"/>
    <n v="0.19242376963350782"/>
    <n v="4.9147196573060443E-2"/>
    <n v="0.24157096620656826"/>
    <n v="24.240837696335078"/>
    <n v="5"/>
    <n v="5.817801047120418"/>
    <n v="14"/>
    <n v="0"/>
    <m/>
    <n v="0"/>
    <m/>
    <n v="49.058638743455496"/>
    <n v="0.19311081067713057"/>
    <n v="0.15471342696473586"/>
  </r>
  <r>
    <n v="123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24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25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26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27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28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29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30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31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32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33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34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35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36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37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38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39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40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41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42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43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44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45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46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47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48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49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50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51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52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53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54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55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56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57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58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59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60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61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62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63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64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65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66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67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68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69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70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71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72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73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74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75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76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77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78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79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80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81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82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83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84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85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86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87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88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89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90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91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92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93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94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95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96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97"/>
    <m/>
    <s v=""/>
    <x v="3"/>
    <m/>
    <m/>
    <x v="18"/>
    <x v="5"/>
    <m/>
    <x v="5"/>
    <m/>
    <m/>
    <m/>
    <m/>
    <m/>
    <n v="0"/>
    <m/>
    <m/>
    <m/>
    <m/>
    <m/>
    <m/>
    <m/>
    <m/>
    <m/>
    <s v=""/>
    <s v=""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98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199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00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01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02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03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04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05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06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07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08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09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10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11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12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13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14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15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16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17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18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19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  <r>
    <n v="220"/>
    <m/>
    <s v=""/>
    <x v="3"/>
    <m/>
    <m/>
    <x v="18"/>
    <x v="5"/>
    <m/>
    <x v="5"/>
    <m/>
    <m/>
    <m/>
    <m/>
    <m/>
    <m/>
    <m/>
    <m/>
    <m/>
    <m/>
    <m/>
    <m/>
    <m/>
    <m/>
    <m/>
    <m/>
    <m/>
    <s v=""/>
    <m/>
    <m/>
    <m/>
    <n v="0"/>
    <n v="0"/>
    <s v=""/>
    <n v="0"/>
    <n v="0"/>
    <n v="0"/>
    <s v=""/>
    <s v=""/>
    <s v=""/>
    <s v=""/>
    <s v=""/>
    <s v=""/>
    <s v=""/>
    <s v=""/>
    <s v=""/>
    <s v=""/>
    <s v=""/>
    <s v=""/>
    <s v=""/>
    <s v=""/>
    <s v=""/>
    <n v="0"/>
    <m/>
    <n v="0"/>
    <m/>
    <n v="0"/>
    <m/>
    <n v="0"/>
    <m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1F9EB-79B8-4468-B729-E82961D1BB2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12" firstHeaderRow="0" firstDataRow="1" firstDataCol="1" rowPageCount="1" colPageCount="1"/>
  <pivotFields count="63">
    <pivotField showAll="0"/>
    <pivotField showAll="0"/>
    <pivotField showAll="0"/>
    <pivotField axis="axisPage" multipleItemSelectionAllowed="1" showAll="0">
      <items count="5">
        <item x="0"/>
        <item h="1" x="2"/>
        <item h="1" x="1"/>
        <item h="1" x="3"/>
        <item t="default"/>
      </items>
    </pivotField>
    <pivotField showAll="0"/>
    <pivotField showAll="0"/>
    <pivotField showAll="0"/>
    <pivotField axis="axisRow" showAll="0">
      <items count="7">
        <item x="1"/>
        <item x="3"/>
        <item x="0"/>
        <item x="2"/>
        <item x="5"/>
        <item x="4"/>
        <item t="default"/>
      </items>
    </pivotField>
    <pivotField showAll="0"/>
    <pivotField axis="axisRow" showAll="0">
      <items count="7">
        <item x="1"/>
        <item x="2"/>
        <item x="3"/>
        <item x="0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dataField="1" showAll="0"/>
    <pivotField dataField="1" showAll="0"/>
  </pivotFields>
  <rowFields count="2">
    <field x="7"/>
    <field x="9"/>
  </rowFields>
  <rowItems count="9">
    <i>
      <x v="1"/>
    </i>
    <i r="1">
      <x v="2"/>
    </i>
    <i>
      <x v="2"/>
    </i>
    <i r="1">
      <x v="3"/>
    </i>
    <i>
      <x v="3"/>
    </i>
    <i r="1">
      <x v="1"/>
    </i>
    <i>
      <x v="5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Average of KOR (lbs)" fld="25" subtotal="average" baseField="0" baseItem="0" numFmtId="168"/>
    <dataField name="Average of Total Spot %" fld="62" subtotal="average" baseField="0" baseItem="0" numFmtId="10"/>
    <dataField name="Average of Total Defect %" fld="61" subtotal="average" baseField="0" baseItem="0" numFmtId="10"/>
  </dataFields>
  <formats count="3">
    <format dxfId="6">
      <pivotArea collapsedLevelsAreSubtotals="1" fieldPosition="0">
        <references count="2">
          <reference field="4294967294" count="2" selected="0">
            <x v="1"/>
            <x v="2"/>
          </reference>
          <reference field="3" count="3">
            <x v="0"/>
            <x v="1"/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BD1A6-583E-4E92-AD7D-F6A97C89553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IN">
  <location ref="A3:D14" firstHeaderRow="0" firstDataRow="1" firstDataCol="1" rowPageCount="1" colPageCount="1"/>
  <pivotFields count="63">
    <pivotField showAll="0"/>
    <pivotField showAll="0"/>
    <pivotField showAll="0"/>
    <pivotField axis="axisPage" multipleItemSelectionAllowed="1" showAll="0">
      <items count="5">
        <item h="1" x="0"/>
        <item x="2"/>
        <item h="1" x="1"/>
        <item h="1" x="3"/>
        <item t="default"/>
      </items>
    </pivotField>
    <pivotField showAll="0"/>
    <pivotField showAll="0"/>
    <pivotField axis="axisRow" showAll="0">
      <items count="20">
        <item x="0"/>
        <item x="4"/>
        <item x="5"/>
        <item x="1"/>
        <item x="2"/>
        <item x="6"/>
        <item x="3"/>
        <item x="18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dataField="1" showAll="0"/>
    <pivotField dataField="1" showAll="0"/>
  </pivotFields>
  <rowFields count="1">
    <field x="6"/>
  </rowFields>
  <rowItems count="11">
    <i>
      <x v="2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Average of KOR (lbs)" fld="25" subtotal="average" baseField="0" baseItem="0" numFmtId="168"/>
    <dataField name="Average of Total Spot %" fld="62" subtotal="average" baseField="0" baseItem="0" numFmtId="10"/>
    <dataField name="Average of Total Defect %" fld="61" subtotal="average" baseField="0" baseItem="0" numFmtId="10"/>
  </dataFields>
  <formats count="3">
    <format dxfId="9">
      <pivotArea collapsedLevelsAreSubtotals="1" fieldPosition="0">
        <references count="2">
          <reference field="4294967294" count="2" selected="0">
            <x v="1"/>
            <x v="2"/>
          </reference>
          <reference field="3" count="3">
            <x v="0"/>
            <x v="1"/>
            <x v="2"/>
          </reference>
        </references>
      </pivotArea>
    </format>
    <format dxfId="8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5B89A-9230-49D0-8384-B1A6642C3CF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O13" firstHeaderRow="0" firstDataRow="1" firstDataCol="1" rowPageCount="1" colPageCount="1"/>
  <pivotFields count="63">
    <pivotField showAll="0"/>
    <pivotField showAll="0"/>
    <pivotField showAll="0"/>
    <pivotField axis="axisPage" multipleItemSelectionAllowed="1" showAll="0">
      <items count="5">
        <item h="1" x="0"/>
        <item h="1" x="2"/>
        <item x="1"/>
        <item h="1" x="3"/>
        <item t="default"/>
      </items>
    </pivotField>
    <pivotField showAll="0"/>
    <pivotField showAll="0"/>
    <pivotField axis="axisRow" showAll="0">
      <items count="20">
        <item x="0"/>
        <item x="4"/>
        <item x="5"/>
        <item x="1"/>
        <item x="2"/>
        <item x="6"/>
        <item x="3"/>
        <item x="18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dataField="1" showAll="0"/>
    <pivotField dataField="1" showAll="0"/>
  </pivotFields>
  <rowFields count="1">
    <field x="6"/>
  </rowFields>
  <rowItems count="10">
    <i>
      <x v="1"/>
    </i>
    <i>
      <x v="3"/>
    </i>
    <i>
      <x v="4"/>
    </i>
    <i>
      <x v="8"/>
    </i>
    <i>
      <x v="10"/>
    </i>
    <i>
      <x v="13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Average of KOR (lbs)" fld="25" subtotal="average" baseField="0" baseItem="0" numFmtId="168"/>
    <dataField name="Average of Total Spot %" fld="62" subtotal="average" baseField="0" baseItem="0" numFmtId="10"/>
    <dataField name="Average of Total Defect %" fld="61" subtotal="average" baseField="0" baseItem="0" numFmtId="10"/>
  </dataFields>
  <formats count="3">
    <format dxfId="12">
      <pivotArea collapsedLevelsAreSubtotals="1" fieldPosition="0">
        <references count="2">
          <reference field="4294967294" count="2" selected="0">
            <x v="1"/>
            <x v="2"/>
          </reference>
          <reference field="3" count="3">
            <x v="0"/>
            <x v="1"/>
            <x v="2"/>
          </reference>
        </references>
      </pivotArea>
    </format>
    <format dxfId="1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4917B-8638-4F66-B616-E5438E3A0D9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6:W36" firstHeaderRow="1" firstDataRow="1" firstDataCol="1" rowPageCount="1" colPageCount="1"/>
  <pivotFields count="14">
    <pivotField showAll="0"/>
    <pivotField axis="axisPage" multipleItemSelectionAllowed="1" showAll="0">
      <items count="25">
        <item h="1" x="6"/>
        <item h="1" x="1"/>
        <item x="4"/>
        <item h="1" x="7"/>
        <item h="1" x="22"/>
        <item h="1" x="5"/>
        <item h="1" x="20"/>
        <item h="1" x="14"/>
        <item h="1" x="12"/>
        <item x="11"/>
        <item h="1" x="8"/>
        <item h="1" x="15"/>
        <item h="1" x="17"/>
        <item h="1" x="9"/>
        <item h="1" x="21"/>
        <item h="1" x="23"/>
        <item x="3"/>
        <item x="0"/>
        <item x="13"/>
        <item h="1" x="18"/>
        <item x="2"/>
        <item h="1" x="19"/>
        <item h="1" x="16"/>
        <item h="1" x="10"/>
        <item t="default"/>
      </items>
    </pivotField>
    <pivotField axis="axisRow" showAll="0">
      <items count="60">
        <item x="31"/>
        <item x="11"/>
        <item x="22"/>
        <item x="37"/>
        <item x="15"/>
        <item x="35"/>
        <item x="19"/>
        <item x="53"/>
        <item x="29"/>
        <item x="4"/>
        <item x="48"/>
        <item x="7"/>
        <item x="34"/>
        <item x="28"/>
        <item x="8"/>
        <item x="18"/>
        <item x="42"/>
        <item x="32"/>
        <item x="12"/>
        <item x="5"/>
        <item x="41"/>
        <item x="38"/>
        <item x="47"/>
        <item x="49"/>
        <item x="17"/>
        <item x="14"/>
        <item x="23"/>
        <item x="16"/>
        <item x="40"/>
        <item x="30"/>
        <item m="1" x="57"/>
        <item m="1" x="58"/>
        <item x="24"/>
        <item x="39"/>
        <item x="52"/>
        <item x="6"/>
        <item x="44"/>
        <item x="26"/>
        <item x="9"/>
        <item x="2"/>
        <item x="33"/>
        <item x="10"/>
        <item x="1"/>
        <item x="46"/>
        <item x="36"/>
        <item x="13"/>
        <item x="25"/>
        <item x="56"/>
        <item x="43"/>
        <item x="51"/>
        <item x="54"/>
        <item x="21"/>
        <item x="20"/>
        <item x="27"/>
        <item x="50"/>
        <item x="45"/>
        <item x="0"/>
        <item x="3"/>
        <item x="55"/>
        <item t="default"/>
      </items>
    </pivotField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0">
    <i>
      <x/>
    </i>
    <i>
      <x v="1"/>
    </i>
    <i>
      <x v="4"/>
    </i>
    <i>
      <x v="5"/>
    </i>
    <i>
      <x v="6"/>
    </i>
    <i>
      <x v="8"/>
    </i>
    <i>
      <x v="9"/>
    </i>
    <i>
      <x v="16"/>
    </i>
    <i>
      <x v="17"/>
    </i>
    <i>
      <x v="18"/>
    </i>
    <i>
      <x v="24"/>
    </i>
    <i>
      <x v="25"/>
    </i>
    <i>
      <x v="27"/>
    </i>
    <i>
      <x v="28"/>
    </i>
    <i>
      <x v="29"/>
    </i>
    <i>
      <x v="32"/>
    </i>
    <i>
      <x v="35"/>
    </i>
    <i>
      <x v="39"/>
    </i>
    <i>
      <x v="40"/>
    </i>
    <i>
      <x v="42"/>
    </i>
    <i>
      <x v="43"/>
    </i>
    <i>
      <x v="44"/>
    </i>
    <i>
      <x v="49"/>
    </i>
    <i>
      <x v="51"/>
    </i>
    <i>
      <x v="52"/>
    </i>
    <i>
      <x v="53"/>
    </i>
    <i>
      <x v="55"/>
    </i>
    <i>
      <x v="56"/>
    </i>
    <i>
      <x v="57"/>
    </i>
    <i t="grand">
      <x/>
    </i>
  </rowItems>
  <colItems count="1">
    <i/>
  </colItems>
  <pageFields count="1">
    <pageField fld="1" hier="-1"/>
  </pageFields>
  <dataFields count="1">
    <dataField name="Sum of Qty (Kg's)" fld="4" baseField="0" baseItem="0" numFmtId="43"/>
  </dataFields>
  <formats count="1">
    <format dxfId="0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C1996-C5FC-43F9-B298-05E840F6A51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6:S55" firstHeaderRow="1" firstDataRow="1" firstDataCol="1"/>
  <pivotFields count="14">
    <pivotField showAll="0"/>
    <pivotField axis="axisRow" showAll="0">
      <items count="25">
        <item h="1" x="6"/>
        <item h="1" x="1"/>
        <item x="4"/>
        <item h="1" x="7"/>
        <item h="1" x="22"/>
        <item h="1" x="5"/>
        <item h="1" x="20"/>
        <item h="1" x="14"/>
        <item h="1" x="12"/>
        <item x="11"/>
        <item h="1" x="8"/>
        <item h="1" x="15"/>
        <item h="1" x="17"/>
        <item h="1" x="9"/>
        <item h="1" x="21"/>
        <item h="1" x="23"/>
        <item x="3"/>
        <item x="0"/>
        <item x="13"/>
        <item h="1" x="18"/>
        <item x="2"/>
        <item h="1" x="19"/>
        <item h="1" x="16"/>
        <item h="1" x="10"/>
        <item t="default"/>
      </items>
    </pivotField>
    <pivotField axis="axisRow" showAll="0">
      <items count="60">
        <item x="31"/>
        <item x="11"/>
        <item x="22"/>
        <item x="37"/>
        <item x="15"/>
        <item x="35"/>
        <item x="19"/>
        <item x="53"/>
        <item x="29"/>
        <item x="4"/>
        <item x="48"/>
        <item x="7"/>
        <item x="34"/>
        <item x="28"/>
        <item x="8"/>
        <item x="18"/>
        <item x="42"/>
        <item x="32"/>
        <item x="12"/>
        <item x="5"/>
        <item x="41"/>
        <item x="38"/>
        <item x="47"/>
        <item x="49"/>
        <item x="17"/>
        <item x="14"/>
        <item x="23"/>
        <item x="16"/>
        <item x="40"/>
        <item x="30"/>
        <item m="1" x="57"/>
        <item m="1" x="58"/>
        <item x="24"/>
        <item x="39"/>
        <item x="52"/>
        <item x="6"/>
        <item x="44"/>
        <item x="26"/>
        <item x="9"/>
        <item x="2"/>
        <item x="33"/>
        <item x="10"/>
        <item x="1"/>
        <item x="46"/>
        <item x="36"/>
        <item x="13"/>
        <item x="25"/>
        <item x="56"/>
        <item x="43"/>
        <item x="51"/>
        <item x="54"/>
        <item x="21"/>
        <item x="20"/>
        <item x="27"/>
        <item x="50"/>
        <item x="45"/>
        <item x="0"/>
        <item x="3"/>
        <item x="55"/>
        <item t="default"/>
      </items>
    </pivotField>
    <pivotField showAll="0"/>
    <pivotField numFmtId="43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49">
    <i>
      <x v="2"/>
    </i>
    <i r="1">
      <x v="1"/>
    </i>
    <i r="1">
      <x v="9"/>
    </i>
    <i r="1">
      <x v="57"/>
    </i>
    <i>
      <x v="9"/>
    </i>
    <i r="1">
      <x v="6"/>
    </i>
    <i r="1">
      <x v="17"/>
    </i>
    <i r="1">
      <x v="24"/>
    </i>
    <i r="1">
      <x v="25"/>
    </i>
    <i r="1">
      <x v="28"/>
    </i>
    <i r="1">
      <x v="32"/>
    </i>
    <i r="1">
      <x v="43"/>
    </i>
    <i r="1">
      <x v="52"/>
    </i>
    <i r="1">
      <x v="55"/>
    </i>
    <i r="1">
      <x v="56"/>
    </i>
    <i>
      <x v="16"/>
    </i>
    <i r="1">
      <x v="5"/>
    </i>
    <i r="1">
      <x v="9"/>
    </i>
    <i r="1">
      <x v="27"/>
    </i>
    <i r="1">
      <x v="28"/>
    </i>
    <i r="1">
      <x v="35"/>
    </i>
    <i r="1">
      <x v="42"/>
    </i>
    <i r="1">
      <x v="56"/>
    </i>
    <i>
      <x v="17"/>
    </i>
    <i r="1">
      <x v="18"/>
    </i>
    <i r="1">
      <x v="29"/>
    </i>
    <i r="1">
      <x v="56"/>
    </i>
    <i>
      <x v="18"/>
    </i>
    <i r="1">
      <x/>
    </i>
    <i r="1">
      <x v="4"/>
    </i>
    <i r="1">
      <x v="5"/>
    </i>
    <i r="1">
      <x v="6"/>
    </i>
    <i r="1">
      <x v="8"/>
    </i>
    <i r="1">
      <x v="16"/>
    </i>
    <i r="1">
      <x v="17"/>
    </i>
    <i r="1">
      <x v="24"/>
    </i>
    <i r="1">
      <x v="29"/>
    </i>
    <i r="1">
      <x v="40"/>
    </i>
    <i r="1">
      <x v="44"/>
    </i>
    <i r="1">
      <x v="49"/>
    </i>
    <i r="1">
      <x v="51"/>
    </i>
    <i r="1">
      <x v="52"/>
    </i>
    <i r="1">
      <x v="53"/>
    </i>
    <i r="1">
      <x v="56"/>
    </i>
    <i>
      <x v="20"/>
    </i>
    <i r="1">
      <x v="9"/>
    </i>
    <i r="1">
      <x v="39"/>
    </i>
    <i r="1">
      <x v="56"/>
    </i>
    <i t="grand">
      <x/>
    </i>
  </rowItems>
  <colItems count="1">
    <i/>
  </colItems>
  <dataFields count="1">
    <dataField name="Average of KOR (lbs)" fld="5" subtotal="average" baseField="1" baseItem="2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0-04-25T04:11:41.99" personId="{36CC948E-2682-42B5-9F11-A7DC87FDA51E}" id="{9C11BAD2-C260-493F-BA75-4D5F7E985036}">
    <text>26-28, 24-26, 22-24</text>
  </threadedComment>
  <threadedComment ref="F3" dT="2020-04-25T04:11:41.99" personId="{36CC948E-2682-42B5-9F11-A7DC87FDA51E}" id="{E336A5E6-77E8-4734-8258-5512F7E5C612}">
    <text>26-28, 24-26, 22-24</text>
  </threadedComment>
  <threadedComment ref="F4" dT="2020-04-25T04:11:41.99" personId="{36CC948E-2682-42B5-9F11-A7DC87FDA51E}" id="{377A71B7-2F96-4B31-86C7-C9D010C9FA73}">
    <text>26-28, 24-26, 22-24</text>
  </threadedComment>
  <threadedComment ref="F5" dT="2020-04-25T04:11:41.99" personId="{36CC948E-2682-42B5-9F11-A7DC87FDA51E}" id="{CA2A141D-8DA6-4FE8-835D-E24886E984D2}">
    <text>26-28, 24-26, 22-24</text>
  </threadedComment>
  <threadedComment ref="F6" dT="2020-04-25T04:11:41.99" personId="{36CC948E-2682-42B5-9F11-A7DC87FDA51E}" id="{039A47A9-E7AE-42B1-B139-F4A9CC7305AC}">
    <text>26-28, 24-26, 22-24</text>
  </threadedComment>
  <threadedComment ref="F7" dT="2020-04-25T04:11:41.99" personId="{36CC948E-2682-42B5-9F11-A7DC87FDA51E}" id="{291575F7-02E4-4150-8DBA-9EFE30F20563}">
    <text>26-28, 24-26, 22-24</text>
  </threadedComment>
  <threadedComment ref="F8" dT="2020-04-25T04:11:41.99" personId="{36CC948E-2682-42B5-9F11-A7DC87FDA51E}" id="{F8895B25-E923-48D0-B384-DD5E7ED355A9}">
    <text>26-28, 24-26, 22-24</text>
  </threadedComment>
  <threadedComment ref="F9" dT="2020-04-25T04:11:41.99" personId="{36CC948E-2682-42B5-9F11-A7DC87FDA51E}" id="{306A71BB-0AA5-4CE1-8F54-FEA030CEAEBF}">
    <text>26-28, 24-26, 22-24</text>
  </threadedComment>
  <threadedComment ref="F10" dT="2020-05-08T09:00:15.76" personId="{36CC948E-2682-42B5-9F11-A7DC87FDA51E}" id="{70F913BB-7678-43A7-9008-BFCBD64D2A77}">
    <text>22-24 &amp; 24-26</text>
  </threadedComment>
  <threadedComment ref="F11" dT="2020-05-11T07:25:54.99" personId="{36CC948E-2682-42B5-9F11-A7DC87FDA51E}" id="{A8D66302-40CF-498B-865A-F93E40673A73}">
    <text>22-24</text>
  </threadedComment>
  <threadedComment ref="F12" dT="2020-05-11T07:29:38.76" personId="{36CC948E-2682-42B5-9F11-A7DC87FDA51E}" id="{B074EC4F-F293-4E9A-81E9-FCDAFCCCBE61}">
    <text>18-20 &amp; 20-22</text>
  </threadedComment>
  <threadedComment ref="B13" dT="2020-05-15T10:53:19.84" personId="{36CC948E-2682-42B5-9F11-A7DC87FDA51E}" id="{3826A537-2948-4130-9572-DE793213252C}">
    <text>Shelling stopped @ TUT from 12-14 May</text>
  </threadedComment>
  <threadedComment ref="F13" dT="2020-05-15T10:54:05.18" personId="{36CC948E-2682-42B5-9F11-A7DC87FDA51E}" id="{F34BD900-65FE-4DEB-B81A-A9C13C6E0EFA}">
    <text>18-20, 20-22, 22-24 &amp; 24-26</text>
  </threadedComment>
  <threadedComment ref="F14" dT="2020-05-15T10:54:05.18" personId="{36CC948E-2682-42B5-9F11-A7DC87FDA51E}" id="{761D6245-31BC-49C9-B48B-A3647B2A50AB}">
    <text>18-20, 20-22, 22-24 &amp; 24-26</text>
  </threadedComment>
  <threadedComment ref="F15" dT="2020-05-18T08:35:18.62" personId="{36CC948E-2682-42B5-9F11-A7DC87FDA51E}" id="{CBAA32CC-2322-467F-8474-4B135564D833}">
    <text>18-20, 20-22</text>
  </threadedComment>
  <threadedComment ref="F16" dT="2020-05-18T08:35:18.62" personId="{36CC948E-2682-42B5-9F11-A7DC87FDA51E}" id="{91587BEE-06A8-4026-BF47-17DED7EF8557}">
    <text>18-20, 20-22</text>
  </threadedComment>
  <threadedComment ref="F17" dT="2020-05-18T08:35:18.62" personId="{36CC948E-2682-42B5-9F11-A7DC87FDA51E}" id="{3FD98B2D-B41E-4499-AF65-98BAAA2C3B67}">
    <text>18-20, 20-22</text>
  </threadedComment>
  <threadedComment ref="F18" dT="2020-05-18T08:35:18.62" personId="{36CC948E-2682-42B5-9F11-A7DC87FDA51E}" id="{28787B36-5F07-4064-817D-7C3F60F574F7}">
    <text>18-20, 20-22</text>
  </threadedComment>
  <threadedComment ref="F19" dT="2020-05-18T08:35:18.62" personId="{36CC948E-2682-42B5-9F11-A7DC87FDA51E}" id="{3520F4C7-4667-4E4E-8666-8D732E2A58E4}">
    <text>18-20, 20-22</text>
  </threadedComment>
  <threadedComment ref="F21" dT="2020-05-18T08:35:18.62" personId="{36CC948E-2682-42B5-9F11-A7DC87FDA51E}" id="{4570C33F-135A-47C4-9198-13BCBA27A153}">
    <text>18-20, 20-22</text>
  </threadedComment>
  <threadedComment ref="F22" dT="2020-05-18T08:35:18.62" personId="{36CC948E-2682-42B5-9F11-A7DC87FDA51E}" id="{0E9B3846-1124-49F4-85C3-F26B15CDBC01}">
    <text>18-20, 20-22</text>
  </threadedComment>
  <threadedComment ref="F23" dT="2020-05-18T08:35:18.62" personId="{36CC948E-2682-42B5-9F11-A7DC87FDA51E}" id="{1BCD9933-4A08-490E-85BE-EE8FD3B5BE03}">
    <text>18-20, 20-22</text>
  </threadedComment>
  <threadedComment ref="F24" dT="2020-05-18T08:35:18.62" personId="{36CC948E-2682-42B5-9F11-A7DC87FDA51E}" id="{B1DB71FA-80DB-41C6-8222-726B1EAEC83D}">
    <text>18-20, 20-22</text>
  </threadedComment>
  <threadedComment ref="F25" dT="2020-06-16T09:40:21.56" personId="{36CC948E-2682-42B5-9F11-A7DC87FDA51E}" id="{A20D3A09-4F39-4FC3-A769-68A6FD8F3148}">
    <text>22-24,24-26</text>
  </threadedComment>
  <threadedComment ref="F26" dT="2020-05-18T08:35:18.62" personId="{36CC948E-2682-42B5-9F11-A7DC87FDA51E}" id="{F1B1B875-5FB1-4CD4-957F-7DE66E68D4ED}">
    <text>18-20, 20-22</text>
  </threadedComment>
  <threadedComment ref="F27" dT="2020-06-16T09:40:31.58" personId="{36CC948E-2682-42B5-9F11-A7DC87FDA51E}" id="{0DE74280-4F4C-4964-9B75-3D7C92F57492}">
    <text>22-24,24-26</text>
  </threadedComment>
  <threadedComment ref="F29" dT="2020-05-18T08:35:18.62" personId="{36CC948E-2682-42B5-9F11-A7DC87FDA51E}" id="{5EA7B12C-B2A7-4575-83A5-C89FC59CBA64}">
    <text>18-20, 20-22</text>
  </threadedComment>
  <threadedComment ref="F30" dT="2020-05-18T08:35:18.62" personId="{36CC948E-2682-42B5-9F11-A7DC87FDA51E}" id="{C3311083-CEEF-4EB5-B456-5EA8C816C23C}">
    <text>18-20, 20-22</text>
  </threadedComment>
  <threadedComment ref="F31" dT="2020-05-18T08:35:18.62" personId="{36CC948E-2682-42B5-9F11-A7DC87FDA51E}" id="{A52813B4-6869-46DF-B785-194F870A3C6A}">
    <text>18-20, 20-22</text>
  </threadedComment>
  <threadedComment ref="F32" dT="2020-05-18T08:35:18.62" personId="{36CC948E-2682-42B5-9F11-A7DC87FDA51E}" id="{472F6AF2-2CF5-4277-A096-9DBD0513A5D8}">
    <text>18-20, 20-22</text>
  </threadedComment>
  <threadedComment ref="F33" dT="2020-04-25T04:11:41.99" personId="{36CC948E-2682-42B5-9F11-A7DC87FDA51E}" id="{F89C84AB-28DE-47AF-BBDE-75A5EC44F4A1}">
    <text>26-28, 24-26, 22-24</text>
  </threadedComment>
  <threadedComment ref="F34" dT="2020-05-15T10:54:05.18" personId="{36CC948E-2682-42B5-9F11-A7DC87FDA51E}" id="{0F882229-5BC8-48DE-96C2-F210D849AF3E}">
    <text>18-20, 20-22, 22-24 &amp; 24-26</text>
  </threadedComment>
  <threadedComment ref="F35" dT="2020-06-16T08:50:39.26" personId="{36CC948E-2682-42B5-9F11-A7DC87FDA51E}" id="{5300933D-C9ED-4244-AD3D-65A19FD63B4C}">
    <text>18-20, 24-26</text>
  </threadedComment>
  <threadedComment ref="F41" dT="2020-06-20T04:46:58.83" personId="{36CC948E-2682-42B5-9F11-A7DC87FDA51E}" id="{2403975D-1EA6-4BA8-850B-BA0D3C90E151}">
    <text>&gt;28,22-24,20-22,18-20</text>
  </threadedComment>
  <threadedComment ref="F43" dT="2020-06-16T14:05:10.39" personId="{36CC948E-2682-42B5-9F11-A7DC87FDA51E}" id="{3E91D871-7A30-4BDC-B70C-FCF34436DB86}">
    <text>&lt;18</text>
  </threadedComment>
  <threadedComment ref="F44" dT="2020-06-20T04:46:58.83" personId="{36CC948E-2682-42B5-9F11-A7DC87FDA51E}" id="{E8267BC0-CE58-4A4B-9D38-AB6BF1B76FC6}">
    <text>&gt;28,22-24,20-22,18-20</text>
  </threadedComment>
  <threadedComment ref="F46" dT="2020-06-16T14:05:10.39" personId="{36CC948E-2682-42B5-9F11-A7DC87FDA51E}" id="{B5F7621C-2393-44EC-AFA3-D86545192A46}">
    <text>&lt;18</text>
  </threadedComment>
  <threadedComment ref="F47" dT="2020-06-20T04:46:58.83" personId="{36CC948E-2682-42B5-9F11-A7DC87FDA51E}" id="{07AC4B17-1313-462C-8DBC-471902EDF20B}">
    <text>&gt;28,22-24,20-22,18-20</text>
  </threadedComment>
  <threadedComment ref="F49" dT="2020-06-16T14:05:10.39" personId="{36CC948E-2682-42B5-9F11-A7DC87FDA51E}" id="{B7E75D2D-C1BE-45B4-9510-7ABBA66F5A71}">
    <text>&lt;18</text>
  </threadedComment>
  <threadedComment ref="F50" dT="2020-06-20T04:46:58.83" personId="{36CC948E-2682-42B5-9F11-A7DC87FDA51E}" id="{0F764F84-E15E-43FA-9BB3-270E1F50A67B}">
    <text>&gt;28,22-24,20-22,18-20</text>
  </threadedComment>
  <threadedComment ref="F52" dT="2020-06-16T14:05:10.39" personId="{36CC948E-2682-42B5-9F11-A7DC87FDA51E}" id="{8412120D-1F56-41A3-9DDB-6CE74C55654D}">
    <text>&lt;18</text>
  </threadedComment>
  <threadedComment ref="F53" dT="2020-06-20T04:46:58.83" personId="{36CC948E-2682-42B5-9F11-A7DC87FDA51E}" id="{E5A1288D-4C58-4E61-8168-7BEC8A9A27F1}">
    <text>&gt;28,22-24,20-22,18-20</text>
  </threadedComment>
  <threadedComment ref="F55" dT="2020-06-16T14:05:10.39" personId="{36CC948E-2682-42B5-9F11-A7DC87FDA51E}" id="{B18EA1A8-D5BD-42BF-AC9A-84B2A6205E1B}">
    <text>&lt;18</text>
  </threadedComment>
  <threadedComment ref="F56" dT="2020-06-20T04:46:58.83" personId="{36CC948E-2682-42B5-9F11-A7DC87FDA51E}" id="{37F59E0F-B029-46D5-AE00-38EDD5A7A0C9}">
    <text>&gt;28,22-24,20-22,18-20</text>
  </threadedComment>
  <threadedComment ref="F57" dT="2020-07-07T10:42:32.89" personId="{36CC948E-2682-42B5-9F11-A7DC87FDA51E}" id="{A691CCC5-4AA2-4F76-8BBC-EDDC1824C43B}">
    <text>26-28,24-26,22-24,20-22,18-20</text>
  </threadedComment>
  <threadedComment ref="F58" dT="2020-06-16T14:05:10.39" personId="{36CC948E-2682-42B5-9F11-A7DC87FDA51E}" id="{733733F3-E985-480F-A0F5-76D4AF58CD31}">
    <text>&lt;18</text>
  </threadedComment>
  <threadedComment ref="F59" dT="2020-06-20T04:46:58.83" personId="{36CC948E-2682-42B5-9F11-A7DC87FDA51E}" id="{4289B55A-B1E2-4A47-B6EE-F5F8F980B48A}">
    <text>&gt;28,22-24,20-22,18-20</text>
  </threadedComment>
  <threadedComment ref="F60" dT="2020-06-20T04:46:58.83" personId="{36CC948E-2682-42B5-9F11-A7DC87FDA51E}" id="{7B0377FC-779F-4830-8958-C89517E72E62}">
    <text>&gt;28,22-24,20-22,18-20</text>
  </threadedComment>
  <threadedComment ref="F61" dT="2020-07-07T10:42:32.89" personId="{36CC948E-2682-42B5-9F11-A7DC87FDA51E}" id="{FDAFA954-721C-4D1D-AD59-69CFA61EE364}">
    <text>26-28,24-26,22-24,20-22,18-20</text>
  </threadedComment>
  <threadedComment ref="F62" dT="2020-06-20T04:46:58.83" personId="{36CC948E-2682-42B5-9F11-A7DC87FDA51E}" id="{BE495F36-8C06-4A39-B124-590D9BD97436}">
    <text>&gt;28,22-24,20-22,18-20</text>
  </threadedComment>
  <threadedComment ref="F63" dT="2020-07-07T10:42:32.89" personId="{36CC948E-2682-42B5-9F11-A7DC87FDA51E}" id="{FFBF6169-AF21-4910-8E6F-8B921B52D67D}">
    <text>26-28,24-26,22-24,20-22,18-20</text>
  </threadedComment>
  <threadedComment ref="F64" dT="2020-06-20T04:46:58.83" personId="{36CC948E-2682-42B5-9F11-A7DC87FDA51E}" id="{A150F1EF-B8A4-42A3-B254-8510CF41DC9E}">
    <text>&gt;28,22-24,20-22,18-20</text>
  </threadedComment>
  <threadedComment ref="F65" dT="2020-07-07T10:42:32.89" personId="{36CC948E-2682-42B5-9F11-A7DC87FDA51E}" id="{3758946D-E39E-4D2A-A4D6-72A54291786A}">
    <text>26-28,24-26,22-24,20-22,18-20</text>
  </threadedComment>
  <threadedComment ref="F66" dT="2020-06-20T04:46:58.83" personId="{36CC948E-2682-42B5-9F11-A7DC87FDA51E}" id="{7F24713D-6E69-4805-ACFE-CD1117C35614}">
    <text>&gt;28,22-24,20-22,18-20</text>
  </threadedComment>
  <threadedComment ref="F67" dT="2020-07-07T10:42:32.89" personId="{36CC948E-2682-42B5-9F11-A7DC87FDA51E}" id="{9B35A356-891B-4D39-91A4-0606B29DD66D}">
    <text>26-28,24-26,22-24,20-22,18-20</text>
  </threadedComment>
  <threadedComment ref="F68" dT="2020-06-20T04:46:58.83" personId="{36CC948E-2682-42B5-9F11-A7DC87FDA51E}" id="{53FACF17-3888-49BD-B40C-55B1C65F6ECA}">
    <text>&gt;28,22-24,20-22,18-20</text>
  </threadedComment>
  <threadedComment ref="F69" dT="2020-07-07T10:42:32.89" personId="{36CC948E-2682-42B5-9F11-A7DC87FDA51E}" id="{DA15BD8D-DB04-41E6-A09B-A0BA5B0EF7AD}">
    <text>26-28,24-26,22-24,20-22,18-20</text>
  </threadedComment>
  <threadedComment ref="F70" dT="2020-06-20T04:46:58.83" personId="{36CC948E-2682-42B5-9F11-A7DC87FDA51E}" id="{E9CDB8BF-8EB6-4018-8D13-4CBBAE1EC8D9}">
    <text>&gt;28,22-24,20-22,18-20</text>
  </threadedComment>
  <threadedComment ref="F71" dT="2020-07-07T10:42:32.89" personId="{36CC948E-2682-42B5-9F11-A7DC87FDA51E}" id="{CA25CCC1-E7C9-42C9-AFBF-5979837FFC15}">
    <text>26-28,24-26,22-24,20-22,18-20</text>
  </threadedComment>
  <threadedComment ref="F72" dT="2020-06-20T04:46:58.83" personId="{36CC948E-2682-42B5-9F11-A7DC87FDA51E}" id="{9C7A7FBC-C329-407D-B349-23EB973636B1}">
    <text>&gt;28,22-24,20-22,18-20</text>
  </threadedComment>
  <threadedComment ref="F73" dT="2020-07-07T10:42:32.89" personId="{36CC948E-2682-42B5-9F11-A7DC87FDA51E}" id="{EC0404A0-155C-4552-916A-7128CF2ABAF3}">
    <text>26-28,24-26,22-24,20-22,18-20</text>
  </threadedComment>
  <threadedComment ref="F74" dT="2020-06-20T04:46:58.83" personId="{36CC948E-2682-42B5-9F11-A7DC87FDA51E}" id="{44B4E1CC-B449-4438-9ECD-F7AB4C82FCA8}">
    <text>&gt;28,22-24,20-22,18-20</text>
  </threadedComment>
  <threadedComment ref="F75" dT="2020-07-07T10:43:57.82" personId="{36CC948E-2682-42B5-9F11-A7DC87FDA51E}" id="{8B1C934F-EF91-4010-B267-4259F174A3BD}">
    <text>24-26,22-24,20-22,18-20</text>
  </threadedComment>
  <threadedComment ref="F76" dT="2020-06-20T04:46:58.83" personId="{36CC948E-2682-42B5-9F11-A7DC87FDA51E}" id="{9BA7A5E5-7BF7-40DC-94BD-7CB46F874D31}">
    <text>&gt;28,22-24,20-22,18-20</text>
  </threadedComment>
  <threadedComment ref="F77" dT="2020-07-07T10:43:57.82" personId="{36CC948E-2682-42B5-9F11-A7DC87FDA51E}" id="{9DA8AD63-6F1A-4F2A-984A-CBDF5216A659}">
    <text>24-26,22-24,20-22,18-20</text>
  </threadedComment>
  <threadedComment ref="F78" dT="2020-06-20T04:46:58.83" personId="{36CC948E-2682-42B5-9F11-A7DC87FDA51E}" id="{D8197302-A12D-4F08-948D-534F27FA382C}">
    <text>&gt;28,22-24,20-22,18-20</text>
  </threadedComment>
  <threadedComment ref="F79" dT="2020-07-07T10:43:57.82" personId="{36CC948E-2682-42B5-9F11-A7DC87FDA51E}" id="{36B028EF-9759-4007-92C7-03BD0B02711F}">
    <text>24-26,22-24,20-22,18-20</text>
  </threadedComment>
  <threadedComment ref="F80" dT="2020-06-20T04:46:58.83" personId="{36CC948E-2682-42B5-9F11-A7DC87FDA51E}" id="{C4D19313-76EB-479C-96A8-C697396C5968}">
    <text>&gt;28,22-24,20-22,18-20</text>
  </threadedComment>
  <threadedComment ref="F81" dT="2020-07-07T10:43:57.82" personId="{36CC948E-2682-42B5-9F11-A7DC87FDA51E}" id="{4E7CCFCF-0101-41B8-B548-ED375E8041B9}">
    <text>24-26,22-24,20-22,18-20</text>
  </threadedComment>
  <threadedComment ref="F82" dT="2020-06-20T04:46:58.83" personId="{36CC948E-2682-42B5-9F11-A7DC87FDA51E}" id="{37A93F4F-8B5A-47FA-929F-72EDB33F7A2F}">
    <text>&gt;28,22-24,20-22,18-20</text>
  </threadedComment>
  <threadedComment ref="F83" dT="2020-07-07T10:43:57.82" personId="{36CC948E-2682-42B5-9F11-A7DC87FDA51E}" id="{4A2A3307-23E0-4710-82FA-F857170FAF17}">
    <text>24-26,22-24,20-22,18-20</text>
  </threadedComment>
  <threadedComment ref="F84" dT="2020-06-20T04:46:58.83" personId="{36CC948E-2682-42B5-9F11-A7DC87FDA51E}" id="{6B557B44-28EA-4E6E-8843-D5384C934E92}">
    <text>&gt;28,22-24,20-22,18-20</text>
  </threadedComment>
  <threadedComment ref="F85" dT="2020-06-20T04:46:58.83" personId="{36CC948E-2682-42B5-9F11-A7DC87FDA51E}" id="{6FA9C04C-C547-4B6B-A50C-8920E995B668}">
    <text>&gt;28,22-24,20-22,18-20</text>
  </threadedComment>
  <threadedComment ref="F86" dT="2020-07-07T10:43:57.82" personId="{36CC948E-2682-42B5-9F11-A7DC87FDA51E}" id="{78400B25-1DA5-4EE3-920D-F0C843620BCE}">
    <text>24-26,22-24,20-22,18-20</text>
  </threadedComment>
  <threadedComment ref="F87" dT="2020-06-20T04:46:58.83" personId="{36CC948E-2682-42B5-9F11-A7DC87FDA51E}" id="{4B4BA2E3-D6A6-4668-997B-29DA35375EFA}">
    <text>&gt;28,22-24,20-22,18-20</text>
  </threadedComment>
  <threadedComment ref="F88" dT="2020-07-07T10:43:57.82" personId="{36CC948E-2682-42B5-9F11-A7DC87FDA51E}" id="{3F243A2B-C9E1-49AC-9DEA-FA1373A54501}">
    <text>24-26,22-24,20-22,18-20</text>
  </threadedComment>
  <threadedComment ref="F89" dT="2020-07-07T10:43:57.82" personId="{36CC948E-2682-42B5-9F11-A7DC87FDA51E}" id="{4CE5527B-8B92-4C1A-8FF2-1CFD8AC19857}">
    <text>24-26,22-24,20-22,18-20</text>
  </threadedComment>
  <threadedComment ref="F90" dT="2020-07-13T10:23:26.51" personId="{36CC948E-2682-42B5-9F11-A7DC87FDA51E}" id="{B853610C-7BE2-406C-8D9B-7A3338717380}">
    <text>20-22,22-24</text>
  </threadedComment>
  <threadedComment ref="F91" dT="2020-07-13T10:23:47.41" personId="{36CC948E-2682-42B5-9F11-A7DC87FDA51E}" id="{2B5CCB9C-CB7F-4E01-ACFF-51E287578E1D}">
    <text>26-28,&gt;28</text>
  </threadedComment>
  <threadedComment ref="F92" dT="2020-07-07T10:43:57.82" personId="{36CC948E-2682-42B5-9F11-A7DC87FDA51E}" id="{B98A6EBF-1AD7-428D-BD08-E9F1C4F70099}">
    <text>24-26,22-24,20-22,18-20</text>
  </threadedComment>
  <threadedComment ref="F93" dT="2020-06-20T04:46:58.83" personId="{36CC948E-2682-42B5-9F11-A7DC87FDA51E}" id="{26F308D3-4F49-4242-B46D-9D9901732735}">
    <text>22-24,20-22,18-20</text>
  </threadedComment>
  <threadedComment ref="F94" dT="2020-07-18T07:07:43.37" personId="{36CC948E-2682-42B5-9F11-A7DC87FDA51E}" id="{CC8C48E5-0E68-43EC-B24D-DA53F856C3CA}">
    <text>26-28</text>
  </threadedComment>
  <threadedComment ref="F95" dT="2020-07-17T09:54:47.27" personId="{36CC948E-2682-42B5-9F11-A7DC87FDA51E}" id="{36EFEECD-0F85-42BC-A2C1-3C0AF926FA61}">
    <text>22-24,20-22,18-20</text>
  </threadedComment>
  <threadedComment ref="F96" dT="2020-06-20T04:46:58.83" personId="{36CC948E-2682-42B5-9F11-A7DC87FDA51E}" id="{A0428557-398C-4538-B67C-A5817801E59B}">
    <text>22-24,20-22,18-20</text>
  </threadedComment>
  <threadedComment ref="F97" dT="2020-07-28T09:51:26.65" personId="{36CC948E-2682-42B5-9F11-A7DC87FDA51E}" id="{FAC83089-5568-47F4-A3F6-EC7BFAAFE04F}">
    <text>26-28,&gt;28</text>
  </threadedComment>
  <threadedComment ref="F98" dT="2020-07-17T09:54:47.27" personId="{36CC948E-2682-42B5-9F11-A7DC87FDA51E}" id="{21531DE7-C561-4968-823B-575109A517AC}">
    <text>22-24,20-22,18-20</text>
  </threadedComment>
  <threadedComment ref="F99" dT="2020-07-17T09:55:07.54" personId="{36CC948E-2682-42B5-9F11-A7DC87FDA51E}" id="{68564D9C-9BEE-4C6A-8111-30D01B39FE04}">
    <text>24-26</text>
  </threadedComment>
  <threadedComment ref="F100" dT="2020-07-18T07:17:00.79" personId="{36CC948E-2682-42B5-9F11-A7DC87FDA51E}" id="{91EA468A-0DC8-4733-BBB0-F715E52AF267}">
    <text>20-22,18-20</text>
  </threadedComment>
  <threadedComment ref="F101" dT="2020-07-18T07:17:15.66" personId="{36CC948E-2682-42B5-9F11-A7DC87FDA51E}" id="{C77E5D2D-B382-4122-A4F3-F66C5363B1A9}">
    <text>22-24,&gt;28</text>
  </threadedComment>
  <threadedComment ref="F102" dT="2020-07-18T09:14:00.04" personId="{36CC948E-2682-42B5-9F11-A7DC87FDA51E}" id="{307031B7-8535-4B7C-9086-D459F359C269}">
    <text>22-24,20-22,18-20</text>
  </threadedComment>
  <threadedComment ref="F103" dT="2020-07-18T09:14:23.63" personId="{36CC948E-2682-42B5-9F11-A7DC87FDA51E}" id="{28F77F14-77DF-4625-AB9B-2F3B5303156E}">
    <text>24-26,22-24,20-22,18-20</text>
  </threadedComment>
  <threadedComment ref="F104" dT="2020-07-28T08:11:11.97" personId="{36CC948E-2682-42B5-9F11-A7DC87FDA51E}" id="{59FE750F-C1DF-433D-A32C-E03996A9D252}">
    <text>20-22,22-24,&gt;28</text>
  </threadedComment>
  <threadedComment ref="F105" dT="2020-07-28T08:09:13.05" personId="{36CC948E-2682-42B5-9F11-A7DC87FDA51E}" id="{70C5F2ED-4D27-43D0-A062-5F8B68D4610F}">
    <text>26-28, &gt;28</text>
  </threadedComment>
  <threadedComment ref="F106" dT="2020-07-28T08:17:46.44" personId="{36CC948E-2682-42B5-9F11-A7DC87FDA51E}" id="{F6AD656D-BB0D-4C4C-B00A-8C6D3112CB05}">
    <text>18-20,20-22</text>
  </threadedComment>
  <threadedComment ref="F107" dT="2020-07-28T09:32:29.51" personId="{36CC948E-2682-42B5-9F11-A7DC87FDA51E}" id="{C175E724-A856-4DA1-8045-3584F9B4C4C2}">
    <text>18-20,20-22,22-24,24-26</text>
  </threadedComment>
  <threadedComment ref="F108" dT="2020-07-28T09:32:29.51" personId="{36CC948E-2682-42B5-9F11-A7DC87FDA51E}" id="{6DE75DDA-3163-42AC-8542-AF6681D2F15D}">
    <text>18-20,20-22,22-24,24-26</text>
  </threadedComment>
  <threadedComment ref="F109" dT="2020-07-28T09:36:10.44" personId="{36CC948E-2682-42B5-9F11-A7DC87FDA51E}" id="{1DE91110-C139-47E5-B69B-B0C41596EA76}">
    <text>24-26</text>
  </threadedComment>
  <threadedComment ref="F110" dT="2020-07-28T09:39:25.31" personId="{36CC948E-2682-42B5-9F11-A7DC87FDA51E}" id="{4B0948F6-C8C8-4473-97EA-C344CA251BF7}">
    <text>18-20,20-22</text>
  </threadedComment>
  <threadedComment ref="F111" dT="2020-07-28T09:42:59.22" personId="{36CC948E-2682-42B5-9F11-A7DC87FDA51E}" id="{771A6F43-C3CF-4DD5-AABF-C9410D72CFAA}">
    <text>18-20, 20-22,22-24</text>
  </threadedComment>
  <threadedComment ref="F112" dT="2020-07-28T09:36:10.44" personId="{36CC948E-2682-42B5-9F11-A7DC87FDA51E}" id="{525389A4-3F7C-4303-978E-83C89607A8CD}">
    <text>24-26</text>
  </threadedComment>
  <threadedComment ref="F113" dT="2020-07-28T09:42:59.22" personId="{36CC948E-2682-42B5-9F11-A7DC87FDA51E}" id="{E0B6C3F7-8199-47CE-97D0-71AB76E0DC97}">
    <text>18-20, 20-22,22-24</text>
  </threadedComment>
  <threadedComment ref="F114" dT="2020-07-28T09:36:10.44" personId="{36CC948E-2682-42B5-9F11-A7DC87FDA51E}" id="{FA919E2B-A227-4296-983F-9435ABE01597}">
    <text>24-26</text>
  </threadedComment>
  <threadedComment ref="F115" dT="2020-07-30T11:35:20.71" personId="{36CC948E-2682-42B5-9F11-A7DC87FDA51E}" id="{8C1F41B4-1AA1-4B8B-A249-FE50E0552E88}">
    <text>18-20,20-22</text>
  </threadedComment>
  <threadedComment ref="F116" dT="2020-07-28T09:32:29.51" personId="{36CC948E-2682-42B5-9F11-A7DC87FDA51E}" id="{BC9227CE-C280-4FF9-B6E7-196CAC85BC6B}">
    <text>18-20,20-22,22-24,24-26</text>
  </threadedComment>
  <threadedComment ref="F117" dT="2020-07-30T11:42:30.17" personId="{36CC948E-2682-42B5-9F11-A7DC87FDA51E}" id="{0A5B0DCE-3BFC-43E1-A2F1-89D8F157BBA2}">
    <text>18-20,20-22,22-24</text>
  </threadedComment>
  <threadedComment ref="F118" dT="2020-07-30T11:42:30.17" personId="{36CC948E-2682-42B5-9F11-A7DC87FDA51E}" id="{FFA08053-1295-41D4-AC9D-C727F7AF802D}">
    <text>18-20,20-22,22-24</text>
  </threadedComment>
  <threadedComment ref="F119" dT="2020-07-30T11:42:30.17" personId="{36CC948E-2682-42B5-9F11-A7DC87FDA51E}" id="{5FCD70C1-E812-4313-B558-BC4123640B3A}">
    <text>18-20,20-22,22-24</text>
  </threadedComment>
  <threadedComment ref="F120" dT="2020-07-31T06:40:45.00" personId="{36CC948E-2682-42B5-9F11-A7DC87FDA51E}" id="{05122D3F-9DCC-4870-B8B1-1D125C2B063E}">
    <text>22-24</text>
  </threadedComment>
  <threadedComment ref="F121" dT="2020-08-03T10:00:14.59" personId="{36CC948E-2682-42B5-9F11-A7DC87FDA51E}" id="{F3DE6F66-39A9-4A63-9B40-5ACBF84B0CD8}">
    <text>18-20,20-22</text>
  </threadedComment>
  <threadedComment ref="F122" dT="2020-08-03T10:00:42.57" personId="{36CC948E-2682-42B5-9F11-A7DC87FDA51E}" id="{2CE9DF7F-BF39-4089-B907-2D137231A3C7}">
    <text>22-24</text>
  </threadedComment>
  <threadedComment ref="F123" dT="2020-08-03T10:49:28.97" personId="{36CC948E-2682-42B5-9F11-A7DC87FDA51E}" id="{3ABFDD74-C6F4-47A5-8795-65E9C5C17336}">
    <text>18-20,20-22,24-26</text>
  </threadedComment>
  <threadedComment ref="F124" dT="2020-08-03T10:49:47.24" personId="{36CC948E-2682-42B5-9F11-A7DC87FDA51E}" id="{AEB6E36E-52FE-431C-A9A2-61D66D44A7CB}">
    <text>22-24,24-26</text>
  </threadedComment>
  <threadedComment ref="F125" dT="2020-08-03T10:57:53.79" personId="{36CC948E-2682-42B5-9F11-A7DC87FDA51E}" id="{7F02AFE1-B02D-4E5F-B0BF-FEB32A63B2FF}">
    <text>20-22</text>
  </threadedComment>
  <threadedComment ref="F126" dT="2020-08-03T10:58:09.61" personId="{36CC948E-2682-42B5-9F11-A7DC87FDA51E}" id="{A10B1FE3-84DD-4D56-99F5-A3BD5C1D362E}">
    <text>18-20,22-24,24-26</text>
  </threadedComment>
  <threadedComment ref="F127" dT="2020-08-03T11:03:19.32" personId="{36CC948E-2682-42B5-9F11-A7DC87FDA51E}" id="{BFA4BC3D-EB58-4021-B8C5-38E7E7420AE4}">
    <text>18-20,20-22,22-24,24-26</text>
  </threadedComment>
  <threadedComment ref="F128" dT="2020-08-06T04:26:34.34" personId="{36CC948E-2682-42B5-9F11-A7DC87FDA51E}" id="{30203108-A77F-4296-9C58-B73E26FBA49D}">
    <text>18-20,20-22,22-24</text>
  </threadedComment>
  <threadedComment ref="F129" dT="2020-08-06T04:26:34.34" personId="{36CC948E-2682-42B5-9F11-A7DC87FDA51E}" id="{31B1D8E5-3A53-4D66-BD4D-F775A54E83B2}">
    <text>18-20,20-22,22-24</text>
  </threadedComment>
  <threadedComment ref="F130" dT="2020-08-06T04:26:34.34" personId="{36CC948E-2682-42B5-9F11-A7DC87FDA51E}" id="{A3DC5775-4869-4C88-B706-C8CD2018DE69}">
    <text>18-20,20-22,22-24</text>
  </threadedComment>
  <threadedComment ref="F131" dT="2020-08-06T04:26:34.34" personId="{36CC948E-2682-42B5-9F11-A7DC87FDA51E}" id="{B0D4F08E-31DD-47C8-BDC7-BCD8213E1740}">
    <text>18-20,20-22,22-24</text>
  </threadedComment>
  <threadedComment ref="F132" dT="2020-08-12T04:16:58.17" personId="{36CC948E-2682-42B5-9F11-A7DC87FDA51E}" id="{66B862E3-DC93-4B0C-AD88-63732D9559B2}">
    <text>18-20,20-22,22-24,24-26</text>
  </threadedComment>
  <threadedComment ref="F133" dT="2020-08-12T04:16:58.17" personId="{36CC948E-2682-42B5-9F11-A7DC87FDA51E}" id="{B6ADCF63-F7C8-4132-B657-B0644C5B593A}">
    <text>18-20,20-22,22-24,24-26</text>
  </threadedComment>
  <threadedComment ref="F134" dT="2020-08-06T04:26:34.34" personId="{36CC948E-2682-42B5-9F11-A7DC87FDA51E}" id="{5C15FAFA-2EE3-4D42-A1AC-C638928F1AB2}">
    <text>18-20,20-22,22-24</text>
  </threadedComment>
  <threadedComment ref="F135" dT="2020-08-06T04:26:34.34" personId="{36CC948E-2682-42B5-9F11-A7DC87FDA51E}" id="{D9F7DDD9-3CF9-4778-BE68-DCF374779334}">
    <text>18-20,20-22,22-24</text>
  </threadedComment>
  <threadedComment ref="F136" dT="2020-08-19T05:43:08.98" personId="{36CC948E-2682-42B5-9F11-A7DC87FDA51E}" id="{96E786C9-591F-4837-B2D0-EB7E2F7D2BD4}">
    <text>18-20,22-24</text>
  </threadedComment>
  <threadedComment ref="F137" dT="2020-08-06T04:26:34.34" personId="{36CC948E-2682-42B5-9F11-A7DC87FDA51E}" id="{DA19F77E-495F-4470-819B-D3FEE42CC7C4}">
    <text>18-20,20-22,22-24</text>
  </threadedComment>
  <threadedComment ref="F138" dT="2020-08-19T05:52:19.23" personId="{36CC948E-2682-42B5-9F11-A7DC87FDA51E}" id="{EC6F13A3-8B40-4B7F-8F36-EB295EAE0E49}">
    <text>18-20,20-22,22-24,24-26</text>
  </threadedComment>
  <threadedComment ref="F139" dT="2020-08-19T05:52:31.93" personId="{36CC948E-2682-42B5-9F11-A7DC87FDA51E}" id="{EBDE4258-93F4-4634-86A5-1D012ADEBAA5}">
    <text>18-20,20-22,22-24</text>
  </threadedComment>
  <threadedComment ref="F140" dT="2020-08-19T05:52:31.93" personId="{36CC948E-2682-42B5-9F11-A7DC87FDA51E}" id="{F552AC5B-B2EB-4608-B3CD-734B8CAAB11F}">
    <text>18-20,20-22,22-24</text>
  </threadedComment>
  <threadedComment ref="F141" dT="2020-08-19T05:52:31.93" personId="{36CC948E-2682-42B5-9F11-A7DC87FDA51E}" id="{FDBA960A-483C-418B-9D01-C5595984CFF4}">
    <text>18-20,20-22,22-24</text>
  </threadedComment>
  <threadedComment ref="F142" dT="2020-08-26T05:00:01.63" personId="{36CC948E-2682-42B5-9F11-A7DC87FDA51E}" id="{FE6B9047-88D8-4115-A215-E14C5925E9B6}">
    <text>18-20, 20-22,22-24,24-26</text>
  </threadedComment>
  <threadedComment ref="F143" dT="2020-08-26T05:05:16.01" personId="{36CC948E-2682-42B5-9F11-A7DC87FDA51E}" id="{56E2603E-8509-4626-9786-951C27665C1A}">
    <text>22-24,24-26</text>
  </threadedComment>
  <threadedComment ref="F144" dT="2020-08-26T05:00:28.02" personId="{36CC948E-2682-42B5-9F11-A7DC87FDA51E}" id="{881D8DD5-9ADB-4F20-9C33-5132E4502122}">
    <text>18-20,20-22,22-24,24-26</text>
  </threadedComment>
  <threadedComment ref="F145" dT="2020-08-19T05:52:31.93" personId="{36CC948E-2682-42B5-9F11-A7DC87FDA51E}" id="{894BD435-7AAE-48F1-A614-3D6F3BB0467F}">
    <text>18-20,20-22,22-24,24-26</text>
  </threadedComment>
  <threadedComment ref="F146" dT="2020-08-31T10:28:08.77" personId="{36CC948E-2682-42B5-9F11-A7DC87FDA51E}" id="{416F89D3-406C-41A7-B7D0-3A79281DF10C}">
    <text>22-24</text>
  </threadedComment>
  <threadedComment ref="F147" dT="2020-08-19T05:52:31.93" personId="{36CC948E-2682-42B5-9F11-A7DC87FDA51E}" id="{4E0A72D2-7CE2-4E63-9851-6C5CE8ECFC3D}">
    <text>18-20,20-22,22-24</text>
  </threadedComment>
  <threadedComment ref="F148" dT="2020-08-19T05:52:31.93" personId="{36CC948E-2682-42B5-9F11-A7DC87FDA51E}" id="{E36DD511-4A28-4480-A518-077192A52178}">
    <text>18-20,20-22,22-24</text>
  </threadedComment>
  <threadedComment ref="F149" dT="2020-08-29T06:36:46.67" personId="{36CC948E-2682-42B5-9F11-A7DC87FDA51E}" id="{8165B71E-87E3-4003-805B-82D00525C337}">
    <text>20-22,22-24</text>
  </threadedComment>
  <threadedComment ref="F150" dT="2020-08-29T06:37:34.34" personId="{36CC948E-2682-42B5-9F11-A7DC87FDA51E}" id="{47F4B8BA-11C4-4291-975F-5D1E8EE6C4ED}">
    <text>18-20</text>
  </threadedComment>
  <threadedComment ref="F151" dT="2020-08-29T06:36:46.67" personId="{36CC948E-2682-42B5-9F11-A7DC87FDA51E}" id="{4946BD59-6250-469D-8C52-03DB58D65073}">
    <text>20-22,22-24</text>
  </threadedComment>
  <threadedComment ref="F152" dT="2020-08-29T06:37:34.34" personId="{36CC948E-2682-42B5-9F11-A7DC87FDA51E}" id="{4754CBCA-6864-4415-AD36-617439691F11}">
    <text>18-20</text>
  </threadedComment>
  <threadedComment ref="F153" dT="2020-08-19T05:52:31.93" personId="{36CC948E-2682-42B5-9F11-A7DC87FDA51E}" id="{CBA5A1D6-0864-412C-8200-D53A46125D6A}">
    <text>18-20,20-22,22-24</text>
  </threadedComment>
  <threadedComment ref="F154" dT="2020-08-19T05:52:31.93" personId="{36CC948E-2682-42B5-9F11-A7DC87FDA51E}" id="{792EEF4F-D83E-4F43-AF42-34E1539427CA}">
    <text>18-20,20-22,22-24</text>
  </threadedComment>
  <threadedComment ref="F155" dT="2020-09-08T06:13:54.43" personId="{36CC948E-2682-42B5-9F11-A7DC87FDA51E}" id="{B4768C92-EC73-4DEE-B788-A6FF49198913}">
    <text>18-20,20-22,22-24,28+</text>
  </threadedComment>
  <threadedComment ref="F156" dT="2020-08-19T05:52:31.93" personId="{36CC948E-2682-42B5-9F11-A7DC87FDA51E}" id="{CBA10D9E-91D8-4FD4-95D7-D45042225229}">
    <text>18-20,20-22,22-24</text>
  </threadedComment>
  <threadedComment ref="F157" dT="2020-09-08T06:13:54.43" personId="{36CC948E-2682-42B5-9F11-A7DC87FDA51E}" id="{C88DA5D2-D131-44A6-AD15-04BF6B4DA698}">
    <text>18-20,20-22,22-24,28+</text>
  </threadedComment>
  <threadedComment ref="F158" dT="2020-08-19T05:52:31.93" personId="{36CC948E-2682-42B5-9F11-A7DC87FDA51E}" id="{0A4AE087-5D5D-4AC7-9FE2-1A8AC33FA87B}">
    <text>18-20,20-22,22-24</text>
  </threadedComment>
  <threadedComment ref="F159" dT="2020-09-08T06:13:54.43" personId="{36CC948E-2682-42B5-9F11-A7DC87FDA51E}" id="{0024FF4E-D18C-4EF7-BB24-F64DDE86CCFD}">
    <text>18-20,20-22,22-24,28+</text>
  </threadedComment>
  <threadedComment ref="F160" dT="2020-08-19T05:52:31.93" personId="{36CC948E-2682-42B5-9F11-A7DC87FDA51E}" id="{45E86EC1-AA42-4FD6-A5A1-4F7955A5570F}">
    <text>18-20,20-22,22-24</text>
  </threadedComment>
  <threadedComment ref="F161" dT="2020-09-08T06:13:54.43" personId="{36CC948E-2682-42B5-9F11-A7DC87FDA51E}" id="{BF936AA6-E22E-4F00-AFB9-1DD19D0E44CC}">
    <text>18-20,20-22,22-24,28+</text>
  </threadedComment>
  <threadedComment ref="F162" dT="2020-09-22T07:16:21.04" personId="{36CC948E-2682-42B5-9F11-A7DC87FDA51E}" id="{78F7416A-B7DA-4FBE-809B-CD14141E3380}">
    <text>18-20,20-22,22-24,24-26</text>
  </threadedComment>
  <threadedComment ref="F163" dT="2020-09-22T07:16:21.04" personId="{36CC948E-2682-42B5-9F11-A7DC87FDA51E}" id="{ADDD3EEB-6843-4516-ADBC-E4257F5E7E8E}">
    <text>18-20,20-22,22-24,24-26</text>
  </threadedComment>
  <threadedComment ref="F164" dT="2020-09-08T06:13:54.43" personId="{36CC948E-2682-42B5-9F11-A7DC87FDA51E}" id="{36EC45CE-EF3D-438A-BF0B-6EE7D0DA7308}">
    <text>18-20,20-22,22-24,28+</text>
  </threadedComment>
  <threadedComment ref="F165" dT="2020-09-22T07:16:21.04" personId="{36CC948E-2682-42B5-9F11-A7DC87FDA51E}" id="{12452C50-1D61-4130-A3C5-DA0FECE76C4A}">
    <text>18-20,20-22,22-24,24-26</text>
  </threadedComment>
  <threadedComment ref="F166" dT="2020-09-22T07:16:21.04" personId="{36CC948E-2682-42B5-9F11-A7DC87FDA51E}" id="{AA40544A-79E7-487E-A730-7FFA37E49D31}">
    <text>18-20,20-22,22-24,24-26</text>
  </threadedComment>
  <threadedComment ref="F167" dT="2020-09-08T06:13:54.43" personId="{36CC948E-2682-42B5-9F11-A7DC87FDA51E}" id="{B3EB7DF5-65E2-4930-A9B1-D96E5C189376}">
    <text>18-20,20-22,22-24,28+</text>
  </threadedComment>
  <threadedComment ref="F168" dT="2020-09-22T07:16:21.04" personId="{36CC948E-2682-42B5-9F11-A7DC87FDA51E}" id="{7D8C2D16-A848-4CBF-9DEC-8AB417460B3F}">
    <text>18-20,20-22,22-24,24-26</text>
  </threadedComment>
  <threadedComment ref="F169" dT="2020-09-08T06:13:54.43" personId="{36CC948E-2682-42B5-9F11-A7DC87FDA51E}" id="{46B4EAE3-DF32-4497-8D07-600BAAA95D01}">
    <text>18-20,20-22,22-24,28+</text>
  </threadedComment>
  <threadedComment ref="F170" dT="2020-09-22T08:27:54.53" personId="{36CC948E-2682-42B5-9F11-A7DC87FDA51E}" id="{677A5DE4-C417-4C99-9B66-91980A4FCD67}">
    <text>18-20,20-22,22-24</text>
  </threadedComment>
  <threadedComment ref="F171" dT="2020-09-22T08:27:54.53" personId="{36CC948E-2682-42B5-9F11-A7DC87FDA51E}" id="{62EC750B-DA71-42B7-97BD-9508D3D4DF82}">
    <text>18-20,20-22,22-24</text>
  </threadedComment>
  <threadedComment ref="F172" dT="2020-09-08T06:13:54.43" personId="{36CC948E-2682-42B5-9F11-A7DC87FDA51E}" id="{77DB1216-B65A-47A4-9783-ED21F192AA35}">
    <text>18-20,20-22,22-24,28+</text>
  </threadedComment>
  <threadedComment ref="F173" dT="2020-09-22T08:27:54.53" personId="{36CC948E-2682-42B5-9F11-A7DC87FDA51E}" id="{0271DF97-5059-48EA-95CE-E799905EEAB4}">
    <text>18-20,20-22,22-24</text>
  </threadedComment>
  <threadedComment ref="F174" dT="2020-09-22T08:27:54.53" personId="{36CC948E-2682-42B5-9F11-A7DC87FDA51E}" id="{99782415-7FC6-4654-88C6-472B18EC3AC5}">
    <text>18-20,20-22,22-24</text>
  </threadedComment>
  <threadedComment ref="F175" dT="2020-09-22T08:27:54.53" personId="{36CC948E-2682-42B5-9F11-A7DC87FDA51E}" id="{3F13B9D2-5852-49F4-B28D-5D9522B17733}">
    <text>18-20,20-22,22-24</text>
  </threadedComment>
  <threadedComment ref="F176" dT="2020-09-08T06:13:54.43" personId="{36CC948E-2682-42B5-9F11-A7DC87FDA51E}" id="{F3D0264D-7D94-44A7-954F-0A2469234AB6}">
    <text>18-20,20-22,22-24,28+</text>
  </threadedComment>
  <threadedComment ref="F177" dT="2020-09-22T08:27:54.53" personId="{36CC948E-2682-42B5-9F11-A7DC87FDA51E}" id="{1F845C66-80A4-4251-9CDA-239DFC788E23}">
    <text>18-20,20-22,22-24</text>
  </threadedComment>
  <threadedComment ref="F178" dT="2020-09-08T06:13:54.43" personId="{36CC948E-2682-42B5-9F11-A7DC87FDA51E}" id="{514BBF20-6A50-43AD-86EE-964EBAEA3DA3}">
    <text>18-20,20-22,22-24,28+</text>
  </threadedComment>
  <threadedComment ref="F179" dT="2020-09-22T08:27:54.53" personId="{36CC948E-2682-42B5-9F11-A7DC87FDA51E}" id="{A3654092-EE82-4017-BFCD-D10788EB3B86}">
    <text>18-20,20-22,22-24</text>
  </threadedComment>
  <threadedComment ref="F180" dT="2020-09-08T06:13:54.43" personId="{36CC948E-2682-42B5-9F11-A7DC87FDA51E}" id="{D0DC6333-078E-4CEA-AF74-2C061BE6A471}">
    <text>18-20,20-22,22-24,28+</text>
  </threadedComment>
  <threadedComment ref="F181" dT="2020-09-22T08:27:54.53" personId="{36CC948E-2682-42B5-9F11-A7DC87FDA51E}" id="{7ECFDA0E-FA12-4F92-A389-BF67E24541D7}">
    <text>18-20,20-22,22-24</text>
  </threadedComment>
  <threadedComment ref="F182" dT="2020-09-08T06:13:54.43" personId="{36CC948E-2682-42B5-9F11-A7DC87FDA51E}" id="{854E9139-F822-4258-8B97-EF98AA137A25}">
    <text>18-20,20-22,22-24,28+</text>
  </threadedComment>
  <threadedComment ref="F183" dT="2020-10-05T07:17:27.94" personId="{8DAD1036-C2A1-494D-8B8E-9A929B0A131E}" id="{D2F4B8D3-9672-489D-8CBE-B396B53CB005}">
    <text>18-20, 20-22, 22-24, 26-28, 28+</text>
  </threadedComment>
  <threadedComment ref="F184" dT="2020-10-10T07:06:42.50" personId="{8DAD1036-C2A1-494D-8B8E-9A929B0A131E}" id="{1196EC47-F26D-446C-BDCA-2537FDD7D184}">
    <text>18-20, 20-22, 22-24, 26-28, 28+</text>
  </threadedComment>
  <threadedComment ref="F185" dT="2020-10-08T10:09:23.05" personId="{8DAD1036-C2A1-494D-8B8E-9A929B0A131E}" id="{6890B5D6-D057-4249-AEE9-27138D3C3820}">
    <text>18-20,20-22,22-24,26-28</text>
  </threadedComment>
  <threadedComment ref="F186" dT="2020-10-08T10:09:31.96" personId="{8DAD1036-C2A1-494D-8B8E-9A929B0A131E}" id="{99105D72-FFD8-4250-B1BD-7DB0E019705D}">
    <text>18-20,20-22,22-24,26-28</text>
  </threadedComment>
  <threadedComment ref="F187" dT="2020-10-07T07:02:08.88" personId="{8DAD1036-C2A1-494D-8B8E-9A929B0A131E}" id="{07401073-BCD7-4967-B0F6-5B7E84D68CE6}">
    <text>18-20, 20-22, 22-24, 26-28</text>
  </threadedComment>
  <threadedComment ref="F188" dT="2020-10-09T11:11:06.90" personId="{8DAD1036-C2A1-494D-8B8E-9A929B0A131E}" id="{A7E2E794-5CBD-4155-B3A7-95A915B474CA}">
    <text>18-20, 20-22, 22-24, 26-28</text>
  </threadedComment>
  <threadedComment ref="F189" dT="2020-10-09T11:14:20.31" personId="{8DAD1036-C2A1-494D-8B8E-9A929B0A131E}" id="{D64A2C76-CC29-4C2D-A3A8-906ABF05F835}">
    <text>18-20,20-22,22-24,26-28</text>
  </threadedComment>
  <threadedComment ref="F190" dT="2020-10-09T11:14:20.31" personId="{8DAD1036-C2A1-494D-8B8E-9A929B0A131E}" id="{5CEE0769-52FE-4489-A231-487FE202D876}">
    <text>18-20,20-22,22-24,26-28</text>
  </threadedComment>
  <threadedComment ref="F191" dT="2020-10-09T11:14:20.31" personId="{8DAD1036-C2A1-494D-8B8E-9A929B0A131E}" id="{1B7CE419-C1C5-4736-A1FF-25F5257C4959}">
    <text>18-20,20-22,22-24,26-28</text>
  </threadedComment>
  <threadedComment ref="F192" dT="2020-10-20T07:52:49.60" personId="{8DAD1036-C2A1-494D-8B8E-9A929B0A131E}" id="{DDC00FA9-53E7-4DEB-8140-3E70D843628F}">
    <text>18-20, 22-24,26-28 [Crop-2019]                         20-22 [Crop-2020]</text>
  </threadedComment>
  <threadedComment ref="F193" dT="2020-10-20T07:55:39.19" personId="{8DAD1036-C2A1-494D-8B8E-9A929B0A131E}" id="{0CE5212C-9B6B-4849-A94F-2772D1CD5339}">
    <text>22-24,26-28 [Crop-2019]                         18-20,20-22 [Crop-2020]</text>
  </threadedComment>
  <threadedComment ref="F194" dT="2020-10-30T15:07:52.86" personId="{8DAD1036-C2A1-494D-8B8E-9A929B0A131E}" id="{405C5994-98FA-4C77-8FF5-03816F193800}">
    <text>18-20, 22-24,26-28 [Crop-2019]                         20-22 [Crop-2020]</text>
  </threadedComment>
  <threadedComment ref="F195" dT="2020-10-30T15:08:09.84" personId="{8DAD1036-C2A1-494D-8B8E-9A929B0A131E}" id="{5D674032-F891-4E61-86F3-EED7B5684262}">
    <text>18-20, 22-24,26-28 [Crop-2019]                         20-22 [Crop-2020]</text>
  </threadedComment>
  <threadedComment ref="F196" dT="2020-10-30T15:08:16.13" personId="{8DAD1036-C2A1-494D-8B8E-9A929B0A131E}" id="{C7BE1AF4-2012-42DA-91CB-2FF343B0D53F}">
    <text>18-20, 22-24,26-28 [Crop-2019]                         20-22 [Crop-2020]</text>
  </threadedComment>
  <threadedComment ref="F197" dT="2020-10-30T15:08:25.76" personId="{8DAD1036-C2A1-494D-8B8E-9A929B0A131E}" id="{DFF1F016-4C61-46B4-AFFE-B26039E21D12}">
    <text>18-20, 22-24,26-28 [Crop-2019]                         20-22 [Crop-2020]</text>
  </threadedComment>
  <threadedComment ref="F198" dT="2020-11-05T11:33:19.07" personId="{8DAD1036-C2A1-494D-8B8E-9A929B0A131E}" id="{74983A35-1C3E-44EC-B9B7-A75396D8DF84}">
    <text>18-20, 22-24,26-28 [Crop-2019,2020]                         20-22 [Crop-2020]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580F-7315-4CD5-A4A3-C776D31FAB5C}">
  <dimension ref="A1:O14"/>
  <sheetViews>
    <sheetView showGridLines="0" workbookViewId="0">
      <selection activeCell="E16" sqref="E16"/>
    </sheetView>
  </sheetViews>
  <sheetFormatPr defaultRowHeight="14.4" x14ac:dyDescent="0.3"/>
  <cols>
    <col min="1" max="1" width="10.77734375" bestFit="1" customWidth="1"/>
    <col min="2" max="2" width="18.44140625" bestFit="1" customWidth="1"/>
    <col min="3" max="3" width="21.33203125" bestFit="1" customWidth="1"/>
    <col min="4" max="4" width="22.88671875" bestFit="1" customWidth="1"/>
    <col min="5" max="5" width="22.88671875" customWidth="1"/>
    <col min="7" max="7" width="36.109375" bestFit="1" customWidth="1"/>
    <col min="8" max="8" width="18.44140625" bestFit="1" customWidth="1"/>
    <col min="9" max="9" width="21.33203125" bestFit="1" customWidth="1"/>
    <col min="10" max="10" width="22.88671875" bestFit="1" customWidth="1"/>
    <col min="12" max="12" width="12.5546875" bestFit="1" customWidth="1"/>
    <col min="13" max="13" width="18.44140625" bestFit="1" customWidth="1"/>
    <col min="14" max="14" width="21.33203125" bestFit="1" customWidth="1"/>
    <col min="15" max="15" width="22.88671875" bestFit="1" customWidth="1"/>
  </cols>
  <sheetData>
    <row r="1" spans="1:15" x14ac:dyDescent="0.3">
      <c r="A1" s="63" t="s">
        <v>66</v>
      </c>
      <c r="B1" t="s">
        <v>69</v>
      </c>
      <c r="G1" s="63" t="s">
        <v>66</v>
      </c>
      <c r="H1" t="s">
        <v>67</v>
      </c>
      <c r="L1" s="63" t="s">
        <v>66</v>
      </c>
      <c r="M1" t="s">
        <v>68</v>
      </c>
    </row>
    <row r="3" spans="1:15" x14ac:dyDescent="0.3">
      <c r="A3" s="63" t="s">
        <v>92</v>
      </c>
      <c r="B3" t="s">
        <v>85</v>
      </c>
      <c r="C3" t="s">
        <v>86</v>
      </c>
      <c r="D3" t="s">
        <v>87</v>
      </c>
      <c r="E3" s="68" t="s">
        <v>93</v>
      </c>
      <c r="G3" s="63" t="s">
        <v>83</v>
      </c>
      <c r="H3" t="s">
        <v>85</v>
      </c>
      <c r="I3" t="s">
        <v>86</v>
      </c>
      <c r="J3" t="s">
        <v>87</v>
      </c>
      <c r="L3" s="63" t="s">
        <v>83</v>
      </c>
      <c r="M3" t="s">
        <v>85</v>
      </c>
      <c r="N3" t="s">
        <v>86</v>
      </c>
      <c r="O3" t="s">
        <v>87</v>
      </c>
    </row>
    <row r="4" spans="1:15" x14ac:dyDescent="0.3">
      <c r="A4" s="64" t="s">
        <v>76</v>
      </c>
      <c r="B4" s="67">
        <v>46.605243999999999</v>
      </c>
      <c r="C4" s="66">
        <v>0.11434722423782359</v>
      </c>
      <c r="D4" s="66">
        <v>0.23372424769093775</v>
      </c>
      <c r="E4" s="69">
        <v>868.57</v>
      </c>
      <c r="G4" s="64" t="s">
        <v>80</v>
      </c>
      <c r="H4" s="67">
        <v>39.770984000000006</v>
      </c>
      <c r="I4" s="66">
        <v>0.11530790326601845</v>
      </c>
      <c r="J4" s="66">
        <v>0.27718185702399423</v>
      </c>
      <c r="L4" s="64" t="s">
        <v>75</v>
      </c>
      <c r="M4" s="67">
        <v>47.575268000000001</v>
      </c>
      <c r="N4" s="66">
        <v>8.6478415772899955E-2</v>
      </c>
      <c r="O4" s="66">
        <v>0.15695728913633464</v>
      </c>
    </row>
    <row r="5" spans="1:15" x14ac:dyDescent="0.3">
      <c r="A5" s="64" t="s">
        <v>70</v>
      </c>
      <c r="B5" s="67">
        <v>46.913888</v>
      </c>
      <c r="C5" s="66">
        <v>0.11000901590456554</v>
      </c>
      <c r="D5" s="66">
        <v>0.23709489120924437</v>
      </c>
      <c r="E5" s="69">
        <v>1081.1589999999997</v>
      </c>
      <c r="G5" s="65" t="s">
        <v>78</v>
      </c>
      <c r="H5" s="67">
        <v>39.770984000000006</v>
      </c>
      <c r="I5" s="66">
        <v>0.11530790326601845</v>
      </c>
      <c r="J5" s="66">
        <v>0.27718185702399423</v>
      </c>
      <c r="L5" s="64" t="s">
        <v>64</v>
      </c>
      <c r="M5" s="67">
        <v>44.819518000000002</v>
      </c>
      <c r="N5" s="66">
        <v>0.12737362732952509</v>
      </c>
      <c r="O5" s="66">
        <v>0.25795595390216602</v>
      </c>
    </row>
    <row r="6" spans="1:15" x14ac:dyDescent="0.3">
      <c r="A6" s="64" t="s">
        <v>77</v>
      </c>
      <c r="B6" s="67">
        <v>47.663452000000007</v>
      </c>
      <c r="C6" s="66">
        <v>0.12190028177499201</v>
      </c>
      <c r="D6" s="66">
        <v>0.25951005416663536</v>
      </c>
      <c r="E6" s="69">
        <v>1161.817</v>
      </c>
      <c r="G6" s="64" t="s">
        <v>61</v>
      </c>
      <c r="H6" s="67">
        <v>36.860911999999999</v>
      </c>
      <c r="I6" s="66">
        <v>0.11918696705911849</v>
      </c>
      <c r="J6" s="66">
        <v>0.25643099710183404</v>
      </c>
      <c r="L6" s="64" t="s">
        <v>70</v>
      </c>
      <c r="M6" s="67">
        <v>45.830484571428578</v>
      </c>
      <c r="N6" s="66">
        <v>0.10702863644731668</v>
      </c>
      <c r="O6" s="66">
        <v>0.24728562228277676</v>
      </c>
    </row>
    <row r="7" spans="1:15" x14ac:dyDescent="0.3">
      <c r="A7" s="64" t="s">
        <v>71</v>
      </c>
      <c r="B7" s="67">
        <v>44.356552000000008</v>
      </c>
      <c r="C7" s="66">
        <v>0.12698488248226467</v>
      </c>
      <c r="D7" s="66">
        <v>0.26639194164124441</v>
      </c>
      <c r="E7" s="69">
        <v>1448.8460000000002</v>
      </c>
      <c r="G7" s="65" t="s">
        <v>59</v>
      </c>
      <c r="H7" s="67">
        <v>36.860911999999999</v>
      </c>
      <c r="I7" s="66">
        <v>0.11918696705911849</v>
      </c>
      <c r="J7" s="66">
        <v>0.25643099710183404</v>
      </c>
      <c r="L7" s="64" t="s">
        <v>88</v>
      </c>
      <c r="M7" s="67">
        <v>46.638313000000004</v>
      </c>
      <c r="N7" s="66">
        <v>8.2295466440759982E-2</v>
      </c>
      <c r="O7" s="66">
        <v>0.15408363767336036</v>
      </c>
    </row>
    <row r="8" spans="1:15" x14ac:dyDescent="0.3">
      <c r="A8" s="64" t="s">
        <v>88</v>
      </c>
      <c r="B8" s="67">
        <v>46.737520000000004</v>
      </c>
      <c r="C8" s="66">
        <v>0.13094345943005301</v>
      </c>
      <c r="D8" s="66">
        <v>0.21243217545997062</v>
      </c>
      <c r="E8" s="69">
        <v>471.55899999999997</v>
      </c>
      <c r="G8" s="64" t="s">
        <v>72</v>
      </c>
      <c r="H8" s="67">
        <v>37.390016000000003</v>
      </c>
      <c r="I8" s="66">
        <v>0.1996398625200333</v>
      </c>
      <c r="J8" s="66">
        <v>0.31360624650590924</v>
      </c>
      <c r="L8" s="64" t="s">
        <v>231</v>
      </c>
      <c r="M8" s="67">
        <v>43.802252571428575</v>
      </c>
      <c r="N8" s="66">
        <v>9.4102812917654557E-2</v>
      </c>
      <c r="O8" s="66">
        <v>0.15277803976735721</v>
      </c>
    </row>
    <row r="9" spans="1:15" x14ac:dyDescent="0.3">
      <c r="A9" s="64" t="s">
        <v>89</v>
      </c>
      <c r="B9" s="67">
        <v>46.076140000000002</v>
      </c>
      <c r="C9" s="66">
        <v>0.11452675456787748</v>
      </c>
      <c r="D9" s="66">
        <v>0.25237460375323595</v>
      </c>
      <c r="E9" s="69">
        <v>220.00400000000002</v>
      </c>
      <c r="G9" s="65" t="s">
        <v>74</v>
      </c>
      <c r="H9" s="67">
        <v>37.390016000000003</v>
      </c>
      <c r="I9" s="66">
        <v>0.1996398625200333</v>
      </c>
      <c r="J9" s="66">
        <v>0.31360624650590924</v>
      </c>
      <c r="L9" s="64" t="s">
        <v>234</v>
      </c>
      <c r="M9" s="67">
        <v>46.120231999999994</v>
      </c>
      <c r="N9" s="66">
        <v>0.10858445245615909</v>
      </c>
      <c r="O9" s="66">
        <v>0.20061484013365397</v>
      </c>
    </row>
    <row r="10" spans="1:15" x14ac:dyDescent="0.3">
      <c r="A10" s="64" t="s">
        <v>231</v>
      </c>
      <c r="B10" s="67">
        <v>43.959724000000001</v>
      </c>
      <c r="C10" s="66">
        <v>0.10619500614381877</v>
      </c>
      <c r="D10" s="66">
        <v>0.23073902934134666</v>
      </c>
      <c r="E10" s="69">
        <v>1083.356</v>
      </c>
      <c r="G10" s="64" t="s">
        <v>236</v>
      </c>
      <c r="H10" s="67">
        <v>42.416504000000003</v>
      </c>
      <c r="I10" s="66">
        <v>0.1093461067171661</v>
      </c>
      <c r="J10" s="66">
        <v>0.24515891373543378</v>
      </c>
      <c r="L10" s="64" t="s">
        <v>105</v>
      </c>
      <c r="M10" s="67">
        <v>42.929073500000001</v>
      </c>
      <c r="N10" s="66">
        <v>0.10431792987769879</v>
      </c>
      <c r="O10" s="66">
        <v>0.16209495324604883</v>
      </c>
    </row>
    <row r="11" spans="1:15" x14ac:dyDescent="0.3">
      <c r="A11" s="64" t="s">
        <v>232</v>
      </c>
      <c r="B11" s="67">
        <v>43.871539999999996</v>
      </c>
      <c r="C11" s="66">
        <v>0.11484382428822511</v>
      </c>
      <c r="D11" s="66">
        <v>0.22640378989832097</v>
      </c>
      <c r="E11" s="69">
        <v>612.55999999999995</v>
      </c>
      <c r="G11" s="65" t="s">
        <v>178</v>
      </c>
      <c r="H11" s="67">
        <v>42.416504000000003</v>
      </c>
      <c r="I11" s="66">
        <v>0.1093461067171661</v>
      </c>
      <c r="J11" s="66">
        <v>0.24515891373543378</v>
      </c>
      <c r="L11" s="64" t="s">
        <v>115</v>
      </c>
      <c r="M11" s="67">
        <v>41.821262000000004</v>
      </c>
      <c r="N11" s="66">
        <v>0.11832850980413989</v>
      </c>
      <c r="O11" s="66">
        <v>0.17148615241730791</v>
      </c>
    </row>
    <row r="12" spans="1:15" x14ac:dyDescent="0.3">
      <c r="A12" s="64" t="s">
        <v>233</v>
      </c>
      <c r="B12" s="67">
        <v>42.901516000000001</v>
      </c>
      <c r="C12" s="66">
        <v>0.10806148476305544</v>
      </c>
      <c r="D12" s="66">
        <v>0.23631138937040658</v>
      </c>
      <c r="E12" s="69">
        <v>773.3</v>
      </c>
      <c r="G12" s="64" t="s">
        <v>84</v>
      </c>
      <c r="H12" s="67">
        <v>38.448224000000003</v>
      </c>
      <c r="I12" s="66">
        <v>0.14371794485691469</v>
      </c>
      <c r="J12" s="66">
        <v>0.27706920966248572</v>
      </c>
      <c r="L12" s="64" t="s">
        <v>100</v>
      </c>
      <c r="M12" s="67">
        <v>42.063768000000003</v>
      </c>
      <c r="N12" s="66">
        <v>9.6523850448968676E-2</v>
      </c>
      <c r="O12" s="66">
        <v>0.15203828134358874</v>
      </c>
    </row>
    <row r="13" spans="1:15" x14ac:dyDescent="0.3">
      <c r="A13" s="64" t="s">
        <v>235</v>
      </c>
      <c r="B13" s="67">
        <v>44.312460000000002</v>
      </c>
      <c r="C13" s="66">
        <v>0.1194870485358315</v>
      </c>
      <c r="D13" s="66">
        <v>0.26216902750762372</v>
      </c>
      <c r="E13" s="69">
        <v>166.21</v>
      </c>
      <c r="L13" s="64" t="s">
        <v>84</v>
      </c>
      <c r="M13" s="67">
        <v>44.309645617021282</v>
      </c>
      <c r="N13" s="66">
        <v>0.10273672329864136</v>
      </c>
      <c r="O13" s="66">
        <v>0.18157247962224565</v>
      </c>
    </row>
    <row r="14" spans="1:15" x14ac:dyDescent="0.3">
      <c r="A14" s="64" t="s">
        <v>84</v>
      </c>
      <c r="B14" s="67">
        <v>45.482902181818183</v>
      </c>
      <c r="C14" s="66">
        <v>0.11611890891209752</v>
      </c>
      <c r="D14" s="66">
        <v>0.24129509465892829</v>
      </c>
      <c r="E14" s="70">
        <f>SUM(E4:E13)</f>
        <v>7887.3809999999994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3E9C-EDD0-4F76-A7DA-BBD21E864220}">
  <dimension ref="A1:BL222"/>
  <sheetViews>
    <sheetView showGridLines="0" tabSelected="1" zoomScale="77" zoomScaleNormal="130" workbookViewId="0">
      <pane xSplit="7" ySplit="1" topLeftCell="AV145" activePane="bottomRight" state="frozen"/>
      <selection pane="topRight" activeCell="H1" sqref="H1"/>
      <selection pane="bottomLeft" activeCell="A2" sqref="A2"/>
      <selection pane="bottomRight" activeCell="O157" sqref="O157"/>
    </sheetView>
  </sheetViews>
  <sheetFormatPr defaultColWidth="9.109375" defaultRowHeight="14.4" outlineLevelCol="1" x14ac:dyDescent="0.3"/>
  <cols>
    <col min="1" max="1" width="6.44140625" style="1" bestFit="1" customWidth="1"/>
    <col min="2" max="2" width="12.33203125" style="5" customWidth="1"/>
    <col min="3" max="3" width="8.44140625" style="2" customWidth="1"/>
    <col min="4" max="4" width="12.109375" style="2" bestFit="1" customWidth="1"/>
    <col min="5" max="5" width="11" style="2" customWidth="1"/>
    <col min="6" max="6" width="14.33203125" style="2" bestFit="1" customWidth="1"/>
    <col min="7" max="7" width="12.109375" style="1" bestFit="1" customWidth="1"/>
    <col min="8" max="8" width="16.88671875" style="1" customWidth="1"/>
    <col min="9" max="9" width="18.6640625" style="1" customWidth="1"/>
    <col min="10" max="10" width="12.33203125" style="1" customWidth="1"/>
    <col min="11" max="12" width="11.109375" style="1" customWidth="1"/>
    <col min="13" max="14" width="11.5546875" style="6" customWidth="1"/>
    <col min="15" max="15" width="12.88671875" style="7" customWidth="1"/>
    <col min="16" max="16" width="11.33203125" style="7" customWidth="1"/>
    <col min="17" max="17" width="15.6640625" style="7" customWidth="1"/>
    <col min="18" max="18" width="13.44140625" style="8" customWidth="1"/>
    <col min="19" max="19" width="14.109375" style="8" customWidth="1"/>
    <col min="20" max="20" width="14" style="8" customWidth="1"/>
    <col min="21" max="21" width="15.44140625" style="8" customWidth="1"/>
    <col min="22" max="22" width="14.88671875" style="8" customWidth="1"/>
    <col min="23" max="28" width="15.5546875" style="8" customWidth="1"/>
    <col min="29" max="29" width="16.33203125" style="8" customWidth="1"/>
    <col min="30" max="30" width="17.5546875" style="8" customWidth="1"/>
    <col min="31" max="32" width="16.33203125" style="8" customWidth="1"/>
    <col min="33" max="33" width="16.33203125" style="8" customWidth="1" outlineLevel="1"/>
    <col min="34" max="38" width="16.33203125" style="9" customWidth="1" outlineLevel="1"/>
    <col min="39" max="39" width="16.33203125" style="8" customWidth="1" outlineLevel="1"/>
    <col min="40" max="40" width="16.33203125" style="7" customWidth="1" outlineLevel="1"/>
    <col min="41" max="42" width="16.33203125" style="8" customWidth="1" outlineLevel="1"/>
    <col min="43" max="43" width="16.33203125" style="9" customWidth="1" outlineLevel="1"/>
    <col min="44" max="44" width="18.33203125" style="10" customWidth="1" outlineLevel="1"/>
    <col min="45" max="47" width="16.33203125" style="9" customWidth="1" outlineLevel="1"/>
    <col min="48" max="49" width="16.33203125" style="8" customWidth="1"/>
    <col min="50" max="52" width="14.44140625" style="11" customWidth="1"/>
    <col min="53" max="53" width="9.109375" customWidth="1"/>
    <col min="54" max="54" width="10.21875" customWidth="1"/>
    <col min="55" max="60" width="9.109375" customWidth="1"/>
    <col min="64" max="64" width="19.33203125" bestFit="1" customWidth="1"/>
  </cols>
  <sheetData>
    <row r="1" spans="1:64" s="3" customFormat="1" ht="57.6" x14ac:dyDescent="0.3">
      <c r="A1" s="30" t="s">
        <v>38</v>
      </c>
      <c r="B1" s="31" t="s">
        <v>0</v>
      </c>
      <c r="C1" s="31" t="s">
        <v>2</v>
      </c>
      <c r="D1" s="31" t="s">
        <v>66</v>
      </c>
      <c r="E1" s="31" t="s">
        <v>37</v>
      </c>
      <c r="F1" s="32" t="s">
        <v>25</v>
      </c>
      <c r="G1" s="30" t="s">
        <v>40</v>
      </c>
      <c r="H1" s="30" t="s">
        <v>57</v>
      </c>
      <c r="I1" s="30" t="s">
        <v>58</v>
      </c>
      <c r="J1" s="30" t="s">
        <v>1</v>
      </c>
      <c r="K1" s="30" t="s">
        <v>34</v>
      </c>
      <c r="L1" s="30" t="s">
        <v>237</v>
      </c>
      <c r="M1" s="33" t="s">
        <v>4</v>
      </c>
      <c r="N1" s="33" t="s">
        <v>42</v>
      </c>
      <c r="O1" s="34" t="s">
        <v>5</v>
      </c>
      <c r="P1" s="34" t="s">
        <v>6</v>
      </c>
      <c r="Q1" s="34" t="s">
        <v>3</v>
      </c>
      <c r="R1" s="34" t="s">
        <v>7</v>
      </c>
      <c r="S1" s="34" t="s">
        <v>8</v>
      </c>
      <c r="T1" s="34" t="s">
        <v>9</v>
      </c>
      <c r="U1" s="34" t="s">
        <v>10</v>
      </c>
      <c r="V1" s="34" t="s">
        <v>11</v>
      </c>
      <c r="W1" s="34" t="s">
        <v>239</v>
      </c>
      <c r="X1" s="34" t="s">
        <v>43</v>
      </c>
      <c r="Y1" s="34" t="s">
        <v>65</v>
      </c>
      <c r="Z1" s="34" t="s">
        <v>44</v>
      </c>
      <c r="AA1" s="34" t="s">
        <v>45</v>
      </c>
      <c r="AB1" s="34" t="s">
        <v>46</v>
      </c>
      <c r="AC1" s="34" t="s">
        <v>26</v>
      </c>
      <c r="AD1" s="34" t="s">
        <v>27</v>
      </c>
      <c r="AE1" s="34" t="s">
        <v>28</v>
      </c>
      <c r="AF1" s="35" t="s">
        <v>39</v>
      </c>
      <c r="AG1" s="34" t="s">
        <v>30</v>
      </c>
      <c r="AH1" s="36" t="s">
        <v>29</v>
      </c>
      <c r="AI1" s="36" t="s">
        <v>13</v>
      </c>
      <c r="AJ1" s="36" t="s">
        <v>12</v>
      </c>
      <c r="AK1" s="36" t="s">
        <v>16</v>
      </c>
      <c r="AL1" s="36" t="s">
        <v>17</v>
      </c>
      <c r="AM1" s="34" t="s">
        <v>15</v>
      </c>
      <c r="AN1" s="34" t="s">
        <v>33</v>
      </c>
      <c r="AO1" s="37" t="s">
        <v>32</v>
      </c>
      <c r="AP1" s="37" t="s">
        <v>31</v>
      </c>
      <c r="AQ1" s="38" t="s">
        <v>18</v>
      </c>
      <c r="AR1" s="38" t="s">
        <v>19</v>
      </c>
      <c r="AS1" s="39" t="s">
        <v>47</v>
      </c>
      <c r="AT1" s="36" t="s">
        <v>14</v>
      </c>
      <c r="AU1" s="36" t="s">
        <v>21</v>
      </c>
      <c r="AV1" s="40" t="s">
        <v>22</v>
      </c>
      <c r="AW1" s="40" t="s">
        <v>23</v>
      </c>
      <c r="AX1" s="13" t="s">
        <v>63</v>
      </c>
      <c r="AY1" s="13" t="s">
        <v>24</v>
      </c>
      <c r="AZ1" s="13" t="s">
        <v>20</v>
      </c>
      <c r="BA1" s="54" t="s">
        <v>48</v>
      </c>
      <c r="BB1" s="54" t="s">
        <v>49</v>
      </c>
      <c r="BC1" s="54" t="s">
        <v>90</v>
      </c>
      <c r="BD1" s="54" t="s">
        <v>91</v>
      </c>
      <c r="BE1" s="54" t="s">
        <v>50</v>
      </c>
      <c r="BF1" s="54" t="s">
        <v>51</v>
      </c>
      <c r="BG1" s="54" t="s">
        <v>52</v>
      </c>
      <c r="BH1" s="54" t="s">
        <v>53</v>
      </c>
      <c r="BI1" s="55" t="s">
        <v>56</v>
      </c>
      <c r="BJ1" s="55" t="s">
        <v>54</v>
      </c>
      <c r="BK1" s="55" t="s">
        <v>55</v>
      </c>
    </row>
    <row r="2" spans="1:64" ht="17.25" customHeight="1" x14ac:dyDescent="0.3">
      <c r="A2" s="41">
        <v>1</v>
      </c>
      <c r="B2" s="42">
        <v>46191</v>
      </c>
      <c r="C2" s="43" t="str">
        <f t="shared" ref="C2:C65" si="0">IF(ISBLANK(B2),"",TEXT(B2,"mmm-YY"))</f>
        <v>Jun-26</v>
      </c>
      <c r="D2" s="43" t="s">
        <v>67</v>
      </c>
      <c r="E2" s="43" t="s">
        <v>35</v>
      </c>
      <c r="F2" s="43" t="s">
        <v>41</v>
      </c>
      <c r="G2" s="14" t="s">
        <v>60</v>
      </c>
      <c r="H2" s="14" t="s">
        <v>61</v>
      </c>
      <c r="I2" s="14" t="s">
        <v>62</v>
      </c>
      <c r="J2" s="44" t="s">
        <v>59</v>
      </c>
      <c r="K2" s="44">
        <v>2026</v>
      </c>
      <c r="L2" s="44" t="s">
        <v>60</v>
      </c>
      <c r="M2" s="45">
        <v>1000</v>
      </c>
      <c r="N2" s="45">
        <v>183</v>
      </c>
      <c r="O2" s="45">
        <v>9.5</v>
      </c>
      <c r="P2" s="46">
        <f>SUM(R2:W2)</f>
        <v>283</v>
      </c>
      <c r="Q2" s="45">
        <v>8.5</v>
      </c>
      <c r="R2" s="46">
        <v>190</v>
      </c>
      <c r="S2" s="46">
        <v>16</v>
      </c>
      <c r="T2" s="46">
        <v>15</v>
      </c>
      <c r="U2" s="46">
        <v>61</v>
      </c>
      <c r="V2" s="46">
        <v>0</v>
      </c>
      <c r="W2" s="46">
        <v>1</v>
      </c>
      <c r="X2" s="46">
        <v>33</v>
      </c>
      <c r="Y2" s="46">
        <v>3</v>
      </c>
      <c r="Z2" s="46">
        <f>IFERROR(SUM($R2,0.5*$S2,$T2*0.5)*80*2.2046/$M2,"")</f>
        <v>36.243624000000004</v>
      </c>
      <c r="AA2" s="46">
        <f>IFERROR(SUM($R2,$S2,$T2)*80*2.2046/$M2,"")</f>
        <v>38.977328</v>
      </c>
      <c r="AB2" s="46">
        <f>IFERROR(SUM($R2,$S2,$T2,$U2,$W2)*80*2.2046/$M2,"")</f>
        <v>49.912143999999998</v>
      </c>
      <c r="AC2" s="46">
        <f>R2</f>
        <v>190</v>
      </c>
      <c r="AD2" s="46">
        <f>153.5</f>
        <v>153.5</v>
      </c>
      <c r="AE2" s="46">
        <v>26</v>
      </c>
      <c r="AF2" s="59">
        <f t="shared" ref="AF2:AF65" si="1">AD2+AE2-AC2</f>
        <v>-10.5</v>
      </c>
      <c r="AG2" s="46">
        <f>SUM(BB2,BD2,BF2,BH2)</f>
        <v>23.5</v>
      </c>
      <c r="AH2" s="47">
        <f>IFERROR(AG2*(100-3)/(100-Q2)*(100+AN2)%,"")</f>
        <v>28.521074021644825</v>
      </c>
      <c r="AI2" s="47">
        <f>S2+T2</f>
        <v>31</v>
      </c>
      <c r="AJ2" s="47">
        <f>U2+V2+W2</f>
        <v>62</v>
      </c>
      <c r="AK2" s="47">
        <f>R2+(AI2/2)</f>
        <v>205.5</v>
      </c>
      <c r="AL2" s="48">
        <f>IFERROR(AK2/M2,"")</f>
        <v>0.20549999999999999</v>
      </c>
      <c r="AM2" s="46">
        <f>IFERROR(((AK2*80/454)*1000)/M2,"")</f>
        <v>36.21145374449339</v>
      </c>
      <c r="AN2" s="46">
        <f>IFERROR(AE2/(AE2+AD2)%,"")</f>
        <v>14.484679665738161</v>
      </c>
      <c r="AO2" s="46">
        <f>IFERROR((P2-AI2-AJ2)*(100-AN2)%,"")</f>
        <v>162.4791086350975</v>
      </c>
      <c r="AP2" s="46">
        <f>IFERROR((AJ2+AI2)*(100-AN2)%,"")</f>
        <v>79.529247910863518</v>
      </c>
      <c r="AQ2" s="49">
        <f>IFERROR((R2-AH2)/P2,"")</f>
        <v>0.57059691158429382</v>
      </c>
      <c r="AR2" s="50">
        <f>IFERROR((AH2+AI2+AJ2)/P2,"")</f>
        <v>0.42940308841570607</v>
      </c>
      <c r="AS2" s="51">
        <f>IFERROR(AO2/M2,"")</f>
        <v>0.16247910863509751</v>
      </c>
      <c r="AT2" s="51">
        <f>IFERROR(AP2/M2,"")</f>
        <v>7.9529247910863521E-2</v>
      </c>
      <c r="AU2" s="51">
        <f>IFERROR(AS2+AT2,"")</f>
        <v>0.24200835654596103</v>
      </c>
      <c r="AV2" s="52">
        <f>IFERROR(AO2*(100-Q2)/(100-4.5),"")</f>
        <v>155.67370094357508</v>
      </c>
      <c r="AW2" s="52">
        <f t="shared" ref="AW2" si="2">IFERROR(AP2*(100-Q2)/(100-4.5),"")</f>
        <v>76.198179935539386</v>
      </c>
      <c r="AX2" s="15">
        <f>IFERROR(AV2/M2,"")</f>
        <v>0.15567370094357508</v>
      </c>
      <c r="AY2" s="15">
        <f>IFERROR(AW2/M2,"")</f>
        <v>7.6198179935539387E-2</v>
      </c>
      <c r="AZ2" s="15">
        <f>IFERROR(AX2+AY2,"")</f>
        <v>0.23187188087911448</v>
      </c>
      <c r="BA2" s="61">
        <f>IFERROR(S2*(100-Q2)/(100-4.5),"")</f>
        <v>15.329842931937172</v>
      </c>
      <c r="BB2" s="61">
        <v>13.5</v>
      </c>
      <c r="BC2" s="61">
        <f>IFERROR(T2*(100-Q2)/(100-4.5),"")</f>
        <v>14.3717277486911</v>
      </c>
      <c r="BD2" s="61">
        <v>3</v>
      </c>
      <c r="BE2" s="61">
        <f>IFERROR(W2*(100-Q2)/(100-4.5),"")</f>
        <v>0.95811518324607325</v>
      </c>
      <c r="BF2" s="61">
        <v>1.5</v>
      </c>
      <c r="BG2" s="61">
        <v>0</v>
      </c>
      <c r="BH2" s="61">
        <v>5.5</v>
      </c>
      <c r="BI2" s="56">
        <f>SUM(BA2:BH2)</f>
        <v>54.159685863874344</v>
      </c>
      <c r="BJ2" s="57">
        <f>IFERROR(BI2/(SUM(R2:T2)*(100-Q2)/(100-4.5)),"")</f>
        <v>0.25577973938629678</v>
      </c>
      <c r="BK2" s="58">
        <f>IFERROR(SUM(BA2:BB2)/(SUM(R2:T2)*(100-Q2)/(100-4.5)),"")</f>
        <v>0.13615458793858021</v>
      </c>
    </row>
    <row r="3" spans="1:64" ht="17.25" customHeight="1" x14ac:dyDescent="0.3">
      <c r="A3" s="41">
        <v>2</v>
      </c>
      <c r="B3" s="42">
        <v>46191</v>
      </c>
      <c r="C3" s="43" t="str">
        <f t="shared" si="0"/>
        <v>Jun-26</v>
      </c>
      <c r="D3" s="43" t="s">
        <v>67</v>
      </c>
      <c r="E3" s="43" t="s">
        <v>35</v>
      </c>
      <c r="F3" s="43" t="s">
        <v>41</v>
      </c>
      <c r="G3" s="14" t="s">
        <v>60</v>
      </c>
      <c r="H3" s="14" t="s">
        <v>61</v>
      </c>
      <c r="I3" s="14" t="s">
        <v>62</v>
      </c>
      <c r="J3" s="44" t="s">
        <v>59</v>
      </c>
      <c r="K3" s="44">
        <v>2026</v>
      </c>
      <c r="L3" s="44" t="s">
        <v>60</v>
      </c>
      <c r="M3" s="45">
        <v>1000</v>
      </c>
      <c r="N3" s="45">
        <v>183</v>
      </c>
      <c r="O3" s="45">
        <v>9.5</v>
      </c>
      <c r="P3" s="46">
        <f t="shared" ref="P3:P66" si="3">SUM(R3:W3)</f>
        <v>290</v>
      </c>
      <c r="Q3" s="45">
        <v>8.5</v>
      </c>
      <c r="R3" s="46">
        <v>197</v>
      </c>
      <c r="S3" s="46">
        <v>16</v>
      </c>
      <c r="T3" s="46">
        <v>15</v>
      </c>
      <c r="U3" s="46">
        <v>61</v>
      </c>
      <c r="V3" s="46">
        <v>0</v>
      </c>
      <c r="W3" s="46">
        <v>1</v>
      </c>
      <c r="X3" s="46">
        <v>33</v>
      </c>
      <c r="Y3" s="46">
        <v>3</v>
      </c>
      <c r="Z3" s="46">
        <f>IFERROR(SUM($R3,0.5*$S3,$T3*0.5)*80*2.2046/$M3,"")</f>
        <v>37.478200000000001</v>
      </c>
      <c r="AA3" s="46">
        <f>IFERROR(SUM($R3,$S3,$T3)*80*2.2046/$M3,"")</f>
        <v>40.211904000000004</v>
      </c>
      <c r="AB3" s="46">
        <f>IFERROR(SUM($R3,$S3,$T3,$U3,$W3)*80*2.2046/$M3,"")</f>
        <v>51.146720000000002</v>
      </c>
      <c r="AC3" s="46">
        <f>R3</f>
        <v>197</v>
      </c>
      <c r="AD3" s="46">
        <f>153.5</f>
        <v>153.5</v>
      </c>
      <c r="AE3" s="46">
        <v>24</v>
      </c>
      <c r="AF3" s="59">
        <f t="shared" si="1"/>
        <v>-19.5</v>
      </c>
      <c r="AG3" s="46">
        <f t="shared" ref="AG3:AG66" si="4">SUM(BB3,BD3,BF3,BH3)</f>
        <v>25.5</v>
      </c>
      <c r="AH3" s="47">
        <f t="shared" ref="AH3:AH66" si="5">IFERROR(AG3*(100-3)/(100-Q3)*(100+AN3)%,"")</f>
        <v>30.687924266912955</v>
      </c>
      <c r="AI3" s="47">
        <f t="shared" ref="AI3:AI66" si="6">S3+T3</f>
        <v>31</v>
      </c>
      <c r="AJ3" s="47">
        <f t="shared" ref="AJ3:AJ66" si="7">U3+V3+W3</f>
        <v>62</v>
      </c>
      <c r="AK3" s="47">
        <f t="shared" ref="AK3:AK66" si="8">R3+(AI3/2)</f>
        <v>212.5</v>
      </c>
      <c r="AL3" s="48">
        <f t="shared" ref="AL3:AL66" si="9">IFERROR(AK3/M3,"")</f>
        <v>0.21249999999999999</v>
      </c>
      <c r="AM3" s="46">
        <f t="shared" ref="AM3:AM66" si="10">IFERROR(((AK3*80/454)*1000)/M3,"")</f>
        <v>37.444933920704848</v>
      </c>
      <c r="AN3" s="46">
        <f t="shared" ref="AN3:AN66" si="11">IFERROR(AE3/(AE3+AD3)%,"")</f>
        <v>13.521126760563382</v>
      </c>
      <c r="AO3" s="46">
        <f t="shared" ref="AO3:AO66" si="12">IFERROR((P3-AI3-AJ3)*(100-AN3)%,"")</f>
        <v>170.36338028169016</v>
      </c>
      <c r="AP3" s="46">
        <f t="shared" ref="AP3:AP66" si="13">IFERROR((AJ3+AI3)*(100-AN3)%,"")</f>
        <v>80.425352112676066</v>
      </c>
      <c r="AQ3" s="49">
        <f t="shared" ref="AQ3:AQ66" si="14">IFERROR((R3-AH3)/P3,"")</f>
        <v>0.57348991632098989</v>
      </c>
      <c r="AR3" s="50">
        <f t="shared" ref="AR3:AR66" si="15">IFERROR((AH3+AI3+AJ3)/P3,"")</f>
        <v>0.42651008367901022</v>
      </c>
      <c r="AS3" s="51">
        <f t="shared" ref="AS3:AS66" si="16">IFERROR(AO3/M3,"")</f>
        <v>0.17036338028169015</v>
      </c>
      <c r="AT3" s="51">
        <f t="shared" ref="AT3:AT66" si="17">IFERROR(AP3/M3,"")</f>
        <v>8.0425352112676068E-2</v>
      </c>
      <c r="AU3" s="51">
        <f>IFERROR(AS3+AT3,"")</f>
        <v>0.25078873239436622</v>
      </c>
      <c r="AV3" s="52">
        <f t="shared" ref="AV3:AV66" si="18">IFERROR(AO3*(100-Q3)/(100-4.5),"")</f>
        <v>163.22774131701203</v>
      </c>
      <c r="AW3" s="52">
        <f t="shared" ref="AW3:AW66" si="19">IFERROR(AP3*(100-Q3)/(100-4.5),"")</f>
        <v>77.056750977066599</v>
      </c>
      <c r="AX3" s="15">
        <f t="shared" ref="AX3:AX66" si="20">IFERROR(AV3/M3,"")</f>
        <v>0.16322774131701204</v>
      </c>
      <c r="AY3" s="15">
        <f t="shared" ref="AY3:AY66" si="21">IFERROR(AW3/M3,"")</f>
        <v>7.7056750977066601E-2</v>
      </c>
      <c r="AZ3" s="15">
        <f t="shared" ref="AZ3:AZ66" si="22">IFERROR(AX3+AY3,"")</f>
        <v>0.24028449229407864</v>
      </c>
      <c r="BA3" s="61">
        <f>IFERROR(S3*(100-Q3)/(100-4.5),"")</f>
        <v>15.329842931937172</v>
      </c>
      <c r="BB3" s="61">
        <v>7</v>
      </c>
      <c r="BC3" s="61">
        <f>IFERROR(T3*(100-Q3)/(100-4.5),"")</f>
        <v>14.3717277486911</v>
      </c>
      <c r="BD3" s="61">
        <v>17.5</v>
      </c>
      <c r="BE3" s="61">
        <f>IFERROR(W3*(100-Q3)/(100-4.5),"")</f>
        <v>0.95811518324607325</v>
      </c>
      <c r="BF3" s="61">
        <v>0</v>
      </c>
      <c r="BG3" s="61">
        <v>0</v>
      </c>
      <c r="BH3" s="61">
        <v>1</v>
      </c>
      <c r="BI3" s="56">
        <f>SUM(BA3:BH3)</f>
        <v>56.159685863874344</v>
      </c>
      <c r="BJ3" s="57">
        <f>IFERROR(BI3/(SUM(R3:T3)*(100-Q3)/(100-4.5)),"")</f>
        <v>0.25708225481737129</v>
      </c>
      <c r="BK3" s="58">
        <f>IFERROR(SUM(BA3:BB3)/(SUM(R3:T3)*(100-Q3)/(100-4.5)),"")</f>
        <v>0.10221934617965679</v>
      </c>
    </row>
    <row r="4" spans="1:64" ht="17.25" customHeight="1" x14ac:dyDescent="0.3">
      <c r="A4" s="41">
        <v>3</v>
      </c>
      <c r="B4" s="42">
        <v>46192</v>
      </c>
      <c r="C4" s="43" t="str">
        <f t="shared" si="0"/>
        <v>Jun-26</v>
      </c>
      <c r="D4" s="43" t="s">
        <v>68</v>
      </c>
      <c r="E4" s="43" t="s">
        <v>35</v>
      </c>
      <c r="F4" s="43" t="s">
        <v>41</v>
      </c>
      <c r="G4" s="14" t="s">
        <v>64</v>
      </c>
      <c r="H4" s="14" t="s">
        <v>60</v>
      </c>
      <c r="I4" s="14" t="s">
        <v>60</v>
      </c>
      <c r="J4" s="44" t="s">
        <v>60</v>
      </c>
      <c r="K4" s="44">
        <v>2026</v>
      </c>
      <c r="L4" s="44">
        <v>1042</v>
      </c>
      <c r="M4" s="45">
        <v>1000</v>
      </c>
      <c r="N4" s="45">
        <v>188</v>
      </c>
      <c r="O4" s="45">
        <v>7.4</v>
      </c>
      <c r="P4" s="46">
        <f t="shared" si="3"/>
        <v>296</v>
      </c>
      <c r="Q4" s="45">
        <v>7.8</v>
      </c>
      <c r="R4" s="46">
        <v>245</v>
      </c>
      <c r="S4" s="46">
        <v>17</v>
      </c>
      <c r="T4" s="46">
        <v>14</v>
      </c>
      <c r="U4" s="46">
        <v>20</v>
      </c>
      <c r="V4" s="46">
        <v>0</v>
      </c>
      <c r="W4" s="46">
        <v>0</v>
      </c>
      <c r="X4" s="46">
        <v>11</v>
      </c>
      <c r="Y4" s="46">
        <v>6</v>
      </c>
      <c r="Z4" s="46">
        <f t="shared" ref="Z4:Z67" si="23">IFERROR(SUM($R4,0.5*$S4,$T4*0.5)*80*2.2046/$M4,"")</f>
        <v>45.943864000000005</v>
      </c>
      <c r="AA4" s="46">
        <f>IFERROR(SUM($R4,$S4,$T4)*80*2.2046/$M4,"")</f>
        <v>48.677568000000001</v>
      </c>
      <c r="AB4" s="46">
        <f>IFERROR(SUM($R4,$S4,$T4,$U4,$W4)*80*2.2046/$M4,"")</f>
        <v>52.204928000000002</v>
      </c>
      <c r="AC4" s="46">
        <v>245</v>
      </c>
      <c r="AD4" s="46">
        <f>237-35</f>
        <v>202</v>
      </c>
      <c r="AE4" s="46">
        <v>35</v>
      </c>
      <c r="AF4" s="59">
        <f>AD4+AE4-AC4</f>
        <v>-8</v>
      </c>
      <c r="AG4" s="46">
        <f t="shared" si="4"/>
        <v>44</v>
      </c>
      <c r="AH4" s="47">
        <f t="shared" si="5"/>
        <v>53.12684770769836</v>
      </c>
      <c r="AI4" s="47">
        <f t="shared" si="6"/>
        <v>31</v>
      </c>
      <c r="AJ4" s="47">
        <f t="shared" si="7"/>
        <v>20</v>
      </c>
      <c r="AK4" s="47">
        <f t="shared" si="8"/>
        <v>260.5</v>
      </c>
      <c r="AL4" s="48">
        <f t="shared" si="9"/>
        <v>0.26050000000000001</v>
      </c>
      <c r="AM4" s="46">
        <f t="shared" si="10"/>
        <v>45.903083700440526</v>
      </c>
      <c r="AN4" s="46">
        <f t="shared" si="11"/>
        <v>14.767932489451477</v>
      </c>
      <c r="AO4" s="46">
        <f t="shared" si="12"/>
        <v>208.81856540084385</v>
      </c>
      <c r="AP4" s="46">
        <f t="shared" si="13"/>
        <v>43.46835443037974</v>
      </c>
      <c r="AQ4" s="49">
        <f t="shared" si="14"/>
        <v>0.64822010909561367</v>
      </c>
      <c r="AR4" s="50">
        <f t="shared" si="15"/>
        <v>0.35177989090438633</v>
      </c>
      <c r="AS4" s="51">
        <f t="shared" si="16"/>
        <v>0.20881856540084384</v>
      </c>
      <c r="AT4" s="51">
        <f t="shared" si="17"/>
        <v>4.346835443037974E-2</v>
      </c>
      <c r="AU4" s="51">
        <f t="shared" ref="AU4:AU67" si="24">IFERROR(AS4+AT4,"")</f>
        <v>0.25228691983122359</v>
      </c>
      <c r="AV4" s="52">
        <f t="shared" si="18"/>
        <v>201.60284533987229</v>
      </c>
      <c r="AW4" s="52">
        <f t="shared" si="19"/>
        <v>41.96630658095301</v>
      </c>
      <c r="AX4" s="15">
        <f t="shared" si="20"/>
        <v>0.2016028453398723</v>
      </c>
      <c r="AY4" s="15">
        <f t="shared" si="21"/>
        <v>4.196630658095301E-2</v>
      </c>
      <c r="AZ4" s="15">
        <f t="shared" si="22"/>
        <v>0.24356915192082532</v>
      </c>
      <c r="BA4" s="61">
        <f t="shared" ref="BA4:BA67" si="25">IFERROR(S4*(100-Q4)/(100-4.5),"")</f>
        <v>16.412565445026178</v>
      </c>
      <c r="BB4" s="61">
        <v>12</v>
      </c>
      <c r="BC4" s="61">
        <f t="shared" ref="BC4:BC67" si="26">IFERROR(T4*(100-Q4)/(100-4.5),"")</f>
        <v>13.516230366492145</v>
      </c>
      <c r="BD4" s="61">
        <f>22+5</f>
        <v>27</v>
      </c>
      <c r="BE4" s="61">
        <f t="shared" ref="BE4:BE67" si="27">IFERROR(W4*(100-Q4)/(100-4.5),"")</f>
        <v>0</v>
      </c>
      <c r="BF4" s="61">
        <v>0</v>
      </c>
      <c r="BG4" s="61">
        <v>0</v>
      </c>
      <c r="BH4" s="61">
        <v>5</v>
      </c>
      <c r="BI4" s="60">
        <f t="shared" ref="BI4:BI67" si="28">SUM(BA4:BH4)</f>
        <v>73.928795811518327</v>
      </c>
      <c r="BJ4" s="57">
        <f>IFERROR(BI4/(SUM(R4:T4)*(100-Q4)/(100-4.5)),"")</f>
        <v>0.2774450627180986</v>
      </c>
      <c r="BK4" s="58">
        <f t="shared" ref="BK4:BK67" si="29">IFERROR(SUM(BA4:BB4)/AD4,"")</f>
        <v>0.14065626457933753</v>
      </c>
    </row>
    <row r="5" spans="1:64" ht="17.25" customHeight="1" x14ac:dyDescent="0.3">
      <c r="A5" s="41">
        <v>4</v>
      </c>
      <c r="B5" s="42">
        <v>46192</v>
      </c>
      <c r="C5" s="43" t="str">
        <f t="shared" si="0"/>
        <v>Jun-26</v>
      </c>
      <c r="D5" s="43" t="s">
        <v>68</v>
      </c>
      <c r="E5" s="43" t="s">
        <v>35</v>
      </c>
      <c r="F5" s="43" t="s">
        <v>41</v>
      </c>
      <c r="G5" s="14" t="s">
        <v>64</v>
      </c>
      <c r="H5" s="14" t="s">
        <v>60</v>
      </c>
      <c r="I5" s="14" t="s">
        <v>60</v>
      </c>
      <c r="J5" s="44" t="s">
        <v>60</v>
      </c>
      <c r="K5" s="44">
        <v>2026</v>
      </c>
      <c r="L5" s="44">
        <v>1042</v>
      </c>
      <c r="M5" s="45">
        <v>1000</v>
      </c>
      <c r="N5" s="45">
        <v>188</v>
      </c>
      <c r="O5" s="45">
        <v>7.4</v>
      </c>
      <c r="P5" s="46">
        <f t="shared" si="3"/>
        <v>289</v>
      </c>
      <c r="Q5" s="45">
        <v>7.8</v>
      </c>
      <c r="R5" s="46">
        <v>235</v>
      </c>
      <c r="S5" s="46">
        <v>13</v>
      </c>
      <c r="T5" s="46">
        <v>17</v>
      </c>
      <c r="U5" s="46">
        <v>24</v>
      </c>
      <c r="V5" s="46">
        <v>0</v>
      </c>
      <c r="W5" s="46">
        <v>0</v>
      </c>
      <c r="X5" s="46">
        <v>39</v>
      </c>
      <c r="Y5" s="46">
        <v>4</v>
      </c>
      <c r="Z5" s="46">
        <f t="shared" si="23"/>
        <v>44.091999999999999</v>
      </c>
      <c r="AA5" s="46">
        <f t="shared" ref="AA5:AA67" si="30">IFERROR(SUM($R5,$S5,$T5)*80*2.2046/$M5,"")</f>
        <v>46.737520000000004</v>
      </c>
      <c r="AB5" s="46">
        <f t="shared" ref="AB5:AB68" si="31">IFERROR(SUM($R5,$S5,$T5,$U5,$W5)*80*2.2046/$M5,"")</f>
        <v>50.970352000000005</v>
      </c>
      <c r="AC5" s="46">
        <v>235</v>
      </c>
      <c r="AD5" s="46">
        <f>230-31</f>
        <v>199</v>
      </c>
      <c r="AE5" s="46">
        <v>31</v>
      </c>
      <c r="AF5" s="59">
        <f t="shared" si="1"/>
        <v>-5</v>
      </c>
      <c r="AG5" s="46">
        <f t="shared" si="4"/>
        <v>34</v>
      </c>
      <c r="AH5" s="47">
        <f t="shared" si="5"/>
        <v>40.591247760067908</v>
      </c>
      <c r="AI5" s="47">
        <f t="shared" si="6"/>
        <v>30</v>
      </c>
      <c r="AJ5" s="47">
        <f t="shared" si="7"/>
        <v>24</v>
      </c>
      <c r="AK5" s="47">
        <f t="shared" si="8"/>
        <v>250</v>
      </c>
      <c r="AL5" s="48">
        <f t="shared" si="9"/>
        <v>0.25</v>
      </c>
      <c r="AM5" s="46">
        <f t="shared" si="10"/>
        <v>44.052863436123346</v>
      </c>
      <c r="AN5" s="46">
        <f t="shared" si="11"/>
        <v>13.478260869565219</v>
      </c>
      <c r="AO5" s="46">
        <f t="shared" si="12"/>
        <v>203.32608695652175</v>
      </c>
      <c r="AP5" s="46">
        <f t="shared" si="13"/>
        <v>46.721739130434784</v>
      </c>
      <c r="AQ5" s="49">
        <f t="shared" si="14"/>
        <v>0.67269464442883076</v>
      </c>
      <c r="AR5" s="50">
        <f t="shared" si="15"/>
        <v>0.32730535557116924</v>
      </c>
      <c r="AS5" s="51">
        <f t="shared" si="16"/>
        <v>0.20332608695652174</v>
      </c>
      <c r="AT5" s="51">
        <f t="shared" si="17"/>
        <v>4.6721739130434786E-2</v>
      </c>
      <c r="AU5" s="51">
        <f t="shared" si="24"/>
        <v>0.25004782608695653</v>
      </c>
      <c r="AV5" s="52">
        <f t="shared" si="18"/>
        <v>196.30015934441158</v>
      </c>
      <c r="AW5" s="52">
        <f t="shared" si="19"/>
        <v>45.107270657864788</v>
      </c>
      <c r="AX5" s="15">
        <f t="shared" si="20"/>
        <v>0.19630015934441158</v>
      </c>
      <c r="AY5" s="15">
        <f t="shared" si="21"/>
        <v>4.5107270657864788E-2</v>
      </c>
      <c r="AZ5" s="15">
        <f t="shared" si="22"/>
        <v>0.24140743000227638</v>
      </c>
      <c r="BA5" s="61">
        <f t="shared" si="25"/>
        <v>12.550785340314137</v>
      </c>
      <c r="BB5" s="61">
        <v>11</v>
      </c>
      <c r="BC5" s="61">
        <f t="shared" si="26"/>
        <v>16.412565445026178</v>
      </c>
      <c r="BD5" s="61">
        <f>17+3</f>
        <v>20</v>
      </c>
      <c r="BE5" s="61">
        <f t="shared" si="27"/>
        <v>0</v>
      </c>
      <c r="BF5" s="61">
        <v>0</v>
      </c>
      <c r="BG5" s="61">
        <v>0</v>
      </c>
      <c r="BH5" s="61">
        <v>3</v>
      </c>
      <c r="BI5" s="56">
        <f t="shared" si="28"/>
        <v>62.96335078534031</v>
      </c>
      <c r="BJ5" s="57">
        <f t="shared" ref="BJ5:BJ67" si="32">IFERROR(BI5/(SUM(R5:T5)*(100-Q5)/(100-4.5)),"")</f>
        <v>0.2461015839233823</v>
      </c>
      <c r="BK5" s="58">
        <f t="shared" si="29"/>
        <v>0.11834565497645294</v>
      </c>
    </row>
    <row r="6" spans="1:64" ht="17.25" customHeight="1" x14ac:dyDescent="0.3">
      <c r="A6" s="41">
        <v>5</v>
      </c>
      <c r="B6" s="42">
        <v>46192</v>
      </c>
      <c r="C6" s="43" t="str">
        <f t="shared" si="0"/>
        <v>Jun-26</v>
      </c>
      <c r="D6" s="43" t="s">
        <v>69</v>
      </c>
      <c r="E6" s="43" t="s">
        <v>35</v>
      </c>
      <c r="F6" s="43" t="s">
        <v>41</v>
      </c>
      <c r="G6" s="14" t="s">
        <v>70</v>
      </c>
      <c r="H6" s="14" t="s">
        <v>60</v>
      </c>
      <c r="I6" s="14" t="s">
        <v>60</v>
      </c>
      <c r="J6" s="44" t="s">
        <v>60</v>
      </c>
      <c r="K6" s="44">
        <v>2026</v>
      </c>
      <c r="L6" s="44" t="s">
        <v>60</v>
      </c>
      <c r="M6" s="45">
        <v>1000</v>
      </c>
      <c r="N6" s="45">
        <v>191</v>
      </c>
      <c r="O6" s="45">
        <v>7.9</v>
      </c>
      <c r="P6" s="46">
        <f t="shared" si="3"/>
        <v>307</v>
      </c>
      <c r="Q6" s="45">
        <v>7.5</v>
      </c>
      <c r="R6" s="46">
        <v>260</v>
      </c>
      <c r="S6" s="46">
        <v>11</v>
      </c>
      <c r="T6" s="46">
        <v>10</v>
      </c>
      <c r="U6" s="46">
        <v>22</v>
      </c>
      <c r="V6" s="46">
        <v>0</v>
      </c>
      <c r="W6" s="46">
        <v>4</v>
      </c>
      <c r="X6" s="46">
        <v>14</v>
      </c>
      <c r="Y6" s="46">
        <v>5</v>
      </c>
      <c r="Z6" s="46">
        <f t="shared" si="23"/>
        <v>47.707543999999999</v>
      </c>
      <c r="AA6" s="46">
        <f t="shared" si="30"/>
        <v>49.559408000000005</v>
      </c>
      <c r="AB6" s="46">
        <f t="shared" si="31"/>
        <v>54.144976</v>
      </c>
      <c r="AC6" s="46">
        <v>260</v>
      </c>
      <c r="AD6" s="46">
        <f>254-35</f>
        <v>219</v>
      </c>
      <c r="AE6" s="46">
        <v>35</v>
      </c>
      <c r="AF6" s="59">
        <f t="shared" si="1"/>
        <v>-6</v>
      </c>
      <c r="AG6" s="46">
        <f t="shared" si="4"/>
        <v>25</v>
      </c>
      <c r="AH6" s="47">
        <f t="shared" si="5"/>
        <v>29.828686954671209</v>
      </c>
      <c r="AI6" s="47">
        <f t="shared" si="6"/>
        <v>21</v>
      </c>
      <c r="AJ6" s="47">
        <f t="shared" si="7"/>
        <v>26</v>
      </c>
      <c r="AK6" s="47">
        <f t="shared" si="8"/>
        <v>270.5</v>
      </c>
      <c r="AL6" s="48">
        <f t="shared" si="9"/>
        <v>0.27050000000000002</v>
      </c>
      <c r="AM6" s="46">
        <f t="shared" si="10"/>
        <v>47.665198237885463</v>
      </c>
      <c r="AN6" s="46">
        <f t="shared" si="11"/>
        <v>13.779527559055119</v>
      </c>
      <c r="AO6" s="46">
        <f t="shared" si="12"/>
        <v>224.17322834645671</v>
      </c>
      <c r="AP6" s="46">
        <f t="shared" si="13"/>
        <v>40.523622047244096</v>
      </c>
      <c r="AQ6" s="49">
        <f t="shared" si="14"/>
        <v>0.74974369070139668</v>
      </c>
      <c r="AR6" s="50">
        <f t="shared" si="15"/>
        <v>0.25025630929860332</v>
      </c>
      <c r="AS6" s="51">
        <f t="shared" si="16"/>
        <v>0.2241732283464567</v>
      </c>
      <c r="AT6" s="51">
        <f t="shared" si="17"/>
        <v>4.0523622047244093E-2</v>
      </c>
      <c r="AU6" s="51">
        <f t="shared" si="24"/>
        <v>0.26469685039370078</v>
      </c>
      <c r="AV6" s="52">
        <f t="shared" si="18"/>
        <v>217.1311374036361</v>
      </c>
      <c r="AW6" s="52">
        <f t="shared" si="19"/>
        <v>39.25062868450344</v>
      </c>
      <c r="AX6" s="15">
        <f t="shared" si="20"/>
        <v>0.2171311374036361</v>
      </c>
      <c r="AY6" s="15">
        <f t="shared" si="21"/>
        <v>3.9250628684503443E-2</v>
      </c>
      <c r="AZ6" s="15">
        <f t="shared" si="22"/>
        <v>0.25638176608813956</v>
      </c>
      <c r="BA6" s="61">
        <f t="shared" si="25"/>
        <v>10.654450261780104</v>
      </c>
      <c r="BB6" s="61">
        <v>11</v>
      </c>
      <c r="BC6" s="61">
        <f t="shared" si="26"/>
        <v>9.6858638743455501</v>
      </c>
      <c r="BD6" s="61">
        <v>12</v>
      </c>
      <c r="BE6" s="61">
        <f t="shared" si="27"/>
        <v>3.8743455497382198</v>
      </c>
      <c r="BF6" s="61">
        <v>0</v>
      </c>
      <c r="BG6" s="61">
        <v>0</v>
      </c>
      <c r="BH6" s="61">
        <v>2</v>
      </c>
      <c r="BI6" s="56">
        <f t="shared" si="28"/>
        <v>49.214659685863879</v>
      </c>
      <c r="BJ6" s="57">
        <f t="shared" si="32"/>
        <v>0.18082139078580362</v>
      </c>
      <c r="BK6" s="58">
        <f t="shared" si="29"/>
        <v>9.8878768318630614E-2</v>
      </c>
      <c r="BL6" s="62">
        <f>BJ6-BK6</f>
        <v>8.1942622467173001E-2</v>
      </c>
    </row>
    <row r="7" spans="1:64" ht="17.25" customHeight="1" x14ac:dyDescent="0.3">
      <c r="A7" s="41">
        <v>6</v>
      </c>
      <c r="B7" s="42">
        <v>46192</v>
      </c>
      <c r="C7" s="43" t="str">
        <f t="shared" si="0"/>
        <v>Jun-26</v>
      </c>
      <c r="D7" s="43" t="s">
        <v>69</v>
      </c>
      <c r="E7" s="43" t="s">
        <v>35</v>
      </c>
      <c r="F7" s="43" t="s">
        <v>41</v>
      </c>
      <c r="G7" s="14" t="s">
        <v>70</v>
      </c>
      <c r="H7" s="14" t="s">
        <v>60</v>
      </c>
      <c r="I7" s="14" t="s">
        <v>60</v>
      </c>
      <c r="J7" s="44" t="s">
        <v>60</v>
      </c>
      <c r="K7" s="44">
        <v>2026</v>
      </c>
      <c r="L7" s="44" t="s">
        <v>60</v>
      </c>
      <c r="M7" s="45">
        <v>1000</v>
      </c>
      <c r="N7" s="45">
        <v>191</v>
      </c>
      <c r="O7" s="45">
        <v>7.9</v>
      </c>
      <c r="P7" s="46">
        <f t="shared" si="3"/>
        <v>303</v>
      </c>
      <c r="Q7" s="45">
        <v>7.39</v>
      </c>
      <c r="R7" s="46">
        <v>234</v>
      </c>
      <c r="S7" s="46">
        <v>18</v>
      </c>
      <c r="T7" s="46">
        <v>19</v>
      </c>
      <c r="U7" s="46">
        <v>32</v>
      </c>
      <c r="V7" s="46">
        <v>0</v>
      </c>
      <c r="W7" s="46">
        <v>0</v>
      </c>
      <c r="X7" s="46">
        <v>16</v>
      </c>
      <c r="Y7" s="46">
        <v>2</v>
      </c>
      <c r="Z7" s="46">
        <f t="shared" si="23"/>
        <v>44.532920000000004</v>
      </c>
      <c r="AA7" s="46">
        <f t="shared" si="30"/>
        <v>47.795728000000004</v>
      </c>
      <c r="AB7" s="46">
        <f t="shared" si="31"/>
        <v>53.439503999999999</v>
      </c>
      <c r="AC7" s="46">
        <v>234</v>
      </c>
      <c r="AD7" s="46">
        <f>227-30</f>
        <v>197</v>
      </c>
      <c r="AE7" s="46">
        <v>30</v>
      </c>
      <c r="AF7" s="59">
        <f t="shared" si="1"/>
        <v>-7</v>
      </c>
      <c r="AG7" s="46">
        <f t="shared" si="4"/>
        <v>33</v>
      </c>
      <c r="AH7" s="47">
        <f t="shared" si="5"/>
        <v>39.132271326823165</v>
      </c>
      <c r="AI7" s="47">
        <f t="shared" si="6"/>
        <v>37</v>
      </c>
      <c r="AJ7" s="47">
        <f t="shared" si="7"/>
        <v>32</v>
      </c>
      <c r="AK7" s="47">
        <f t="shared" si="8"/>
        <v>252.5</v>
      </c>
      <c r="AL7" s="48">
        <f t="shared" si="9"/>
        <v>0.2525</v>
      </c>
      <c r="AM7" s="46">
        <f t="shared" si="10"/>
        <v>44.493392070484582</v>
      </c>
      <c r="AN7" s="46">
        <f t="shared" si="11"/>
        <v>13.215859030837004</v>
      </c>
      <c r="AO7" s="46">
        <f t="shared" si="12"/>
        <v>203.07488986784139</v>
      </c>
      <c r="AP7" s="46">
        <f t="shared" si="13"/>
        <v>59.881057268722465</v>
      </c>
      <c r="AQ7" s="49">
        <f t="shared" si="14"/>
        <v>0.64312781740322389</v>
      </c>
      <c r="AR7" s="50">
        <f t="shared" si="15"/>
        <v>0.35687218259677617</v>
      </c>
      <c r="AS7" s="51">
        <f t="shared" si="16"/>
        <v>0.20307488986784139</v>
      </c>
      <c r="AT7" s="51">
        <f t="shared" si="17"/>
        <v>5.9881057268722462E-2</v>
      </c>
      <c r="AU7" s="51">
        <f t="shared" si="24"/>
        <v>0.26295594713656384</v>
      </c>
      <c r="AV7" s="52">
        <f t="shared" si="18"/>
        <v>196.92948220587218</v>
      </c>
      <c r="AW7" s="52">
        <f t="shared" si="19"/>
        <v>58.068949881218714</v>
      </c>
      <c r="AX7" s="15">
        <f t="shared" si="20"/>
        <v>0.19692948220587217</v>
      </c>
      <c r="AY7" s="15">
        <f t="shared" si="21"/>
        <v>5.8068949881218711E-2</v>
      </c>
      <c r="AZ7" s="15">
        <f t="shared" si="22"/>
        <v>0.25499843208709089</v>
      </c>
      <c r="BA7" s="61">
        <f t="shared" si="25"/>
        <v>17.455287958115182</v>
      </c>
      <c r="BB7" s="61">
        <v>12</v>
      </c>
      <c r="BC7" s="61">
        <f t="shared" si="26"/>
        <v>18.425026178010469</v>
      </c>
      <c r="BD7" s="61">
        <v>19</v>
      </c>
      <c r="BE7" s="61">
        <f t="shared" si="27"/>
        <v>0</v>
      </c>
      <c r="BF7" s="61">
        <v>0</v>
      </c>
      <c r="BG7" s="61">
        <v>0</v>
      </c>
      <c r="BH7" s="61">
        <v>2</v>
      </c>
      <c r="BI7" s="56">
        <f t="shared" si="28"/>
        <v>68.880314136125648</v>
      </c>
      <c r="BJ7" s="57">
        <f t="shared" si="32"/>
        <v>0.26210259187139973</v>
      </c>
      <c r="BK7" s="58">
        <f t="shared" si="29"/>
        <v>0.14951922821378266</v>
      </c>
      <c r="BL7" s="62">
        <f>BJ7-BK7</f>
        <v>0.11258336365761706</v>
      </c>
    </row>
    <row r="8" spans="1:64" ht="17.25" customHeight="1" x14ac:dyDescent="0.3">
      <c r="A8" s="41">
        <v>7</v>
      </c>
      <c r="B8" s="42">
        <v>46195</v>
      </c>
      <c r="C8" s="43" t="str">
        <f t="shared" si="0"/>
        <v>Jun-26</v>
      </c>
      <c r="D8" s="43" t="s">
        <v>69</v>
      </c>
      <c r="E8" s="43" t="s">
        <v>35</v>
      </c>
      <c r="F8" s="43" t="s">
        <v>41</v>
      </c>
      <c r="G8" s="14" t="s">
        <v>71</v>
      </c>
      <c r="H8" s="14" t="s">
        <v>60</v>
      </c>
      <c r="I8" s="14" t="s">
        <v>60</v>
      </c>
      <c r="J8" s="44" t="s">
        <v>60</v>
      </c>
      <c r="K8" s="44">
        <v>2026</v>
      </c>
      <c r="L8" s="44" t="s">
        <v>60</v>
      </c>
      <c r="M8" s="45">
        <v>1000</v>
      </c>
      <c r="N8" s="45">
        <v>182</v>
      </c>
      <c r="O8" s="45">
        <v>9.4</v>
      </c>
      <c r="P8" s="46">
        <f t="shared" si="3"/>
        <v>287</v>
      </c>
      <c r="Q8" s="45">
        <v>8.1999999999999993</v>
      </c>
      <c r="R8" s="46">
        <v>229</v>
      </c>
      <c r="S8" s="46">
        <v>16</v>
      </c>
      <c r="T8" s="46">
        <v>18</v>
      </c>
      <c r="U8" s="46">
        <v>24</v>
      </c>
      <c r="V8" s="46">
        <v>0</v>
      </c>
      <c r="W8" s="46">
        <v>0</v>
      </c>
      <c r="X8" s="46">
        <v>48</v>
      </c>
      <c r="Y8" s="46">
        <v>4</v>
      </c>
      <c r="Z8" s="46">
        <f t="shared" si="23"/>
        <v>43.386528000000006</v>
      </c>
      <c r="AA8" s="46">
        <f t="shared" si="30"/>
        <v>46.384783999999996</v>
      </c>
      <c r="AB8" s="46">
        <f t="shared" si="31"/>
        <v>50.617616000000005</v>
      </c>
      <c r="AC8" s="46">
        <v>229</v>
      </c>
      <c r="AD8" s="46">
        <f>220-31</f>
        <v>189</v>
      </c>
      <c r="AE8" s="46">
        <v>31</v>
      </c>
      <c r="AF8" s="59">
        <f t="shared" si="1"/>
        <v>-9</v>
      </c>
      <c r="AG8" s="46">
        <f t="shared" si="4"/>
        <v>38</v>
      </c>
      <c r="AH8" s="47">
        <f t="shared" si="5"/>
        <v>45.810358486829074</v>
      </c>
      <c r="AI8" s="47">
        <f t="shared" si="6"/>
        <v>34</v>
      </c>
      <c r="AJ8" s="47">
        <f t="shared" si="7"/>
        <v>24</v>
      </c>
      <c r="AK8" s="47">
        <f t="shared" si="8"/>
        <v>246</v>
      </c>
      <c r="AL8" s="48">
        <f t="shared" si="9"/>
        <v>0.246</v>
      </c>
      <c r="AM8" s="46">
        <f t="shared" si="10"/>
        <v>43.348017621145374</v>
      </c>
      <c r="AN8" s="46">
        <f t="shared" si="11"/>
        <v>14.09090909090909</v>
      </c>
      <c r="AO8" s="46">
        <f t="shared" si="12"/>
        <v>196.73181818181817</v>
      </c>
      <c r="AP8" s="46">
        <f t="shared" si="13"/>
        <v>49.827272727272721</v>
      </c>
      <c r="AQ8" s="49">
        <f t="shared" si="14"/>
        <v>0.63829143384380116</v>
      </c>
      <c r="AR8" s="50">
        <f t="shared" si="15"/>
        <v>0.36170856615619884</v>
      </c>
      <c r="AS8" s="51">
        <f t="shared" si="16"/>
        <v>0.19673181818181817</v>
      </c>
      <c r="AT8" s="51">
        <f t="shared" si="17"/>
        <v>4.982727272727272E-2</v>
      </c>
      <c r="AU8" s="51">
        <f t="shared" si="24"/>
        <v>0.24655909090909089</v>
      </c>
      <c r="AV8" s="52">
        <f t="shared" si="18"/>
        <v>189.10974773917181</v>
      </c>
      <c r="AW8" s="52">
        <f t="shared" si="19"/>
        <v>47.896792003807704</v>
      </c>
      <c r="AX8" s="15">
        <f t="shared" si="20"/>
        <v>0.1891097477391718</v>
      </c>
      <c r="AY8" s="15">
        <f t="shared" si="21"/>
        <v>4.7896792003807705E-2</v>
      </c>
      <c r="AZ8" s="15">
        <f t="shared" si="22"/>
        <v>0.2370065397429795</v>
      </c>
      <c r="BA8" s="61">
        <f t="shared" si="25"/>
        <v>15.380104712041884</v>
      </c>
      <c r="BB8" s="61">
        <v>12</v>
      </c>
      <c r="BC8" s="61">
        <f t="shared" si="26"/>
        <v>17.30261780104712</v>
      </c>
      <c r="BD8" s="61">
        <f>17+5</f>
        <v>22</v>
      </c>
      <c r="BE8" s="61">
        <f t="shared" si="27"/>
        <v>0</v>
      </c>
      <c r="BF8" s="61">
        <v>2</v>
      </c>
      <c r="BG8" s="61">
        <v>0</v>
      </c>
      <c r="BH8" s="61">
        <v>2</v>
      </c>
      <c r="BI8" s="56">
        <f t="shared" si="28"/>
        <v>70.682722513089004</v>
      </c>
      <c r="BJ8" s="57">
        <f t="shared" si="32"/>
        <v>0.27958779625073521</v>
      </c>
      <c r="BK8" s="58">
        <f t="shared" si="29"/>
        <v>0.1448682788996925</v>
      </c>
    </row>
    <row r="9" spans="1:64" ht="17.25" customHeight="1" x14ac:dyDescent="0.3">
      <c r="A9" s="41">
        <v>8</v>
      </c>
      <c r="B9" s="42">
        <v>46195</v>
      </c>
      <c r="C9" s="43" t="str">
        <f t="shared" si="0"/>
        <v>Jun-26</v>
      </c>
      <c r="D9" s="43" t="s">
        <v>69</v>
      </c>
      <c r="E9" s="43" t="s">
        <v>35</v>
      </c>
      <c r="F9" s="43" t="s">
        <v>41</v>
      </c>
      <c r="G9" s="14" t="s">
        <v>71</v>
      </c>
      <c r="H9" s="14" t="s">
        <v>60</v>
      </c>
      <c r="I9" s="14" t="s">
        <v>60</v>
      </c>
      <c r="J9" s="44" t="s">
        <v>60</v>
      </c>
      <c r="K9" s="44">
        <v>2026</v>
      </c>
      <c r="L9" s="44" t="s">
        <v>60</v>
      </c>
      <c r="M9" s="45">
        <v>1000</v>
      </c>
      <c r="N9" s="45">
        <v>182</v>
      </c>
      <c r="O9" s="45">
        <v>9.4</v>
      </c>
      <c r="P9" s="46">
        <f t="shared" si="3"/>
        <v>298</v>
      </c>
      <c r="Q9" s="45">
        <v>8.3000000000000007</v>
      </c>
      <c r="R9" s="46">
        <v>243</v>
      </c>
      <c r="S9" s="46">
        <v>10</v>
      </c>
      <c r="T9" s="46">
        <v>18</v>
      </c>
      <c r="U9" s="46">
        <v>27</v>
      </c>
      <c r="V9" s="46">
        <v>0</v>
      </c>
      <c r="W9" s="46">
        <v>0</v>
      </c>
      <c r="X9" s="46">
        <v>37</v>
      </c>
      <c r="Y9" s="46">
        <v>4</v>
      </c>
      <c r="Z9" s="46">
        <f t="shared" si="23"/>
        <v>45.326576000000003</v>
      </c>
      <c r="AA9" s="46">
        <f t="shared" si="30"/>
        <v>47.795728000000004</v>
      </c>
      <c r="AB9" s="46">
        <f t="shared" si="31"/>
        <v>52.557664000000003</v>
      </c>
      <c r="AC9" s="46">
        <v>243</v>
      </c>
      <c r="AD9" s="46">
        <f>230-32</f>
        <v>198</v>
      </c>
      <c r="AE9" s="46">
        <v>32</v>
      </c>
      <c r="AF9" s="59">
        <f t="shared" si="1"/>
        <v>-13</v>
      </c>
      <c r="AG9" s="46">
        <f t="shared" si="4"/>
        <v>39</v>
      </c>
      <c r="AH9" s="47">
        <f t="shared" si="5"/>
        <v>46.993788819875775</v>
      </c>
      <c r="AI9" s="47">
        <f t="shared" si="6"/>
        <v>28</v>
      </c>
      <c r="AJ9" s="47">
        <f t="shared" si="7"/>
        <v>27</v>
      </c>
      <c r="AK9" s="47">
        <f t="shared" si="8"/>
        <v>257</v>
      </c>
      <c r="AL9" s="48">
        <f t="shared" si="9"/>
        <v>0.25700000000000001</v>
      </c>
      <c r="AM9" s="46">
        <f t="shared" si="10"/>
        <v>45.286343612334811</v>
      </c>
      <c r="AN9" s="46">
        <f t="shared" si="11"/>
        <v>13.913043478260871</v>
      </c>
      <c r="AO9" s="46">
        <f t="shared" si="12"/>
        <v>209.19130434782608</v>
      </c>
      <c r="AP9" s="46">
        <f t="shared" si="13"/>
        <v>47.347826086956516</v>
      </c>
      <c r="AQ9" s="49">
        <f t="shared" si="14"/>
        <v>0.65773896369169205</v>
      </c>
      <c r="AR9" s="50">
        <f t="shared" si="15"/>
        <v>0.34226103630830795</v>
      </c>
      <c r="AS9" s="51">
        <f t="shared" si="16"/>
        <v>0.20919130434782607</v>
      </c>
      <c r="AT9" s="51">
        <f t="shared" si="17"/>
        <v>4.7347826086956514E-2</v>
      </c>
      <c r="AU9" s="51">
        <f t="shared" si="24"/>
        <v>0.2565391304347826</v>
      </c>
      <c r="AV9" s="52">
        <f t="shared" si="18"/>
        <v>200.86746187115867</v>
      </c>
      <c r="AW9" s="52">
        <f t="shared" si="19"/>
        <v>45.463828818575003</v>
      </c>
      <c r="AX9" s="15">
        <f t="shared" si="20"/>
        <v>0.20086746187115867</v>
      </c>
      <c r="AY9" s="15">
        <f t="shared" si="21"/>
        <v>4.5463828818575004E-2</v>
      </c>
      <c r="AZ9" s="15">
        <f t="shared" si="22"/>
        <v>0.24633129068973367</v>
      </c>
      <c r="BA9" s="61">
        <f t="shared" si="25"/>
        <v>9.6020942408376957</v>
      </c>
      <c r="BB9" s="61">
        <v>12</v>
      </c>
      <c r="BC9" s="61">
        <f t="shared" si="26"/>
        <v>17.283769633507855</v>
      </c>
      <c r="BD9" s="61">
        <f>20+4</f>
        <v>24</v>
      </c>
      <c r="BE9" s="61">
        <f t="shared" si="27"/>
        <v>0</v>
      </c>
      <c r="BF9" s="61">
        <v>0</v>
      </c>
      <c r="BG9" s="61">
        <v>0</v>
      </c>
      <c r="BH9" s="61">
        <v>3</v>
      </c>
      <c r="BI9" s="56">
        <f t="shared" si="28"/>
        <v>65.885863874345546</v>
      </c>
      <c r="BJ9" s="57">
        <f t="shared" si="32"/>
        <v>0.25319608703175361</v>
      </c>
      <c r="BK9" s="58">
        <f t="shared" si="29"/>
        <v>0.10910148606483684</v>
      </c>
    </row>
    <row r="10" spans="1:64" ht="17.25" customHeight="1" x14ac:dyDescent="0.3">
      <c r="A10" s="41">
        <v>9</v>
      </c>
      <c r="B10" s="42">
        <v>46195</v>
      </c>
      <c r="C10" s="43" t="str">
        <f t="shared" si="0"/>
        <v>Jun-26</v>
      </c>
      <c r="D10" s="43" t="s">
        <v>67</v>
      </c>
      <c r="E10" s="43" t="s">
        <v>35</v>
      </c>
      <c r="F10" s="43" t="s">
        <v>41</v>
      </c>
      <c r="G10" s="14" t="s">
        <v>60</v>
      </c>
      <c r="H10" s="14" t="s">
        <v>72</v>
      </c>
      <c r="I10" s="14" t="s">
        <v>73</v>
      </c>
      <c r="J10" s="44" t="s">
        <v>74</v>
      </c>
      <c r="K10" s="44">
        <v>2026</v>
      </c>
      <c r="L10" s="44" t="s">
        <v>60</v>
      </c>
      <c r="M10" s="45">
        <v>1000</v>
      </c>
      <c r="N10" s="45">
        <v>181</v>
      </c>
      <c r="O10" s="45">
        <v>9</v>
      </c>
      <c r="P10" s="46">
        <f t="shared" si="3"/>
        <v>291</v>
      </c>
      <c r="Q10" s="45">
        <v>8.1999999999999993</v>
      </c>
      <c r="R10" s="46">
        <v>178</v>
      </c>
      <c r="S10" s="46">
        <v>30</v>
      </c>
      <c r="T10" s="46">
        <v>23</v>
      </c>
      <c r="U10" s="46">
        <v>60</v>
      </c>
      <c r="V10" s="46">
        <v>0</v>
      </c>
      <c r="W10" s="46">
        <v>0</v>
      </c>
      <c r="X10" s="46">
        <v>16</v>
      </c>
      <c r="Y10" s="46">
        <v>3</v>
      </c>
      <c r="Z10" s="46">
        <f t="shared" si="23"/>
        <v>36.067256</v>
      </c>
      <c r="AA10" s="46">
        <f t="shared" si="30"/>
        <v>40.741008000000001</v>
      </c>
      <c r="AB10" s="46">
        <f t="shared" si="31"/>
        <v>51.323088000000006</v>
      </c>
      <c r="AC10" s="46">
        <v>178</v>
      </c>
      <c r="AD10" s="46">
        <f>172-23</f>
        <v>149</v>
      </c>
      <c r="AE10" s="46">
        <v>23</v>
      </c>
      <c r="AF10" s="59">
        <f t="shared" si="1"/>
        <v>-6</v>
      </c>
      <c r="AG10" s="46">
        <f t="shared" si="4"/>
        <v>44</v>
      </c>
      <c r="AH10" s="47">
        <f t="shared" si="5"/>
        <v>52.7093783249734</v>
      </c>
      <c r="AI10" s="47">
        <f t="shared" si="6"/>
        <v>53</v>
      </c>
      <c r="AJ10" s="47">
        <f t="shared" si="7"/>
        <v>60</v>
      </c>
      <c r="AK10" s="47">
        <f t="shared" si="8"/>
        <v>204.5</v>
      </c>
      <c r="AL10" s="48">
        <f t="shared" si="9"/>
        <v>0.20449999999999999</v>
      </c>
      <c r="AM10" s="46">
        <f t="shared" si="10"/>
        <v>36.035242290748897</v>
      </c>
      <c r="AN10" s="46">
        <f t="shared" si="11"/>
        <v>13.372093023255815</v>
      </c>
      <c r="AO10" s="46">
        <f t="shared" si="12"/>
        <v>154.19767441860463</v>
      </c>
      <c r="AP10" s="46">
        <f t="shared" si="13"/>
        <v>97.889534883720927</v>
      </c>
      <c r="AQ10" s="49">
        <f t="shared" si="14"/>
        <v>0.43055196451899175</v>
      </c>
      <c r="AR10" s="50">
        <f t="shared" si="15"/>
        <v>0.5694480354810082</v>
      </c>
      <c r="AS10" s="51">
        <f t="shared" si="16"/>
        <v>0.15419767441860463</v>
      </c>
      <c r="AT10" s="51">
        <f t="shared" si="17"/>
        <v>9.788953488372093E-2</v>
      </c>
      <c r="AU10" s="51">
        <f t="shared" si="24"/>
        <v>0.25208720930232553</v>
      </c>
      <c r="AV10" s="52">
        <f t="shared" si="18"/>
        <v>148.22352368196761</v>
      </c>
      <c r="AW10" s="52">
        <f t="shared" si="19"/>
        <v>94.09695604529405</v>
      </c>
      <c r="AX10" s="15">
        <f t="shared" si="20"/>
        <v>0.14822352368196762</v>
      </c>
      <c r="AY10" s="15">
        <f t="shared" si="21"/>
        <v>9.4096956045294056E-2</v>
      </c>
      <c r="AZ10" s="15">
        <f t="shared" si="22"/>
        <v>0.24232047972726167</v>
      </c>
      <c r="BA10" s="61">
        <f t="shared" si="25"/>
        <v>28.837696335078533</v>
      </c>
      <c r="BB10" s="61">
        <v>15</v>
      </c>
      <c r="BC10" s="61">
        <f t="shared" si="26"/>
        <v>22.108900523560209</v>
      </c>
      <c r="BD10" s="61">
        <f>24+2</f>
        <v>26</v>
      </c>
      <c r="BE10" s="61">
        <f t="shared" si="27"/>
        <v>0</v>
      </c>
      <c r="BF10" s="61">
        <v>0</v>
      </c>
      <c r="BG10" s="61">
        <v>0</v>
      </c>
      <c r="BH10" s="61">
        <v>3</v>
      </c>
      <c r="BI10" s="56">
        <f t="shared" si="28"/>
        <v>94.946596858638742</v>
      </c>
      <c r="BJ10" s="57">
        <f t="shared" si="32"/>
        <v>0.42759056484546681</v>
      </c>
      <c r="BK10" s="58">
        <f t="shared" si="29"/>
        <v>0.294212727081064</v>
      </c>
    </row>
    <row r="11" spans="1:64" ht="17.25" customHeight="1" x14ac:dyDescent="0.3">
      <c r="A11" s="41">
        <v>10</v>
      </c>
      <c r="B11" s="42">
        <v>46195</v>
      </c>
      <c r="C11" s="43" t="str">
        <f t="shared" si="0"/>
        <v>Jun-26</v>
      </c>
      <c r="D11" s="43" t="s">
        <v>68</v>
      </c>
      <c r="E11" s="43" t="s">
        <v>35</v>
      </c>
      <c r="F11" s="43" t="s">
        <v>41</v>
      </c>
      <c r="G11" s="14" t="s">
        <v>64</v>
      </c>
      <c r="H11" s="14" t="s">
        <v>60</v>
      </c>
      <c r="I11" s="14" t="s">
        <v>60</v>
      </c>
      <c r="J11" s="44" t="s">
        <v>60</v>
      </c>
      <c r="K11" s="44">
        <v>2026</v>
      </c>
      <c r="L11" s="44">
        <v>1043</v>
      </c>
      <c r="M11" s="45">
        <v>1000</v>
      </c>
      <c r="N11" s="45">
        <v>193</v>
      </c>
      <c r="O11" s="45">
        <v>7.4</v>
      </c>
      <c r="P11" s="46">
        <f t="shared" si="3"/>
        <v>294</v>
      </c>
      <c r="Q11" s="45">
        <v>7</v>
      </c>
      <c r="R11" s="46">
        <v>242</v>
      </c>
      <c r="S11" s="46">
        <v>12</v>
      </c>
      <c r="T11" s="46">
        <v>15</v>
      </c>
      <c r="U11" s="46">
        <v>25</v>
      </c>
      <c r="V11" s="46">
        <v>0</v>
      </c>
      <c r="W11" s="46">
        <v>0</v>
      </c>
      <c r="X11" s="46">
        <v>35</v>
      </c>
      <c r="Y11" s="46">
        <v>3</v>
      </c>
      <c r="Z11" s="46">
        <f t="shared" si="23"/>
        <v>45.062024000000008</v>
      </c>
      <c r="AA11" s="46">
        <f t="shared" si="30"/>
        <v>47.442992000000004</v>
      </c>
      <c r="AB11" s="46">
        <f t="shared" si="31"/>
        <v>51.852192000000002</v>
      </c>
      <c r="AC11" s="46">
        <v>242</v>
      </c>
      <c r="AD11" s="46">
        <f>232-38</f>
        <v>194</v>
      </c>
      <c r="AE11" s="46">
        <v>38</v>
      </c>
      <c r="AF11" s="59">
        <f t="shared" si="1"/>
        <v>-10</v>
      </c>
      <c r="AG11" s="46">
        <f t="shared" si="4"/>
        <v>37</v>
      </c>
      <c r="AH11" s="47">
        <f t="shared" si="5"/>
        <v>44.912402669632925</v>
      </c>
      <c r="AI11" s="47">
        <f t="shared" si="6"/>
        <v>27</v>
      </c>
      <c r="AJ11" s="47">
        <f t="shared" si="7"/>
        <v>25</v>
      </c>
      <c r="AK11" s="47">
        <f t="shared" si="8"/>
        <v>255.5</v>
      </c>
      <c r="AL11" s="48">
        <f t="shared" si="9"/>
        <v>0.2555</v>
      </c>
      <c r="AM11" s="46">
        <f t="shared" si="10"/>
        <v>45.022026431718061</v>
      </c>
      <c r="AN11" s="46">
        <f t="shared" si="11"/>
        <v>16.379310344827587</v>
      </c>
      <c r="AO11" s="46">
        <f t="shared" si="12"/>
        <v>202.36206896551724</v>
      </c>
      <c r="AP11" s="46">
        <f t="shared" si="13"/>
        <v>43.482758620689651</v>
      </c>
      <c r="AQ11" s="49">
        <f t="shared" si="14"/>
        <v>0.6703659773141738</v>
      </c>
      <c r="AR11" s="50">
        <f t="shared" si="15"/>
        <v>0.32963402268582626</v>
      </c>
      <c r="AS11" s="51">
        <f t="shared" si="16"/>
        <v>0.20236206896551723</v>
      </c>
      <c r="AT11" s="51">
        <f t="shared" si="17"/>
        <v>4.3482758620689649E-2</v>
      </c>
      <c r="AU11" s="51">
        <f t="shared" si="24"/>
        <v>0.24584482758620688</v>
      </c>
      <c r="AV11" s="52">
        <f t="shared" si="18"/>
        <v>197.06463260516335</v>
      </c>
      <c r="AW11" s="52">
        <f t="shared" si="19"/>
        <v>42.344466510200398</v>
      </c>
      <c r="AX11" s="15">
        <f t="shared" si="20"/>
        <v>0.19706463260516335</v>
      </c>
      <c r="AY11" s="15">
        <f t="shared" si="21"/>
        <v>4.23444665102004E-2</v>
      </c>
      <c r="AZ11" s="15">
        <f t="shared" si="22"/>
        <v>0.23940909911536376</v>
      </c>
      <c r="BA11" s="61">
        <f t="shared" si="25"/>
        <v>11.68586387434555</v>
      </c>
      <c r="BB11" s="61">
        <v>9</v>
      </c>
      <c r="BC11" s="61">
        <f t="shared" si="26"/>
        <v>14.607329842931938</v>
      </c>
      <c r="BD11" s="61">
        <f>18+1</f>
        <v>19</v>
      </c>
      <c r="BE11" s="61">
        <f t="shared" si="27"/>
        <v>0</v>
      </c>
      <c r="BF11" s="61">
        <v>0</v>
      </c>
      <c r="BG11" s="61">
        <v>0</v>
      </c>
      <c r="BH11" s="61">
        <v>9</v>
      </c>
      <c r="BI11" s="56">
        <f t="shared" si="28"/>
        <v>63.293193717277489</v>
      </c>
      <c r="BJ11" s="57">
        <f t="shared" si="32"/>
        <v>0.24161570132310028</v>
      </c>
      <c r="BK11" s="58">
        <f t="shared" si="29"/>
        <v>0.10662816430075026</v>
      </c>
    </row>
    <row r="12" spans="1:64" ht="17.25" customHeight="1" x14ac:dyDescent="0.3">
      <c r="A12" s="41">
        <v>11</v>
      </c>
      <c r="B12" s="42">
        <v>46195</v>
      </c>
      <c r="C12" s="43" t="str">
        <f t="shared" ref="C12:C13" si="33">IF(ISBLANK(B12),"",TEXT(B12,"mmm-YY"))</f>
        <v>Jun-26</v>
      </c>
      <c r="D12" s="43" t="s">
        <v>68</v>
      </c>
      <c r="E12" s="43" t="s">
        <v>35</v>
      </c>
      <c r="F12" s="43" t="s">
        <v>41</v>
      </c>
      <c r="G12" s="14" t="s">
        <v>64</v>
      </c>
      <c r="H12" s="14" t="s">
        <v>60</v>
      </c>
      <c r="I12" s="14" t="s">
        <v>60</v>
      </c>
      <c r="J12" s="44" t="s">
        <v>60</v>
      </c>
      <c r="K12" s="44">
        <v>2026</v>
      </c>
      <c r="L12" s="44">
        <v>1043</v>
      </c>
      <c r="M12" s="45">
        <v>1000</v>
      </c>
      <c r="N12" s="45">
        <v>193</v>
      </c>
      <c r="O12" s="45">
        <v>7.4</v>
      </c>
      <c r="P12" s="46">
        <f t="shared" si="3"/>
        <v>295</v>
      </c>
      <c r="Q12" s="45">
        <v>7.39</v>
      </c>
      <c r="R12" s="46">
        <v>231</v>
      </c>
      <c r="S12" s="46">
        <v>22</v>
      </c>
      <c r="T12" s="46">
        <v>17</v>
      </c>
      <c r="U12" s="46">
        <v>25</v>
      </c>
      <c r="V12" s="46">
        <v>0</v>
      </c>
      <c r="W12" s="46">
        <v>0</v>
      </c>
      <c r="X12" s="46">
        <v>27</v>
      </c>
      <c r="Y12" s="46">
        <v>5</v>
      </c>
      <c r="Z12" s="46">
        <f t="shared" si="23"/>
        <v>44.180184000000004</v>
      </c>
      <c r="AA12" s="46">
        <f t="shared" si="30"/>
        <v>47.61936</v>
      </c>
      <c r="AB12" s="46">
        <f t="shared" si="31"/>
        <v>52.028560000000006</v>
      </c>
      <c r="AC12" s="46">
        <v>231</v>
      </c>
      <c r="AD12" s="46">
        <f>223-33</f>
        <v>190</v>
      </c>
      <c r="AE12" s="46">
        <v>33</v>
      </c>
      <c r="AF12" s="59">
        <f t="shared" si="1"/>
        <v>-8</v>
      </c>
      <c r="AG12" s="46">
        <f t="shared" si="4"/>
        <v>32</v>
      </c>
      <c r="AH12" s="47">
        <f t="shared" si="5"/>
        <v>38.476798648849531</v>
      </c>
      <c r="AI12" s="47">
        <f t="shared" si="6"/>
        <v>39</v>
      </c>
      <c r="AJ12" s="47">
        <f t="shared" si="7"/>
        <v>25</v>
      </c>
      <c r="AK12" s="47">
        <f t="shared" si="8"/>
        <v>250.5</v>
      </c>
      <c r="AL12" s="48">
        <f t="shared" si="9"/>
        <v>0.2505</v>
      </c>
      <c r="AM12" s="46">
        <f t="shared" si="10"/>
        <v>44.140969162995596</v>
      </c>
      <c r="AN12" s="46">
        <f t="shared" si="11"/>
        <v>14.798206278026907</v>
      </c>
      <c r="AO12" s="46">
        <f t="shared" si="12"/>
        <v>196.81614349775782</v>
      </c>
      <c r="AP12" s="46">
        <f t="shared" si="13"/>
        <v>54.529147982062774</v>
      </c>
      <c r="AQ12" s="49">
        <f t="shared" si="14"/>
        <v>0.65262102152932366</v>
      </c>
      <c r="AR12" s="50">
        <f t="shared" si="15"/>
        <v>0.34737897847067634</v>
      </c>
      <c r="AS12" s="51">
        <f t="shared" si="16"/>
        <v>0.19681614349775783</v>
      </c>
      <c r="AT12" s="51">
        <f t="shared" si="17"/>
        <v>5.4529147982062771E-2</v>
      </c>
      <c r="AU12" s="51">
        <f t="shared" si="24"/>
        <v>0.2513452914798206</v>
      </c>
      <c r="AV12" s="52">
        <f t="shared" si="18"/>
        <v>190.86013664217123</v>
      </c>
      <c r="AW12" s="52">
        <f t="shared" si="19"/>
        <v>52.878998896532295</v>
      </c>
      <c r="AX12" s="15">
        <f t="shared" si="20"/>
        <v>0.19086013664217122</v>
      </c>
      <c r="AY12" s="15">
        <f t="shared" si="21"/>
        <v>5.2878998896532296E-2</v>
      </c>
      <c r="AZ12" s="15">
        <f t="shared" si="22"/>
        <v>0.24373913553870352</v>
      </c>
      <c r="BA12" s="61">
        <f t="shared" si="25"/>
        <v>21.334240837696335</v>
      </c>
      <c r="BB12" s="61">
        <v>6</v>
      </c>
      <c r="BC12" s="61">
        <f t="shared" si="26"/>
        <v>16.485549738219895</v>
      </c>
      <c r="BD12" s="61">
        <f>20+2</f>
        <v>22</v>
      </c>
      <c r="BE12" s="61">
        <f t="shared" si="27"/>
        <v>0</v>
      </c>
      <c r="BF12" s="61">
        <v>0</v>
      </c>
      <c r="BG12" s="61">
        <v>0</v>
      </c>
      <c r="BH12" s="61">
        <v>4</v>
      </c>
      <c r="BI12" s="56">
        <f t="shared" si="28"/>
        <v>69.81979057591623</v>
      </c>
      <c r="BJ12" s="57">
        <f t="shared" si="32"/>
        <v>0.26666146764408288</v>
      </c>
      <c r="BK12" s="58">
        <f t="shared" si="29"/>
        <v>0.14386442546155967</v>
      </c>
    </row>
    <row r="13" spans="1:64" ht="17.25" customHeight="1" x14ac:dyDescent="0.3">
      <c r="A13" s="41">
        <v>12</v>
      </c>
      <c r="B13" s="42">
        <v>46196</v>
      </c>
      <c r="C13" s="43" t="str">
        <f t="shared" si="33"/>
        <v>Jun-26</v>
      </c>
      <c r="D13" s="43" t="s">
        <v>68</v>
      </c>
      <c r="E13" s="43" t="s">
        <v>35</v>
      </c>
      <c r="F13" s="43" t="s">
        <v>41</v>
      </c>
      <c r="G13" s="14" t="s">
        <v>75</v>
      </c>
      <c r="H13" s="14" t="s">
        <v>60</v>
      </c>
      <c r="I13" s="14" t="s">
        <v>60</v>
      </c>
      <c r="J13" s="44" t="s">
        <v>60</v>
      </c>
      <c r="K13" s="44">
        <v>2026</v>
      </c>
      <c r="L13" s="44">
        <v>1044</v>
      </c>
      <c r="M13" s="45">
        <v>1000</v>
      </c>
      <c r="N13" s="45">
        <v>186</v>
      </c>
      <c r="O13" s="45">
        <v>7.8</v>
      </c>
      <c r="P13" s="46">
        <f t="shared" si="3"/>
        <v>306</v>
      </c>
      <c r="Q13" s="45">
        <v>7.5</v>
      </c>
      <c r="R13" s="46">
        <v>260</v>
      </c>
      <c r="S13" s="46">
        <v>10</v>
      </c>
      <c r="T13" s="46">
        <v>8</v>
      </c>
      <c r="U13" s="46">
        <v>28</v>
      </c>
      <c r="V13" s="46">
        <v>0</v>
      </c>
      <c r="W13" s="46">
        <v>0</v>
      </c>
      <c r="X13" s="46">
        <v>14</v>
      </c>
      <c r="Y13" s="46">
        <v>0</v>
      </c>
      <c r="Z13" s="46">
        <f t="shared" si="23"/>
        <v>47.442992000000004</v>
      </c>
      <c r="AA13" s="46">
        <f t="shared" si="30"/>
        <v>49.030304000000001</v>
      </c>
      <c r="AB13" s="46">
        <f t="shared" si="31"/>
        <v>53.968608000000003</v>
      </c>
      <c r="AC13" s="46">
        <v>260</v>
      </c>
      <c r="AD13" s="46">
        <f>254-41</f>
        <v>213</v>
      </c>
      <c r="AE13" s="46">
        <v>41</v>
      </c>
      <c r="AF13" s="59">
        <f t="shared" si="1"/>
        <v>-6</v>
      </c>
      <c r="AG13" s="46">
        <f t="shared" si="4"/>
        <v>18</v>
      </c>
      <c r="AH13" s="47">
        <f t="shared" si="5"/>
        <v>21.922536709938285</v>
      </c>
      <c r="AI13" s="47">
        <f t="shared" si="6"/>
        <v>18</v>
      </c>
      <c r="AJ13" s="47">
        <f t="shared" si="7"/>
        <v>28</v>
      </c>
      <c r="AK13" s="47">
        <f t="shared" si="8"/>
        <v>269</v>
      </c>
      <c r="AL13" s="48">
        <f t="shared" si="9"/>
        <v>0.26900000000000002</v>
      </c>
      <c r="AM13" s="46">
        <f t="shared" si="10"/>
        <v>47.40088105726872</v>
      </c>
      <c r="AN13" s="46">
        <f t="shared" si="11"/>
        <v>16.141732283464567</v>
      </c>
      <c r="AO13" s="46">
        <f t="shared" si="12"/>
        <v>218.03149606299215</v>
      </c>
      <c r="AP13" s="46">
        <f t="shared" si="13"/>
        <v>38.574803149606304</v>
      </c>
      <c r="AQ13" s="49">
        <f t="shared" si="14"/>
        <v>0.77803092578451538</v>
      </c>
      <c r="AR13" s="50">
        <f t="shared" si="15"/>
        <v>0.22196907421548459</v>
      </c>
      <c r="AS13" s="51">
        <f t="shared" si="16"/>
        <v>0.21803149606299216</v>
      </c>
      <c r="AT13" s="51">
        <f t="shared" si="17"/>
        <v>3.8574803149606304E-2</v>
      </c>
      <c r="AU13" s="51">
        <f t="shared" si="24"/>
        <v>0.25660629921259848</v>
      </c>
      <c r="AV13" s="52">
        <f t="shared" si="18"/>
        <v>211.18233911860497</v>
      </c>
      <c r="AW13" s="52">
        <f t="shared" si="19"/>
        <v>37.363029228676261</v>
      </c>
      <c r="AX13" s="15">
        <f t="shared" si="20"/>
        <v>0.21118233911860498</v>
      </c>
      <c r="AY13" s="15">
        <f t="shared" si="21"/>
        <v>3.7363029228676264E-2</v>
      </c>
      <c r="AZ13" s="15">
        <f t="shared" si="22"/>
        <v>0.24854536834728125</v>
      </c>
      <c r="BA13" s="61">
        <f t="shared" si="25"/>
        <v>9.6858638743455501</v>
      </c>
      <c r="BB13" s="61">
        <v>5</v>
      </c>
      <c r="BC13" s="61">
        <f t="shared" si="26"/>
        <v>7.7486910994764395</v>
      </c>
      <c r="BD13" s="61">
        <f>11+2</f>
        <v>13</v>
      </c>
      <c r="BE13" s="61">
        <f t="shared" si="27"/>
        <v>0</v>
      </c>
      <c r="BF13" s="61">
        <v>0</v>
      </c>
      <c r="BG13" s="61">
        <v>0</v>
      </c>
      <c r="BH13" s="61">
        <f>0</f>
        <v>0</v>
      </c>
      <c r="BI13" s="56">
        <f t="shared" si="28"/>
        <v>35.434554973821989</v>
      </c>
      <c r="BJ13" s="57">
        <f t="shared" si="32"/>
        <v>0.13159634454598484</v>
      </c>
      <c r="BK13" s="58">
        <f t="shared" si="29"/>
        <v>6.8947717719932161E-2</v>
      </c>
    </row>
    <row r="14" spans="1:64" ht="17.25" customHeight="1" x14ac:dyDescent="0.3">
      <c r="A14" s="41">
        <v>13</v>
      </c>
      <c r="B14" s="42">
        <v>46196</v>
      </c>
      <c r="C14" s="43" t="str">
        <f t="shared" si="0"/>
        <v>Jun-26</v>
      </c>
      <c r="D14" s="43" t="s">
        <v>68</v>
      </c>
      <c r="E14" s="43" t="s">
        <v>35</v>
      </c>
      <c r="F14" s="43" t="s">
        <v>41</v>
      </c>
      <c r="G14" s="14" t="s">
        <v>75</v>
      </c>
      <c r="H14" s="14" t="s">
        <v>60</v>
      </c>
      <c r="I14" s="14" t="s">
        <v>60</v>
      </c>
      <c r="J14" s="44" t="s">
        <v>60</v>
      </c>
      <c r="K14" s="44">
        <v>2026</v>
      </c>
      <c r="L14" s="44">
        <v>1044</v>
      </c>
      <c r="M14" s="45">
        <v>1000</v>
      </c>
      <c r="N14" s="45">
        <v>186</v>
      </c>
      <c r="O14" s="45">
        <v>7.8</v>
      </c>
      <c r="P14" s="46">
        <f t="shared" si="3"/>
        <v>308</v>
      </c>
      <c r="Q14" s="45">
        <v>7.5</v>
      </c>
      <c r="R14" s="46">
        <v>257</v>
      </c>
      <c r="S14" s="46">
        <v>17</v>
      </c>
      <c r="T14" s="46">
        <v>10</v>
      </c>
      <c r="U14" s="46">
        <v>24</v>
      </c>
      <c r="V14" s="46">
        <v>0</v>
      </c>
      <c r="W14" s="46">
        <v>0</v>
      </c>
      <c r="X14" s="46">
        <v>10</v>
      </c>
      <c r="Y14" s="46">
        <v>0</v>
      </c>
      <c r="Z14" s="46">
        <f t="shared" si="23"/>
        <v>47.707543999999999</v>
      </c>
      <c r="AA14" s="46">
        <f t="shared" si="30"/>
        <v>50.088512000000001</v>
      </c>
      <c r="AB14" s="46">
        <f t="shared" si="31"/>
        <v>54.321344000000003</v>
      </c>
      <c r="AC14" s="46">
        <v>257</v>
      </c>
      <c r="AD14" s="46">
        <f>253-37</f>
        <v>216</v>
      </c>
      <c r="AE14" s="46">
        <v>37</v>
      </c>
      <c r="AF14" s="59">
        <f t="shared" si="1"/>
        <v>-4</v>
      </c>
      <c r="AG14" s="46">
        <f t="shared" si="4"/>
        <v>24</v>
      </c>
      <c r="AH14" s="47">
        <f t="shared" si="5"/>
        <v>28.84819997863476</v>
      </c>
      <c r="AI14" s="47">
        <f t="shared" si="6"/>
        <v>27</v>
      </c>
      <c r="AJ14" s="47">
        <f t="shared" si="7"/>
        <v>24</v>
      </c>
      <c r="AK14" s="47">
        <f t="shared" si="8"/>
        <v>270.5</v>
      </c>
      <c r="AL14" s="48">
        <f t="shared" si="9"/>
        <v>0.27050000000000002</v>
      </c>
      <c r="AM14" s="46">
        <f t="shared" si="10"/>
        <v>47.665198237885463</v>
      </c>
      <c r="AN14" s="46">
        <f t="shared" si="11"/>
        <v>14.624505928853756</v>
      </c>
      <c r="AO14" s="46">
        <f t="shared" si="12"/>
        <v>219.41501976284587</v>
      </c>
      <c r="AP14" s="46">
        <f t="shared" si="13"/>
        <v>43.541501976284586</v>
      </c>
      <c r="AQ14" s="49">
        <f t="shared" si="14"/>
        <v>0.74075259747196509</v>
      </c>
      <c r="AR14" s="50">
        <f t="shared" si="15"/>
        <v>0.25924740252803496</v>
      </c>
      <c r="AS14" s="51">
        <f t="shared" si="16"/>
        <v>0.21941501976284589</v>
      </c>
      <c r="AT14" s="51">
        <f t="shared" si="17"/>
        <v>4.3541501976284584E-2</v>
      </c>
      <c r="AU14" s="51">
        <f t="shared" si="24"/>
        <v>0.26295652173913048</v>
      </c>
      <c r="AV14" s="52">
        <f t="shared" si="18"/>
        <v>212.52240134097639</v>
      </c>
      <c r="AW14" s="52">
        <f t="shared" si="19"/>
        <v>42.173706102684022</v>
      </c>
      <c r="AX14" s="15">
        <f t="shared" si="20"/>
        <v>0.21252240134097639</v>
      </c>
      <c r="AY14" s="15">
        <f t="shared" si="21"/>
        <v>4.2173706102684019E-2</v>
      </c>
      <c r="AZ14" s="15">
        <f t="shared" si="22"/>
        <v>0.25469610744366039</v>
      </c>
      <c r="BA14" s="61">
        <f t="shared" si="25"/>
        <v>16.465968586387433</v>
      </c>
      <c r="BB14" s="61">
        <v>6</v>
      </c>
      <c r="BC14" s="61">
        <f t="shared" si="26"/>
        <v>9.6858638743455501</v>
      </c>
      <c r="BD14" s="61">
        <f>15+3</f>
        <v>18</v>
      </c>
      <c r="BE14" s="61">
        <f t="shared" si="27"/>
        <v>0</v>
      </c>
      <c r="BF14" s="61">
        <v>0</v>
      </c>
      <c r="BG14" s="61">
        <v>0</v>
      </c>
      <c r="BH14" s="61">
        <v>0</v>
      </c>
      <c r="BI14" s="56">
        <f t="shared" si="28"/>
        <v>50.151832460732983</v>
      </c>
      <c r="BJ14" s="57">
        <f t="shared" si="32"/>
        <v>0.18231823372668443</v>
      </c>
      <c r="BK14" s="58">
        <f t="shared" si="29"/>
        <v>0.10400911382586775</v>
      </c>
    </row>
    <row r="15" spans="1:64" ht="17.25" customHeight="1" x14ac:dyDescent="0.3">
      <c r="A15" s="41">
        <v>14</v>
      </c>
      <c r="B15" s="42">
        <v>46196</v>
      </c>
      <c r="C15" s="43" t="str">
        <f t="shared" si="0"/>
        <v>Jun-26</v>
      </c>
      <c r="D15" s="43" t="s">
        <v>69</v>
      </c>
      <c r="E15" s="43" t="s">
        <v>35</v>
      </c>
      <c r="F15" s="43" t="s">
        <v>41</v>
      </c>
      <c r="G15" s="14" t="s">
        <v>76</v>
      </c>
      <c r="H15" s="14" t="s">
        <v>60</v>
      </c>
      <c r="I15" s="14" t="s">
        <v>60</v>
      </c>
      <c r="J15" s="44" t="s">
        <v>60</v>
      </c>
      <c r="K15" s="44">
        <v>2026</v>
      </c>
      <c r="L15" s="44" t="s">
        <v>60</v>
      </c>
      <c r="M15" s="45">
        <v>1000</v>
      </c>
      <c r="N15" s="45">
        <v>180</v>
      </c>
      <c r="O15" s="45">
        <v>8.9</v>
      </c>
      <c r="P15" s="46">
        <f t="shared" si="3"/>
        <v>303</v>
      </c>
      <c r="Q15" s="45">
        <v>7.9</v>
      </c>
      <c r="R15" s="46">
        <v>245</v>
      </c>
      <c r="S15" s="46">
        <v>16</v>
      </c>
      <c r="T15" s="46">
        <v>14</v>
      </c>
      <c r="U15" s="46">
        <v>25</v>
      </c>
      <c r="V15" s="46">
        <v>0</v>
      </c>
      <c r="W15" s="46">
        <v>3</v>
      </c>
      <c r="X15" s="46">
        <v>25</v>
      </c>
      <c r="Y15" s="46">
        <v>8</v>
      </c>
      <c r="Z15" s="46">
        <f t="shared" si="23"/>
        <v>45.85568</v>
      </c>
      <c r="AA15" s="46">
        <f t="shared" si="30"/>
        <v>48.501200000000004</v>
      </c>
      <c r="AB15" s="46">
        <f t="shared" si="31"/>
        <v>53.439503999999999</v>
      </c>
      <c r="AC15" s="46">
        <v>245</v>
      </c>
      <c r="AD15" s="46">
        <f>238-37</f>
        <v>201</v>
      </c>
      <c r="AE15" s="46">
        <v>37</v>
      </c>
      <c r="AF15" s="59">
        <f t="shared" si="1"/>
        <v>-7</v>
      </c>
      <c r="AG15" s="46">
        <f t="shared" si="4"/>
        <v>32</v>
      </c>
      <c r="AH15" s="47">
        <f t="shared" si="5"/>
        <v>38.941961149280559</v>
      </c>
      <c r="AI15" s="47">
        <f t="shared" si="6"/>
        <v>30</v>
      </c>
      <c r="AJ15" s="47">
        <f t="shared" si="7"/>
        <v>28</v>
      </c>
      <c r="AK15" s="47">
        <f t="shared" si="8"/>
        <v>260</v>
      </c>
      <c r="AL15" s="48">
        <f t="shared" si="9"/>
        <v>0.26</v>
      </c>
      <c r="AM15" s="46">
        <f t="shared" si="10"/>
        <v>45.814977973568283</v>
      </c>
      <c r="AN15" s="46">
        <f t="shared" si="11"/>
        <v>15.546218487394958</v>
      </c>
      <c r="AO15" s="46">
        <f t="shared" si="12"/>
        <v>206.91176470588238</v>
      </c>
      <c r="AP15" s="46">
        <f t="shared" si="13"/>
        <v>48.983193277310932</v>
      </c>
      <c r="AQ15" s="49">
        <f t="shared" si="14"/>
        <v>0.68005953416079024</v>
      </c>
      <c r="AR15" s="50">
        <f t="shared" si="15"/>
        <v>0.31994046583920976</v>
      </c>
      <c r="AS15" s="51">
        <f t="shared" si="16"/>
        <v>0.20691176470588238</v>
      </c>
      <c r="AT15" s="51">
        <f t="shared" si="17"/>
        <v>4.8983193277310932E-2</v>
      </c>
      <c r="AU15" s="51">
        <f t="shared" si="24"/>
        <v>0.25589495798319328</v>
      </c>
      <c r="AV15" s="52">
        <f t="shared" si="18"/>
        <v>199.54527255928551</v>
      </c>
      <c r="AW15" s="52">
        <f t="shared" si="19"/>
        <v>47.239289014034938</v>
      </c>
      <c r="AX15" s="15">
        <f t="shared" si="20"/>
        <v>0.1995452725592855</v>
      </c>
      <c r="AY15" s="15">
        <f t="shared" si="21"/>
        <v>4.7239289014034937E-2</v>
      </c>
      <c r="AZ15" s="15">
        <f t="shared" si="22"/>
        <v>0.24678456157332043</v>
      </c>
      <c r="BA15" s="61">
        <f t="shared" si="25"/>
        <v>15.430366492146597</v>
      </c>
      <c r="BB15" s="61">
        <v>9</v>
      </c>
      <c r="BC15" s="61">
        <f t="shared" si="26"/>
        <v>13.501570680628271</v>
      </c>
      <c r="BD15" s="61">
        <f>17+4</f>
        <v>21</v>
      </c>
      <c r="BE15" s="61">
        <f t="shared" si="27"/>
        <v>2.8931937172774864</v>
      </c>
      <c r="BF15" s="61">
        <v>0</v>
      </c>
      <c r="BG15" s="61">
        <v>0</v>
      </c>
      <c r="BH15" s="61">
        <v>2</v>
      </c>
      <c r="BI15" s="56">
        <f t="shared" si="28"/>
        <v>63.82513089005235</v>
      </c>
      <c r="BJ15" s="57">
        <f t="shared" si="32"/>
        <v>0.24065936235317339</v>
      </c>
      <c r="BK15" s="58">
        <f t="shared" si="29"/>
        <v>0.12154411190122685</v>
      </c>
    </row>
    <row r="16" spans="1:64" ht="17.25" customHeight="1" x14ac:dyDescent="0.3">
      <c r="A16" s="41">
        <v>15</v>
      </c>
      <c r="B16" s="42">
        <v>46196</v>
      </c>
      <c r="C16" s="43" t="str">
        <f t="shared" si="0"/>
        <v>Jun-26</v>
      </c>
      <c r="D16" s="43" t="s">
        <v>69</v>
      </c>
      <c r="E16" s="43" t="s">
        <v>35</v>
      </c>
      <c r="F16" s="43" t="s">
        <v>41</v>
      </c>
      <c r="G16" s="14" t="s">
        <v>76</v>
      </c>
      <c r="H16" s="14" t="s">
        <v>60</v>
      </c>
      <c r="I16" s="14" t="s">
        <v>60</v>
      </c>
      <c r="J16" s="44" t="s">
        <v>60</v>
      </c>
      <c r="K16" s="44">
        <v>2026</v>
      </c>
      <c r="L16" s="44" t="s">
        <v>60</v>
      </c>
      <c r="M16" s="45">
        <v>1000</v>
      </c>
      <c r="N16" s="45">
        <v>180</v>
      </c>
      <c r="O16" s="45">
        <v>8.9</v>
      </c>
      <c r="P16" s="46">
        <f t="shared" si="3"/>
        <v>298</v>
      </c>
      <c r="Q16" s="45">
        <v>7.9</v>
      </c>
      <c r="R16" s="46">
        <v>254</v>
      </c>
      <c r="S16" s="46">
        <v>14</v>
      </c>
      <c r="T16" s="46">
        <v>15</v>
      </c>
      <c r="U16" s="46">
        <v>13</v>
      </c>
      <c r="V16" s="46">
        <v>0</v>
      </c>
      <c r="W16" s="46">
        <v>2</v>
      </c>
      <c r="X16" s="46">
        <v>14</v>
      </c>
      <c r="Y16" s="46">
        <v>3</v>
      </c>
      <c r="Z16" s="46">
        <f t="shared" si="23"/>
        <v>47.354808000000006</v>
      </c>
      <c r="AA16" s="46">
        <f t="shared" si="30"/>
        <v>49.912143999999998</v>
      </c>
      <c r="AB16" s="46">
        <f t="shared" si="31"/>
        <v>52.557664000000003</v>
      </c>
      <c r="AC16" s="46">
        <v>254</v>
      </c>
      <c r="AD16" s="46">
        <f>247-37</f>
        <v>210</v>
      </c>
      <c r="AE16" s="46">
        <v>37</v>
      </c>
      <c r="AF16" s="59">
        <f t="shared" si="1"/>
        <v>-7</v>
      </c>
      <c r="AG16" s="46">
        <f t="shared" si="4"/>
        <v>32</v>
      </c>
      <c r="AH16" s="47">
        <f t="shared" si="5"/>
        <v>38.751049510521483</v>
      </c>
      <c r="AI16" s="47">
        <f t="shared" si="6"/>
        <v>29</v>
      </c>
      <c r="AJ16" s="47">
        <f t="shared" si="7"/>
        <v>15</v>
      </c>
      <c r="AK16" s="47">
        <f t="shared" si="8"/>
        <v>268.5</v>
      </c>
      <c r="AL16" s="48">
        <f t="shared" si="9"/>
        <v>0.26850000000000002</v>
      </c>
      <c r="AM16" s="46">
        <f t="shared" si="10"/>
        <v>47.312775330396477</v>
      </c>
      <c r="AN16" s="46">
        <f t="shared" si="11"/>
        <v>14.979757085020243</v>
      </c>
      <c r="AO16" s="46">
        <f t="shared" si="12"/>
        <v>215.95141700404858</v>
      </c>
      <c r="AP16" s="46">
        <f t="shared" si="13"/>
        <v>37.408906882591097</v>
      </c>
      <c r="AQ16" s="49">
        <f t="shared" si="14"/>
        <v>0.72231191439422326</v>
      </c>
      <c r="AR16" s="50">
        <f t="shared" si="15"/>
        <v>0.27768808560577679</v>
      </c>
      <c r="AS16" s="51">
        <f t="shared" si="16"/>
        <v>0.21595141700404857</v>
      </c>
      <c r="AT16" s="51">
        <f t="shared" si="17"/>
        <v>3.7408906882591096E-2</v>
      </c>
      <c r="AU16" s="51">
        <f t="shared" si="24"/>
        <v>0.25336032388663965</v>
      </c>
      <c r="AV16" s="52">
        <f t="shared" si="18"/>
        <v>208.26309430442799</v>
      </c>
      <c r="AW16" s="52">
        <f t="shared" si="19"/>
        <v>36.077071454310364</v>
      </c>
      <c r="AX16" s="15">
        <f t="shared" si="20"/>
        <v>0.20826309430442799</v>
      </c>
      <c r="AY16" s="15">
        <f t="shared" si="21"/>
        <v>3.6077071454310362E-2</v>
      </c>
      <c r="AZ16" s="15">
        <f t="shared" si="22"/>
        <v>0.24434016575873835</v>
      </c>
      <c r="BA16" s="61">
        <f t="shared" si="25"/>
        <v>13.501570680628271</v>
      </c>
      <c r="BB16" s="61">
        <v>9</v>
      </c>
      <c r="BC16" s="61">
        <f t="shared" si="26"/>
        <v>14.465968586387435</v>
      </c>
      <c r="BD16" s="61">
        <f>19+3</f>
        <v>22</v>
      </c>
      <c r="BE16" s="61">
        <f t="shared" si="27"/>
        <v>1.9287958115183246</v>
      </c>
      <c r="BF16" s="61">
        <v>0</v>
      </c>
      <c r="BG16" s="61">
        <v>0</v>
      </c>
      <c r="BH16" s="61">
        <v>1</v>
      </c>
      <c r="BI16" s="56">
        <f t="shared" si="28"/>
        <v>61.89633507853403</v>
      </c>
      <c r="BJ16" s="57">
        <f t="shared" si="32"/>
        <v>0.22678913302870213</v>
      </c>
      <c r="BK16" s="58">
        <f t="shared" si="29"/>
        <v>0.10715033657442033</v>
      </c>
    </row>
    <row r="17" spans="1:63" ht="17.25" customHeight="1" x14ac:dyDescent="0.3">
      <c r="A17" s="41">
        <v>16</v>
      </c>
      <c r="B17" s="42">
        <v>46197</v>
      </c>
      <c r="C17" s="43" t="str">
        <f t="shared" si="0"/>
        <v>Jun-26</v>
      </c>
      <c r="D17" s="43" t="s">
        <v>69</v>
      </c>
      <c r="E17" s="43" t="s">
        <v>35</v>
      </c>
      <c r="F17" s="43" t="s">
        <v>41</v>
      </c>
      <c r="G17" s="14" t="s">
        <v>77</v>
      </c>
      <c r="H17" s="14" t="s">
        <v>60</v>
      </c>
      <c r="I17" s="14" t="s">
        <v>60</v>
      </c>
      <c r="J17" s="44" t="s">
        <v>60</v>
      </c>
      <c r="K17" s="44">
        <v>2026</v>
      </c>
      <c r="L17" s="44" t="s">
        <v>60</v>
      </c>
      <c r="M17" s="45">
        <v>1000</v>
      </c>
      <c r="N17" s="45">
        <v>187</v>
      </c>
      <c r="O17" s="53">
        <v>8.6999999999999993</v>
      </c>
      <c r="P17" s="46">
        <f t="shared" si="3"/>
        <v>306</v>
      </c>
      <c r="Q17" s="45">
        <v>7.95</v>
      </c>
      <c r="R17" s="45">
        <v>255</v>
      </c>
      <c r="S17" s="45">
        <v>16</v>
      </c>
      <c r="T17" s="45">
        <v>11</v>
      </c>
      <c r="U17" s="45">
        <v>24</v>
      </c>
      <c r="V17" s="45">
        <v>0</v>
      </c>
      <c r="W17" s="45">
        <v>0</v>
      </c>
      <c r="X17" s="45">
        <v>21</v>
      </c>
      <c r="Y17" s="45">
        <v>6</v>
      </c>
      <c r="Z17" s="46">
        <f t="shared" si="23"/>
        <v>47.354808000000006</v>
      </c>
      <c r="AA17" s="46">
        <f t="shared" si="30"/>
        <v>49.735776000000008</v>
      </c>
      <c r="AB17" s="46">
        <f t="shared" si="31"/>
        <v>53.968608000000003</v>
      </c>
      <c r="AC17" s="45">
        <v>255</v>
      </c>
      <c r="AD17" s="46">
        <f>249-38</f>
        <v>211</v>
      </c>
      <c r="AE17" s="45">
        <v>38</v>
      </c>
      <c r="AF17" s="59">
        <f t="shared" si="1"/>
        <v>-6</v>
      </c>
      <c r="AG17" s="46">
        <f t="shared" si="4"/>
        <v>49</v>
      </c>
      <c r="AH17" s="47">
        <f t="shared" si="5"/>
        <v>59.515018247896535</v>
      </c>
      <c r="AI17" s="47">
        <f t="shared" si="6"/>
        <v>27</v>
      </c>
      <c r="AJ17" s="47">
        <f t="shared" si="7"/>
        <v>24</v>
      </c>
      <c r="AK17" s="47">
        <f t="shared" si="8"/>
        <v>268.5</v>
      </c>
      <c r="AL17" s="48">
        <f t="shared" si="9"/>
        <v>0.26850000000000002</v>
      </c>
      <c r="AM17" s="46">
        <f t="shared" si="10"/>
        <v>47.312775330396477</v>
      </c>
      <c r="AN17" s="46">
        <f t="shared" si="11"/>
        <v>15.261044176706825</v>
      </c>
      <c r="AO17" s="46">
        <f t="shared" si="12"/>
        <v>216.0843373493976</v>
      </c>
      <c r="AP17" s="46">
        <f t="shared" si="13"/>
        <v>43.216867469879517</v>
      </c>
      <c r="AQ17" s="49">
        <f t="shared" si="14"/>
        <v>0.63883980964739695</v>
      </c>
      <c r="AR17" s="50">
        <f t="shared" si="15"/>
        <v>0.36116019035260305</v>
      </c>
      <c r="AS17" s="51">
        <f t="shared" si="16"/>
        <v>0.21608433734939761</v>
      </c>
      <c r="AT17" s="51">
        <f t="shared" si="17"/>
        <v>4.3216867469879516E-2</v>
      </c>
      <c r="AU17" s="51">
        <f t="shared" si="24"/>
        <v>0.2593012048192771</v>
      </c>
      <c r="AV17" s="52">
        <f t="shared" si="18"/>
        <v>208.27814924619946</v>
      </c>
      <c r="AW17" s="52">
        <f t="shared" si="19"/>
        <v>41.655629849239887</v>
      </c>
      <c r="AX17" s="15">
        <f t="shared" si="20"/>
        <v>0.20827814924619947</v>
      </c>
      <c r="AY17" s="15">
        <f t="shared" si="21"/>
        <v>4.1655629849239886E-2</v>
      </c>
      <c r="AZ17" s="15">
        <f t="shared" si="22"/>
        <v>0.24993377909543935</v>
      </c>
      <c r="BA17" s="61">
        <f t="shared" si="25"/>
        <v>15.421989528795811</v>
      </c>
      <c r="BB17" s="61">
        <v>11</v>
      </c>
      <c r="BC17" s="61">
        <f t="shared" si="26"/>
        <v>10.602617801047121</v>
      </c>
      <c r="BD17" s="61">
        <f>27+6</f>
        <v>33</v>
      </c>
      <c r="BE17" s="61">
        <f t="shared" si="27"/>
        <v>0</v>
      </c>
      <c r="BF17" s="61">
        <v>2</v>
      </c>
      <c r="BG17" s="61">
        <v>0</v>
      </c>
      <c r="BH17" s="61">
        <v>3</v>
      </c>
      <c r="BI17" s="56">
        <f t="shared" si="28"/>
        <v>75.024607329842937</v>
      </c>
      <c r="BJ17" s="57">
        <f t="shared" si="32"/>
        <v>0.27601596418844215</v>
      </c>
      <c r="BK17" s="58">
        <f t="shared" si="29"/>
        <v>0.12522269918860574</v>
      </c>
    </row>
    <row r="18" spans="1:63" ht="17.25" customHeight="1" x14ac:dyDescent="0.3">
      <c r="A18" s="41">
        <v>17</v>
      </c>
      <c r="B18" s="42">
        <v>46197</v>
      </c>
      <c r="C18" s="43" t="str">
        <f t="shared" si="0"/>
        <v>Jun-26</v>
      </c>
      <c r="D18" s="43" t="s">
        <v>69</v>
      </c>
      <c r="E18" s="43" t="s">
        <v>35</v>
      </c>
      <c r="F18" s="43" t="s">
        <v>41</v>
      </c>
      <c r="G18" s="14" t="s">
        <v>77</v>
      </c>
      <c r="H18" s="14" t="s">
        <v>60</v>
      </c>
      <c r="I18" s="14" t="s">
        <v>60</v>
      </c>
      <c r="J18" s="44" t="s">
        <v>60</v>
      </c>
      <c r="K18" s="44">
        <v>2026</v>
      </c>
      <c r="L18" s="44" t="s">
        <v>60</v>
      </c>
      <c r="M18" s="45">
        <v>1000</v>
      </c>
      <c r="N18" s="45">
        <v>187</v>
      </c>
      <c r="O18" s="53">
        <v>8.6999999999999993</v>
      </c>
      <c r="P18" s="46">
        <f t="shared" si="3"/>
        <v>310</v>
      </c>
      <c r="Q18" s="45">
        <v>7.95</v>
      </c>
      <c r="R18" s="46">
        <v>258</v>
      </c>
      <c r="S18" s="46">
        <v>14</v>
      </c>
      <c r="T18" s="46">
        <v>14</v>
      </c>
      <c r="U18" s="46">
        <v>24</v>
      </c>
      <c r="V18" s="46">
        <v>0</v>
      </c>
      <c r="W18" s="46">
        <v>0</v>
      </c>
      <c r="X18" s="46">
        <v>12</v>
      </c>
      <c r="Y18" s="46">
        <v>2</v>
      </c>
      <c r="Z18" s="46">
        <f t="shared" si="23"/>
        <v>47.972096000000008</v>
      </c>
      <c r="AA18" s="46">
        <f t="shared" si="30"/>
        <v>50.441248000000002</v>
      </c>
      <c r="AB18" s="46">
        <f t="shared" si="31"/>
        <v>54.674080000000004</v>
      </c>
      <c r="AC18" s="46">
        <v>258</v>
      </c>
      <c r="AD18" s="46">
        <f>252-37</f>
        <v>215</v>
      </c>
      <c r="AE18" s="46">
        <v>37</v>
      </c>
      <c r="AF18" s="59">
        <f t="shared" si="1"/>
        <v>-6</v>
      </c>
      <c r="AG18" s="46">
        <f t="shared" si="4"/>
        <v>40</v>
      </c>
      <c r="AH18" s="47">
        <f t="shared" si="5"/>
        <v>48.339842908012379</v>
      </c>
      <c r="AI18" s="47">
        <f t="shared" si="6"/>
        <v>28</v>
      </c>
      <c r="AJ18" s="47">
        <f t="shared" si="7"/>
        <v>24</v>
      </c>
      <c r="AK18" s="47">
        <f t="shared" si="8"/>
        <v>272</v>
      </c>
      <c r="AL18" s="48">
        <f t="shared" si="9"/>
        <v>0.27200000000000002</v>
      </c>
      <c r="AM18" s="46">
        <f t="shared" si="10"/>
        <v>47.929515418502206</v>
      </c>
      <c r="AN18" s="46">
        <f t="shared" si="11"/>
        <v>14.682539682539682</v>
      </c>
      <c r="AO18" s="46">
        <f t="shared" si="12"/>
        <v>220.11904761904762</v>
      </c>
      <c r="AP18" s="46">
        <f t="shared" si="13"/>
        <v>44.36507936507936</v>
      </c>
      <c r="AQ18" s="49">
        <f t="shared" si="14"/>
        <v>0.67632308739350844</v>
      </c>
      <c r="AR18" s="50">
        <f t="shared" si="15"/>
        <v>0.32367691260649151</v>
      </c>
      <c r="AS18" s="51">
        <f t="shared" si="16"/>
        <v>0.22011904761904763</v>
      </c>
      <c r="AT18" s="51">
        <f t="shared" si="17"/>
        <v>4.4365079365079357E-2</v>
      </c>
      <c r="AU18" s="51">
        <f t="shared" si="24"/>
        <v>0.26448412698412699</v>
      </c>
      <c r="AV18" s="52">
        <f t="shared" si="18"/>
        <v>212.16710296684118</v>
      </c>
      <c r="AW18" s="52">
        <f t="shared" si="19"/>
        <v>42.762361838278068</v>
      </c>
      <c r="AX18" s="15">
        <f t="shared" si="20"/>
        <v>0.21216710296684119</v>
      </c>
      <c r="AY18" s="15">
        <f t="shared" si="21"/>
        <v>4.2762361838278071E-2</v>
      </c>
      <c r="AZ18" s="15">
        <f t="shared" si="22"/>
        <v>0.25492946480511924</v>
      </c>
      <c r="BA18" s="61">
        <f t="shared" si="25"/>
        <v>13.494240837696335</v>
      </c>
      <c r="BB18" s="61">
        <v>12</v>
      </c>
      <c r="BC18" s="61">
        <f t="shared" si="26"/>
        <v>13.494240837696335</v>
      </c>
      <c r="BD18" s="61">
        <f>18+5</f>
        <v>23</v>
      </c>
      <c r="BE18" s="61">
        <f t="shared" si="27"/>
        <v>0</v>
      </c>
      <c r="BF18" s="61">
        <v>0</v>
      </c>
      <c r="BG18" s="61">
        <v>0</v>
      </c>
      <c r="BH18" s="61">
        <v>5</v>
      </c>
      <c r="BI18" s="56">
        <f t="shared" si="28"/>
        <v>66.988481675392677</v>
      </c>
      <c r="BJ18" s="57">
        <f t="shared" si="32"/>
        <v>0.24300414414482857</v>
      </c>
      <c r="BK18" s="58">
        <f t="shared" si="29"/>
        <v>0.11857786436137831</v>
      </c>
    </row>
    <row r="19" spans="1:63" ht="17.25" customHeight="1" x14ac:dyDescent="0.3">
      <c r="A19" s="41">
        <v>18</v>
      </c>
      <c r="B19" s="42">
        <v>46197</v>
      </c>
      <c r="C19" s="43" t="str">
        <f t="shared" si="0"/>
        <v>Jun-26</v>
      </c>
      <c r="D19" s="43" t="s">
        <v>69</v>
      </c>
      <c r="E19" s="43" t="s">
        <v>35</v>
      </c>
      <c r="F19" s="43" t="s">
        <v>41</v>
      </c>
      <c r="G19" s="14" t="s">
        <v>70</v>
      </c>
      <c r="H19" s="14" t="s">
        <v>60</v>
      </c>
      <c r="I19" s="14" t="s">
        <v>60</v>
      </c>
      <c r="J19" s="44" t="s">
        <v>60</v>
      </c>
      <c r="K19" s="44">
        <v>2026</v>
      </c>
      <c r="L19" s="44" t="s">
        <v>60</v>
      </c>
      <c r="M19" s="45">
        <v>1000</v>
      </c>
      <c r="N19" s="45">
        <v>192</v>
      </c>
      <c r="O19" s="45">
        <v>8.4</v>
      </c>
      <c r="P19" s="46">
        <f t="shared" si="3"/>
        <v>308</v>
      </c>
      <c r="Q19" s="45">
        <v>7.95</v>
      </c>
      <c r="R19" s="46">
        <v>256</v>
      </c>
      <c r="S19" s="46">
        <v>10</v>
      </c>
      <c r="T19" s="46">
        <v>16</v>
      </c>
      <c r="U19" s="46">
        <v>26</v>
      </c>
      <c r="V19" s="46">
        <v>0</v>
      </c>
      <c r="W19" s="46">
        <v>0</v>
      </c>
      <c r="X19" s="46">
        <v>0</v>
      </c>
      <c r="Y19" s="46">
        <v>4</v>
      </c>
      <c r="Z19" s="46">
        <f t="shared" si="23"/>
        <v>47.442992000000004</v>
      </c>
      <c r="AA19" s="46">
        <f t="shared" si="30"/>
        <v>49.735776000000008</v>
      </c>
      <c r="AB19" s="46">
        <f t="shared" si="31"/>
        <v>54.321344000000003</v>
      </c>
      <c r="AC19" s="46">
        <v>256</v>
      </c>
      <c r="AD19" s="46">
        <f>251-42</f>
        <v>209</v>
      </c>
      <c r="AE19" s="46">
        <v>42</v>
      </c>
      <c r="AF19" s="59">
        <f t="shared" si="1"/>
        <v>-5</v>
      </c>
      <c r="AG19" s="46">
        <f t="shared" si="4"/>
        <v>40</v>
      </c>
      <c r="AH19" s="47">
        <f t="shared" si="5"/>
        <v>49.204161085154233</v>
      </c>
      <c r="AI19" s="47">
        <f t="shared" si="6"/>
        <v>26</v>
      </c>
      <c r="AJ19" s="47">
        <f t="shared" si="7"/>
        <v>26</v>
      </c>
      <c r="AK19" s="47">
        <f t="shared" si="8"/>
        <v>269</v>
      </c>
      <c r="AL19" s="48">
        <f t="shared" si="9"/>
        <v>0.26900000000000002</v>
      </c>
      <c r="AM19" s="46">
        <f t="shared" si="10"/>
        <v>47.40088105726872</v>
      </c>
      <c r="AN19" s="46">
        <f t="shared" si="11"/>
        <v>16.733067729083668</v>
      </c>
      <c r="AO19" s="46">
        <f t="shared" si="12"/>
        <v>213.1633466135458</v>
      </c>
      <c r="AP19" s="46">
        <f t="shared" si="13"/>
        <v>43.298804780876488</v>
      </c>
      <c r="AQ19" s="49">
        <f t="shared" si="14"/>
        <v>0.67141506141183693</v>
      </c>
      <c r="AR19" s="50">
        <f t="shared" si="15"/>
        <v>0.32858493858816307</v>
      </c>
      <c r="AS19" s="51">
        <f t="shared" si="16"/>
        <v>0.2131633466135458</v>
      </c>
      <c r="AT19" s="51">
        <f t="shared" si="17"/>
        <v>4.3298804780876485E-2</v>
      </c>
      <c r="AU19" s="51">
        <f t="shared" si="24"/>
        <v>0.2564621513944223</v>
      </c>
      <c r="AV19" s="52">
        <f t="shared" si="18"/>
        <v>205.46268121232345</v>
      </c>
      <c r="AW19" s="52">
        <f t="shared" si="19"/>
        <v>41.734607121253198</v>
      </c>
      <c r="AX19" s="15">
        <f t="shared" si="20"/>
        <v>0.20546268121232344</v>
      </c>
      <c r="AY19" s="15">
        <f t="shared" si="21"/>
        <v>4.1734607121253195E-2</v>
      </c>
      <c r="AZ19" s="15">
        <f t="shared" si="22"/>
        <v>0.24719728833357663</v>
      </c>
      <c r="BA19" s="61">
        <f t="shared" si="25"/>
        <v>9.6387434554973819</v>
      </c>
      <c r="BB19" s="61">
        <v>8</v>
      </c>
      <c r="BC19" s="61">
        <f t="shared" si="26"/>
        <v>15.421989528795811</v>
      </c>
      <c r="BD19" s="61">
        <f>24+5</f>
        <v>29</v>
      </c>
      <c r="BE19" s="61">
        <f t="shared" si="27"/>
        <v>0</v>
      </c>
      <c r="BF19" s="61">
        <v>0</v>
      </c>
      <c r="BG19" s="61">
        <v>0</v>
      </c>
      <c r="BH19" s="61">
        <v>3</v>
      </c>
      <c r="BI19" s="56">
        <f t="shared" si="28"/>
        <v>65.060732984293196</v>
      </c>
      <c r="BJ19" s="57">
        <f t="shared" si="32"/>
        <v>0.23935881285610275</v>
      </c>
      <c r="BK19" s="58">
        <f t="shared" si="29"/>
        <v>8.4395901700944423E-2</v>
      </c>
    </row>
    <row r="20" spans="1:63" ht="17.25" customHeight="1" x14ac:dyDescent="0.3">
      <c r="A20" s="41">
        <v>19</v>
      </c>
      <c r="B20" s="42">
        <v>46197</v>
      </c>
      <c r="C20" s="43" t="str">
        <f t="shared" si="0"/>
        <v>Jun-26</v>
      </c>
      <c r="D20" s="43" t="s">
        <v>69</v>
      </c>
      <c r="E20" s="43" t="s">
        <v>35</v>
      </c>
      <c r="F20" s="43" t="s">
        <v>41</v>
      </c>
      <c r="G20" s="14" t="s">
        <v>70</v>
      </c>
      <c r="H20" s="14" t="s">
        <v>60</v>
      </c>
      <c r="I20" s="14" t="s">
        <v>60</v>
      </c>
      <c r="J20" s="44" t="s">
        <v>60</v>
      </c>
      <c r="K20" s="44">
        <v>2026</v>
      </c>
      <c r="L20" s="44" t="s">
        <v>60</v>
      </c>
      <c r="M20" s="45">
        <v>1000</v>
      </c>
      <c r="N20" s="45">
        <v>192</v>
      </c>
      <c r="O20" s="45">
        <v>8.4</v>
      </c>
      <c r="P20" s="46">
        <f t="shared" si="3"/>
        <v>308</v>
      </c>
      <c r="Q20" s="45">
        <v>8</v>
      </c>
      <c r="R20" s="46">
        <v>256</v>
      </c>
      <c r="S20" s="46">
        <v>16</v>
      </c>
      <c r="T20" s="46">
        <v>16</v>
      </c>
      <c r="U20" s="46">
        <v>20</v>
      </c>
      <c r="V20" s="46">
        <v>0</v>
      </c>
      <c r="W20" s="46">
        <v>0</v>
      </c>
      <c r="X20" s="46">
        <v>8</v>
      </c>
      <c r="Y20" s="46">
        <v>0</v>
      </c>
      <c r="Z20" s="46">
        <f t="shared" si="23"/>
        <v>47.972096000000008</v>
      </c>
      <c r="AA20" s="46">
        <f t="shared" si="30"/>
        <v>50.793984000000002</v>
      </c>
      <c r="AB20" s="46">
        <f t="shared" si="31"/>
        <v>54.321344000000003</v>
      </c>
      <c r="AC20" s="46">
        <v>256</v>
      </c>
      <c r="AD20" s="46">
        <v>209</v>
      </c>
      <c r="AE20" s="46">
        <v>40</v>
      </c>
      <c r="AF20" s="59">
        <f t="shared" si="1"/>
        <v>-7</v>
      </c>
      <c r="AG20" s="46">
        <f t="shared" si="4"/>
        <v>43</v>
      </c>
      <c r="AH20" s="47">
        <f t="shared" si="5"/>
        <v>52.620001746114895</v>
      </c>
      <c r="AI20" s="47">
        <f t="shared" si="6"/>
        <v>32</v>
      </c>
      <c r="AJ20" s="47">
        <f t="shared" si="7"/>
        <v>20</v>
      </c>
      <c r="AK20" s="47">
        <f t="shared" si="8"/>
        <v>272</v>
      </c>
      <c r="AL20" s="48">
        <f t="shared" si="9"/>
        <v>0.27200000000000002</v>
      </c>
      <c r="AM20" s="46">
        <f t="shared" si="10"/>
        <v>47.929515418502206</v>
      </c>
      <c r="AN20" s="46">
        <f t="shared" si="11"/>
        <v>16.064257028112447</v>
      </c>
      <c r="AO20" s="46">
        <f t="shared" si="12"/>
        <v>214.87550200803213</v>
      </c>
      <c r="AP20" s="46">
        <f t="shared" si="13"/>
        <v>43.646586345381529</v>
      </c>
      <c r="AQ20" s="49">
        <f t="shared" si="14"/>
        <v>0.6603246696554711</v>
      </c>
      <c r="AR20" s="50">
        <f t="shared" si="15"/>
        <v>0.3396753303445289</v>
      </c>
      <c r="AS20" s="51">
        <f t="shared" si="16"/>
        <v>0.21487550200803213</v>
      </c>
      <c r="AT20" s="51">
        <f t="shared" si="17"/>
        <v>4.364658634538153E-2</v>
      </c>
      <c r="AU20" s="51">
        <f t="shared" si="24"/>
        <v>0.25852208835341367</v>
      </c>
      <c r="AV20" s="52">
        <f t="shared" si="18"/>
        <v>207.000483609832</v>
      </c>
      <c r="AW20" s="52">
        <f t="shared" si="19"/>
        <v>42.04697323324713</v>
      </c>
      <c r="AX20" s="15">
        <f t="shared" si="20"/>
        <v>0.207000483609832</v>
      </c>
      <c r="AY20" s="15">
        <f t="shared" si="21"/>
        <v>4.2046973233247131E-2</v>
      </c>
      <c r="AZ20" s="15">
        <f t="shared" si="22"/>
        <v>0.24904745684307913</v>
      </c>
      <c r="BA20" s="61">
        <f t="shared" si="25"/>
        <v>15.413612565445026</v>
      </c>
      <c r="BB20" s="61">
        <v>7</v>
      </c>
      <c r="BC20" s="61">
        <f t="shared" si="26"/>
        <v>15.413612565445026</v>
      </c>
      <c r="BD20" s="61">
        <f>26+5</f>
        <v>31</v>
      </c>
      <c r="BE20" s="61">
        <f t="shared" si="27"/>
        <v>0</v>
      </c>
      <c r="BF20" s="61">
        <v>0</v>
      </c>
      <c r="BG20" s="61">
        <v>0</v>
      </c>
      <c r="BH20" s="61">
        <v>5</v>
      </c>
      <c r="BI20" s="56">
        <f t="shared" si="28"/>
        <v>73.827225130890056</v>
      </c>
      <c r="BJ20" s="57">
        <f t="shared" si="32"/>
        <v>0.26609676932367149</v>
      </c>
      <c r="BK20" s="58">
        <f t="shared" si="29"/>
        <v>0.10724216538490444</v>
      </c>
    </row>
    <row r="21" spans="1:63" ht="17.25" customHeight="1" x14ac:dyDescent="0.3">
      <c r="A21" s="41">
        <v>20</v>
      </c>
      <c r="B21" s="42">
        <v>46198</v>
      </c>
      <c r="C21" s="43" t="str">
        <f t="shared" si="0"/>
        <v>Jun-26</v>
      </c>
      <c r="D21" s="43" t="s">
        <v>67</v>
      </c>
      <c r="E21" s="43" t="s">
        <v>35</v>
      </c>
      <c r="F21" s="43" t="s">
        <v>41</v>
      </c>
      <c r="G21" s="14" t="s">
        <v>60</v>
      </c>
      <c r="H21" s="14" t="s">
        <v>80</v>
      </c>
      <c r="I21" s="14" t="s">
        <v>79</v>
      </c>
      <c r="J21" s="44" t="s">
        <v>78</v>
      </c>
      <c r="K21" s="44">
        <v>2026</v>
      </c>
      <c r="L21" s="44" t="s">
        <v>81</v>
      </c>
      <c r="M21" s="45">
        <v>1000</v>
      </c>
      <c r="N21" s="45">
        <v>180</v>
      </c>
      <c r="O21" s="45">
        <v>9.3000000000000007</v>
      </c>
      <c r="P21" s="46">
        <f t="shared" si="3"/>
        <v>280</v>
      </c>
      <c r="Q21" s="45">
        <v>8.5</v>
      </c>
      <c r="R21" s="46">
        <v>208</v>
      </c>
      <c r="S21" s="46">
        <v>15</v>
      </c>
      <c r="T21" s="46">
        <v>20</v>
      </c>
      <c r="U21" s="46">
        <v>37</v>
      </c>
      <c r="V21" s="46">
        <v>0</v>
      </c>
      <c r="W21" s="46">
        <v>0</v>
      </c>
      <c r="X21" s="46">
        <v>25</v>
      </c>
      <c r="Y21" s="46">
        <v>6</v>
      </c>
      <c r="Z21" s="46">
        <f t="shared" si="23"/>
        <v>39.770984000000006</v>
      </c>
      <c r="AA21" s="46">
        <f t="shared" si="30"/>
        <v>42.857424000000002</v>
      </c>
      <c r="AB21" s="46">
        <f t="shared" si="31"/>
        <v>49.383040000000001</v>
      </c>
      <c r="AC21" s="46">
        <v>208</v>
      </c>
      <c r="AD21" s="46">
        <f>201-33</f>
        <v>168</v>
      </c>
      <c r="AE21" s="46">
        <v>33</v>
      </c>
      <c r="AF21" s="59">
        <f t="shared" si="1"/>
        <v>-7</v>
      </c>
      <c r="AG21" s="46">
        <f t="shared" si="4"/>
        <v>31</v>
      </c>
      <c r="AH21" s="47">
        <f t="shared" si="5"/>
        <v>38.258869586493766</v>
      </c>
      <c r="AI21" s="47">
        <f t="shared" si="6"/>
        <v>35</v>
      </c>
      <c r="AJ21" s="47">
        <f t="shared" si="7"/>
        <v>37</v>
      </c>
      <c r="AK21" s="47">
        <f t="shared" si="8"/>
        <v>225.5</v>
      </c>
      <c r="AL21" s="48">
        <f t="shared" si="9"/>
        <v>0.22550000000000001</v>
      </c>
      <c r="AM21" s="46">
        <f t="shared" si="10"/>
        <v>39.735682819383257</v>
      </c>
      <c r="AN21" s="46">
        <f t="shared" si="11"/>
        <v>16.417910447761194</v>
      </c>
      <c r="AO21" s="46">
        <f t="shared" si="12"/>
        <v>173.85074626865674</v>
      </c>
      <c r="AP21" s="46">
        <f t="shared" si="13"/>
        <v>60.179104477611943</v>
      </c>
      <c r="AQ21" s="49">
        <f t="shared" si="14"/>
        <v>0.60621832290537936</v>
      </c>
      <c r="AR21" s="50">
        <f t="shared" si="15"/>
        <v>0.39378167709462064</v>
      </c>
      <c r="AS21" s="51">
        <f t="shared" si="16"/>
        <v>0.17385074626865674</v>
      </c>
      <c r="AT21" s="51">
        <f t="shared" si="17"/>
        <v>6.017910447761194E-2</v>
      </c>
      <c r="AU21" s="51">
        <f t="shared" si="24"/>
        <v>0.23402985074626867</v>
      </c>
      <c r="AV21" s="52">
        <f t="shared" si="18"/>
        <v>166.56903961866064</v>
      </c>
      <c r="AW21" s="52">
        <f t="shared" si="19"/>
        <v>57.658513714151759</v>
      </c>
      <c r="AX21" s="15">
        <f t="shared" si="20"/>
        <v>0.16656903961866065</v>
      </c>
      <c r="AY21" s="15">
        <f t="shared" si="21"/>
        <v>5.765851371415176E-2</v>
      </c>
      <c r="AZ21" s="15">
        <f t="shared" si="22"/>
        <v>0.22422755333281241</v>
      </c>
      <c r="BA21" s="61">
        <f t="shared" si="25"/>
        <v>14.3717277486911</v>
      </c>
      <c r="BB21" s="61">
        <v>5</v>
      </c>
      <c r="BC21" s="61">
        <f t="shared" si="26"/>
        <v>19.162303664921467</v>
      </c>
      <c r="BD21" s="61">
        <f>17+9</f>
        <v>26</v>
      </c>
      <c r="BE21" s="61">
        <f t="shared" si="27"/>
        <v>0</v>
      </c>
      <c r="BF21" s="61">
        <v>0</v>
      </c>
      <c r="BG21" s="61">
        <v>0</v>
      </c>
      <c r="BH21" s="61">
        <v>0</v>
      </c>
      <c r="BI21" s="56">
        <f t="shared" si="28"/>
        <v>64.534031413612567</v>
      </c>
      <c r="BJ21" s="57">
        <f t="shared" si="32"/>
        <v>0.27718185702399423</v>
      </c>
      <c r="BK21" s="58">
        <f t="shared" si="29"/>
        <v>0.11530790326601845</v>
      </c>
    </row>
    <row r="22" spans="1:63" ht="17.25" customHeight="1" x14ac:dyDescent="0.3">
      <c r="A22" s="41">
        <v>21</v>
      </c>
      <c r="B22" s="42">
        <v>46198</v>
      </c>
      <c r="C22" s="43" t="str">
        <f t="shared" si="0"/>
        <v>Jun-26</v>
      </c>
      <c r="D22" s="43" t="s">
        <v>67</v>
      </c>
      <c r="E22" s="43" t="s">
        <v>35</v>
      </c>
      <c r="F22" s="43" t="s">
        <v>41</v>
      </c>
      <c r="G22" s="14" t="s">
        <v>60</v>
      </c>
      <c r="H22" s="14" t="s">
        <v>72</v>
      </c>
      <c r="I22" s="14" t="s">
        <v>73</v>
      </c>
      <c r="J22" s="44" t="s">
        <v>74</v>
      </c>
      <c r="K22" s="44">
        <v>2026</v>
      </c>
      <c r="L22" s="44" t="s">
        <v>82</v>
      </c>
      <c r="M22" s="45">
        <v>1000</v>
      </c>
      <c r="N22" s="45">
        <v>160</v>
      </c>
      <c r="O22" s="45">
        <v>8.5</v>
      </c>
      <c r="P22" s="46">
        <f t="shared" si="3"/>
        <v>297</v>
      </c>
      <c r="Q22" s="45">
        <v>8</v>
      </c>
      <c r="R22" s="46">
        <v>209</v>
      </c>
      <c r="S22" s="46">
        <v>11</v>
      </c>
      <c r="T22" s="46">
        <v>10</v>
      </c>
      <c r="U22" s="46">
        <v>67</v>
      </c>
      <c r="V22" s="46">
        <v>0</v>
      </c>
      <c r="W22" s="46">
        <v>0</v>
      </c>
      <c r="X22" s="46">
        <v>4</v>
      </c>
      <c r="Y22" s="46">
        <v>5</v>
      </c>
      <c r="Z22" s="46">
        <f t="shared" si="23"/>
        <v>38.712776000000005</v>
      </c>
      <c r="AA22" s="46">
        <f t="shared" si="30"/>
        <v>40.564639999999997</v>
      </c>
      <c r="AB22" s="46">
        <f t="shared" si="31"/>
        <v>52.381295999999999</v>
      </c>
      <c r="AC22" s="46">
        <v>209</v>
      </c>
      <c r="AD22" s="46">
        <f>202-25</f>
        <v>177</v>
      </c>
      <c r="AE22" s="46">
        <v>25</v>
      </c>
      <c r="AF22" s="59">
        <f t="shared" si="1"/>
        <v>-7</v>
      </c>
      <c r="AG22" s="46">
        <f t="shared" si="4"/>
        <v>24</v>
      </c>
      <c r="AH22" s="47">
        <f t="shared" si="5"/>
        <v>28.436074042186831</v>
      </c>
      <c r="AI22" s="47">
        <f t="shared" si="6"/>
        <v>21</v>
      </c>
      <c r="AJ22" s="47">
        <f t="shared" si="7"/>
        <v>67</v>
      </c>
      <c r="AK22" s="47">
        <f t="shared" si="8"/>
        <v>219.5</v>
      </c>
      <c r="AL22" s="48">
        <f t="shared" si="9"/>
        <v>0.2195</v>
      </c>
      <c r="AM22" s="46">
        <f t="shared" si="10"/>
        <v>38.678414096916299</v>
      </c>
      <c r="AN22" s="46">
        <f t="shared" si="11"/>
        <v>12.376237623762377</v>
      </c>
      <c r="AO22" s="46">
        <f t="shared" si="12"/>
        <v>183.13366336633663</v>
      </c>
      <c r="AP22" s="46">
        <f t="shared" si="13"/>
        <v>77.10891089108911</v>
      </c>
      <c r="AQ22" s="49">
        <f t="shared" si="14"/>
        <v>0.60795934665930362</v>
      </c>
      <c r="AR22" s="50">
        <f t="shared" si="15"/>
        <v>0.39204065334069638</v>
      </c>
      <c r="AS22" s="51">
        <f t="shared" si="16"/>
        <v>0.18313366336633663</v>
      </c>
      <c r="AT22" s="51">
        <f t="shared" si="17"/>
        <v>7.7108910891089108E-2</v>
      </c>
      <c r="AU22" s="51">
        <f t="shared" si="24"/>
        <v>0.26024257425742575</v>
      </c>
      <c r="AV22" s="52">
        <f t="shared" si="18"/>
        <v>176.42195842620913</v>
      </c>
      <c r="AW22" s="52">
        <f t="shared" si="19"/>
        <v>74.282929863666993</v>
      </c>
      <c r="AX22" s="15">
        <f t="shared" si="20"/>
        <v>0.17642195842620914</v>
      </c>
      <c r="AY22" s="15">
        <f t="shared" si="21"/>
        <v>7.4282929863666997E-2</v>
      </c>
      <c r="AZ22" s="15">
        <f t="shared" si="22"/>
        <v>0.25070488828987614</v>
      </c>
      <c r="BA22" s="61">
        <f t="shared" si="25"/>
        <v>10.596858638743456</v>
      </c>
      <c r="BB22" s="61">
        <v>8</v>
      </c>
      <c r="BC22" s="61">
        <f t="shared" si="26"/>
        <v>9.6335078534031418</v>
      </c>
      <c r="BD22" s="61">
        <f>11+2</f>
        <v>13</v>
      </c>
      <c r="BE22" s="61">
        <f t="shared" si="27"/>
        <v>0</v>
      </c>
      <c r="BF22" s="61">
        <v>0</v>
      </c>
      <c r="BG22" s="61">
        <v>0</v>
      </c>
      <c r="BH22" s="61">
        <v>3</v>
      </c>
      <c r="BI22" s="56">
        <f t="shared" si="28"/>
        <v>44.230366492146601</v>
      </c>
      <c r="BJ22" s="57">
        <f t="shared" si="32"/>
        <v>0.19962192816635163</v>
      </c>
      <c r="BK22" s="58">
        <f t="shared" si="29"/>
        <v>0.10506699795900257</v>
      </c>
    </row>
    <row r="23" spans="1:63" ht="17.25" customHeight="1" x14ac:dyDescent="0.3">
      <c r="A23" s="41">
        <v>22</v>
      </c>
      <c r="B23" s="42">
        <v>46198</v>
      </c>
      <c r="C23" s="43" t="str">
        <f t="shared" si="0"/>
        <v>Jun-26</v>
      </c>
      <c r="D23" s="43" t="s">
        <v>68</v>
      </c>
      <c r="E23" s="43" t="s">
        <v>35</v>
      </c>
      <c r="F23" s="43" t="s">
        <v>41</v>
      </c>
      <c r="G23" s="14" t="s">
        <v>70</v>
      </c>
      <c r="H23" s="14" t="s">
        <v>60</v>
      </c>
      <c r="I23" s="14" t="s">
        <v>60</v>
      </c>
      <c r="J23" s="44" t="s">
        <v>60</v>
      </c>
      <c r="K23" s="44">
        <v>2026</v>
      </c>
      <c r="L23" s="44">
        <v>1045</v>
      </c>
      <c r="M23" s="45">
        <v>1000</v>
      </c>
      <c r="N23" s="45">
        <v>184</v>
      </c>
      <c r="O23" s="45">
        <v>8.1</v>
      </c>
      <c r="P23" s="46">
        <f t="shared" si="3"/>
        <v>293</v>
      </c>
      <c r="Q23" s="45">
        <v>7.9</v>
      </c>
      <c r="R23" s="46">
        <v>253</v>
      </c>
      <c r="S23" s="46">
        <v>9</v>
      </c>
      <c r="T23" s="46">
        <v>13</v>
      </c>
      <c r="U23" s="46">
        <v>18</v>
      </c>
      <c r="V23" s="46">
        <v>0</v>
      </c>
      <c r="W23" s="46">
        <v>0</v>
      </c>
      <c r="X23" s="46">
        <v>31</v>
      </c>
      <c r="Y23" s="46">
        <v>5</v>
      </c>
      <c r="Z23" s="46">
        <f t="shared" si="23"/>
        <v>46.561152</v>
      </c>
      <c r="AA23" s="46">
        <f t="shared" si="30"/>
        <v>48.501200000000004</v>
      </c>
      <c r="AB23" s="46">
        <f t="shared" si="31"/>
        <v>51.675823999999999</v>
      </c>
      <c r="AC23" s="46">
        <v>253</v>
      </c>
      <c r="AD23" s="46">
        <f>247-34</f>
        <v>213</v>
      </c>
      <c r="AE23" s="46">
        <v>37</v>
      </c>
      <c r="AF23" s="59">
        <f t="shared" si="1"/>
        <v>-3</v>
      </c>
      <c r="AG23" s="46">
        <f t="shared" si="4"/>
        <v>36</v>
      </c>
      <c r="AH23" s="47">
        <f t="shared" si="5"/>
        <v>43.526775244299671</v>
      </c>
      <c r="AI23" s="47">
        <f t="shared" si="6"/>
        <v>22</v>
      </c>
      <c r="AJ23" s="47">
        <f t="shared" si="7"/>
        <v>18</v>
      </c>
      <c r="AK23" s="47">
        <f t="shared" si="8"/>
        <v>264</v>
      </c>
      <c r="AL23" s="48">
        <f t="shared" si="9"/>
        <v>0.26400000000000001</v>
      </c>
      <c r="AM23" s="46">
        <f t="shared" si="10"/>
        <v>46.519823788546255</v>
      </c>
      <c r="AN23" s="46">
        <f t="shared" si="11"/>
        <v>14.8</v>
      </c>
      <c r="AO23" s="46">
        <f t="shared" si="12"/>
        <v>215.55599999999998</v>
      </c>
      <c r="AP23" s="46">
        <f t="shared" si="13"/>
        <v>34.08</v>
      </c>
      <c r="AQ23" s="49">
        <f t="shared" si="14"/>
        <v>0.71492568176006943</v>
      </c>
      <c r="AR23" s="50">
        <f t="shared" si="15"/>
        <v>0.28507431823993062</v>
      </c>
      <c r="AS23" s="51">
        <f t="shared" si="16"/>
        <v>0.21555599999999997</v>
      </c>
      <c r="AT23" s="51">
        <f t="shared" si="17"/>
        <v>3.4079999999999999E-2</v>
      </c>
      <c r="AU23" s="51">
        <f t="shared" si="24"/>
        <v>0.24963599999999997</v>
      </c>
      <c r="AV23" s="52">
        <f t="shared" si="18"/>
        <v>207.88175497382196</v>
      </c>
      <c r="AW23" s="52">
        <f t="shared" si="19"/>
        <v>32.866680628272249</v>
      </c>
      <c r="AX23" s="15">
        <f t="shared" si="20"/>
        <v>0.20788175497382194</v>
      </c>
      <c r="AY23" s="15">
        <f t="shared" si="21"/>
        <v>3.2866680628272249E-2</v>
      </c>
      <c r="AZ23" s="15">
        <f t="shared" si="22"/>
        <v>0.24074843560209419</v>
      </c>
      <c r="BA23" s="61">
        <f t="shared" si="25"/>
        <v>8.6795811518324602</v>
      </c>
      <c r="BB23" s="61">
        <v>8</v>
      </c>
      <c r="BC23" s="61">
        <f t="shared" si="26"/>
        <v>12.537172774869109</v>
      </c>
      <c r="BD23" s="61">
        <f>21+7</f>
        <v>28</v>
      </c>
      <c r="BE23" s="61">
        <f t="shared" si="27"/>
        <v>0</v>
      </c>
      <c r="BF23" s="61">
        <v>0</v>
      </c>
      <c r="BG23" s="61">
        <v>0</v>
      </c>
      <c r="BH23" s="61">
        <v>0</v>
      </c>
      <c r="BI23" s="56">
        <f t="shared" si="28"/>
        <v>57.216753926701571</v>
      </c>
      <c r="BJ23" s="57">
        <f t="shared" si="32"/>
        <v>0.21574178264732011</v>
      </c>
      <c r="BK23" s="58">
        <f t="shared" si="29"/>
        <v>7.8307892731607792E-2</v>
      </c>
    </row>
    <row r="24" spans="1:63" ht="17.25" customHeight="1" x14ac:dyDescent="0.3">
      <c r="A24" s="41">
        <v>23</v>
      </c>
      <c r="B24" s="42">
        <v>46198</v>
      </c>
      <c r="C24" s="43" t="str">
        <f t="shared" ref="C24" si="34">IF(ISBLANK(B24),"",TEXT(B24,"mmm-YY"))</f>
        <v>Jun-26</v>
      </c>
      <c r="D24" s="43" t="s">
        <v>68</v>
      </c>
      <c r="E24" s="43" t="s">
        <v>35</v>
      </c>
      <c r="F24" s="43" t="s">
        <v>41</v>
      </c>
      <c r="G24" s="14" t="s">
        <v>70</v>
      </c>
      <c r="H24" s="14" t="s">
        <v>60</v>
      </c>
      <c r="I24" s="14" t="s">
        <v>60</v>
      </c>
      <c r="J24" s="44" t="s">
        <v>60</v>
      </c>
      <c r="K24" s="44">
        <v>2026</v>
      </c>
      <c r="L24" s="44">
        <v>1045</v>
      </c>
      <c r="M24" s="45">
        <v>1000</v>
      </c>
      <c r="N24" s="45">
        <v>184</v>
      </c>
      <c r="O24" s="45">
        <v>8.1</v>
      </c>
      <c r="P24" s="46">
        <f t="shared" si="3"/>
        <v>310</v>
      </c>
      <c r="Q24" s="45">
        <v>7.9</v>
      </c>
      <c r="R24" s="46">
        <v>256</v>
      </c>
      <c r="S24" s="46">
        <v>16</v>
      </c>
      <c r="T24" s="46">
        <v>17</v>
      </c>
      <c r="U24" s="46">
        <v>21</v>
      </c>
      <c r="V24" s="46">
        <v>0</v>
      </c>
      <c r="W24" s="46">
        <v>0</v>
      </c>
      <c r="X24" s="46">
        <v>9</v>
      </c>
      <c r="Y24" s="46">
        <v>3</v>
      </c>
      <c r="Z24" s="46">
        <f t="shared" si="23"/>
        <v>48.060280000000006</v>
      </c>
      <c r="AA24" s="46">
        <f t="shared" si="30"/>
        <v>50.970352000000005</v>
      </c>
      <c r="AB24" s="46">
        <f t="shared" si="31"/>
        <v>54.674080000000004</v>
      </c>
      <c r="AC24" s="46">
        <v>256</v>
      </c>
      <c r="AD24" s="46">
        <f>248-36</f>
        <v>212</v>
      </c>
      <c r="AE24" s="46">
        <v>36</v>
      </c>
      <c r="AF24" s="59">
        <f t="shared" si="1"/>
        <v>-8</v>
      </c>
      <c r="AG24" s="46">
        <f t="shared" si="4"/>
        <v>40</v>
      </c>
      <c r="AH24" s="47">
        <f t="shared" si="5"/>
        <v>48.24349409828028</v>
      </c>
      <c r="AI24" s="47">
        <f t="shared" si="6"/>
        <v>33</v>
      </c>
      <c r="AJ24" s="47">
        <f t="shared" si="7"/>
        <v>21</v>
      </c>
      <c r="AK24" s="47">
        <f t="shared" si="8"/>
        <v>272.5</v>
      </c>
      <c r="AL24" s="48">
        <f t="shared" si="9"/>
        <v>0.27250000000000002</v>
      </c>
      <c r="AM24" s="46">
        <f t="shared" si="10"/>
        <v>48.017621145374449</v>
      </c>
      <c r="AN24" s="46">
        <f t="shared" si="11"/>
        <v>14.516129032258064</v>
      </c>
      <c r="AO24" s="46">
        <f t="shared" si="12"/>
        <v>218.83870967741936</v>
      </c>
      <c r="AP24" s="46">
        <f t="shared" si="13"/>
        <v>46.161290322580648</v>
      </c>
      <c r="AQ24" s="49">
        <f t="shared" si="14"/>
        <v>0.6701822771023217</v>
      </c>
      <c r="AR24" s="50">
        <f t="shared" si="15"/>
        <v>0.3298177228976783</v>
      </c>
      <c r="AS24" s="51">
        <f t="shared" si="16"/>
        <v>0.21883870967741936</v>
      </c>
      <c r="AT24" s="51">
        <f t="shared" si="17"/>
        <v>4.616129032258065E-2</v>
      </c>
      <c r="AU24" s="51">
        <f t="shared" si="24"/>
        <v>0.26500000000000001</v>
      </c>
      <c r="AV24" s="52">
        <f t="shared" si="18"/>
        <v>211.04759331194057</v>
      </c>
      <c r="AW24" s="52">
        <f t="shared" si="19"/>
        <v>44.517851714237459</v>
      </c>
      <c r="AX24" s="15">
        <f t="shared" si="20"/>
        <v>0.21104759331194056</v>
      </c>
      <c r="AY24" s="15">
        <f t="shared" si="21"/>
        <v>4.4517851714237458E-2</v>
      </c>
      <c r="AZ24" s="15">
        <f t="shared" si="22"/>
        <v>0.25556544502617801</v>
      </c>
      <c r="BA24" s="61">
        <f t="shared" si="25"/>
        <v>15.430366492146597</v>
      </c>
      <c r="BB24" s="61">
        <v>10</v>
      </c>
      <c r="BC24" s="61">
        <f t="shared" si="26"/>
        <v>16.394764397905757</v>
      </c>
      <c r="BD24" s="61">
        <f>22+5</f>
        <v>27</v>
      </c>
      <c r="BE24" s="61">
        <f t="shared" si="27"/>
        <v>0</v>
      </c>
      <c r="BF24" s="61">
        <v>0</v>
      </c>
      <c r="BG24" s="61">
        <v>0</v>
      </c>
      <c r="BH24" s="61">
        <v>3</v>
      </c>
      <c r="BI24" s="56">
        <f t="shared" si="28"/>
        <v>71.82513089005235</v>
      </c>
      <c r="BJ24" s="57">
        <f t="shared" si="32"/>
        <v>0.25770469138028845</v>
      </c>
      <c r="BK24" s="58">
        <f t="shared" si="29"/>
        <v>0.11995455892521979</v>
      </c>
    </row>
    <row r="25" spans="1:63" ht="17.25" customHeight="1" x14ac:dyDescent="0.3">
      <c r="A25" s="41">
        <v>24</v>
      </c>
      <c r="B25" s="42">
        <v>46198</v>
      </c>
      <c r="C25" s="43" t="str">
        <f t="shared" si="0"/>
        <v>Jun-26</v>
      </c>
      <c r="D25" s="43" t="s">
        <v>69</v>
      </c>
      <c r="E25" s="43" t="s">
        <v>35</v>
      </c>
      <c r="F25" s="43" t="s">
        <v>41</v>
      </c>
      <c r="G25" s="14" t="s">
        <v>88</v>
      </c>
      <c r="H25" s="14" t="s">
        <v>60</v>
      </c>
      <c r="I25" s="14" t="s">
        <v>60</v>
      </c>
      <c r="J25" s="44" t="s">
        <v>60</v>
      </c>
      <c r="K25" s="44">
        <v>2026</v>
      </c>
      <c r="L25" s="44" t="s">
        <v>60</v>
      </c>
      <c r="M25" s="45">
        <v>1000</v>
      </c>
      <c r="N25" s="45">
        <v>172</v>
      </c>
      <c r="O25" s="45">
        <v>8.8000000000000007</v>
      </c>
      <c r="P25" s="46">
        <f t="shared" si="3"/>
        <v>300</v>
      </c>
      <c r="Q25" s="45">
        <v>8.1999999999999993</v>
      </c>
      <c r="R25" s="46">
        <v>249</v>
      </c>
      <c r="S25" s="46">
        <v>24</v>
      </c>
      <c r="T25" s="46">
        <v>11</v>
      </c>
      <c r="U25" s="46">
        <v>16</v>
      </c>
      <c r="V25" s="46">
        <v>0</v>
      </c>
      <c r="W25" s="46">
        <v>0</v>
      </c>
      <c r="X25" s="46">
        <v>11</v>
      </c>
      <c r="Y25" s="46">
        <v>3</v>
      </c>
      <c r="Z25" s="46">
        <f t="shared" si="23"/>
        <v>47.002071999999998</v>
      </c>
      <c r="AA25" s="46">
        <f t="shared" si="30"/>
        <v>50.088512000000001</v>
      </c>
      <c r="AB25" s="46">
        <f t="shared" si="31"/>
        <v>52.910400000000003</v>
      </c>
      <c r="AC25" s="46">
        <v>249</v>
      </c>
      <c r="AD25" s="46">
        <f>242-31</f>
        <v>211</v>
      </c>
      <c r="AE25" s="46">
        <v>31</v>
      </c>
      <c r="AF25" s="59">
        <f t="shared" si="1"/>
        <v>-7</v>
      </c>
      <c r="AG25" s="46">
        <f t="shared" si="4"/>
        <v>26</v>
      </c>
      <c r="AH25" s="47">
        <f t="shared" si="5"/>
        <v>30.992005617674071</v>
      </c>
      <c r="AI25" s="47">
        <f t="shared" si="6"/>
        <v>35</v>
      </c>
      <c r="AJ25" s="47">
        <f t="shared" si="7"/>
        <v>16</v>
      </c>
      <c r="AK25" s="47">
        <f t="shared" si="8"/>
        <v>266.5</v>
      </c>
      <c r="AL25" s="48">
        <f t="shared" si="9"/>
        <v>0.26650000000000001</v>
      </c>
      <c r="AM25" s="46">
        <f t="shared" si="10"/>
        <v>46.960352422907491</v>
      </c>
      <c r="AN25" s="46">
        <f t="shared" si="11"/>
        <v>12.809917355371901</v>
      </c>
      <c r="AO25" s="46">
        <f t="shared" si="12"/>
        <v>217.10330578512392</v>
      </c>
      <c r="AP25" s="46">
        <f t="shared" si="13"/>
        <v>44.466942148760324</v>
      </c>
      <c r="AQ25" s="49">
        <f t="shared" si="14"/>
        <v>0.7266933146077531</v>
      </c>
      <c r="AR25" s="50">
        <f t="shared" si="15"/>
        <v>0.2733066853922469</v>
      </c>
      <c r="AS25" s="51">
        <f t="shared" si="16"/>
        <v>0.21710330578512393</v>
      </c>
      <c r="AT25" s="51">
        <f t="shared" si="17"/>
        <v>4.4466942148760326E-2</v>
      </c>
      <c r="AU25" s="51">
        <f t="shared" si="24"/>
        <v>0.26157024793388428</v>
      </c>
      <c r="AV25" s="52">
        <f t="shared" si="18"/>
        <v>208.69197351910341</v>
      </c>
      <c r="AW25" s="52">
        <f t="shared" si="19"/>
        <v>42.74413915451516</v>
      </c>
      <c r="AX25" s="15">
        <f t="shared" si="20"/>
        <v>0.2086919735191034</v>
      </c>
      <c r="AY25" s="15">
        <f t="shared" si="21"/>
        <v>4.2744139154515158E-2</v>
      </c>
      <c r="AZ25" s="15">
        <f t="shared" si="22"/>
        <v>0.25143611267361854</v>
      </c>
      <c r="BA25" s="61">
        <f t="shared" si="25"/>
        <v>23.070157068062827</v>
      </c>
      <c r="BB25" s="61">
        <v>8</v>
      </c>
      <c r="BC25" s="61">
        <f t="shared" si="26"/>
        <v>10.573821989528795</v>
      </c>
      <c r="BD25" s="61">
        <v>18</v>
      </c>
      <c r="BE25" s="61">
        <f t="shared" si="27"/>
        <v>0</v>
      </c>
      <c r="BF25" s="61">
        <v>0</v>
      </c>
      <c r="BG25" s="61">
        <v>0</v>
      </c>
      <c r="BH25" s="61">
        <v>0</v>
      </c>
      <c r="BI25" s="56">
        <f t="shared" si="28"/>
        <v>59.643979057591622</v>
      </c>
      <c r="BJ25" s="57">
        <f t="shared" si="32"/>
        <v>0.21847862775783239</v>
      </c>
      <c r="BK25" s="58">
        <f t="shared" si="29"/>
        <v>0.14725192923252525</v>
      </c>
    </row>
    <row r="26" spans="1:63" ht="17.25" customHeight="1" x14ac:dyDescent="0.3">
      <c r="A26" s="41">
        <v>25</v>
      </c>
      <c r="B26" s="42">
        <v>46198</v>
      </c>
      <c r="C26" s="43" t="str">
        <f t="shared" si="0"/>
        <v>Jun-26</v>
      </c>
      <c r="D26" s="43" t="s">
        <v>69</v>
      </c>
      <c r="E26" s="43" t="s">
        <v>35</v>
      </c>
      <c r="F26" s="43" t="s">
        <v>41</v>
      </c>
      <c r="G26" s="14" t="s">
        <v>88</v>
      </c>
      <c r="H26" s="14" t="s">
        <v>60</v>
      </c>
      <c r="I26" s="14" t="s">
        <v>60</v>
      </c>
      <c r="J26" s="44" t="s">
        <v>60</v>
      </c>
      <c r="K26" s="44">
        <v>2026</v>
      </c>
      <c r="L26" s="44" t="s">
        <v>60</v>
      </c>
      <c r="M26" s="45">
        <v>1000</v>
      </c>
      <c r="N26" s="45">
        <v>172</v>
      </c>
      <c r="O26" s="45">
        <v>8.8000000000000007</v>
      </c>
      <c r="P26" s="46">
        <f t="shared" si="3"/>
        <v>298</v>
      </c>
      <c r="Q26" s="45">
        <v>8.1999999999999993</v>
      </c>
      <c r="R26" s="46">
        <v>250</v>
      </c>
      <c r="S26" s="46">
        <v>18</v>
      </c>
      <c r="T26" s="46">
        <v>9</v>
      </c>
      <c r="U26" s="46">
        <v>21</v>
      </c>
      <c r="V26" s="46">
        <v>0</v>
      </c>
      <c r="W26" s="46">
        <v>0</v>
      </c>
      <c r="X26" s="46">
        <v>18</v>
      </c>
      <c r="Y26" s="46">
        <v>2</v>
      </c>
      <c r="Z26" s="46">
        <f t="shared" si="23"/>
        <v>46.472968000000002</v>
      </c>
      <c r="AA26" s="46">
        <f t="shared" si="30"/>
        <v>48.853936000000004</v>
      </c>
      <c r="AB26" s="46">
        <f t="shared" si="31"/>
        <v>52.557664000000003</v>
      </c>
      <c r="AC26" s="46">
        <v>250</v>
      </c>
      <c r="AD26" s="46">
        <f>243-31</f>
        <v>212</v>
      </c>
      <c r="AE26" s="46">
        <v>31</v>
      </c>
      <c r="AF26" s="59">
        <f t="shared" si="1"/>
        <v>-7</v>
      </c>
      <c r="AG26" s="46">
        <f t="shared" si="4"/>
        <v>29</v>
      </c>
      <c r="AH26" s="47">
        <f t="shared" si="5"/>
        <v>34.551852748415321</v>
      </c>
      <c r="AI26" s="47">
        <f t="shared" si="6"/>
        <v>27</v>
      </c>
      <c r="AJ26" s="47">
        <f t="shared" si="7"/>
        <v>21</v>
      </c>
      <c r="AK26" s="47">
        <f t="shared" si="8"/>
        <v>263.5</v>
      </c>
      <c r="AL26" s="48">
        <f t="shared" si="9"/>
        <v>0.26350000000000001</v>
      </c>
      <c r="AM26" s="46">
        <f t="shared" si="10"/>
        <v>46.431718061674012</v>
      </c>
      <c r="AN26" s="46">
        <f t="shared" si="11"/>
        <v>12.757201646090534</v>
      </c>
      <c r="AO26" s="46">
        <f t="shared" si="12"/>
        <v>218.10699588477368</v>
      </c>
      <c r="AP26" s="46">
        <f t="shared" si="13"/>
        <v>41.876543209876544</v>
      </c>
      <c r="AQ26" s="49">
        <f t="shared" si="14"/>
        <v>0.7229803599046466</v>
      </c>
      <c r="AR26" s="50">
        <f t="shared" si="15"/>
        <v>0.2770196400953534</v>
      </c>
      <c r="AS26" s="51">
        <f t="shared" si="16"/>
        <v>0.21810699588477367</v>
      </c>
      <c r="AT26" s="51">
        <f t="shared" si="17"/>
        <v>4.1876543209876542E-2</v>
      </c>
      <c r="AU26" s="51">
        <f t="shared" si="24"/>
        <v>0.25998353909465022</v>
      </c>
      <c r="AV26" s="52">
        <f t="shared" si="18"/>
        <v>209.6567771960442</v>
      </c>
      <c r="AW26" s="52">
        <f t="shared" si="19"/>
        <v>40.254101221640489</v>
      </c>
      <c r="AX26" s="15">
        <f t="shared" si="20"/>
        <v>0.2096567771960442</v>
      </c>
      <c r="AY26" s="15">
        <f t="shared" si="21"/>
        <v>4.0254101221640491E-2</v>
      </c>
      <c r="AZ26" s="15">
        <f t="shared" si="22"/>
        <v>0.2499108784176847</v>
      </c>
      <c r="BA26" s="61">
        <f t="shared" si="25"/>
        <v>17.30261780104712</v>
      </c>
      <c r="BB26" s="61">
        <v>7</v>
      </c>
      <c r="BC26" s="61">
        <f t="shared" si="26"/>
        <v>8.6513089005235599</v>
      </c>
      <c r="BD26" s="61">
        <f>17+5</f>
        <v>22</v>
      </c>
      <c r="BE26" s="61">
        <f t="shared" si="27"/>
        <v>0</v>
      </c>
      <c r="BF26" s="61">
        <v>0</v>
      </c>
      <c r="BG26" s="61">
        <v>0</v>
      </c>
      <c r="BH26" s="61">
        <v>0</v>
      </c>
      <c r="BI26" s="56">
        <f t="shared" si="28"/>
        <v>54.95392670157068</v>
      </c>
      <c r="BJ26" s="57">
        <f t="shared" si="32"/>
        <v>0.20638572316210882</v>
      </c>
      <c r="BK26" s="58">
        <f t="shared" si="29"/>
        <v>0.11463498962758076</v>
      </c>
    </row>
    <row r="27" spans="1:63" ht="17.25" customHeight="1" x14ac:dyDescent="0.3">
      <c r="A27" s="41">
        <v>26</v>
      </c>
      <c r="B27" s="42">
        <v>46199</v>
      </c>
      <c r="C27" s="43" t="str">
        <f t="shared" si="0"/>
        <v>Jun-26</v>
      </c>
      <c r="D27" s="43" t="s">
        <v>68</v>
      </c>
      <c r="E27" s="43" t="s">
        <v>35</v>
      </c>
      <c r="F27" s="43" t="s">
        <v>41</v>
      </c>
      <c r="G27" s="14" t="s">
        <v>70</v>
      </c>
      <c r="H27" s="14" t="s">
        <v>60</v>
      </c>
      <c r="I27" s="14" t="s">
        <v>60</v>
      </c>
      <c r="J27" s="44" t="s">
        <v>60</v>
      </c>
      <c r="K27" s="44">
        <v>2026</v>
      </c>
      <c r="L27" s="44">
        <v>1046</v>
      </c>
      <c r="M27" s="45">
        <v>1000</v>
      </c>
      <c r="N27" s="45">
        <v>190</v>
      </c>
      <c r="O27" s="45">
        <v>8.5</v>
      </c>
      <c r="P27" s="46">
        <f t="shared" si="3"/>
        <v>300</v>
      </c>
      <c r="Q27" s="45">
        <v>8</v>
      </c>
      <c r="R27" s="46">
        <v>239</v>
      </c>
      <c r="S27" s="46">
        <v>20</v>
      </c>
      <c r="T27" s="46">
        <v>20</v>
      </c>
      <c r="U27" s="46">
        <v>18</v>
      </c>
      <c r="V27" s="46">
        <v>0</v>
      </c>
      <c r="W27" s="46">
        <v>3</v>
      </c>
      <c r="X27" s="46">
        <v>22</v>
      </c>
      <c r="Y27" s="46">
        <v>3</v>
      </c>
      <c r="Z27" s="46">
        <f t="shared" si="23"/>
        <v>45.679312000000003</v>
      </c>
      <c r="AA27" s="46">
        <f t="shared" si="30"/>
        <v>49.206672000000005</v>
      </c>
      <c r="AB27" s="46">
        <f t="shared" si="31"/>
        <v>52.910400000000003</v>
      </c>
      <c r="AC27" s="46">
        <v>239</v>
      </c>
      <c r="AD27" s="46">
        <f>231-36</f>
        <v>195</v>
      </c>
      <c r="AE27" s="46">
        <v>36</v>
      </c>
      <c r="AF27" s="59">
        <f t="shared" si="1"/>
        <v>-8</v>
      </c>
      <c r="AG27" s="46">
        <f t="shared" si="4"/>
        <v>35</v>
      </c>
      <c r="AH27" s="47">
        <f t="shared" si="5"/>
        <v>42.653162055335969</v>
      </c>
      <c r="AI27" s="47">
        <f t="shared" si="6"/>
        <v>40</v>
      </c>
      <c r="AJ27" s="47">
        <f t="shared" si="7"/>
        <v>21</v>
      </c>
      <c r="AK27" s="47">
        <f t="shared" si="8"/>
        <v>259</v>
      </c>
      <c r="AL27" s="48">
        <f t="shared" si="9"/>
        <v>0.25900000000000001</v>
      </c>
      <c r="AM27" s="46">
        <f t="shared" si="10"/>
        <v>45.63876651982379</v>
      </c>
      <c r="AN27" s="46">
        <f t="shared" si="11"/>
        <v>15.584415584415584</v>
      </c>
      <c r="AO27" s="46">
        <f t="shared" si="12"/>
        <v>201.75324675324677</v>
      </c>
      <c r="AP27" s="46">
        <f t="shared" si="13"/>
        <v>51.493506493506494</v>
      </c>
      <c r="AQ27" s="49">
        <f t="shared" si="14"/>
        <v>0.65448945981554674</v>
      </c>
      <c r="AR27" s="50">
        <f t="shared" si="15"/>
        <v>0.34551054018445321</v>
      </c>
      <c r="AS27" s="51">
        <f t="shared" si="16"/>
        <v>0.20175324675324677</v>
      </c>
      <c r="AT27" s="51">
        <f t="shared" si="17"/>
        <v>5.1493506493506494E-2</v>
      </c>
      <c r="AU27" s="51">
        <f t="shared" si="24"/>
        <v>0.25324675324675328</v>
      </c>
      <c r="AV27" s="52">
        <f t="shared" si="18"/>
        <v>194.35914870469847</v>
      </c>
      <c r="AW27" s="52">
        <f t="shared" si="19"/>
        <v>49.606309920446044</v>
      </c>
      <c r="AX27" s="15">
        <f t="shared" si="20"/>
        <v>0.19435914870469848</v>
      </c>
      <c r="AY27" s="15">
        <f t="shared" si="21"/>
        <v>4.9606309920446047E-2</v>
      </c>
      <c r="AZ27" s="15">
        <f t="shared" si="22"/>
        <v>0.24396545862514452</v>
      </c>
      <c r="BA27" s="61">
        <f t="shared" si="25"/>
        <v>19.267015706806284</v>
      </c>
      <c r="BB27" s="61">
        <v>7</v>
      </c>
      <c r="BC27" s="61">
        <f t="shared" si="26"/>
        <v>19.267015706806284</v>
      </c>
      <c r="BD27" s="61">
        <f>18+8</f>
        <v>26</v>
      </c>
      <c r="BE27" s="61">
        <f t="shared" si="27"/>
        <v>2.8900523560209423</v>
      </c>
      <c r="BF27" s="61">
        <v>2</v>
      </c>
      <c r="BG27" s="61">
        <v>0</v>
      </c>
      <c r="BH27" s="61">
        <v>0</v>
      </c>
      <c r="BI27" s="56">
        <f t="shared" si="28"/>
        <v>76.424083769633512</v>
      </c>
      <c r="BJ27" s="57">
        <f t="shared" si="32"/>
        <v>0.28434237182484029</v>
      </c>
      <c r="BK27" s="58">
        <f t="shared" si="29"/>
        <v>0.13470264465028864</v>
      </c>
    </row>
    <row r="28" spans="1:63" ht="17.25" customHeight="1" x14ac:dyDescent="0.3">
      <c r="A28" s="41">
        <v>27</v>
      </c>
      <c r="B28" s="42">
        <v>46199</v>
      </c>
      <c r="C28" s="43" t="str">
        <f t="shared" ref="C28" si="35">IF(ISBLANK(B28),"",TEXT(B28,"mmm-YY"))</f>
        <v>Jun-26</v>
      </c>
      <c r="D28" s="43" t="s">
        <v>68</v>
      </c>
      <c r="E28" s="43" t="s">
        <v>35</v>
      </c>
      <c r="F28" s="43" t="s">
        <v>41</v>
      </c>
      <c r="G28" s="14" t="s">
        <v>70</v>
      </c>
      <c r="H28" s="14" t="s">
        <v>60</v>
      </c>
      <c r="I28" s="14" t="s">
        <v>60</v>
      </c>
      <c r="J28" s="44" t="s">
        <v>60</v>
      </c>
      <c r="K28" s="44">
        <v>2026</v>
      </c>
      <c r="L28" s="44">
        <v>1046</v>
      </c>
      <c r="M28" s="45">
        <v>1000</v>
      </c>
      <c r="N28" s="45">
        <v>190</v>
      </c>
      <c r="O28" s="45">
        <v>8.5</v>
      </c>
      <c r="P28" s="46">
        <f t="shared" si="3"/>
        <v>301</v>
      </c>
      <c r="Q28" s="45">
        <v>8</v>
      </c>
      <c r="R28" s="46">
        <v>246</v>
      </c>
      <c r="S28" s="46">
        <v>15</v>
      </c>
      <c r="T28" s="46">
        <v>12</v>
      </c>
      <c r="U28" s="46">
        <v>26</v>
      </c>
      <c r="V28" s="46">
        <v>0</v>
      </c>
      <c r="W28" s="46">
        <v>2</v>
      </c>
      <c r="X28" s="46">
        <v>23</v>
      </c>
      <c r="Y28" s="46">
        <v>2</v>
      </c>
      <c r="Z28" s="46">
        <f t="shared" si="23"/>
        <v>45.767496000000001</v>
      </c>
      <c r="AA28" s="46">
        <f t="shared" si="30"/>
        <v>48.148463999999997</v>
      </c>
      <c r="AB28" s="46">
        <f t="shared" si="31"/>
        <v>53.086768000000006</v>
      </c>
      <c r="AC28" s="46">
        <v>246</v>
      </c>
      <c r="AD28" s="46">
        <f>239-36</f>
        <v>203</v>
      </c>
      <c r="AE28" s="46">
        <v>36</v>
      </c>
      <c r="AF28" s="59">
        <f t="shared" si="1"/>
        <v>-7</v>
      </c>
      <c r="AG28" s="46">
        <f t="shared" si="4"/>
        <v>36</v>
      </c>
      <c r="AH28" s="47">
        <f t="shared" si="5"/>
        <v>43.673822084773512</v>
      </c>
      <c r="AI28" s="47">
        <f t="shared" si="6"/>
        <v>27</v>
      </c>
      <c r="AJ28" s="47">
        <f t="shared" si="7"/>
        <v>28</v>
      </c>
      <c r="AK28" s="47">
        <f t="shared" si="8"/>
        <v>259.5</v>
      </c>
      <c r="AL28" s="48">
        <f t="shared" si="9"/>
        <v>0.25950000000000001</v>
      </c>
      <c r="AM28" s="46">
        <f t="shared" si="10"/>
        <v>45.726872246696033</v>
      </c>
      <c r="AN28" s="46">
        <f t="shared" si="11"/>
        <v>15.06276150627615</v>
      </c>
      <c r="AO28" s="46">
        <f t="shared" si="12"/>
        <v>208.94560669456069</v>
      </c>
      <c r="AP28" s="46">
        <f t="shared" si="13"/>
        <v>46.71548117154812</v>
      </c>
      <c r="AQ28" s="49">
        <f t="shared" si="14"/>
        <v>0.67217999307384213</v>
      </c>
      <c r="AR28" s="50">
        <f t="shared" si="15"/>
        <v>0.32782000692615787</v>
      </c>
      <c r="AS28" s="51">
        <f t="shared" si="16"/>
        <v>0.20894560669456069</v>
      </c>
      <c r="AT28" s="51">
        <f t="shared" si="17"/>
        <v>4.6715481171548119E-2</v>
      </c>
      <c r="AU28" s="51">
        <f t="shared" si="24"/>
        <v>0.2556610878661088</v>
      </c>
      <c r="AV28" s="52">
        <f t="shared" si="18"/>
        <v>201.28791430261344</v>
      </c>
      <c r="AW28" s="52">
        <f t="shared" si="19"/>
        <v>45.003395474161543</v>
      </c>
      <c r="AX28" s="15">
        <f t="shared" si="20"/>
        <v>0.20128791430261345</v>
      </c>
      <c r="AY28" s="15">
        <f t="shared" si="21"/>
        <v>4.5003395474161545E-2</v>
      </c>
      <c r="AZ28" s="15">
        <f t="shared" si="22"/>
        <v>0.24629130977677499</v>
      </c>
      <c r="BA28" s="61">
        <f t="shared" si="25"/>
        <v>14.450261780104713</v>
      </c>
      <c r="BB28" s="61">
        <v>8</v>
      </c>
      <c r="BC28" s="61">
        <f t="shared" si="26"/>
        <v>11.560209424083769</v>
      </c>
      <c r="BD28" s="61">
        <f>19+7</f>
        <v>26</v>
      </c>
      <c r="BE28" s="61">
        <f t="shared" si="27"/>
        <v>1.9267015706806283</v>
      </c>
      <c r="BF28" s="61">
        <v>2</v>
      </c>
      <c r="BG28" s="61">
        <v>0</v>
      </c>
      <c r="BH28" s="61">
        <v>0</v>
      </c>
      <c r="BI28" s="56">
        <f t="shared" si="28"/>
        <v>63.937172774869104</v>
      </c>
      <c r="BJ28" s="57">
        <f t="shared" si="32"/>
        <v>0.24311196050326481</v>
      </c>
      <c r="BK28" s="58">
        <f t="shared" si="29"/>
        <v>0.11059242256209217</v>
      </c>
    </row>
    <row r="29" spans="1:63" ht="17.25" customHeight="1" x14ac:dyDescent="0.3">
      <c r="A29" s="41">
        <v>28</v>
      </c>
      <c r="B29" s="42">
        <v>46200</v>
      </c>
      <c r="C29" s="43" t="str">
        <f t="shared" si="0"/>
        <v>Jun-26</v>
      </c>
      <c r="D29" s="43" t="s">
        <v>69</v>
      </c>
      <c r="E29" s="43" t="s">
        <v>35</v>
      </c>
      <c r="F29" s="43" t="s">
        <v>41</v>
      </c>
      <c r="G29" s="14" t="s">
        <v>89</v>
      </c>
      <c r="H29" s="14" t="s">
        <v>60</v>
      </c>
      <c r="I29" s="14" t="s">
        <v>60</v>
      </c>
      <c r="J29" s="44" t="s">
        <v>60</v>
      </c>
      <c r="K29" s="44">
        <v>2026</v>
      </c>
      <c r="L29" s="44" t="s">
        <v>60</v>
      </c>
      <c r="M29" s="45">
        <v>1000</v>
      </c>
      <c r="N29" s="45">
        <v>180</v>
      </c>
      <c r="O29" s="45">
        <v>8.5</v>
      </c>
      <c r="P29" s="46">
        <f t="shared" si="3"/>
        <v>288</v>
      </c>
      <c r="Q29" s="45">
        <v>7.9</v>
      </c>
      <c r="R29" s="46">
        <v>240</v>
      </c>
      <c r="S29" s="46">
        <v>15</v>
      </c>
      <c r="T29" s="46">
        <v>22</v>
      </c>
      <c r="U29" s="46">
        <v>11</v>
      </c>
      <c r="V29" s="46">
        <v>0</v>
      </c>
      <c r="W29" s="46">
        <v>0</v>
      </c>
      <c r="X29" s="46">
        <v>32</v>
      </c>
      <c r="Y29" s="46">
        <v>2</v>
      </c>
      <c r="Z29" s="46">
        <f t="shared" si="23"/>
        <v>45.591128000000005</v>
      </c>
      <c r="AA29" s="46">
        <f t="shared" si="30"/>
        <v>48.853936000000004</v>
      </c>
      <c r="AB29" s="46">
        <f t="shared" si="31"/>
        <v>50.793984000000002</v>
      </c>
      <c r="AC29" s="46">
        <v>240</v>
      </c>
      <c r="AD29" s="46">
        <f>233-32</f>
        <v>201</v>
      </c>
      <c r="AE29" s="46">
        <v>32</v>
      </c>
      <c r="AF29" s="59">
        <f t="shared" si="1"/>
        <v>-7</v>
      </c>
      <c r="AG29" s="46">
        <f t="shared" si="4"/>
        <v>34</v>
      </c>
      <c r="AH29" s="47">
        <f t="shared" si="5"/>
        <v>40.726864343198514</v>
      </c>
      <c r="AI29" s="47">
        <f t="shared" si="6"/>
        <v>37</v>
      </c>
      <c r="AJ29" s="47">
        <f t="shared" si="7"/>
        <v>11</v>
      </c>
      <c r="AK29" s="47">
        <f t="shared" si="8"/>
        <v>258.5</v>
      </c>
      <c r="AL29" s="48">
        <f t="shared" si="9"/>
        <v>0.25850000000000001</v>
      </c>
      <c r="AM29" s="46">
        <f t="shared" si="10"/>
        <v>45.55066079295154</v>
      </c>
      <c r="AN29" s="46">
        <f t="shared" si="11"/>
        <v>13.733905579399142</v>
      </c>
      <c r="AO29" s="46">
        <f t="shared" si="12"/>
        <v>207.03862660944208</v>
      </c>
      <c r="AP29" s="46">
        <f t="shared" si="13"/>
        <v>41.407725321888421</v>
      </c>
      <c r="AQ29" s="49">
        <f t="shared" si="14"/>
        <v>0.69192060991944959</v>
      </c>
      <c r="AR29" s="50">
        <f t="shared" si="15"/>
        <v>0.30807939008055041</v>
      </c>
      <c r="AS29" s="51">
        <f t="shared" si="16"/>
        <v>0.20703862660944208</v>
      </c>
      <c r="AT29" s="51">
        <f t="shared" si="17"/>
        <v>4.1407725321888418E-2</v>
      </c>
      <c r="AU29" s="51">
        <f t="shared" si="24"/>
        <v>0.24844635193133049</v>
      </c>
      <c r="AV29" s="52">
        <f t="shared" si="18"/>
        <v>199.66761791339911</v>
      </c>
      <c r="AW29" s="52">
        <f t="shared" si="19"/>
        <v>39.933523582679825</v>
      </c>
      <c r="AX29" s="15">
        <f t="shared" si="20"/>
        <v>0.19966761791339913</v>
      </c>
      <c r="AY29" s="15">
        <f t="shared" si="21"/>
        <v>3.9933523582679827E-2</v>
      </c>
      <c r="AZ29" s="15">
        <f t="shared" si="22"/>
        <v>0.23960114149607895</v>
      </c>
      <c r="BA29" s="61">
        <f t="shared" si="25"/>
        <v>14.465968586387435</v>
      </c>
      <c r="BB29" s="61">
        <v>8</v>
      </c>
      <c r="BC29" s="61">
        <f t="shared" si="26"/>
        <v>21.216753926701568</v>
      </c>
      <c r="BD29" s="61">
        <v>26</v>
      </c>
      <c r="BE29" s="61">
        <f t="shared" si="27"/>
        <v>0</v>
      </c>
      <c r="BF29" s="61">
        <v>0</v>
      </c>
      <c r="BG29" s="61">
        <v>0</v>
      </c>
      <c r="BH29" s="61">
        <v>0</v>
      </c>
      <c r="BI29" s="56">
        <f t="shared" si="28"/>
        <v>69.682722513089004</v>
      </c>
      <c r="BJ29" s="57">
        <f t="shared" si="32"/>
        <v>0.26084894381793455</v>
      </c>
      <c r="BK29" s="58">
        <f t="shared" si="29"/>
        <v>0.11177098799197728</v>
      </c>
    </row>
    <row r="30" spans="1:63" ht="17.25" customHeight="1" x14ac:dyDescent="0.3">
      <c r="A30" s="41">
        <v>29</v>
      </c>
      <c r="B30" s="42">
        <v>46200</v>
      </c>
      <c r="C30" s="43" t="str">
        <f t="shared" si="0"/>
        <v>Jun-26</v>
      </c>
      <c r="D30" s="43" t="s">
        <v>69</v>
      </c>
      <c r="E30" s="43" t="s">
        <v>35</v>
      </c>
      <c r="F30" s="43" t="s">
        <v>41</v>
      </c>
      <c r="G30" s="14" t="s">
        <v>89</v>
      </c>
      <c r="H30" s="14" t="s">
        <v>60</v>
      </c>
      <c r="I30" s="14" t="s">
        <v>60</v>
      </c>
      <c r="J30" s="44" t="s">
        <v>60</v>
      </c>
      <c r="K30" s="44">
        <v>2026</v>
      </c>
      <c r="L30" s="44" t="s">
        <v>60</v>
      </c>
      <c r="M30" s="45">
        <v>1000</v>
      </c>
      <c r="N30" s="45">
        <v>180</v>
      </c>
      <c r="O30" s="45">
        <v>8.5</v>
      </c>
      <c r="P30" s="46">
        <f t="shared" si="3"/>
        <v>300</v>
      </c>
      <c r="Q30" s="45">
        <v>7.9</v>
      </c>
      <c r="R30" s="46">
        <v>248</v>
      </c>
      <c r="S30" s="46">
        <v>17</v>
      </c>
      <c r="T30" s="46">
        <v>15</v>
      </c>
      <c r="U30" s="46">
        <v>20</v>
      </c>
      <c r="V30" s="46">
        <v>0</v>
      </c>
      <c r="W30" s="46">
        <v>0</v>
      </c>
      <c r="X30" s="46">
        <v>28</v>
      </c>
      <c r="Y30" s="46">
        <v>2</v>
      </c>
      <c r="Z30" s="46">
        <f t="shared" si="23"/>
        <v>46.561152</v>
      </c>
      <c r="AA30" s="46">
        <f t="shared" si="30"/>
        <v>49.383040000000001</v>
      </c>
      <c r="AB30" s="46">
        <f t="shared" si="31"/>
        <v>52.910400000000003</v>
      </c>
      <c r="AC30" s="46">
        <v>248</v>
      </c>
      <c r="AD30" s="46">
        <f>240-32</f>
        <v>208</v>
      </c>
      <c r="AE30" s="46">
        <v>32</v>
      </c>
      <c r="AF30" s="59">
        <f t="shared" si="1"/>
        <v>-8</v>
      </c>
      <c r="AG30" s="46">
        <f t="shared" si="4"/>
        <v>35</v>
      </c>
      <c r="AH30" s="47">
        <f t="shared" si="5"/>
        <v>41.777053926891064</v>
      </c>
      <c r="AI30" s="47">
        <f t="shared" si="6"/>
        <v>32</v>
      </c>
      <c r="AJ30" s="47">
        <f t="shared" si="7"/>
        <v>20</v>
      </c>
      <c r="AK30" s="47">
        <f t="shared" si="8"/>
        <v>264</v>
      </c>
      <c r="AL30" s="48">
        <f t="shared" si="9"/>
        <v>0.26400000000000001</v>
      </c>
      <c r="AM30" s="46">
        <f t="shared" si="10"/>
        <v>46.519823788546255</v>
      </c>
      <c r="AN30" s="46">
        <f t="shared" si="11"/>
        <v>13.333333333333334</v>
      </c>
      <c r="AO30" s="46">
        <f t="shared" si="12"/>
        <v>214.93333333333334</v>
      </c>
      <c r="AP30" s="46">
        <f t="shared" si="13"/>
        <v>45.06666666666667</v>
      </c>
      <c r="AQ30" s="49">
        <f t="shared" si="14"/>
        <v>0.68740982024369646</v>
      </c>
      <c r="AR30" s="50">
        <f t="shared" si="15"/>
        <v>0.31259017975630354</v>
      </c>
      <c r="AS30" s="51">
        <f t="shared" si="16"/>
        <v>0.21493333333333334</v>
      </c>
      <c r="AT30" s="51">
        <f t="shared" si="17"/>
        <v>4.5066666666666672E-2</v>
      </c>
      <c r="AU30" s="51">
        <f t="shared" si="24"/>
        <v>0.26</v>
      </c>
      <c r="AV30" s="52">
        <f t="shared" si="18"/>
        <v>207.28125654450261</v>
      </c>
      <c r="AW30" s="52">
        <f t="shared" si="19"/>
        <v>43.462198952879582</v>
      </c>
      <c r="AX30" s="15">
        <f t="shared" si="20"/>
        <v>0.20728125654450261</v>
      </c>
      <c r="AY30" s="15">
        <f t="shared" si="21"/>
        <v>4.3462198952879581E-2</v>
      </c>
      <c r="AZ30" s="15">
        <f t="shared" si="22"/>
        <v>0.25074345549738219</v>
      </c>
      <c r="BA30" s="61">
        <f t="shared" si="25"/>
        <v>16.394764397905757</v>
      </c>
      <c r="BB30" s="61">
        <v>8</v>
      </c>
      <c r="BC30" s="61">
        <f t="shared" si="26"/>
        <v>14.465968586387435</v>
      </c>
      <c r="BD30" s="61">
        <f>20+7</f>
        <v>27</v>
      </c>
      <c r="BE30" s="61">
        <f t="shared" si="27"/>
        <v>0</v>
      </c>
      <c r="BF30" s="61">
        <v>0</v>
      </c>
      <c r="BG30" s="61">
        <v>0</v>
      </c>
      <c r="BH30" s="61">
        <v>0</v>
      </c>
      <c r="BI30" s="56">
        <f t="shared" si="28"/>
        <v>65.860732984293193</v>
      </c>
      <c r="BJ30" s="57">
        <f t="shared" si="32"/>
        <v>0.24390026368853729</v>
      </c>
      <c r="BK30" s="58">
        <f t="shared" si="29"/>
        <v>0.11728252114377767</v>
      </c>
    </row>
    <row r="31" spans="1:63" ht="17.25" customHeight="1" x14ac:dyDescent="0.3">
      <c r="A31" s="41">
        <v>30</v>
      </c>
      <c r="B31" s="42">
        <v>46200</v>
      </c>
      <c r="C31" s="43" t="str">
        <f t="shared" si="0"/>
        <v>Jun-26</v>
      </c>
      <c r="D31" s="43" t="s">
        <v>68</v>
      </c>
      <c r="E31" s="43" t="s">
        <v>35</v>
      </c>
      <c r="F31" s="43" t="s">
        <v>41</v>
      </c>
      <c r="G31" s="14" t="s">
        <v>70</v>
      </c>
      <c r="H31" s="14" t="s">
        <v>60</v>
      </c>
      <c r="I31" s="14" t="s">
        <v>60</v>
      </c>
      <c r="J31" s="44" t="s">
        <v>60</v>
      </c>
      <c r="K31" s="44">
        <v>2026</v>
      </c>
      <c r="L31" s="44">
        <v>1047</v>
      </c>
      <c r="M31" s="45">
        <v>1000</v>
      </c>
      <c r="N31" s="45">
        <v>196</v>
      </c>
      <c r="O31" s="45">
        <v>8.1</v>
      </c>
      <c r="P31" s="46">
        <f t="shared" si="3"/>
        <v>301</v>
      </c>
      <c r="Q31" s="45">
        <v>7.6</v>
      </c>
      <c r="R31" s="46">
        <v>240</v>
      </c>
      <c r="S31" s="46">
        <v>16</v>
      </c>
      <c r="T31" s="46">
        <v>21</v>
      </c>
      <c r="U31" s="46">
        <v>24</v>
      </c>
      <c r="V31" s="46">
        <v>0</v>
      </c>
      <c r="W31" s="46">
        <v>0</v>
      </c>
      <c r="X31" s="46">
        <v>24</v>
      </c>
      <c r="Y31" s="46">
        <v>7</v>
      </c>
      <c r="Z31" s="46">
        <f t="shared" si="23"/>
        <v>45.591128000000005</v>
      </c>
      <c r="AA31" s="46">
        <f t="shared" si="30"/>
        <v>48.853936000000004</v>
      </c>
      <c r="AB31" s="46">
        <f t="shared" si="31"/>
        <v>53.086768000000006</v>
      </c>
      <c r="AC31" s="46">
        <v>246</v>
      </c>
      <c r="AD31" s="46">
        <f>239-39</f>
        <v>200</v>
      </c>
      <c r="AE31" s="46">
        <v>39</v>
      </c>
      <c r="AF31" s="59">
        <f t="shared" si="1"/>
        <v>-7</v>
      </c>
      <c r="AG31" s="46">
        <f t="shared" si="4"/>
        <v>38</v>
      </c>
      <c r="AH31" s="47">
        <f t="shared" si="5"/>
        <v>46.401311380390872</v>
      </c>
      <c r="AI31" s="47">
        <f t="shared" si="6"/>
        <v>37</v>
      </c>
      <c r="AJ31" s="47">
        <f t="shared" si="7"/>
        <v>24</v>
      </c>
      <c r="AK31" s="47">
        <f t="shared" si="8"/>
        <v>258.5</v>
      </c>
      <c r="AL31" s="48">
        <f t="shared" si="9"/>
        <v>0.25850000000000001</v>
      </c>
      <c r="AM31" s="46">
        <f t="shared" si="10"/>
        <v>45.55066079295154</v>
      </c>
      <c r="AN31" s="46">
        <f t="shared" si="11"/>
        <v>16.317991631799163</v>
      </c>
      <c r="AO31" s="46">
        <f t="shared" si="12"/>
        <v>200.83682008368203</v>
      </c>
      <c r="AP31" s="46">
        <f t="shared" si="13"/>
        <v>51.046025104602514</v>
      </c>
      <c r="AQ31" s="49">
        <f t="shared" si="14"/>
        <v>0.64318501202527956</v>
      </c>
      <c r="AR31" s="50">
        <f t="shared" si="15"/>
        <v>0.3568149879747205</v>
      </c>
      <c r="AS31" s="51">
        <f t="shared" si="16"/>
        <v>0.20083682008368203</v>
      </c>
      <c r="AT31" s="51">
        <f t="shared" si="17"/>
        <v>5.1046025104602516E-2</v>
      </c>
      <c r="AU31" s="51">
        <f t="shared" si="24"/>
        <v>0.25188284518828452</v>
      </c>
      <c r="AV31" s="52">
        <f t="shared" si="18"/>
        <v>194.31750969353112</v>
      </c>
      <c r="AW31" s="52">
        <f t="shared" si="19"/>
        <v>49.389033713772484</v>
      </c>
      <c r="AX31" s="15">
        <f t="shared" si="20"/>
        <v>0.19431750969353112</v>
      </c>
      <c r="AY31" s="15">
        <f t="shared" si="21"/>
        <v>4.9389033713772484E-2</v>
      </c>
      <c r="AZ31" s="15">
        <f t="shared" si="22"/>
        <v>0.24370654340730361</v>
      </c>
      <c r="BA31" s="61">
        <f t="shared" si="25"/>
        <v>15.480628272251311</v>
      </c>
      <c r="BB31" s="61">
        <v>7</v>
      </c>
      <c r="BC31" s="61">
        <f t="shared" si="26"/>
        <v>20.318324607329846</v>
      </c>
      <c r="BD31" s="61">
        <f>21+7</f>
        <v>28</v>
      </c>
      <c r="BE31" s="61">
        <f t="shared" si="27"/>
        <v>0</v>
      </c>
      <c r="BF31" s="61">
        <v>0</v>
      </c>
      <c r="BG31" s="61">
        <v>0</v>
      </c>
      <c r="BH31" s="61">
        <v>3</v>
      </c>
      <c r="BI31" s="56">
        <f t="shared" si="28"/>
        <v>73.798952879581151</v>
      </c>
      <c r="BJ31" s="57">
        <f t="shared" si="32"/>
        <v>0.27536062012596302</v>
      </c>
      <c r="BK31" s="58">
        <f t="shared" si="29"/>
        <v>0.11240314136125655</v>
      </c>
    </row>
    <row r="32" spans="1:63" ht="17.25" customHeight="1" x14ac:dyDescent="0.3">
      <c r="A32" s="41">
        <v>31</v>
      </c>
      <c r="B32" s="42">
        <v>46200</v>
      </c>
      <c r="C32" s="43" t="str">
        <f t="shared" si="0"/>
        <v>Jun-26</v>
      </c>
      <c r="D32" s="43" t="s">
        <v>68</v>
      </c>
      <c r="E32" s="43" t="s">
        <v>35</v>
      </c>
      <c r="F32" s="43" t="s">
        <v>41</v>
      </c>
      <c r="G32" s="14" t="s">
        <v>70</v>
      </c>
      <c r="H32" s="14" t="s">
        <v>60</v>
      </c>
      <c r="I32" s="14" t="s">
        <v>60</v>
      </c>
      <c r="J32" s="44" t="s">
        <v>60</v>
      </c>
      <c r="K32" s="44">
        <v>2026</v>
      </c>
      <c r="L32" s="44">
        <v>1047</v>
      </c>
      <c r="M32" s="45">
        <v>1000</v>
      </c>
      <c r="N32" s="45">
        <v>196</v>
      </c>
      <c r="O32" s="45">
        <v>8.1</v>
      </c>
      <c r="P32" s="46">
        <f t="shared" si="3"/>
        <v>295</v>
      </c>
      <c r="Q32" s="45">
        <v>7.6</v>
      </c>
      <c r="R32" s="46">
        <v>246</v>
      </c>
      <c r="S32" s="46">
        <v>12</v>
      </c>
      <c r="T32" s="46">
        <v>18</v>
      </c>
      <c r="U32" s="46">
        <v>19</v>
      </c>
      <c r="V32" s="46">
        <v>0</v>
      </c>
      <c r="W32" s="46">
        <v>0</v>
      </c>
      <c r="X32" s="46">
        <v>27</v>
      </c>
      <c r="Y32" s="46">
        <v>7</v>
      </c>
      <c r="Z32" s="46">
        <f t="shared" si="23"/>
        <v>46.032048000000003</v>
      </c>
      <c r="AA32" s="46">
        <f t="shared" si="30"/>
        <v>48.677568000000001</v>
      </c>
      <c r="AB32" s="46">
        <f t="shared" si="31"/>
        <v>52.028560000000006</v>
      </c>
      <c r="AC32" s="46">
        <v>246</v>
      </c>
      <c r="AD32" s="46">
        <f>233-45</f>
        <v>188</v>
      </c>
      <c r="AE32" s="46">
        <v>45</v>
      </c>
      <c r="AF32" s="59">
        <f t="shared" si="1"/>
        <v>-13</v>
      </c>
      <c r="AG32" s="46">
        <f t="shared" si="4"/>
        <v>43</v>
      </c>
      <c r="AH32" s="47">
        <f t="shared" si="5"/>
        <v>53.858852163573189</v>
      </c>
      <c r="AI32" s="47">
        <f t="shared" si="6"/>
        <v>30</v>
      </c>
      <c r="AJ32" s="47">
        <f t="shared" si="7"/>
        <v>19</v>
      </c>
      <c r="AK32" s="47">
        <f t="shared" si="8"/>
        <v>261</v>
      </c>
      <c r="AL32" s="48">
        <f t="shared" si="9"/>
        <v>0.26100000000000001</v>
      </c>
      <c r="AM32" s="46">
        <f t="shared" si="10"/>
        <v>45.991189427312776</v>
      </c>
      <c r="AN32" s="46">
        <f t="shared" si="11"/>
        <v>19.313304721030043</v>
      </c>
      <c r="AO32" s="46">
        <f t="shared" si="12"/>
        <v>198.48927038626607</v>
      </c>
      <c r="AP32" s="46">
        <f t="shared" si="13"/>
        <v>39.53648068669527</v>
      </c>
      <c r="AQ32" s="49">
        <f t="shared" si="14"/>
        <v>0.65132592486924334</v>
      </c>
      <c r="AR32" s="50">
        <f t="shared" si="15"/>
        <v>0.3486740751307566</v>
      </c>
      <c r="AS32" s="51">
        <f t="shared" si="16"/>
        <v>0.19848927038626607</v>
      </c>
      <c r="AT32" s="51">
        <f t="shared" si="17"/>
        <v>3.9536480686695269E-2</v>
      </c>
      <c r="AU32" s="51">
        <f t="shared" si="24"/>
        <v>0.23802575107296134</v>
      </c>
      <c r="AV32" s="52">
        <f t="shared" si="18"/>
        <v>192.04616318001032</v>
      </c>
      <c r="AW32" s="52">
        <f t="shared" si="19"/>
        <v>38.253097543985795</v>
      </c>
      <c r="AX32" s="15">
        <f t="shared" si="20"/>
        <v>0.19204616318001033</v>
      </c>
      <c r="AY32" s="15">
        <f t="shared" si="21"/>
        <v>3.8253097543985794E-2</v>
      </c>
      <c r="AZ32" s="15">
        <f t="shared" si="22"/>
        <v>0.23029926072399612</v>
      </c>
      <c r="BA32" s="61">
        <f t="shared" si="25"/>
        <v>11.610471204188483</v>
      </c>
      <c r="BB32" s="61">
        <v>7</v>
      </c>
      <c r="BC32" s="61">
        <f t="shared" si="26"/>
        <v>17.415706806282724</v>
      </c>
      <c r="BD32" s="61">
        <f>22+9</f>
        <v>31</v>
      </c>
      <c r="BE32" s="61">
        <f t="shared" si="27"/>
        <v>0</v>
      </c>
      <c r="BF32" s="61">
        <v>0</v>
      </c>
      <c r="BG32" s="61">
        <v>0</v>
      </c>
      <c r="BH32" s="61">
        <v>5</v>
      </c>
      <c r="BI32" s="56">
        <f t="shared" si="28"/>
        <v>72.026178010471213</v>
      </c>
      <c r="BJ32" s="57">
        <f t="shared" si="32"/>
        <v>0.26971971265449529</v>
      </c>
      <c r="BK32" s="58">
        <f t="shared" si="29"/>
        <v>9.8991868107385556E-2</v>
      </c>
    </row>
    <row r="33" spans="1:63" ht="17.25" customHeight="1" x14ac:dyDescent="0.3">
      <c r="A33" s="41">
        <v>32</v>
      </c>
      <c r="B33" s="42">
        <v>46202</v>
      </c>
      <c r="C33" s="43" t="str">
        <f t="shared" si="0"/>
        <v>Jun-26</v>
      </c>
      <c r="D33" s="43" t="s">
        <v>68</v>
      </c>
      <c r="E33" s="43" t="s">
        <v>35</v>
      </c>
      <c r="F33" s="43" t="s">
        <v>41</v>
      </c>
      <c r="G33" s="14" t="s">
        <v>70</v>
      </c>
      <c r="H33" s="14" t="s">
        <v>60</v>
      </c>
      <c r="I33" s="14" t="s">
        <v>60</v>
      </c>
      <c r="J33" s="44" t="s">
        <v>60</v>
      </c>
      <c r="K33" s="44">
        <v>2026</v>
      </c>
      <c r="L33" s="44">
        <v>1048</v>
      </c>
      <c r="M33" s="45">
        <v>1000</v>
      </c>
      <c r="N33" s="45">
        <v>196</v>
      </c>
      <c r="O33" s="45">
        <v>7.8</v>
      </c>
      <c r="P33" s="46">
        <f t="shared" si="3"/>
        <v>305</v>
      </c>
      <c r="Q33" s="45">
        <v>7.82</v>
      </c>
      <c r="R33" s="46">
        <v>248</v>
      </c>
      <c r="S33" s="46">
        <v>15</v>
      </c>
      <c r="T33" s="46">
        <v>16</v>
      </c>
      <c r="U33" s="46">
        <v>26</v>
      </c>
      <c r="V33" s="46">
        <v>0</v>
      </c>
      <c r="W33" s="46">
        <v>0</v>
      </c>
      <c r="X33" s="46">
        <v>27</v>
      </c>
      <c r="Y33" s="46">
        <v>4</v>
      </c>
      <c r="Z33" s="46">
        <f t="shared" si="23"/>
        <v>46.472968000000002</v>
      </c>
      <c r="AA33" s="46">
        <f t="shared" si="30"/>
        <v>49.206672000000005</v>
      </c>
      <c r="AB33" s="46">
        <f t="shared" si="31"/>
        <v>53.792240000000007</v>
      </c>
      <c r="AC33" s="46">
        <v>248</v>
      </c>
      <c r="AD33" s="46">
        <f>240-37</f>
        <v>203</v>
      </c>
      <c r="AE33" s="46">
        <v>37</v>
      </c>
      <c r="AF33" s="59">
        <f t="shared" si="1"/>
        <v>-8</v>
      </c>
      <c r="AG33" s="46">
        <f t="shared" si="4"/>
        <v>32</v>
      </c>
      <c r="AH33" s="47">
        <f t="shared" si="5"/>
        <v>38.864540391986694</v>
      </c>
      <c r="AI33" s="47">
        <f t="shared" si="6"/>
        <v>31</v>
      </c>
      <c r="AJ33" s="47">
        <f t="shared" si="7"/>
        <v>26</v>
      </c>
      <c r="AK33" s="47">
        <f t="shared" si="8"/>
        <v>263.5</v>
      </c>
      <c r="AL33" s="48">
        <f t="shared" si="9"/>
        <v>0.26350000000000001</v>
      </c>
      <c r="AM33" s="46">
        <f t="shared" si="10"/>
        <v>46.431718061674012</v>
      </c>
      <c r="AN33" s="46">
        <f t="shared" si="11"/>
        <v>15.416666666666668</v>
      </c>
      <c r="AO33" s="46">
        <f t="shared" si="12"/>
        <v>209.76666666666665</v>
      </c>
      <c r="AP33" s="46">
        <f t="shared" si="13"/>
        <v>48.212499999999999</v>
      </c>
      <c r="AQ33" s="49">
        <f t="shared" si="14"/>
        <v>0.68569003150168306</v>
      </c>
      <c r="AR33" s="50">
        <f t="shared" si="15"/>
        <v>0.31430996849831705</v>
      </c>
      <c r="AS33" s="51">
        <f t="shared" si="16"/>
        <v>0.20976666666666666</v>
      </c>
      <c r="AT33" s="51">
        <f t="shared" si="17"/>
        <v>4.8212499999999998E-2</v>
      </c>
      <c r="AU33" s="51">
        <f t="shared" si="24"/>
        <v>0.25797916666666665</v>
      </c>
      <c r="AV33" s="52">
        <f t="shared" si="18"/>
        <v>202.47425479930195</v>
      </c>
      <c r="AW33" s="52">
        <f t="shared" si="19"/>
        <v>46.536421465968587</v>
      </c>
      <c r="AX33" s="15">
        <f t="shared" si="20"/>
        <v>0.20247425479930195</v>
      </c>
      <c r="AY33" s="15">
        <f t="shared" si="21"/>
        <v>4.6536421465968585E-2</v>
      </c>
      <c r="AZ33" s="15">
        <f t="shared" si="22"/>
        <v>0.24901067626527054</v>
      </c>
      <c r="BA33" s="61">
        <f t="shared" si="25"/>
        <v>14.478534031413613</v>
      </c>
      <c r="BB33" s="61">
        <v>8</v>
      </c>
      <c r="BC33" s="61">
        <f t="shared" si="26"/>
        <v>15.443769633507854</v>
      </c>
      <c r="BD33" s="61">
        <f>17+7</f>
        <v>24</v>
      </c>
      <c r="BE33" s="61">
        <f t="shared" si="27"/>
        <v>0</v>
      </c>
      <c r="BF33" s="61">
        <v>0</v>
      </c>
      <c r="BG33" s="61">
        <v>0</v>
      </c>
      <c r="BH33" s="61">
        <v>0</v>
      </c>
      <c r="BI33" s="56">
        <f t="shared" si="28"/>
        <v>61.922303664921465</v>
      </c>
      <c r="BJ33" s="57">
        <f t="shared" si="32"/>
        <v>0.22993737513715953</v>
      </c>
      <c r="BK33" s="58">
        <f t="shared" si="29"/>
        <v>0.11073169473602765</v>
      </c>
    </row>
    <row r="34" spans="1:63" ht="17.25" customHeight="1" x14ac:dyDescent="0.3">
      <c r="A34" s="41">
        <v>33</v>
      </c>
      <c r="B34" s="42">
        <v>46202</v>
      </c>
      <c r="C34" s="43" t="str">
        <f t="shared" si="0"/>
        <v>Jun-26</v>
      </c>
      <c r="D34" s="43" t="s">
        <v>68</v>
      </c>
      <c r="E34" s="43" t="s">
        <v>35</v>
      </c>
      <c r="F34" s="43" t="s">
        <v>41</v>
      </c>
      <c r="G34" s="14" t="s">
        <v>70</v>
      </c>
      <c r="H34" s="14" t="s">
        <v>60</v>
      </c>
      <c r="I34" s="14" t="s">
        <v>60</v>
      </c>
      <c r="J34" s="44" t="s">
        <v>60</v>
      </c>
      <c r="K34" s="44">
        <v>2026</v>
      </c>
      <c r="L34" s="44">
        <v>1048</v>
      </c>
      <c r="M34" s="45">
        <v>1000</v>
      </c>
      <c r="N34" s="45">
        <v>196</v>
      </c>
      <c r="O34" s="45">
        <v>7.8</v>
      </c>
      <c r="P34" s="46">
        <f t="shared" si="3"/>
        <v>306</v>
      </c>
      <c r="Q34" s="45">
        <v>7.82</v>
      </c>
      <c r="R34" s="46">
        <v>249</v>
      </c>
      <c r="S34" s="46">
        <v>11</v>
      </c>
      <c r="T34" s="46">
        <v>17</v>
      </c>
      <c r="U34" s="46">
        <v>27</v>
      </c>
      <c r="V34" s="46">
        <v>0</v>
      </c>
      <c r="W34" s="46">
        <v>2</v>
      </c>
      <c r="X34" s="46">
        <v>14</v>
      </c>
      <c r="Y34" s="46">
        <v>3</v>
      </c>
      <c r="Z34" s="46">
        <f t="shared" si="23"/>
        <v>46.384783999999996</v>
      </c>
      <c r="AA34" s="46">
        <f t="shared" si="30"/>
        <v>48.853936000000004</v>
      </c>
      <c r="AB34" s="46">
        <f t="shared" si="31"/>
        <v>53.968608000000003</v>
      </c>
      <c r="AC34" s="46">
        <v>249</v>
      </c>
      <c r="AD34" s="46">
        <f>241-39</f>
        <v>202</v>
      </c>
      <c r="AE34" s="46">
        <v>39</v>
      </c>
      <c r="AF34" s="59">
        <f t="shared" si="1"/>
        <v>-8</v>
      </c>
      <c r="AG34" s="46">
        <f t="shared" si="4"/>
        <v>35</v>
      </c>
      <c r="AH34" s="47">
        <f t="shared" si="5"/>
        <v>42.790175094911724</v>
      </c>
      <c r="AI34" s="47">
        <f t="shared" si="6"/>
        <v>28</v>
      </c>
      <c r="AJ34" s="47">
        <f t="shared" si="7"/>
        <v>29</v>
      </c>
      <c r="AK34" s="47">
        <f t="shared" si="8"/>
        <v>263</v>
      </c>
      <c r="AL34" s="48">
        <f t="shared" si="9"/>
        <v>0.26300000000000001</v>
      </c>
      <c r="AM34" s="46">
        <f t="shared" si="10"/>
        <v>46.343612334801762</v>
      </c>
      <c r="AN34" s="46">
        <f t="shared" si="11"/>
        <v>16.182572614107883</v>
      </c>
      <c r="AO34" s="46">
        <f t="shared" si="12"/>
        <v>208.70539419087137</v>
      </c>
      <c r="AP34" s="46">
        <f t="shared" si="13"/>
        <v>47.775933609958507</v>
      </c>
      <c r="AQ34" s="49">
        <f t="shared" si="14"/>
        <v>0.67388831668329507</v>
      </c>
      <c r="AR34" s="50">
        <f t="shared" si="15"/>
        <v>0.32611168331670498</v>
      </c>
      <c r="AS34" s="51">
        <f t="shared" si="16"/>
        <v>0.20870539419087136</v>
      </c>
      <c r="AT34" s="51">
        <f t="shared" si="17"/>
        <v>4.7775933609958507E-2</v>
      </c>
      <c r="AU34" s="51">
        <f t="shared" si="24"/>
        <v>0.25648132780082988</v>
      </c>
      <c r="AV34" s="52">
        <f t="shared" si="18"/>
        <v>201.44987682214165</v>
      </c>
      <c r="AW34" s="52">
        <f t="shared" si="19"/>
        <v>46.115032043622783</v>
      </c>
      <c r="AX34" s="15">
        <f t="shared" si="20"/>
        <v>0.20144987682214166</v>
      </c>
      <c r="AY34" s="15">
        <f t="shared" si="21"/>
        <v>4.6115032043622786E-2</v>
      </c>
      <c r="AZ34" s="15">
        <f t="shared" si="22"/>
        <v>0.24756490886576443</v>
      </c>
      <c r="BA34" s="61">
        <f t="shared" si="25"/>
        <v>10.617591623036649</v>
      </c>
      <c r="BB34" s="61">
        <v>8</v>
      </c>
      <c r="BC34" s="61">
        <f t="shared" si="26"/>
        <v>16.409005235602095</v>
      </c>
      <c r="BD34" s="61">
        <f>19+6</f>
        <v>25</v>
      </c>
      <c r="BE34" s="61">
        <f t="shared" si="27"/>
        <v>1.9304712041884817</v>
      </c>
      <c r="BF34" s="61">
        <v>2</v>
      </c>
      <c r="BG34" s="61">
        <v>0</v>
      </c>
      <c r="BH34" s="61">
        <v>0</v>
      </c>
      <c r="BI34" s="56">
        <f t="shared" si="28"/>
        <v>63.957068062827219</v>
      </c>
      <c r="BJ34" s="57">
        <f t="shared" si="32"/>
        <v>0.23920785968122324</v>
      </c>
      <c r="BK34" s="58">
        <f t="shared" si="29"/>
        <v>9.2166295163547768E-2</v>
      </c>
    </row>
    <row r="35" spans="1:63" ht="17.25" customHeight="1" x14ac:dyDescent="0.3">
      <c r="A35" s="41">
        <v>34</v>
      </c>
      <c r="B35" s="42">
        <v>46203</v>
      </c>
      <c r="C35" s="43" t="str">
        <f t="shared" si="0"/>
        <v>Jun-26</v>
      </c>
      <c r="D35" s="43" t="s">
        <v>68</v>
      </c>
      <c r="E35" s="43" t="s">
        <v>35</v>
      </c>
      <c r="F35" s="43" t="s">
        <v>41</v>
      </c>
      <c r="G35" s="14" t="s">
        <v>70</v>
      </c>
      <c r="H35" s="14" t="s">
        <v>60</v>
      </c>
      <c r="I35" s="14" t="s">
        <v>60</v>
      </c>
      <c r="J35" s="44" t="s">
        <v>60</v>
      </c>
      <c r="K35" s="44">
        <v>2026</v>
      </c>
      <c r="L35" s="44">
        <v>1049</v>
      </c>
      <c r="M35" s="45">
        <v>1000</v>
      </c>
      <c r="N35" s="45">
        <v>186</v>
      </c>
      <c r="O35" s="45">
        <v>7.7</v>
      </c>
      <c r="P35" s="46">
        <f t="shared" si="3"/>
        <v>292</v>
      </c>
      <c r="Q35" s="45">
        <v>7.55</v>
      </c>
      <c r="R35" s="46">
        <v>251</v>
      </c>
      <c r="S35" s="46">
        <v>10</v>
      </c>
      <c r="T35" s="46">
        <v>12</v>
      </c>
      <c r="U35" s="46">
        <v>19</v>
      </c>
      <c r="V35" s="46">
        <v>0</v>
      </c>
      <c r="W35" s="46">
        <v>0</v>
      </c>
      <c r="X35" s="46">
        <v>36</v>
      </c>
      <c r="Y35" s="46">
        <v>6</v>
      </c>
      <c r="Z35" s="46">
        <f t="shared" si="23"/>
        <v>46.208416000000007</v>
      </c>
      <c r="AA35" s="46">
        <f t="shared" si="30"/>
        <v>48.148463999999997</v>
      </c>
      <c r="AB35" s="46">
        <f t="shared" si="31"/>
        <v>51.499456000000002</v>
      </c>
      <c r="AC35" s="46">
        <v>251</v>
      </c>
      <c r="AD35" s="46">
        <f>246-38</f>
        <v>208</v>
      </c>
      <c r="AE35" s="46">
        <v>38</v>
      </c>
      <c r="AF35" s="59">
        <f t="shared" si="1"/>
        <v>-5</v>
      </c>
      <c r="AG35" s="46">
        <f t="shared" si="4"/>
        <v>32</v>
      </c>
      <c r="AH35" s="47">
        <f t="shared" si="5"/>
        <v>38.761272847990782</v>
      </c>
      <c r="AI35" s="47">
        <f t="shared" si="6"/>
        <v>22</v>
      </c>
      <c r="AJ35" s="47">
        <f t="shared" si="7"/>
        <v>19</v>
      </c>
      <c r="AK35" s="47">
        <f t="shared" si="8"/>
        <v>262</v>
      </c>
      <c r="AL35" s="48">
        <f t="shared" si="9"/>
        <v>0.26200000000000001</v>
      </c>
      <c r="AM35" s="46">
        <f t="shared" si="10"/>
        <v>46.167400881057269</v>
      </c>
      <c r="AN35" s="46">
        <f t="shared" si="11"/>
        <v>15.447154471544716</v>
      </c>
      <c r="AO35" s="46">
        <f t="shared" si="12"/>
        <v>212.22764227642276</v>
      </c>
      <c r="AP35" s="46">
        <f t="shared" si="13"/>
        <v>34.666666666666664</v>
      </c>
      <c r="AQ35" s="49">
        <f t="shared" si="14"/>
        <v>0.72684495600003163</v>
      </c>
      <c r="AR35" s="50">
        <f t="shared" si="15"/>
        <v>0.27315504399996843</v>
      </c>
      <c r="AS35" s="51">
        <f t="shared" si="16"/>
        <v>0.21222764227642277</v>
      </c>
      <c r="AT35" s="51">
        <f t="shared" si="17"/>
        <v>3.4666666666666665E-2</v>
      </c>
      <c r="AU35" s="51">
        <f t="shared" si="24"/>
        <v>0.24689430894308945</v>
      </c>
      <c r="AV35" s="52">
        <f t="shared" si="18"/>
        <v>205.44969139743756</v>
      </c>
      <c r="AW35" s="52">
        <f t="shared" si="19"/>
        <v>33.559511343804537</v>
      </c>
      <c r="AX35" s="15">
        <f t="shared" si="20"/>
        <v>0.20544969139743757</v>
      </c>
      <c r="AY35" s="15">
        <f t="shared" si="21"/>
        <v>3.3559511343804541E-2</v>
      </c>
      <c r="AZ35" s="15">
        <f t="shared" si="22"/>
        <v>0.2390092027412421</v>
      </c>
      <c r="BA35" s="61">
        <f t="shared" si="25"/>
        <v>9.6806282722513082</v>
      </c>
      <c r="BB35" s="61">
        <v>7</v>
      </c>
      <c r="BC35" s="61">
        <f t="shared" si="26"/>
        <v>11.616753926701572</v>
      </c>
      <c r="BD35" s="61">
        <f>16+6</f>
        <v>22</v>
      </c>
      <c r="BE35" s="61">
        <f t="shared" si="27"/>
        <v>0</v>
      </c>
      <c r="BF35" s="61">
        <v>0</v>
      </c>
      <c r="BG35" s="61">
        <v>0</v>
      </c>
      <c r="BH35" s="61">
        <v>3</v>
      </c>
      <c r="BI35" s="56">
        <f t="shared" si="28"/>
        <v>53.297382198952882</v>
      </c>
      <c r="BJ35" s="57">
        <f t="shared" si="32"/>
        <v>0.20166925196671004</v>
      </c>
      <c r="BK35" s="58">
        <f t="shared" si="29"/>
        <v>8.0195328231977447E-2</v>
      </c>
    </row>
    <row r="36" spans="1:63" ht="17.25" customHeight="1" x14ac:dyDescent="0.3">
      <c r="A36" s="41">
        <v>35</v>
      </c>
      <c r="B36" s="42">
        <v>46203</v>
      </c>
      <c r="C36" s="43" t="str">
        <f t="shared" si="0"/>
        <v>Jun-26</v>
      </c>
      <c r="D36" s="43" t="s">
        <v>68</v>
      </c>
      <c r="E36" s="43" t="s">
        <v>35</v>
      </c>
      <c r="F36" s="43" t="s">
        <v>41</v>
      </c>
      <c r="G36" s="14" t="s">
        <v>70</v>
      </c>
      <c r="H36" s="14" t="s">
        <v>60</v>
      </c>
      <c r="I36" s="14" t="s">
        <v>60</v>
      </c>
      <c r="J36" s="44" t="s">
        <v>60</v>
      </c>
      <c r="K36" s="44">
        <v>2026</v>
      </c>
      <c r="L36" s="44">
        <v>1049</v>
      </c>
      <c r="M36" s="45">
        <v>1000</v>
      </c>
      <c r="N36" s="45">
        <v>188</v>
      </c>
      <c r="O36" s="45">
        <v>7.7</v>
      </c>
      <c r="P36" s="46">
        <f t="shared" si="3"/>
        <v>297</v>
      </c>
      <c r="Q36" s="45">
        <v>7.55</v>
      </c>
      <c r="R36" s="46">
        <v>250</v>
      </c>
      <c r="S36" s="46">
        <v>8</v>
      </c>
      <c r="T36" s="46">
        <v>3</v>
      </c>
      <c r="U36" s="46">
        <v>32</v>
      </c>
      <c r="V36" s="46">
        <v>0</v>
      </c>
      <c r="W36" s="46">
        <v>4</v>
      </c>
      <c r="X36" s="46">
        <v>21</v>
      </c>
      <c r="Y36" s="46">
        <v>4</v>
      </c>
      <c r="Z36" s="46">
        <f t="shared" si="23"/>
        <v>45.062024000000008</v>
      </c>
      <c r="AA36" s="46">
        <f t="shared" si="30"/>
        <v>46.032048000000003</v>
      </c>
      <c r="AB36" s="46">
        <f t="shared" si="31"/>
        <v>52.381295999999999</v>
      </c>
      <c r="AC36" s="46">
        <v>250</v>
      </c>
      <c r="AD36" s="46">
        <f>244-37</f>
        <v>207</v>
      </c>
      <c r="AE36" s="46">
        <v>37</v>
      </c>
      <c r="AF36" s="59">
        <f t="shared" si="1"/>
        <v>-6</v>
      </c>
      <c r="AG36" s="46">
        <f t="shared" si="4"/>
        <v>39</v>
      </c>
      <c r="AH36" s="47">
        <f t="shared" si="5"/>
        <v>47.124409295232681</v>
      </c>
      <c r="AI36" s="47">
        <f t="shared" si="6"/>
        <v>11</v>
      </c>
      <c r="AJ36" s="47">
        <f t="shared" si="7"/>
        <v>36</v>
      </c>
      <c r="AK36" s="47">
        <f t="shared" si="8"/>
        <v>255.5</v>
      </c>
      <c r="AL36" s="48">
        <f t="shared" si="9"/>
        <v>0.2555</v>
      </c>
      <c r="AM36" s="46">
        <f t="shared" si="10"/>
        <v>45.022026431718061</v>
      </c>
      <c r="AN36" s="46">
        <f t="shared" si="11"/>
        <v>15.163934426229508</v>
      </c>
      <c r="AO36" s="46">
        <f t="shared" si="12"/>
        <v>212.09016393442624</v>
      </c>
      <c r="AP36" s="46">
        <f t="shared" si="13"/>
        <v>39.872950819672134</v>
      </c>
      <c r="AQ36" s="49">
        <f t="shared" si="14"/>
        <v>0.68308279698574859</v>
      </c>
      <c r="AR36" s="50">
        <f t="shared" si="15"/>
        <v>0.31691720301425147</v>
      </c>
      <c r="AS36" s="51">
        <f t="shared" si="16"/>
        <v>0.21209016393442626</v>
      </c>
      <c r="AT36" s="51">
        <f t="shared" si="17"/>
        <v>3.9872950819672133E-2</v>
      </c>
      <c r="AU36" s="51">
        <f t="shared" si="24"/>
        <v>0.25196311475409838</v>
      </c>
      <c r="AV36" s="52">
        <f t="shared" si="18"/>
        <v>205.31660372500215</v>
      </c>
      <c r="AW36" s="52">
        <f t="shared" si="19"/>
        <v>38.599521500300405</v>
      </c>
      <c r="AX36" s="15">
        <f t="shared" si="20"/>
        <v>0.20531660372500216</v>
      </c>
      <c r="AY36" s="15">
        <f t="shared" si="21"/>
        <v>3.8599521500300403E-2</v>
      </c>
      <c r="AZ36" s="15">
        <f t="shared" si="22"/>
        <v>0.24391612522530257</v>
      </c>
      <c r="BA36" s="61">
        <f t="shared" si="25"/>
        <v>7.7445026178010474</v>
      </c>
      <c r="BB36" s="61">
        <v>8</v>
      </c>
      <c r="BC36" s="61">
        <f t="shared" si="26"/>
        <v>2.9041884816753929</v>
      </c>
      <c r="BD36" s="61">
        <f>20+7</f>
        <v>27</v>
      </c>
      <c r="BE36" s="61">
        <f t="shared" si="27"/>
        <v>3.8722513089005237</v>
      </c>
      <c r="BF36" s="61">
        <v>0</v>
      </c>
      <c r="BG36" s="61">
        <v>0</v>
      </c>
      <c r="BH36" s="61">
        <v>4</v>
      </c>
      <c r="BI36" s="56">
        <f t="shared" si="28"/>
        <v>53.52094240837696</v>
      </c>
      <c r="BJ36" s="57">
        <f t="shared" si="32"/>
        <v>0.21182621236704524</v>
      </c>
      <c r="BK36" s="58">
        <f t="shared" si="29"/>
        <v>7.6060399119811814E-2</v>
      </c>
    </row>
    <row r="37" spans="1:63" ht="17.25" customHeight="1" x14ac:dyDescent="0.3">
      <c r="A37" s="41">
        <v>36</v>
      </c>
      <c r="B37" s="42">
        <v>46204</v>
      </c>
      <c r="C37" s="43" t="str">
        <f t="shared" si="0"/>
        <v>Jul-26</v>
      </c>
      <c r="D37" s="43" t="s">
        <v>68</v>
      </c>
      <c r="E37" s="43" t="s">
        <v>35</v>
      </c>
      <c r="F37" s="43" t="s">
        <v>41</v>
      </c>
      <c r="G37" s="14" t="s">
        <v>70</v>
      </c>
      <c r="H37" s="14" t="s">
        <v>60</v>
      </c>
      <c r="I37" s="14" t="s">
        <v>60</v>
      </c>
      <c r="J37" s="44" t="s">
        <v>60</v>
      </c>
      <c r="K37" s="44">
        <v>2026</v>
      </c>
      <c r="L37" s="44">
        <v>1050</v>
      </c>
      <c r="M37" s="45">
        <v>1000</v>
      </c>
      <c r="N37" s="45">
        <v>191</v>
      </c>
      <c r="O37" s="45">
        <v>8.1</v>
      </c>
      <c r="P37" s="46">
        <f t="shared" si="3"/>
        <v>295</v>
      </c>
      <c r="Q37" s="45">
        <v>7.9</v>
      </c>
      <c r="R37" s="46">
        <v>245</v>
      </c>
      <c r="S37" s="46">
        <v>18</v>
      </c>
      <c r="T37" s="46">
        <v>16</v>
      </c>
      <c r="U37" s="46">
        <v>16</v>
      </c>
      <c r="V37" s="46">
        <v>0</v>
      </c>
      <c r="W37" s="46">
        <v>0</v>
      </c>
      <c r="X37" s="46">
        <v>26</v>
      </c>
      <c r="Y37" s="46">
        <v>4</v>
      </c>
      <c r="Z37" s="46">
        <f t="shared" si="23"/>
        <v>46.208416000000007</v>
      </c>
      <c r="AA37" s="46">
        <f t="shared" si="30"/>
        <v>49.206672000000005</v>
      </c>
      <c r="AB37" s="46">
        <f t="shared" si="31"/>
        <v>52.028560000000006</v>
      </c>
      <c r="AC37" s="46">
        <v>245</v>
      </c>
      <c r="AD37" s="46">
        <f>237-35</f>
        <v>202</v>
      </c>
      <c r="AE37" s="46">
        <v>35</v>
      </c>
      <c r="AF37" s="59">
        <f t="shared" si="1"/>
        <v>-8</v>
      </c>
      <c r="AG37" s="46">
        <f t="shared" si="4"/>
        <v>39</v>
      </c>
      <c r="AH37" s="47">
        <f t="shared" si="5"/>
        <v>47.140834810813786</v>
      </c>
      <c r="AI37" s="47">
        <f t="shared" si="6"/>
        <v>34</v>
      </c>
      <c r="AJ37" s="47">
        <f t="shared" si="7"/>
        <v>16</v>
      </c>
      <c r="AK37" s="47">
        <f t="shared" si="8"/>
        <v>262</v>
      </c>
      <c r="AL37" s="48">
        <f t="shared" si="9"/>
        <v>0.26200000000000001</v>
      </c>
      <c r="AM37" s="46">
        <f t="shared" si="10"/>
        <v>46.167400881057269</v>
      </c>
      <c r="AN37" s="46">
        <f t="shared" si="11"/>
        <v>14.767932489451477</v>
      </c>
      <c r="AO37" s="46">
        <f t="shared" si="12"/>
        <v>208.81856540084385</v>
      </c>
      <c r="AP37" s="46">
        <f t="shared" si="13"/>
        <v>42.616033755274259</v>
      </c>
      <c r="AQ37" s="49">
        <f t="shared" si="14"/>
        <v>0.67070903453961428</v>
      </c>
      <c r="AR37" s="50">
        <f t="shared" si="15"/>
        <v>0.32929096546038572</v>
      </c>
      <c r="AS37" s="51">
        <f t="shared" si="16"/>
        <v>0.20881856540084384</v>
      </c>
      <c r="AT37" s="51">
        <f t="shared" si="17"/>
        <v>4.2616033755274257E-2</v>
      </c>
      <c r="AU37" s="51">
        <f t="shared" si="24"/>
        <v>0.2514345991561181</v>
      </c>
      <c r="AV37" s="52">
        <f t="shared" si="18"/>
        <v>201.38418715620648</v>
      </c>
      <c r="AW37" s="52">
        <f t="shared" si="19"/>
        <v>41.098813705348263</v>
      </c>
      <c r="AX37" s="15">
        <f t="shared" si="20"/>
        <v>0.20138418715620648</v>
      </c>
      <c r="AY37" s="15">
        <f t="shared" si="21"/>
        <v>4.1098813705348264E-2</v>
      </c>
      <c r="AZ37" s="15">
        <f t="shared" si="22"/>
        <v>0.24248300086155475</v>
      </c>
      <c r="BA37" s="61">
        <f t="shared" si="25"/>
        <v>17.35916230366492</v>
      </c>
      <c r="BB37" s="61">
        <v>7</v>
      </c>
      <c r="BC37" s="61">
        <f t="shared" si="26"/>
        <v>15.430366492146597</v>
      </c>
      <c r="BD37" s="61">
        <f>20+5</f>
        <v>25</v>
      </c>
      <c r="BE37" s="61">
        <f t="shared" si="27"/>
        <v>0</v>
      </c>
      <c r="BF37" s="61">
        <v>0</v>
      </c>
      <c r="BG37" s="61">
        <v>0</v>
      </c>
      <c r="BH37" s="61">
        <v>7</v>
      </c>
      <c r="BI37" s="56">
        <f t="shared" si="28"/>
        <v>71.78952879581152</v>
      </c>
      <c r="BJ37" s="57">
        <f t="shared" si="32"/>
        <v>0.26680910184114975</v>
      </c>
      <c r="BK37" s="58">
        <f t="shared" si="29"/>
        <v>0.1205899123943808</v>
      </c>
    </row>
    <row r="38" spans="1:63" ht="17.25" customHeight="1" x14ac:dyDescent="0.3">
      <c r="A38" s="41">
        <v>37</v>
      </c>
      <c r="B38" s="42">
        <v>46204</v>
      </c>
      <c r="C38" s="43" t="str">
        <f t="shared" si="0"/>
        <v>Jul-26</v>
      </c>
      <c r="D38" s="43" t="s">
        <v>68</v>
      </c>
      <c r="E38" s="43" t="s">
        <v>35</v>
      </c>
      <c r="F38" s="43" t="s">
        <v>41</v>
      </c>
      <c r="G38" s="14" t="s">
        <v>70</v>
      </c>
      <c r="H38" s="14" t="s">
        <v>60</v>
      </c>
      <c r="I38" s="14" t="s">
        <v>60</v>
      </c>
      <c r="J38" s="44" t="s">
        <v>60</v>
      </c>
      <c r="K38" s="44">
        <v>2026</v>
      </c>
      <c r="L38" s="44">
        <v>1050</v>
      </c>
      <c r="M38" s="45">
        <v>1000</v>
      </c>
      <c r="N38" s="45">
        <v>191</v>
      </c>
      <c r="O38" s="45">
        <v>8.1</v>
      </c>
      <c r="P38" s="46">
        <f t="shared" si="3"/>
        <v>305</v>
      </c>
      <c r="Q38" s="45">
        <v>7.9</v>
      </c>
      <c r="R38" s="46">
        <v>246</v>
      </c>
      <c r="S38" s="46">
        <v>15</v>
      </c>
      <c r="T38" s="46">
        <v>14</v>
      </c>
      <c r="U38" s="46">
        <v>26</v>
      </c>
      <c r="V38" s="46">
        <v>0</v>
      </c>
      <c r="W38" s="46">
        <v>4</v>
      </c>
      <c r="X38" s="46">
        <v>14</v>
      </c>
      <c r="Y38" s="46">
        <v>5</v>
      </c>
      <c r="Z38" s="46">
        <f t="shared" si="23"/>
        <v>45.943864000000005</v>
      </c>
      <c r="AA38" s="46">
        <f t="shared" si="30"/>
        <v>48.501200000000004</v>
      </c>
      <c r="AB38" s="46">
        <f t="shared" si="31"/>
        <v>53.792240000000007</v>
      </c>
      <c r="AC38" s="46">
        <f>246</f>
        <v>246</v>
      </c>
      <c r="AD38" s="46">
        <f>236-35</f>
        <v>201</v>
      </c>
      <c r="AE38" s="46">
        <v>35</v>
      </c>
      <c r="AF38" s="59">
        <f t="shared" si="1"/>
        <v>-10</v>
      </c>
      <c r="AG38" s="46">
        <f t="shared" si="4"/>
        <v>35</v>
      </c>
      <c r="AH38" s="47">
        <f t="shared" si="5"/>
        <v>42.328944220541423</v>
      </c>
      <c r="AI38" s="47">
        <f t="shared" si="6"/>
        <v>29</v>
      </c>
      <c r="AJ38" s="47">
        <f t="shared" si="7"/>
        <v>30</v>
      </c>
      <c r="AK38" s="47">
        <f t="shared" si="8"/>
        <v>260.5</v>
      </c>
      <c r="AL38" s="48">
        <f t="shared" si="9"/>
        <v>0.26050000000000001</v>
      </c>
      <c r="AM38" s="46">
        <f t="shared" si="10"/>
        <v>45.903083700440526</v>
      </c>
      <c r="AN38" s="46">
        <f t="shared" si="11"/>
        <v>14.830508474576272</v>
      </c>
      <c r="AO38" s="46">
        <f t="shared" si="12"/>
        <v>209.51694915254237</v>
      </c>
      <c r="AP38" s="46">
        <f t="shared" si="13"/>
        <v>50.25</v>
      </c>
      <c r="AQ38" s="49">
        <f t="shared" si="14"/>
        <v>0.66777395337527401</v>
      </c>
      <c r="AR38" s="50">
        <f t="shared" si="15"/>
        <v>0.33222604662472593</v>
      </c>
      <c r="AS38" s="51">
        <f t="shared" si="16"/>
        <v>0.20951694915254238</v>
      </c>
      <c r="AT38" s="51">
        <f t="shared" si="17"/>
        <v>5.0250000000000003E-2</v>
      </c>
      <c r="AU38" s="51">
        <f t="shared" si="24"/>
        <v>0.25976694915254239</v>
      </c>
      <c r="AV38" s="52">
        <f t="shared" si="18"/>
        <v>202.05770698376071</v>
      </c>
      <c r="AW38" s="52">
        <f t="shared" si="19"/>
        <v>48.460994764397903</v>
      </c>
      <c r="AX38" s="15">
        <f t="shared" si="20"/>
        <v>0.20205770698376072</v>
      </c>
      <c r="AY38" s="15">
        <f t="shared" si="21"/>
        <v>4.8460994764397899E-2</v>
      </c>
      <c r="AZ38" s="15">
        <f t="shared" si="22"/>
        <v>0.2505187017481586</v>
      </c>
      <c r="BA38" s="61">
        <f t="shared" si="25"/>
        <v>14.465968586387435</v>
      </c>
      <c r="BB38" s="61">
        <v>6</v>
      </c>
      <c r="BC38" s="61">
        <f t="shared" si="26"/>
        <v>13.501570680628271</v>
      </c>
      <c r="BD38" s="61">
        <f>18+7</f>
        <v>25</v>
      </c>
      <c r="BE38" s="61">
        <f t="shared" si="27"/>
        <v>3.8575916230366492</v>
      </c>
      <c r="BF38" s="61">
        <v>0</v>
      </c>
      <c r="BG38" s="61">
        <v>0</v>
      </c>
      <c r="BH38" s="61">
        <v>4</v>
      </c>
      <c r="BI38" s="56">
        <f t="shared" si="28"/>
        <v>66.82513089005235</v>
      </c>
      <c r="BJ38" s="57">
        <f t="shared" si="32"/>
        <v>0.2519711775737834</v>
      </c>
      <c r="BK38" s="58">
        <f t="shared" si="29"/>
        <v>0.10182073923575838</v>
      </c>
    </row>
    <row r="39" spans="1:63" ht="17.25" customHeight="1" x14ac:dyDescent="0.3">
      <c r="A39" s="41">
        <v>38</v>
      </c>
      <c r="B39" s="42">
        <v>46205</v>
      </c>
      <c r="C39" s="43" t="str">
        <f t="shared" si="0"/>
        <v>Jul-26</v>
      </c>
      <c r="D39" s="43" t="s">
        <v>68</v>
      </c>
      <c r="E39" s="43" t="s">
        <v>35</v>
      </c>
      <c r="F39" s="43" t="s">
        <v>41</v>
      </c>
      <c r="G39" s="14" t="s">
        <v>70</v>
      </c>
      <c r="H39" s="14" t="s">
        <v>60</v>
      </c>
      <c r="I39" s="14" t="s">
        <v>60</v>
      </c>
      <c r="J39" s="44" t="s">
        <v>60</v>
      </c>
      <c r="K39" s="44">
        <v>2026</v>
      </c>
      <c r="L39" s="44">
        <v>1051</v>
      </c>
      <c r="M39" s="45">
        <v>1000</v>
      </c>
      <c r="N39" s="45">
        <v>178</v>
      </c>
      <c r="O39" s="45">
        <v>8.3000000000000007</v>
      </c>
      <c r="P39" s="46">
        <f t="shared" si="3"/>
        <v>297</v>
      </c>
      <c r="Q39" s="45">
        <v>7.9</v>
      </c>
      <c r="R39" s="46">
        <v>239</v>
      </c>
      <c r="S39" s="46">
        <v>13</v>
      </c>
      <c r="T39" s="46">
        <v>14</v>
      </c>
      <c r="U39" s="46">
        <v>31</v>
      </c>
      <c r="V39" s="46">
        <v>0</v>
      </c>
      <c r="W39" s="46">
        <v>0</v>
      </c>
      <c r="X39" s="46">
        <v>14</v>
      </c>
      <c r="Y39" s="46">
        <v>2</v>
      </c>
      <c r="Z39" s="46">
        <f t="shared" si="23"/>
        <v>44.532920000000004</v>
      </c>
      <c r="AA39" s="46">
        <f t="shared" si="30"/>
        <v>46.913888</v>
      </c>
      <c r="AB39" s="46">
        <f t="shared" si="31"/>
        <v>52.381295999999999</v>
      </c>
      <c r="AC39" s="46">
        <v>239</v>
      </c>
      <c r="AD39" s="46">
        <f>229-37</f>
        <v>192</v>
      </c>
      <c r="AE39" s="46">
        <v>37</v>
      </c>
      <c r="AF39" s="59">
        <f t="shared" si="1"/>
        <v>-10</v>
      </c>
      <c r="AG39" s="46">
        <f t="shared" si="4"/>
        <v>37</v>
      </c>
      <c r="AH39" s="47">
        <f t="shared" si="5"/>
        <v>45.264735027903036</v>
      </c>
      <c r="AI39" s="47">
        <f t="shared" si="6"/>
        <v>27</v>
      </c>
      <c r="AJ39" s="47">
        <f t="shared" si="7"/>
        <v>31</v>
      </c>
      <c r="AK39" s="47">
        <f t="shared" si="8"/>
        <v>252.5</v>
      </c>
      <c r="AL39" s="48">
        <f t="shared" si="9"/>
        <v>0.2525</v>
      </c>
      <c r="AM39" s="46">
        <f t="shared" si="10"/>
        <v>44.493392070484582</v>
      </c>
      <c r="AN39" s="46">
        <f t="shared" si="11"/>
        <v>16.157205240174672</v>
      </c>
      <c r="AO39" s="46">
        <f t="shared" si="12"/>
        <v>200.38427947598251</v>
      </c>
      <c r="AP39" s="46">
        <f t="shared" si="13"/>
        <v>48.62882096069869</v>
      </c>
      <c r="AQ39" s="49">
        <f t="shared" si="14"/>
        <v>0.65230728946833993</v>
      </c>
      <c r="AR39" s="50">
        <f t="shared" si="15"/>
        <v>0.34769271053166007</v>
      </c>
      <c r="AS39" s="51">
        <f t="shared" si="16"/>
        <v>0.2003842794759825</v>
      </c>
      <c r="AT39" s="51">
        <f t="shared" si="17"/>
        <v>4.862882096069869E-2</v>
      </c>
      <c r="AU39" s="51">
        <f t="shared" si="24"/>
        <v>0.24901310043668118</v>
      </c>
      <c r="AV39" s="52">
        <f t="shared" si="18"/>
        <v>193.25017947369622</v>
      </c>
      <c r="AW39" s="52">
        <f t="shared" si="19"/>
        <v>46.897533094035069</v>
      </c>
      <c r="AX39" s="15">
        <f t="shared" si="20"/>
        <v>0.19325017947369622</v>
      </c>
      <c r="AY39" s="15">
        <f t="shared" si="21"/>
        <v>4.689753309403507E-2</v>
      </c>
      <c r="AZ39" s="15">
        <f t="shared" si="22"/>
        <v>0.24014771256773129</v>
      </c>
      <c r="BA39" s="61">
        <f t="shared" si="25"/>
        <v>12.537172774869109</v>
      </c>
      <c r="BB39" s="61">
        <v>11</v>
      </c>
      <c r="BC39" s="61">
        <f t="shared" si="26"/>
        <v>13.501570680628271</v>
      </c>
      <c r="BD39" s="61">
        <f>17+7</f>
        <v>24</v>
      </c>
      <c r="BE39" s="61">
        <f t="shared" si="27"/>
        <v>0</v>
      </c>
      <c r="BF39" s="61">
        <v>0</v>
      </c>
      <c r="BG39" s="61">
        <v>0</v>
      </c>
      <c r="BH39" s="61">
        <v>2</v>
      </c>
      <c r="BI39" s="56">
        <f t="shared" si="28"/>
        <v>63.038743455497382</v>
      </c>
      <c r="BJ39" s="57">
        <f t="shared" si="32"/>
        <v>0.24573649106479556</v>
      </c>
      <c r="BK39" s="58">
        <f t="shared" si="29"/>
        <v>0.12258944153577661</v>
      </c>
    </row>
    <row r="40" spans="1:63" ht="17.25" customHeight="1" x14ac:dyDescent="0.3">
      <c r="A40" s="41">
        <v>39</v>
      </c>
      <c r="B40" s="42">
        <v>46205</v>
      </c>
      <c r="C40" s="43" t="str">
        <f t="shared" si="0"/>
        <v>Jul-26</v>
      </c>
      <c r="D40" s="43" t="s">
        <v>68</v>
      </c>
      <c r="E40" s="43" t="s">
        <v>35</v>
      </c>
      <c r="F40" s="43" t="s">
        <v>41</v>
      </c>
      <c r="G40" s="14" t="s">
        <v>70</v>
      </c>
      <c r="H40" s="14" t="s">
        <v>60</v>
      </c>
      <c r="I40" s="14" t="s">
        <v>60</v>
      </c>
      <c r="J40" s="44" t="s">
        <v>60</v>
      </c>
      <c r="K40" s="44">
        <v>2026</v>
      </c>
      <c r="L40" s="44">
        <v>1051</v>
      </c>
      <c r="M40" s="45">
        <v>1000</v>
      </c>
      <c r="N40" s="45">
        <v>178</v>
      </c>
      <c r="O40" s="45">
        <v>8.3000000000000007</v>
      </c>
      <c r="P40" s="46">
        <f t="shared" si="3"/>
        <v>298</v>
      </c>
      <c r="Q40" s="45">
        <v>7.9</v>
      </c>
      <c r="R40" s="46">
        <v>231</v>
      </c>
      <c r="S40" s="46">
        <v>15</v>
      </c>
      <c r="T40" s="46">
        <v>12</v>
      </c>
      <c r="U40" s="46">
        <v>36</v>
      </c>
      <c r="V40" s="46">
        <v>0</v>
      </c>
      <c r="W40" s="46">
        <v>4</v>
      </c>
      <c r="X40" s="46">
        <v>13</v>
      </c>
      <c r="Y40" s="46">
        <v>3</v>
      </c>
      <c r="Z40" s="46">
        <f t="shared" si="23"/>
        <v>43.121976000000004</v>
      </c>
      <c r="AA40" s="46">
        <f t="shared" si="30"/>
        <v>45.502944000000006</v>
      </c>
      <c r="AB40" s="46">
        <f t="shared" si="31"/>
        <v>52.557664000000003</v>
      </c>
      <c r="AC40" s="46">
        <v>231</v>
      </c>
      <c r="AD40" s="46">
        <f>221-31</f>
        <v>190</v>
      </c>
      <c r="AE40" s="46">
        <v>31</v>
      </c>
      <c r="AF40" s="59">
        <f t="shared" si="1"/>
        <v>-10</v>
      </c>
      <c r="AG40" s="46">
        <f t="shared" si="4"/>
        <v>37</v>
      </c>
      <c r="AH40" s="47">
        <f t="shared" si="5"/>
        <v>44.434683921175584</v>
      </c>
      <c r="AI40" s="47">
        <f t="shared" si="6"/>
        <v>27</v>
      </c>
      <c r="AJ40" s="47">
        <f t="shared" si="7"/>
        <v>40</v>
      </c>
      <c r="AK40" s="47">
        <f t="shared" si="8"/>
        <v>244.5</v>
      </c>
      <c r="AL40" s="48">
        <f t="shared" si="9"/>
        <v>0.2445</v>
      </c>
      <c r="AM40" s="46">
        <f t="shared" si="10"/>
        <v>43.083700440528638</v>
      </c>
      <c r="AN40" s="46">
        <f t="shared" si="11"/>
        <v>14.027149321266968</v>
      </c>
      <c r="AO40" s="46">
        <f t="shared" si="12"/>
        <v>198.59728506787332</v>
      </c>
      <c r="AP40" s="46">
        <f t="shared" si="13"/>
        <v>57.601809954751133</v>
      </c>
      <c r="AQ40" s="49">
        <f t="shared" si="14"/>
        <v>0.62605810764706182</v>
      </c>
      <c r="AR40" s="50">
        <f t="shared" si="15"/>
        <v>0.37394189235293818</v>
      </c>
      <c r="AS40" s="51">
        <f t="shared" si="16"/>
        <v>0.1985972850678733</v>
      </c>
      <c r="AT40" s="51">
        <f t="shared" si="17"/>
        <v>5.7601809954751129E-2</v>
      </c>
      <c r="AU40" s="51">
        <f t="shared" si="24"/>
        <v>0.25619909502262445</v>
      </c>
      <c r="AV40" s="52">
        <f t="shared" si="18"/>
        <v>191.52680580891237</v>
      </c>
      <c r="AW40" s="52">
        <f t="shared" si="19"/>
        <v>55.551064888299258</v>
      </c>
      <c r="AX40" s="15">
        <f t="shared" si="20"/>
        <v>0.19152680580891238</v>
      </c>
      <c r="AY40" s="15">
        <f t="shared" si="21"/>
        <v>5.5551064888299258E-2</v>
      </c>
      <c r="AZ40" s="15">
        <f t="shared" si="22"/>
        <v>0.24707787069721163</v>
      </c>
      <c r="BA40" s="61">
        <f t="shared" si="25"/>
        <v>14.465968586387435</v>
      </c>
      <c r="BB40" s="61">
        <v>12</v>
      </c>
      <c r="BC40" s="61">
        <f t="shared" si="26"/>
        <v>11.572774869109946</v>
      </c>
      <c r="BD40" s="61">
        <f>16+6</f>
        <v>22</v>
      </c>
      <c r="BE40" s="61">
        <f t="shared" si="27"/>
        <v>3.8575916230366492</v>
      </c>
      <c r="BF40" s="61">
        <v>2</v>
      </c>
      <c r="BG40" s="61">
        <v>0</v>
      </c>
      <c r="BH40" s="61">
        <v>1</v>
      </c>
      <c r="BI40" s="56">
        <f t="shared" si="28"/>
        <v>66.896335078534037</v>
      </c>
      <c r="BJ40" s="57">
        <f t="shared" si="32"/>
        <v>0.26886010319083575</v>
      </c>
      <c r="BK40" s="58">
        <f t="shared" si="29"/>
        <v>0.13929457150730229</v>
      </c>
    </row>
    <row r="41" spans="1:63" ht="17.25" customHeight="1" x14ac:dyDescent="0.3">
      <c r="A41" s="41">
        <v>40</v>
      </c>
      <c r="B41" s="42">
        <v>46206</v>
      </c>
      <c r="C41" s="43" t="str">
        <f t="shared" si="0"/>
        <v>Jul-26</v>
      </c>
      <c r="D41" s="43" t="s">
        <v>69</v>
      </c>
      <c r="E41" s="43" t="s">
        <v>35</v>
      </c>
      <c r="F41" s="43" t="s">
        <v>41</v>
      </c>
      <c r="G41" s="14" t="s">
        <v>231</v>
      </c>
      <c r="H41" s="14" t="s">
        <v>60</v>
      </c>
      <c r="I41" s="14" t="s">
        <v>60</v>
      </c>
      <c r="J41" s="44" t="s">
        <v>60</v>
      </c>
      <c r="K41" s="44">
        <v>2026</v>
      </c>
      <c r="L41" s="44" t="s">
        <v>60</v>
      </c>
      <c r="M41" s="45">
        <v>1000</v>
      </c>
      <c r="N41" s="45">
        <v>179</v>
      </c>
      <c r="O41" s="45">
        <v>8.6</v>
      </c>
      <c r="P41" s="46">
        <f t="shared" si="3"/>
        <v>289</v>
      </c>
      <c r="Q41" s="45">
        <v>7.56</v>
      </c>
      <c r="R41" s="46">
        <v>236</v>
      </c>
      <c r="S41" s="46">
        <v>12</v>
      </c>
      <c r="T41" s="46">
        <v>10</v>
      </c>
      <c r="U41" s="46">
        <v>26</v>
      </c>
      <c r="V41" s="46">
        <v>0</v>
      </c>
      <c r="W41" s="46">
        <v>5</v>
      </c>
      <c r="X41" s="46">
        <v>26</v>
      </c>
      <c r="Y41" s="46">
        <v>4</v>
      </c>
      <c r="Z41" s="46">
        <f t="shared" si="23"/>
        <v>43.562896000000002</v>
      </c>
      <c r="AA41" s="46">
        <f t="shared" si="30"/>
        <v>45.502944000000006</v>
      </c>
      <c r="AB41" s="46">
        <f t="shared" si="31"/>
        <v>50.970352000000005</v>
      </c>
      <c r="AC41" s="46">
        <v>236</v>
      </c>
      <c r="AD41" s="46">
        <f>228-36</f>
        <v>192</v>
      </c>
      <c r="AE41" s="46">
        <v>36</v>
      </c>
      <c r="AF41" s="59">
        <f t="shared" si="1"/>
        <v>-8</v>
      </c>
      <c r="AG41" s="46">
        <f t="shared" si="4"/>
        <v>33</v>
      </c>
      <c r="AH41" s="47">
        <f t="shared" si="5"/>
        <v>40.095424628208349</v>
      </c>
      <c r="AI41" s="47">
        <f t="shared" si="6"/>
        <v>22</v>
      </c>
      <c r="AJ41" s="47">
        <f t="shared" si="7"/>
        <v>31</v>
      </c>
      <c r="AK41" s="47">
        <f t="shared" si="8"/>
        <v>247</v>
      </c>
      <c r="AL41" s="48">
        <f t="shared" si="9"/>
        <v>0.247</v>
      </c>
      <c r="AM41" s="46">
        <f t="shared" si="10"/>
        <v>43.524229074889867</v>
      </c>
      <c r="AN41" s="46">
        <f t="shared" si="11"/>
        <v>15.789473684210527</v>
      </c>
      <c r="AO41" s="46">
        <f t="shared" si="12"/>
        <v>198.73684210526318</v>
      </c>
      <c r="AP41" s="46">
        <f t="shared" si="13"/>
        <v>44.631578947368425</v>
      </c>
      <c r="AQ41" s="49">
        <f t="shared" si="14"/>
        <v>0.67787050301658014</v>
      </c>
      <c r="AR41" s="50">
        <f t="shared" si="15"/>
        <v>0.32212949698341992</v>
      </c>
      <c r="AS41" s="51">
        <f t="shared" si="16"/>
        <v>0.19873684210526318</v>
      </c>
      <c r="AT41" s="51">
        <f t="shared" si="17"/>
        <v>4.4631578947368425E-2</v>
      </c>
      <c r="AU41" s="51">
        <f t="shared" si="24"/>
        <v>0.24336842105263162</v>
      </c>
      <c r="AV41" s="52">
        <f t="shared" si="18"/>
        <v>192.36893910168092</v>
      </c>
      <c r="AW41" s="52">
        <f t="shared" si="19"/>
        <v>43.201499035546988</v>
      </c>
      <c r="AX41" s="15">
        <f t="shared" si="20"/>
        <v>0.19236893910168093</v>
      </c>
      <c r="AY41" s="15">
        <f t="shared" si="21"/>
        <v>4.3201499035546986E-2</v>
      </c>
      <c r="AZ41" s="15">
        <f t="shared" si="22"/>
        <v>0.23557043813722792</v>
      </c>
      <c r="BA41" s="61">
        <f t="shared" si="25"/>
        <v>11.615497382198953</v>
      </c>
      <c r="BB41" s="61">
        <v>9</v>
      </c>
      <c r="BC41" s="61">
        <f t="shared" si="26"/>
        <v>9.6795811518324602</v>
      </c>
      <c r="BD41" s="61">
        <f>15+7</f>
        <v>22</v>
      </c>
      <c r="BE41" s="61">
        <f t="shared" si="27"/>
        <v>4.8397905759162301</v>
      </c>
      <c r="BF41" s="61">
        <v>2</v>
      </c>
      <c r="BG41" s="61">
        <v>0</v>
      </c>
      <c r="BH41" s="61">
        <v>0</v>
      </c>
      <c r="BI41" s="56">
        <f t="shared" si="28"/>
        <v>59.134869109947644</v>
      </c>
      <c r="BJ41" s="57">
        <f t="shared" si="32"/>
        <v>0.23679218701256879</v>
      </c>
      <c r="BK41" s="58">
        <f t="shared" si="29"/>
        <v>0.10737238219895288</v>
      </c>
    </row>
    <row r="42" spans="1:63" ht="17.25" customHeight="1" x14ac:dyDescent="0.3">
      <c r="A42" s="41">
        <v>41</v>
      </c>
      <c r="B42" s="42">
        <v>46206</v>
      </c>
      <c r="C42" s="43" t="str">
        <f t="shared" si="0"/>
        <v>Jul-26</v>
      </c>
      <c r="D42" s="43" t="s">
        <v>69</v>
      </c>
      <c r="E42" s="43" t="s">
        <v>35</v>
      </c>
      <c r="F42" s="43" t="s">
        <v>41</v>
      </c>
      <c r="G42" s="14" t="s">
        <v>231</v>
      </c>
      <c r="H42" s="14" t="s">
        <v>60</v>
      </c>
      <c r="I42" s="14" t="s">
        <v>60</v>
      </c>
      <c r="J42" s="44" t="s">
        <v>60</v>
      </c>
      <c r="K42" s="44">
        <v>2026</v>
      </c>
      <c r="L42" s="44" t="s">
        <v>60</v>
      </c>
      <c r="M42" s="45">
        <v>1000</v>
      </c>
      <c r="N42" s="45">
        <v>181</v>
      </c>
      <c r="O42" s="45">
        <v>8.6</v>
      </c>
      <c r="P42" s="46">
        <f t="shared" si="3"/>
        <v>286</v>
      </c>
      <c r="Q42" s="45">
        <v>7.56</v>
      </c>
      <c r="R42" s="46">
        <v>240</v>
      </c>
      <c r="S42" s="46">
        <v>13</v>
      </c>
      <c r="T42" s="46">
        <v>10</v>
      </c>
      <c r="U42" s="46">
        <v>21</v>
      </c>
      <c r="V42" s="46">
        <v>0</v>
      </c>
      <c r="W42" s="46">
        <v>2</v>
      </c>
      <c r="X42" s="46">
        <v>34</v>
      </c>
      <c r="Y42" s="46">
        <v>8</v>
      </c>
      <c r="Z42" s="46">
        <f t="shared" si="23"/>
        <v>44.356552000000001</v>
      </c>
      <c r="AA42" s="46">
        <f t="shared" si="30"/>
        <v>46.384783999999996</v>
      </c>
      <c r="AB42" s="46">
        <f t="shared" si="31"/>
        <v>50.441248000000002</v>
      </c>
      <c r="AC42" s="46">
        <v>241</v>
      </c>
      <c r="AD42" s="46">
        <f>233-37</f>
        <v>196</v>
      </c>
      <c r="AE42" s="46">
        <v>37</v>
      </c>
      <c r="AF42" s="59">
        <f t="shared" si="1"/>
        <v>-8</v>
      </c>
      <c r="AG42" s="46">
        <f t="shared" si="4"/>
        <v>33</v>
      </c>
      <c r="AH42" s="47">
        <f t="shared" si="5"/>
        <v>40.126712513208901</v>
      </c>
      <c r="AI42" s="47">
        <f t="shared" si="6"/>
        <v>23</v>
      </c>
      <c r="AJ42" s="47">
        <f t="shared" si="7"/>
        <v>23</v>
      </c>
      <c r="AK42" s="47">
        <f t="shared" si="8"/>
        <v>251.5</v>
      </c>
      <c r="AL42" s="48">
        <f t="shared" si="9"/>
        <v>0.2515</v>
      </c>
      <c r="AM42" s="46">
        <f t="shared" si="10"/>
        <v>44.317180616740089</v>
      </c>
      <c r="AN42" s="46">
        <f t="shared" si="11"/>
        <v>15.879828326180258</v>
      </c>
      <c r="AO42" s="46">
        <f t="shared" si="12"/>
        <v>201.88841201716738</v>
      </c>
      <c r="AP42" s="46">
        <f t="shared" si="13"/>
        <v>38.69527896995708</v>
      </c>
      <c r="AQ42" s="49">
        <f t="shared" si="14"/>
        <v>0.6988576485552136</v>
      </c>
      <c r="AR42" s="50">
        <f t="shared" si="15"/>
        <v>0.30114235144478635</v>
      </c>
      <c r="AS42" s="51">
        <f t="shared" si="16"/>
        <v>0.2018884120171674</v>
      </c>
      <c r="AT42" s="51">
        <f t="shared" si="17"/>
        <v>3.869527896995708E-2</v>
      </c>
      <c r="AU42" s="51">
        <f t="shared" si="24"/>
        <v>0.24058369098712448</v>
      </c>
      <c r="AV42" s="52">
        <f t="shared" si="18"/>
        <v>195.41952677347592</v>
      </c>
      <c r="AW42" s="52">
        <f t="shared" si="19"/>
        <v>37.455409298249549</v>
      </c>
      <c r="AX42" s="15">
        <f t="shared" si="20"/>
        <v>0.19541952677347593</v>
      </c>
      <c r="AY42" s="15">
        <f t="shared" si="21"/>
        <v>3.7455409298249552E-2</v>
      </c>
      <c r="AZ42" s="15">
        <f t="shared" si="22"/>
        <v>0.23287493607172549</v>
      </c>
      <c r="BA42" s="61">
        <f t="shared" si="25"/>
        <v>12.583455497382198</v>
      </c>
      <c r="BB42" s="61">
        <v>8</v>
      </c>
      <c r="BC42" s="61">
        <f t="shared" si="26"/>
        <v>9.6795811518324602</v>
      </c>
      <c r="BD42" s="61">
        <f>19+6</f>
        <v>25</v>
      </c>
      <c r="BE42" s="61">
        <f t="shared" si="27"/>
        <v>1.9359162303664921</v>
      </c>
      <c r="BF42" s="61">
        <v>0</v>
      </c>
      <c r="BG42" s="61">
        <v>0</v>
      </c>
      <c r="BH42" s="61">
        <v>0</v>
      </c>
      <c r="BI42" s="56">
        <f t="shared" si="28"/>
        <v>57.198952879581149</v>
      </c>
      <c r="BJ42" s="57">
        <f t="shared" si="32"/>
        <v>0.22468587167012449</v>
      </c>
      <c r="BK42" s="58">
        <f t="shared" si="29"/>
        <v>0.10501763008868467</v>
      </c>
    </row>
    <row r="43" spans="1:63" ht="17.25" customHeight="1" x14ac:dyDescent="0.3">
      <c r="A43" s="41">
        <v>42</v>
      </c>
      <c r="B43" s="42">
        <v>46207</v>
      </c>
      <c r="C43" s="43" t="str">
        <f t="shared" si="0"/>
        <v>Jul-26</v>
      </c>
      <c r="D43" s="43" t="s">
        <v>69</v>
      </c>
      <c r="E43" s="43" t="s">
        <v>35</v>
      </c>
      <c r="F43" s="43" t="s">
        <v>41</v>
      </c>
      <c r="G43" s="14" t="s">
        <v>232</v>
      </c>
      <c r="H43" s="14" t="s">
        <v>60</v>
      </c>
      <c r="I43" s="14" t="s">
        <v>60</v>
      </c>
      <c r="J43" s="44" t="s">
        <v>60</v>
      </c>
      <c r="K43" s="44">
        <v>2026</v>
      </c>
      <c r="L43" s="44" t="s">
        <v>60</v>
      </c>
      <c r="M43" s="45">
        <v>1000</v>
      </c>
      <c r="N43" s="45">
        <v>180</v>
      </c>
      <c r="O43" s="45">
        <v>8.6999999999999993</v>
      </c>
      <c r="P43" s="46">
        <f t="shared" si="3"/>
        <v>289</v>
      </c>
      <c r="Q43" s="45">
        <v>8.1</v>
      </c>
      <c r="R43" s="46">
        <v>232</v>
      </c>
      <c r="S43" s="46">
        <v>16</v>
      </c>
      <c r="T43" s="46">
        <v>13</v>
      </c>
      <c r="U43" s="46">
        <v>25</v>
      </c>
      <c r="V43" s="46">
        <v>0</v>
      </c>
      <c r="W43" s="46">
        <v>3</v>
      </c>
      <c r="X43" s="46">
        <v>19</v>
      </c>
      <c r="Y43" s="46">
        <v>3</v>
      </c>
      <c r="Z43" s="46">
        <f t="shared" si="23"/>
        <v>43.474711999999997</v>
      </c>
      <c r="AA43" s="46">
        <f t="shared" si="30"/>
        <v>46.032048000000003</v>
      </c>
      <c r="AB43" s="46">
        <f t="shared" si="31"/>
        <v>50.970352000000005</v>
      </c>
      <c r="AC43" s="46">
        <v>232</v>
      </c>
      <c r="AD43" s="46">
        <f>223-33</f>
        <v>190</v>
      </c>
      <c r="AE43" s="46">
        <v>33</v>
      </c>
      <c r="AF43" s="59">
        <f t="shared" si="1"/>
        <v>-9</v>
      </c>
      <c r="AG43" s="46">
        <f t="shared" si="4"/>
        <v>31</v>
      </c>
      <c r="AH43" s="47">
        <f t="shared" si="5"/>
        <v>37.562372826771153</v>
      </c>
      <c r="AI43" s="47">
        <f t="shared" si="6"/>
        <v>29</v>
      </c>
      <c r="AJ43" s="47">
        <f t="shared" si="7"/>
        <v>28</v>
      </c>
      <c r="AK43" s="47">
        <f t="shared" si="8"/>
        <v>246.5</v>
      </c>
      <c r="AL43" s="48">
        <f t="shared" si="9"/>
        <v>0.2465</v>
      </c>
      <c r="AM43" s="46">
        <f t="shared" si="10"/>
        <v>43.436123348017624</v>
      </c>
      <c r="AN43" s="46">
        <f t="shared" si="11"/>
        <v>14.798206278026907</v>
      </c>
      <c r="AO43" s="46">
        <f t="shared" si="12"/>
        <v>197.66816143497755</v>
      </c>
      <c r="AP43" s="46">
        <f t="shared" si="13"/>
        <v>48.56502242152466</v>
      </c>
      <c r="AQ43" s="49">
        <f t="shared" si="14"/>
        <v>0.67279455769283347</v>
      </c>
      <c r="AR43" s="50">
        <f t="shared" si="15"/>
        <v>0.32720544230716664</v>
      </c>
      <c r="AS43" s="51">
        <f t="shared" si="16"/>
        <v>0.19766816143497754</v>
      </c>
      <c r="AT43" s="51">
        <f t="shared" si="17"/>
        <v>4.8565022421524662E-2</v>
      </c>
      <c r="AU43" s="51">
        <f t="shared" si="24"/>
        <v>0.2462331838565022</v>
      </c>
      <c r="AV43" s="52">
        <f t="shared" si="18"/>
        <v>190.21679618716689</v>
      </c>
      <c r="AW43" s="52">
        <f t="shared" si="19"/>
        <v>46.734299063226352</v>
      </c>
      <c r="AX43" s="15">
        <f t="shared" si="20"/>
        <v>0.19021679618716689</v>
      </c>
      <c r="AY43" s="15">
        <f t="shared" si="21"/>
        <v>4.6734299063226355E-2</v>
      </c>
      <c r="AZ43" s="15">
        <f t="shared" si="22"/>
        <v>0.23695109525039323</v>
      </c>
      <c r="BA43" s="61">
        <f t="shared" si="25"/>
        <v>15.396858638743456</v>
      </c>
      <c r="BB43" s="61">
        <v>9</v>
      </c>
      <c r="BC43" s="61">
        <f t="shared" si="26"/>
        <v>12.509947643979059</v>
      </c>
      <c r="BD43" s="61">
        <v>22</v>
      </c>
      <c r="BE43" s="61">
        <f t="shared" si="27"/>
        <v>2.8869109947643983</v>
      </c>
      <c r="BF43" s="61">
        <v>0</v>
      </c>
      <c r="BG43" s="61">
        <v>0</v>
      </c>
      <c r="BH43" s="61">
        <v>0</v>
      </c>
      <c r="BI43" s="56">
        <f t="shared" si="28"/>
        <v>61.793717277486913</v>
      </c>
      <c r="BJ43" s="57">
        <f t="shared" si="32"/>
        <v>0.24603204382574761</v>
      </c>
      <c r="BK43" s="58">
        <f t="shared" si="29"/>
        <v>0.12840451915128134</v>
      </c>
    </row>
    <row r="44" spans="1:63" ht="17.25" customHeight="1" x14ac:dyDescent="0.3">
      <c r="A44" s="41">
        <v>43</v>
      </c>
      <c r="B44" s="42">
        <v>46207</v>
      </c>
      <c r="C44" s="43" t="str">
        <f t="shared" si="0"/>
        <v>Jul-26</v>
      </c>
      <c r="D44" s="43" t="s">
        <v>69</v>
      </c>
      <c r="E44" s="43" t="s">
        <v>35</v>
      </c>
      <c r="F44" s="43" t="s">
        <v>41</v>
      </c>
      <c r="G44" s="14" t="s">
        <v>232</v>
      </c>
      <c r="H44" s="14" t="s">
        <v>60</v>
      </c>
      <c r="I44" s="14" t="s">
        <v>60</v>
      </c>
      <c r="J44" s="44" t="s">
        <v>60</v>
      </c>
      <c r="K44" s="44">
        <v>2026</v>
      </c>
      <c r="L44" s="44" t="s">
        <v>60</v>
      </c>
      <c r="M44" s="45">
        <v>1000</v>
      </c>
      <c r="N44" s="45">
        <v>186</v>
      </c>
      <c r="O44" s="45">
        <v>8.6999999999999993</v>
      </c>
      <c r="P44" s="46">
        <f t="shared" si="3"/>
        <v>287</v>
      </c>
      <c r="Q44" s="45">
        <v>8.1</v>
      </c>
      <c r="R44" s="46">
        <v>240</v>
      </c>
      <c r="S44" s="46">
        <v>12</v>
      </c>
      <c r="T44" s="46">
        <v>10</v>
      </c>
      <c r="U44" s="46">
        <v>24</v>
      </c>
      <c r="V44" s="46">
        <v>0</v>
      </c>
      <c r="W44" s="46">
        <v>1</v>
      </c>
      <c r="X44" s="46">
        <v>25</v>
      </c>
      <c r="Y44" s="46">
        <v>7</v>
      </c>
      <c r="Z44" s="46">
        <f t="shared" si="23"/>
        <v>44.268368000000002</v>
      </c>
      <c r="AA44" s="46">
        <f t="shared" si="30"/>
        <v>46.208416000000007</v>
      </c>
      <c r="AB44" s="46">
        <f t="shared" si="31"/>
        <v>50.617616000000005</v>
      </c>
      <c r="AC44" s="46">
        <v>240</v>
      </c>
      <c r="AD44" s="46">
        <f>230-37</f>
        <v>193</v>
      </c>
      <c r="AE44" s="46">
        <v>37</v>
      </c>
      <c r="AF44" s="59">
        <f t="shared" si="1"/>
        <v>-10</v>
      </c>
      <c r="AG44" s="46">
        <f t="shared" si="4"/>
        <v>30</v>
      </c>
      <c r="AH44" s="47">
        <f t="shared" si="5"/>
        <v>36.75876425225907</v>
      </c>
      <c r="AI44" s="47">
        <f t="shared" si="6"/>
        <v>22</v>
      </c>
      <c r="AJ44" s="47">
        <f t="shared" si="7"/>
        <v>25</v>
      </c>
      <c r="AK44" s="47">
        <f t="shared" si="8"/>
        <v>251</v>
      </c>
      <c r="AL44" s="48">
        <f t="shared" si="9"/>
        <v>0.251</v>
      </c>
      <c r="AM44" s="46">
        <f t="shared" si="10"/>
        <v>44.229074889867839</v>
      </c>
      <c r="AN44" s="46">
        <f t="shared" si="11"/>
        <v>16.086956521739133</v>
      </c>
      <c r="AO44" s="46">
        <f t="shared" si="12"/>
        <v>201.39130434782609</v>
      </c>
      <c r="AP44" s="46">
        <f t="shared" si="13"/>
        <v>39.439130434782612</v>
      </c>
      <c r="AQ44" s="49">
        <f t="shared" si="14"/>
        <v>0.70815761584578718</v>
      </c>
      <c r="AR44" s="50">
        <f t="shared" si="15"/>
        <v>0.29184238415421276</v>
      </c>
      <c r="AS44" s="51">
        <f t="shared" si="16"/>
        <v>0.20139130434782609</v>
      </c>
      <c r="AT44" s="51">
        <f t="shared" si="17"/>
        <v>3.9439130434782615E-2</v>
      </c>
      <c r="AU44" s="51">
        <f t="shared" si="24"/>
        <v>0.24083043478260871</v>
      </c>
      <c r="AV44" s="52">
        <f t="shared" si="18"/>
        <v>193.79959025722741</v>
      </c>
      <c r="AW44" s="52">
        <f t="shared" si="19"/>
        <v>37.952419758707038</v>
      </c>
      <c r="AX44" s="15">
        <f t="shared" si="20"/>
        <v>0.1937995902572274</v>
      </c>
      <c r="AY44" s="15">
        <f t="shared" si="21"/>
        <v>3.7952419758707036E-2</v>
      </c>
      <c r="AZ44" s="15">
        <f t="shared" si="22"/>
        <v>0.23175201001593443</v>
      </c>
      <c r="BA44" s="61">
        <f t="shared" si="25"/>
        <v>11.547643979057593</v>
      </c>
      <c r="BB44" s="61">
        <v>8</v>
      </c>
      <c r="BC44" s="61">
        <f t="shared" si="26"/>
        <v>9.6230366492146597</v>
      </c>
      <c r="BD44" s="61">
        <f>17+5</f>
        <v>22</v>
      </c>
      <c r="BE44" s="61">
        <f t="shared" si="27"/>
        <v>0.96230366492146602</v>
      </c>
      <c r="BF44" s="61">
        <v>0</v>
      </c>
      <c r="BG44" s="61">
        <v>0</v>
      </c>
      <c r="BH44" s="61">
        <v>0</v>
      </c>
      <c r="BI44" s="56">
        <f t="shared" si="28"/>
        <v>52.132984293193715</v>
      </c>
      <c r="BJ44" s="57">
        <f t="shared" si="32"/>
        <v>0.20677553597089432</v>
      </c>
      <c r="BK44" s="58">
        <f t="shared" si="29"/>
        <v>0.10128312942516887</v>
      </c>
    </row>
    <row r="45" spans="1:63" ht="17.25" customHeight="1" x14ac:dyDescent="0.3">
      <c r="A45" s="41">
        <v>44</v>
      </c>
      <c r="B45" s="42">
        <v>46210</v>
      </c>
      <c r="C45" s="43" t="str">
        <f t="shared" si="0"/>
        <v>Jul-26</v>
      </c>
      <c r="D45" s="43" t="s">
        <v>69</v>
      </c>
      <c r="E45" s="43" t="s">
        <v>35</v>
      </c>
      <c r="F45" s="43" t="s">
        <v>41</v>
      </c>
      <c r="G45" s="14" t="s">
        <v>233</v>
      </c>
      <c r="H45" s="14" t="s">
        <v>60</v>
      </c>
      <c r="I45" s="14" t="s">
        <v>60</v>
      </c>
      <c r="J45" s="44" t="s">
        <v>60</v>
      </c>
      <c r="K45" s="44">
        <v>2026</v>
      </c>
      <c r="L45" s="44" t="s">
        <v>60</v>
      </c>
      <c r="M45" s="45">
        <v>1000</v>
      </c>
      <c r="N45" s="45">
        <v>184</v>
      </c>
      <c r="O45" s="45">
        <v>9.1</v>
      </c>
      <c r="P45" s="46">
        <f t="shared" si="3"/>
        <v>295</v>
      </c>
      <c r="Q45" s="45">
        <v>8.9</v>
      </c>
      <c r="R45" s="46">
        <v>224</v>
      </c>
      <c r="S45" s="46">
        <v>17</v>
      </c>
      <c r="T45" s="46">
        <v>14</v>
      </c>
      <c r="U45" s="46">
        <v>40</v>
      </c>
      <c r="V45" s="46">
        <v>0</v>
      </c>
      <c r="W45" s="46">
        <v>0</v>
      </c>
      <c r="X45" s="46">
        <v>14</v>
      </c>
      <c r="Y45" s="46">
        <v>5</v>
      </c>
      <c r="Z45" s="46">
        <f t="shared" si="23"/>
        <v>42.240136</v>
      </c>
      <c r="AA45" s="46">
        <f t="shared" si="30"/>
        <v>44.973840000000003</v>
      </c>
      <c r="AB45" s="46">
        <f t="shared" si="31"/>
        <v>52.028560000000006</v>
      </c>
      <c r="AC45" s="46">
        <v>224</v>
      </c>
      <c r="AD45" s="46">
        <f>214-30</f>
        <v>184</v>
      </c>
      <c r="AE45" s="46">
        <v>30</v>
      </c>
      <c r="AF45" s="59">
        <f t="shared" si="1"/>
        <v>-10</v>
      </c>
      <c r="AG45" s="46">
        <f t="shared" si="4"/>
        <v>23</v>
      </c>
      <c r="AH45" s="47">
        <f t="shared" si="5"/>
        <v>27.922689454948348</v>
      </c>
      <c r="AI45" s="47">
        <f t="shared" si="6"/>
        <v>31</v>
      </c>
      <c r="AJ45" s="47">
        <f t="shared" si="7"/>
        <v>40</v>
      </c>
      <c r="AK45" s="47">
        <f t="shared" si="8"/>
        <v>239.5</v>
      </c>
      <c r="AL45" s="48">
        <f t="shared" si="9"/>
        <v>0.23949999999999999</v>
      </c>
      <c r="AM45" s="46">
        <f t="shared" si="10"/>
        <v>42.202643171806166</v>
      </c>
      <c r="AN45" s="46">
        <f t="shared" si="11"/>
        <v>14.018691588785046</v>
      </c>
      <c r="AO45" s="46">
        <f t="shared" si="12"/>
        <v>192.5981308411215</v>
      </c>
      <c r="AP45" s="46">
        <f t="shared" si="13"/>
        <v>61.046728971962615</v>
      </c>
      <c r="AQ45" s="49">
        <f t="shared" si="14"/>
        <v>0.66466884930525982</v>
      </c>
      <c r="AR45" s="50">
        <f t="shared" si="15"/>
        <v>0.33533115069474012</v>
      </c>
      <c r="AS45" s="51">
        <f t="shared" si="16"/>
        <v>0.19259813084112151</v>
      </c>
      <c r="AT45" s="51">
        <f t="shared" si="17"/>
        <v>6.1046728971962616E-2</v>
      </c>
      <c r="AU45" s="51">
        <f t="shared" si="24"/>
        <v>0.25364485981308416</v>
      </c>
      <c r="AV45" s="52">
        <f t="shared" si="18"/>
        <v>183.7244996819494</v>
      </c>
      <c r="AW45" s="52">
        <f t="shared" si="19"/>
        <v>58.234104809903599</v>
      </c>
      <c r="AX45" s="15">
        <f t="shared" si="20"/>
        <v>0.1837244996819494</v>
      </c>
      <c r="AY45" s="15">
        <f t="shared" si="21"/>
        <v>5.8234104809903597E-2</v>
      </c>
      <c r="AZ45" s="15">
        <f t="shared" si="22"/>
        <v>0.241958604491853</v>
      </c>
      <c r="BA45" s="61">
        <f t="shared" si="25"/>
        <v>16.216753926701568</v>
      </c>
      <c r="BB45" s="61">
        <v>7</v>
      </c>
      <c r="BC45" s="61">
        <f t="shared" si="26"/>
        <v>13.354973821989528</v>
      </c>
      <c r="BD45" s="61">
        <f>11+4</f>
        <v>15</v>
      </c>
      <c r="BE45" s="61">
        <f t="shared" si="27"/>
        <v>0</v>
      </c>
      <c r="BF45" s="61">
        <v>0</v>
      </c>
      <c r="BG45" s="61">
        <v>0</v>
      </c>
      <c r="BH45" s="61">
        <v>1</v>
      </c>
      <c r="BI45" s="56">
        <f t="shared" si="28"/>
        <v>52.571727748691096</v>
      </c>
      <c r="BJ45" s="57">
        <f t="shared" si="32"/>
        <v>0.21612104776048727</v>
      </c>
      <c r="BK45" s="58">
        <f t="shared" si="29"/>
        <v>0.12617801047120417</v>
      </c>
    </row>
    <row r="46" spans="1:63" ht="17.25" customHeight="1" x14ac:dyDescent="0.3">
      <c r="A46" s="41">
        <v>45</v>
      </c>
      <c r="B46" s="42">
        <v>46210</v>
      </c>
      <c r="C46" s="43" t="str">
        <f t="shared" si="0"/>
        <v>Jul-26</v>
      </c>
      <c r="D46" s="43" t="s">
        <v>69</v>
      </c>
      <c r="E46" s="43" t="s">
        <v>35</v>
      </c>
      <c r="F46" s="43" t="s">
        <v>41</v>
      </c>
      <c r="G46" s="14" t="s">
        <v>233</v>
      </c>
      <c r="H46" s="14" t="s">
        <v>60</v>
      </c>
      <c r="I46" s="14" t="s">
        <v>60</v>
      </c>
      <c r="J46" s="44" t="s">
        <v>60</v>
      </c>
      <c r="K46" s="44">
        <v>2026</v>
      </c>
      <c r="L46" s="44" t="s">
        <v>60</v>
      </c>
      <c r="M46" s="45">
        <v>1000</v>
      </c>
      <c r="N46" s="45">
        <v>180</v>
      </c>
      <c r="O46" s="45">
        <v>9.1</v>
      </c>
      <c r="P46" s="46">
        <f t="shared" si="3"/>
        <v>295</v>
      </c>
      <c r="Q46" s="45">
        <v>8.9</v>
      </c>
      <c r="R46" s="46">
        <v>234</v>
      </c>
      <c r="S46" s="46">
        <v>10</v>
      </c>
      <c r="T46" s="46">
        <v>16</v>
      </c>
      <c r="U46" s="46">
        <v>31</v>
      </c>
      <c r="V46" s="46">
        <v>0</v>
      </c>
      <c r="W46" s="46">
        <v>4</v>
      </c>
      <c r="X46" s="46">
        <v>9</v>
      </c>
      <c r="Y46" s="46">
        <v>5</v>
      </c>
      <c r="Z46" s="46">
        <f t="shared" si="23"/>
        <v>43.562896000000002</v>
      </c>
      <c r="AA46" s="46">
        <f t="shared" si="30"/>
        <v>45.85568</v>
      </c>
      <c r="AB46" s="46">
        <f t="shared" si="31"/>
        <v>52.028560000000006</v>
      </c>
      <c r="AC46" s="46">
        <v>234</v>
      </c>
      <c r="AD46" s="46">
        <f>225-30</f>
        <v>195</v>
      </c>
      <c r="AE46" s="46">
        <v>30</v>
      </c>
      <c r="AF46" s="59">
        <f t="shared" si="1"/>
        <v>-9</v>
      </c>
      <c r="AG46" s="46">
        <f t="shared" si="4"/>
        <v>35</v>
      </c>
      <c r="AH46" s="47">
        <f t="shared" si="5"/>
        <v>42.235638492499085</v>
      </c>
      <c r="AI46" s="47">
        <f t="shared" si="6"/>
        <v>26</v>
      </c>
      <c r="AJ46" s="47">
        <f t="shared" si="7"/>
        <v>35</v>
      </c>
      <c r="AK46" s="47">
        <f t="shared" si="8"/>
        <v>247</v>
      </c>
      <c r="AL46" s="48">
        <f t="shared" si="9"/>
        <v>0.247</v>
      </c>
      <c r="AM46" s="46">
        <f t="shared" si="10"/>
        <v>43.524229074889867</v>
      </c>
      <c r="AN46" s="46">
        <f t="shared" si="11"/>
        <v>13.333333333333334</v>
      </c>
      <c r="AO46" s="46">
        <f t="shared" si="12"/>
        <v>202.8</v>
      </c>
      <c r="AP46" s="46">
        <f t="shared" si="13"/>
        <v>52.866666666666667</v>
      </c>
      <c r="AQ46" s="49">
        <f t="shared" si="14"/>
        <v>0.65004868307627428</v>
      </c>
      <c r="AR46" s="50">
        <f t="shared" si="15"/>
        <v>0.34995131692372566</v>
      </c>
      <c r="AS46" s="51">
        <f t="shared" si="16"/>
        <v>0.20280000000000001</v>
      </c>
      <c r="AT46" s="51">
        <f t="shared" si="17"/>
        <v>5.2866666666666666E-2</v>
      </c>
      <c r="AU46" s="51">
        <f t="shared" si="24"/>
        <v>0.25566666666666665</v>
      </c>
      <c r="AV46" s="52">
        <f t="shared" si="18"/>
        <v>193.45633507853401</v>
      </c>
      <c r="AW46" s="52">
        <f t="shared" si="19"/>
        <v>50.430924956369978</v>
      </c>
      <c r="AX46" s="15">
        <f t="shared" si="20"/>
        <v>0.19345633507853402</v>
      </c>
      <c r="AY46" s="15">
        <f t="shared" si="21"/>
        <v>5.0430924956369978E-2</v>
      </c>
      <c r="AZ46" s="15">
        <f t="shared" si="22"/>
        <v>0.24388726003490399</v>
      </c>
      <c r="BA46" s="61">
        <f t="shared" si="25"/>
        <v>9.5392670157068071</v>
      </c>
      <c r="BB46" s="61">
        <v>8</v>
      </c>
      <c r="BC46" s="61">
        <f t="shared" si="26"/>
        <v>15.26282722513089</v>
      </c>
      <c r="BD46" s="61">
        <f>16+7</f>
        <v>23</v>
      </c>
      <c r="BE46" s="61">
        <f t="shared" si="27"/>
        <v>3.8157068062827224</v>
      </c>
      <c r="BF46" s="61">
        <v>2</v>
      </c>
      <c r="BG46" s="61">
        <v>0</v>
      </c>
      <c r="BH46" s="61">
        <v>2</v>
      </c>
      <c r="BI46" s="56">
        <f t="shared" si="28"/>
        <v>63.617801047120416</v>
      </c>
      <c r="BJ46" s="57">
        <f t="shared" si="32"/>
        <v>0.25650173098032591</v>
      </c>
      <c r="BK46" s="58">
        <f t="shared" si="29"/>
        <v>8.9944959054906695E-2</v>
      </c>
    </row>
    <row r="47" spans="1:63" ht="17.25" customHeight="1" x14ac:dyDescent="0.3">
      <c r="A47" s="41">
        <v>46</v>
      </c>
      <c r="B47" s="42">
        <v>46209</v>
      </c>
      <c r="C47" s="43" t="str">
        <f t="shared" si="0"/>
        <v>Jul-26</v>
      </c>
      <c r="D47" s="43" t="s">
        <v>68</v>
      </c>
      <c r="E47" s="43" t="s">
        <v>35</v>
      </c>
      <c r="F47" s="43" t="s">
        <v>41</v>
      </c>
      <c r="G47" s="14" t="s">
        <v>234</v>
      </c>
      <c r="H47" s="14" t="s">
        <v>60</v>
      </c>
      <c r="I47" s="14" t="s">
        <v>60</v>
      </c>
      <c r="J47" s="44" t="s">
        <v>60</v>
      </c>
      <c r="K47" s="44">
        <v>2026</v>
      </c>
      <c r="L47" s="44">
        <v>1052</v>
      </c>
      <c r="M47" s="45">
        <v>1000</v>
      </c>
      <c r="N47" s="45">
        <v>184</v>
      </c>
      <c r="O47" s="45">
        <v>8.1</v>
      </c>
      <c r="P47" s="46">
        <f t="shared" si="3"/>
        <v>296</v>
      </c>
      <c r="Q47" s="45">
        <v>7.7</v>
      </c>
      <c r="R47" s="46">
        <v>242</v>
      </c>
      <c r="S47" s="46">
        <v>18</v>
      </c>
      <c r="T47" s="46">
        <v>15</v>
      </c>
      <c r="U47" s="46">
        <v>21</v>
      </c>
      <c r="V47" s="46">
        <v>0</v>
      </c>
      <c r="W47" s="46">
        <v>0</v>
      </c>
      <c r="X47" s="46">
        <v>23</v>
      </c>
      <c r="Y47" s="46">
        <v>6</v>
      </c>
      <c r="Z47" s="46">
        <f t="shared" si="23"/>
        <v>45.591128000000005</v>
      </c>
      <c r="AA47" s="46">
        <f t="shared" si="30"/>
        <v>48.501200000000004</v>
      </c>
      <c r="AB47" s="46">
        <f t="shared" si="31"/>
        <v>52.204928000000002</v>
      </c>
      <c r="AC47" s="46">
        <v>239</v>
      </c>
      <c r="AD47" s="46">
        <f>230-31</f>
        <v>199</v>
      </c>
      <c r="AE47" s="46">
        <v>31</v>
      </c>
      <c r="AF47" s="59">
        <f t="shared" si="1"/>
        <v>-9</v>
      </c>
      <c r="AG47" s="46">
        <f t="shared" si="4"/>
        <v>33</v>
      </c>
      <c r="AH47" s="47">
        <f t="shared" si="5"/>
        <v>39.35470347166612</v>
      </c>
      <c r="AI47" s="47">
        <f t="shared" si="6"/>
        <v>33</v>
      </c>
      <c r="AJ47" s="47">
        <f t="shared" si="7"/>
        <v>21</v>
      </c>
      <c r="AK47" s="47">
        <f t="shared" si="8"/>
        <v>258.5</v>
      </c>
      <c r="AL47" s="48">
        <f t="shared" si="9"/>
        <v>0.25850000000000001</v>
      </c>
      <c r="AM47" s="46">
        <f t="shared" si="10"/>
        <v>45.55066079295154</v>
      </c>
      <c r="AN47" s="46">
        <f t="shared" si="11"/>
        <v>13.478260869565219</v>
      </c>
      <c r="AO47" s="46">
        <f t="shared" si="12"/>
        <v>209.38260869565218</v>
      </c>
      <c r="AP47" s="46">
        <f t="shared" si="13"/>
        <v>46.721739130434784</v>
      </c>
      <c r="AQ47" s="49">
        <f t="shared" si="14"/>
        <v>0.68461248827139831</v>
      </c>
      <c r="AR47" s="50">
        <f t="shared" si="15"/>
        <v>0.31538751172860174</v>
      </c>
      <c r="AS47" s="51">
        <f t="shared" si="16"/>
        <v>0.20938260869565217</v>
      </c>
      <c r="AT47" s="51">
        <f t="shared" si="17"/>
        <v>4.6721739130434786E-2</v>
      </c>
      <c r="AU47" s="51">
        <f t="shared" si="24"/>
        <v>0.25610434782608693</v>
      </c>
      <c r="AV47" s="52">
        <f t="shared" si="18"/>
        <v>202.36664693831094</v>
      </c>
      <c r="AW47" s="52">
        <f t="shared" si="19"/>
        <v>45.15619394491236</v>
      </c>
      <c r="AX47" s="15">
        <f t="shared" si="20"/>
        <v>0.20236664693831094</v>
      </c>
      <c r="AY47" s="15">
        <f t="shared" si="21"/>
        <v>4.5156193944912361E-2</v>
      </c>
      <c r="AZ47" s="15">
        <f t="shared" si="22"/>
        <v>0.24752284088322329</v>
      </c>
      <c r="BA47" s="61">
        <f t="shared" si="25"/>
        <v>17.396858638743453</v>
      </c>
      <c r="BB47" s="61">
        <v>8</v>
      </c>
      <c r="BC47" s="61">
        <f t="shared" si="26"/>
        <v>14.497382198952879</v>
      </c>
      <c r="BD47" s="61">
        <f>19+6</f>
        <v>25</v>
      </c>
      <c r="BE47" s="61">
        <f t="shared" si="27"/>
        <v>0</v>
      </c>
      <c r="BF47" s="61">
        <v>0</v>
      </c>
      <c r="BG47" s="61">
        <v>0</v>
      </c>
      <c r="BH47" s="61">
        <v>0</v>
      </c>
      <c r="BI47" s="56">
        <f t="shared" si="28"/>
        <v>64.89424083769633</v>
      </c>
      <c r="BJ47" s="57">
        <f t="shared" si="32"/>
        <v>0.24416034669555794</v>
      </c>
      <c r="BK47" s="58">
        <f t="shared" si="29"/>
        <v>0.12762240521981635</v>
      </c>
    </row>
    <row r="48" spans="1:63" ht="17.25" customHeight="1" x14ac:dyDescent="0.3">
      <c r="A48" s="41">
        <v>47</v>
      </c>
      <c r="B48" s="42">
        <v>46209</v>
      </c>
      <c r="C48" s="43" t="str">
        <f t="shared" si="0"/>
        <v>Jul-26</v>
      </c>
      <c r="D48" s="43" t="s">
        <v>68</v>
      </c>
      <c r="E48" s="43" t="s">
        <v>35</v>
      </c>
      <c r="F48" s="43" t="s">
        <v>41</v>
      </c>
      <c r="G48" s="14" t="s">
        <v>234</v>
      </c>
      <c r="H48" s="14" t="s">
        <v>60</v>
      </c>
      <c r="I48" s="14" t="s">
        <v>60</v>
      </c>
      <c r="J48" s="44" t="s">
        <v>60</v>
      </c>
      <c r="K48" s="44">
        <v>2026</v>
      </c>
      <c r="L48" s="44">
        <v>1052</v>
      </c>
      <c r="M48" s="45">
        <v>1000</v>
      </c>
      <c r="N48" s="45">
        <v>183</v>
      </c>
      <c r="O48" s="45">
        <v>8.1</v>
      </c>
      <c r="P48" s="46">
        <f t="shared" si="3"/>
        <v>293</v>
      </c>
      <c r="Q48" s="45">
        <v>7.7</v>
      </c>
      <c r="R48" s="46">
        <v>239</v>
      </c>
      <c r="S48" s="46">
        <v>20</v>
      </c>
      <c r="T48" s="46">
        <v>15</v>
      </c>
      <c r="U48" s="46">
        <v>19</v>
      </c>
      <c r="V48" s="46">
        <v>0</v>
      </c>
      <c r="W48" s="46">
        <v>0</v>
      </c>
      <c r="X48" s="46">
        <v>31</v>
      </c>
      <c r="Y48" s="46">
        <v>5</v>
      </c>
      <c r="Z48" s="46">
        <f t="shared" si="23"/>
        <v>45.238391999999997</v>
      </c>
      <c r="AA48" s="46">
        <f t="shared" si="30"/>
        <v>48.324832000000001</v>
      </c>
      <c r="AB48" s="46">
        <f t="shared" si="31"/>
        <v>51.675823999999999</v>
      </c>
      <c r="AC48" s="46">
        <v>242</v>
      </c>
      <c r="AD48" s="46">
        <f>231-32</f>
        <v>199</v>
      </c>
      <c r="AE48" s="46">
        <v>32</v>
      </c>
      <c r="AF48" s="59">
        <f t="shared" si="1"/>
        <v>-11</v>
      </c>
      <c r="AG48" s="46">
        <f t="shared" si="4"/>
        <v>28</v>
      </c>
      <c r="AH48" s="47">
        <f t="shared" si="5"/>
        <v>33.502084769690406</v>
      </c>
      <c r="AI48" s="47">
        <f t="shared" si="6"/>
        <v>35</v>
      </c>
      <c r="AJ48" s="47">
        <f t="shared" si="7"/>
        <v>19</v>
      </c>
      <c r="AK48" s="47">
        <f t="shared" si="8"/>
        <v>256.5</v>
      </c>
      <c r="AL48" s="48">
        <f t="shared" si="9"/>
        <v>0.25650000000000001</v>
      </c>
      <c r="AM48" s="46">
        <f t="shared" si="10"/>
        <v>45.198237885462554</v>
      </c>
      <c r="AN48" s="46">
        <f t="shared" si="11"/>
        <v>13.852813852813853</v>
      </c>
      <c r="AO48" s="46">
        <f t="shared" si="12"/>
        <v>205.8917748917749</v>
      </c>
      <c r="AP48" s="46">
        <f t="shared" si="13"/>
        <v>46.519480519480524</v>
      </c>
      <c r="AQ48" s="49">
        <f t="shared" si="14"/>
        <v>0.70135807245839454</v>
      </c>
      <c r="AR48" s="50">
        <f t="shared" si="15"/>
        <v>0.29864192754160551</v>
      </c>
      <c r="AS48" s="51">
        <f t="shared" si="16"/>
        <v>0.2058917748917749</v>
      </c>
      <c r="AT48" s="51">
        <f t="shared" si="17"/>
        <v>4.6519480519480523E-2</v>
      </c>
      <c r="AU48" s="51">
        <f t="shared" si="24"/>
        <v>0.25241125541125542</v>
      </c>
      <c r="AV48" s="52">
        <f t="shared" si="18"/>
        <v>198.99278348178871</v>
      </c>
      <c r="AW48" s="52">
        <f t="shared" si="19"/>
        <v>44.960712585843481</v>
      </c>
      <c r="AX48" s="15">
        <f t="shared" si="20"/>
        <v>0.1989927834817887</v>
      </c>
      <c r="AY48" s="15">
        <f t="shared" si="21"/>
        <v>4.4960712585843485E-2</v>
      </c>
      <c r="AZ48" s="15">
        <f t="shared" si="22"/>
        <v>0.24395349606763217</v>
      </c>
      <c r="BA48" s="61">
        <f t="shared" si="25"/>
        <v>19.329842931937172</v>
      </c>
      <c r="BB48" s="61">
        <v>7</v>
      </c>
      <c r="BC48" s="61">
        <f t="shared" si="26"/>
        <v>14.497382198952879</v>
      </c>
      <c r="BD48" s="61">
        <f>16+5</f>
        <v>21</v>
      </c>
      <c r="BE48" s="61">
        <f t="shared" si="27"/>
        <v>0</v>
      </c>
      <c r="BF48" s="61">
        <v>0</v>
      </c>
      <c r="BG48" s="61">
        <v>0</v>
      </c>
      <c r="BH48" s="61">
        <v>0</v>
      </c>
      <c r="BI48" s="56">
        <f t="shared" si="28"/>
        <v>61.827225130890049</v>
      </c>
      <c r="BJ48" s="57">
        <f t="shared" si="32"/>
        <v>0.23346988161422208</v>
      </c>
      <c r="BK48" s="58">
        <f t="shared" si="29"/>
        <v>0.13231076850219683</v>
      </c>
    </row>
    <row r="49" spans="1:63" ht="17.25" customHeight="1" x14ac:dyDescent="0.3">
      <c r="A49" s="41">
        <v>48</v>
      </c>
      <c r="B49" s="42">
        <v>46210</v>
      </c>
      <c r="C49" s="43" t="str">
        <f t="shared" si="0"/>
        <v>Jul-26</v>
      </c>
      <c r="D49" s="43" t="s">
        <v>68</v>
      </c>
      <c r="E49" s="43" t="s">
        <v>35</v>
      </c>
      <c r="F49" s="43" t="s">
        <v>41</v>
      </c>
      <c r="G49" s="14" t="s">
        <v>234</v>
      </c>
      <c r="H49" s="14" t="s">
        <v>60</v>
      </c>
      <c r="I49" s="14" t="s">
        <v>60</v>
      </c>
      <c r="J49" s="44" t="s">
        <v>60</v>
      </c>
      <c r="K49" s="44">
        <v>2026</v>
      </c>
      <c r="L49" s="44">
        <v>1053</v>
      </c>
      <c r="M49" s="45">
        <v>1000</v>
      </c>
      <c r="N49" s="45">
        <v>184</v>
      </c>
      <c r="O49" s="45">
        <v>7.9</v>
      </c>
      <c r="P49" s="46">
        <f t="shared" si="3"/>
        <v>292</v>
      </c>
      <c r="Q49" s="45">
        <v>7.68</v>
      </c>
      <c r="R49" s="46">
        <v>245</v>
      </c>
      <c r="S49" s="46">
        <v>15</v>
      </c>
      <c r="T49" s="46">
        <v>10</v>
      </c>
      <c r="U49" s="46">
        <v>22</v>
      </c>
      <c r="V49" s="46">
        <v>0</v>
      </c>
      <c r="W49" s="46">
        <v>0</v>
      </c>
      <c r="X49" s="46">
        <v>26</v>
      </c>
      <c r="Y49" s="46">
        <v>5</v>
      </c>
      <c r="Z49" s="46">
        <f t="shared" si="23"/>
        <v>45.414760000000001</v>
      </c>
      <c r="AA49" s="46">
        <f t="shared" si="30"/>
        <v>47.61936</v>
      </c>
      <c r="AB49" s="46">
        <f t="shared" si="31"/>
        <v>51.499456000000002</v>
      </c>
      <c r="AC49" s="46">
        <v>245</v>
      </c>
      <c r="AD49" s="46">
        <f>238-32</f>
        <v>206</v>
      </c>
      <c r="AE49" s="46">
        <v>32</v>
      </c>
      <c r="AF49" s="59">
        <f t="shared" si="1"/>
        <v>-7</v>
      </c>
      <c r="AG49" s="46">
        <f t="shared" si="4"/>
        <v>30</v>
      </c>
      <c r="AH49" s="47">
        <f t="shared" si="5"/>
        <v>35.758887610503471</v>
      </c>
      <c r="AI49" s="47">
        <f t="shared" si="6"/>
        <v>25</v>
      </c>
      <c r="AJ49" s="47">
        <f t="shared" si="7"/>
        <v>22</v>
      </c>
      <c r="AK49" s="47">
        <f t="shared" si="8"/>
        <v>257.5</v>
      </c>
      <c r="AL49" s="48">
        <f t="shared" si="9"/>
        <v>0.25750000000000001</v>
      </c>
      <c r="AM49" s="46">
        <f t="shared" si="10"/>
        <v>45.374449339207047</v>
      </c>
      <c r="AN49" s="46">
        <f t="shared" si="11"/>
        <v>13.445378151260504</v>
      </c>
      <c r="AO49" s="46">
        <f t="shared" si="12"/>
        <v>212.05882352941177</v>
      </c>
      <c r="AP49" s="46">
        <f t="shared" si="13"/>
        <v>40.680672268907564</v>
      </c>
      <c r="AQ49" s="49">
        <f t="shared" si="14"/>
        <v>0.71657915201882372</v>
      </c>
      <c r="AR49" s="50">
        <f t="shared" si="15"/>
        <v>0.28342084798117628</v>
      </c>
      <c r="AS49" s="51">
        <f t="shared" si="16"/>
        <v>0.21205882352941177</v>
      </c>
      <c r="AT49" s="51">
        <f t="shared" si="17"/>
        <v>4.0680672268907564E-2</v>
      </c>
      <c r="AU49" s="51">
        <f t="shared" si="24"/>
        <v>0.25273949579831934</v>
      </c>
      <c r="AV49" s="52">
        <f t="shared" si="18"/>
        <v>204.9975977825685</v>
      </c>
      <c r="AW49" s="52">
        <f t="shared" si="19"/>
        <v>39.326069778696819</v>
      </c>
      <c r="AX49" s="15">
        <f t="shared" si="20"/>
        <v>0.20499759778256851</v>
      </c>
      <c r="AY49" s="15">
        <f t="shared" si="21"/>
        <v>3.9326069778696821E-2</v>
      </c>
      <c r="AZ49" s="15">
        <f t="shared" si="22"/>
        <v>0.24432366756126533</v>
      </c>
      <c r="BA49" s="61">
        <f t="shared" si="25"/>
        <v>14.500523560209423</v>
      </c>
      <c r="BB49" s="61">
        <v>6</v>
      </c>
      <c r="BC49" s="61">
        <f t="shared" si="26"/>
        <v>9.6670157068062821</v>
      </c>
      <c r="BD49" s="61">
        <f>15+9</f>
        <v>24</v>
      </c>
      <c r="BE49" s="61">
        <f t="shared" si="27"/>
        <v>0</v>
      </c>
      <c r="BF49" s="61">
        <v>0</v>
      </c>
      <c r="BG49" s="61">
        <v>0</v>
      </c>
      <c r="BH49" s="61">
        <v>0</v>
      </c>
      <c r="BI49" s="56">
        <f t="shared" si="28"/>
        <v>54.167539267015705</v>
      </c>
      <c r="BJ49" s="57">
        <f t="shared" si="32"/>
        <v>0.20753097117915145</v>
      </c>
      <c r="BK49" s="58">
        <f t="shared" si="29"/>
        <v>9.951710466121079E-2</v>
      </c>
    </row>
    <row r="50" spans="1:63" ht="17.25" customHeight="1" x14ac:dyDescent="0.3">
      <c r="A50" s="41">
        <v>49</v>
      </c>
      <c r="B50" s="42">
        <v>46210</v>
      </c>
      <c r="C50" s="43" t="str">
        <f t="shared" si="0"/>
        <v>Jul-26</v>
      </c>
      <c r="D50" s="43" t="s">
        <v>68</v>
      </c>
      <c r="E50" s="43" t="s">
        <v>35</v>
      </c>
      <c r="F50" s="43" t="s">
        <v>41</v>
      </c>
      <c r="G50" s="14" t="s">
        <v>234</v>
      </c>
      <c r="H50" s="14" t="s">
        <v>60</v>
      </c>
      <c r="I50" s="14" t="s">
        <v>60</v>
      </c>
      <c r="J50" s="44" t="s">
        <v>60</v>
      </c>
      <c r="K50" s="44">
        <v>2026</v>
      </c>
      <c r="L50" s="44">
        <v>1053</v>
      </c>
      <c r="M50" s="45">
        <v>1000</v>
      </c>
      <c r="N50" s="45">
        <v>182</v>
      </c>
      <c r="O50" s="45">
        <v>7.9</v>
      </c>
      <c r="P50" s="46">
        <f t="shared" si="3"/>
        <v>294</v>
      </c>
      <c r="Q50" s="45">
        <v>7.68</v>
      </c>
      <c r="R50" s="46">
        <v>248</v>
      </c>
      <c r="S50" s="46">
        <v>13</v>
      </c>
      <c r="T50" s="46">
        <v>10</v>
      </c>
      <c r="U50" s="46">
        <v>23</v>
      </c>
      <c r="V50" s="46">
        <v>0</v>
      </c>
      <c r="W50" s="46">
        <v>0</v>
      </c>
      <c r="X50" s="46">
        <v>23</v>
      </c>
      <c r="Y50" s="46">
        <v>4</v>
      </c>
      <c r="Z50" s="46">
        <f t="shared" si="23"/>
        <v>45.767496000000001</v>
      </c>
      <c r="AA50" s="46">
        <f t="shared" si="30"/>
        <v>47.795728000000004</v>
      </c>
      <c r="AB50" s="46">
        <f t="shared" si="31"/>
        <v>51.852192000000002</v>
      </c>
      <c r="AC50" s="46">
        <f>248</f>
        <v>248</v>
      </c>
      <c r="AD50" s="46">
        <f>240-32</f>
        <v>208</v>
      </c>
      <c r="AE50" s="46">
        <v>32</v>
      </c>
      <c r="AF50" s="59">
        <f t="shared" si="1"/>
        <v>-8</v>
      </c>
      <c r="AG50" s="46">
        <f t="shared" si="4"/>
        <v>28</v>
      </c>
      <c r="AH50" s="47">
        <f t="shared" si="5"/>
        <v>33.3419988445985</v>
      </c>
      <c r="AI50" s="47">
        <f t="shared" si="6"/>
        <v>23</v>
      </c>
      <c r="AJ50" s="47">
        <f t="shared" si="7"/>
        <v>23</v>
      </c>
      <c r="AK50" s="47">
        <f t="shared" si="8"/>
        <v>259.5</v>
      </c>
      <c r="AL50" s="48">
        <f t="shared" si="9"/>
        <v>0.25950000000000001</v>
      </c>
      <c r="AM50" s="46">
        <f t="shared" si="10"/>
        <v>45.726872246696033</v>
      </c>
      <c r="AN50" s="46">
        <f t="shared" si="11"/>
        <v>13.333333333333334</v>
      </c>
      <c r="AO50" s="46">
        <f t="shared" si="12"/>
        <v>214.93333333333334</v>
      </c>
      <c r="AP50" s="46">
        <f t="shared" si="13"/>
        <v>39.866666666666667</v>
      </c>
      <c r="AQ50" s="49">
        <f t="shared" si="14"/>
        <v>0.73012925563061737</v>
      </c>
      <c r="AR50" s="50">
        <f t="shared" si="15"/>
        <v>0.26987074436938263</v>
      </c>
      <c r="AS50" s="51">
        <f t="shared" si="16"/>
        <v>0.21493333333333334</v>
      </c>
      <c r="AT50" s="51">
        <f t="shared" si="17"/>
        <v>3.9866666666666668E-2</v>
      </c>
      <c r="AU50" s="51">
        <f t="shared" si="24"/>
        <v>0.25480000000000003</v>
      </c>
      <c r="AV50" s="52">
        <f t="shared" si="18"/>
        <v>207.77639092495639</v>
      </c>
      <c r="AW50" s="52">
        <f t="shared" si="19"/>
        <v>38.539169284467711</v>
      </c>
      <c r="AX50" s="15">
        <f t="shared" si="20"/>
        <v>0.20777639092495639</v>
      </c>
      <c r="AY50" s="15">
        <f t="shared" si="21"/>
        <v>3.8539169284467711E-2</v>
      </c>
      <c r="AZ50" s="15">
        <f t="shared" si="22"/>
        <v>0.24631556020942411</v>
      </c>
      <c r="BA50" s="61">
        <f t="shared" si="25"/>
        <v>12.567120418848166</v>
      </c>
      <c r="BB50" s="61">
        <v>7</v>
      </c>
      <c r="BC50" s="61">
        <f t="shared" si="26"/>
        <v>9.6670157068062821</v>
      </c>
      <c r="BD50" s="61">
        <f>14+7</f>
        <v>21</v>
      </c>
      <c r="BE50" s="61">
        <f t="shared" si="27"/>
        <v>0</v>
      </c>
      <c r="BF50" s="61">
        <v>0</v>
      </c>
      <c r="BG50" s="61">
        <v>0</v>
      </c>
      <c r="BH50" s="61">
        <v>0</v>
      </c>
      <c r="BI50" s="56">
        <f t="shared" si="28"/>
        <v>50.234136125654445</v>
      </c>
      <c r="BJ50" s="57">
        <f t="shared" si="32"/>
        <v>0.1917508169882392</v>
      </c>
      <c r="BK50" s="58">
        <f t="shared" si="29"/>
        <v>9.4072694321385417E-2</v>
      </c>
    </row>
    <row r="51" spans="1:63" ht="17.25" customHeight="1" x14ac:dyDescent="0.3">
      <c r="A51" s="41">
        <v>50</v>
      </c>
      <c r="B51" s="42">
        <v>46212</v>
      </c>
      <c r="C51" s="43" t="str">
        <f t="shared" si="0"/>
        <v>Jul-26</v>
      </c>
      <c r="D51" s="43" t="s">
        <v>69</v>
      </c>
      <c r="E51" s="43" t="s">
        <v>35</v>
      </c>
      <c r="F51" s="43" t="s">
        <v>41</v>
      </c>
      <c r="G51" s="14" t="s">
        <v>235</v>
      </c>
      <c r="H51" s="14" t="s">
        <v>60</v>
      </c>
      <c r="I51" s="14" t="s">
        <v>60</v>
      </c>
      <c r="J51" s="44" t="s">
        <v>60</v>
      </c>
      <c r="K51" s="44">
        <v>2026</v>
      </c>
      <c r="L51" s="44" t="s">
        <v>60</v>
      </c>
      <c r="M51" s="45">
        <v>1000</v>
      </c>
      <c r="N51" s="45">
        <v>171</v>
      </c>
      <c r="O51" s="45">
        <v>8.6999999999999993</v>
      </c>
      <c r="P51" s="46">
        <f t="shared" si="3"/>
        <v>285</v>
      </c>
      <c r="Q51" s="45">
        <v>8.3000000000000007</v>
      </c>
      <c r="R51" s="46">
        <v>233</v>
      </c>
      <c r="S51" s="46">
        <v>18</v>
      </c>
      <c r="T51" s="46">
        <v>17</v>
      </c>
      <c r="U51" s="46">
        <v>17</v>
      </c>
      <c r="V51" s="46">
        <v>0</v>
      </c>
      <c r="W51" s="46">
        <v>0</v>
      </c>
      <c r="X51" s="46">
        <v>20</v>
      </c>
      <c r="Y51" s="46">
        <v>5</v>
      </c>
      <c r="Z51" s="46">
        <f t="shared" si="23"/>
        <v>44.180184000000004</v>
      </c>
      <c r="AA51" s="46">
        <f t="shared" si="30"/>
        <v>47.266624</v>
      </c>
      <c r="AB51" s="46">
        <f t="shared" si="31"/>
        <v>50.264880000000005</v>
      </c>
      <c r="AC51" s="46">
        <v>233</v>
      </c>
      <c r="AD51" s="46">
        <f>226-32</f>
        <v>194</v>
      </c>
      <c r="AE51" s="46">
        <v>32</v>
      </c>
      <c r="AF51" s="59">
        <f t="shared" si="1"/>
        <v>-7</v>
      </c>
      <c r="AG51" s="46">
        <f t="shared" si="4"/>
        <v>36</v>
      </c>
      <c r="AH51" s="47">
        <f t="shared" si="5"/>
        <v>43.472655156773236</v>
      </c>
      <c r="AI51" s="47">
        <f t="shared" si="6"/>
        <v>35</v>
      </c>
      <c r="AJ51" s="47">
        <f t="shared" si="7"/>
        <v>17</v>
      </c>
      <c r="AK51" s="47">
        <f t="shared" si="8"/>
        <v>250.5</v>
      </c>
      <c r="AL51" s="48">
        <f t="shared" si="9"/>
        <v>0.2505</v>
      </c>
      <c r="AM51" s="46">
        <f t="shared" si="10"/>
        <v>44.140969162995596</v>
      </c>
      <c r="AN51" s="46">
        <f t="shared" si="11"/>
        <v>14.159292035398231</v>
      </c>
      <c r="AO51" s="46">
        <f t="shared" si="12"/>
        <v>200.0088495575221</v>
      </c>
      <c r="AP51" s="46">
        <f t="shared" si="13"/>
        <v>44.637168141592916</v>
      </c>
      <c r="AQ51" s="49">
        <f t="shared" si="14"/>
        <v>0.66500822752009392</v>
      </c>
      <c r="AR51" s="50">
        <f t="shared" si="15"/>
        <v>0.33499177247990614</v>
      </c>
      <c r="AS51" s="51">
        <f t="shared" si="16"/>
        <v>0.2000088495575221</v>
      </c>
      <c r="AT51" s="51">
        <f t="shared" si="17"/>
        <v>4.4637168141592916E-2</v>
      </c>
      <c r="AU51" s="51">
        <f t="shared" si="24"/>
        <v>0.24464601769911501</v>
      </c>
      <c r="AV51" s="52">
        <f t="shared" si="18"/>
        <v>192.05038224528559</v>
      </c>
      <c r="AW51" s="52">
        <f t="shared" si="19"/>
        <v>42.861029513969328</v>
      </c>
      <c r="AX51" s="15">
        <f t="shared" si="20"/>
        <v>0.19205038224528559</v>
      </c>
      <c r="AY51" s="15">
        <f t="shared" si="21"/>
        <v>4.2861029513969327E-2</v>
      </c>
      <c r="AZ51" s="15">
        <f t="shared" si="22"/>
        <v>0.23491141175925492</v>
      </c>
      <c r="BA51" s="61">
        <f t="shared" si="25"/>
        <v>17.283769633507855</v>
      </c>
      <c r="BB51" s="61">
        <v>8</v>
      </c>
      <c r="BC51" s="61">
        <f t="shared" si="26"/>
        <v>16.323560209424084</v>
      </c>
      <c r="BD51" s="61">
        <f>19+9</f>
        <v>28</v>
      </c>
      <c r="BE51" s="61">
        <f t="shared" si="27"/>
        <v>0</v>
      </c>
      <c r="BF51" s="61">
        <v>0</v>
      </c>
      <c r="BG51" s="61">
        <v>0</v>
      </c>
      <c r="BH51" s="61">
        <v>0</v>
      </c>
      <c r="BI51" s="56">
        <f t="shared" si="28"/>
        <v>69.607329842931932</v>
      </c>
      <c r="BJ51" s="57">
        <f t="shared" si="32"/>
        <v>0.27049186998486302</v>
      </c>
      <c r="BK51" s="58">
        <f t="shared" si="29"/>
        <v>0.13032870945107142</v>
      </c>
    </row>
    <row r="52" spans="1:63" ht="17.25" customHeight="1" x14ac:dyDescent="0.3">
      <c r="A52" s="41">
        <v>51</v>
      </c>
      <c r="B52" s="42">
        <v>46212</v>
      </c>
      <c r="C52" s="43" t="str">
        <f t="shared" si="0"/>
        <v>Jul-26</v>
      </c>
      <c r="D52" s="43" t="s">
        <v>69</v>
      </c>
      <c r="E52" s="43" t="s">
        <v>35</v>
      </c>
      <c r="F52" s="43" t="s">
        <v>41</v>
      </c>
      <c r="G52" s="14" t="s">
        <v>235</v>
      </c>
      <c r="H52" s="14" t="s">
        <v>60</v>
      </c>
      <c r="I52" s="14" t="s">
        <v>60</v>
      </c>
      <c r="J52" s="44" t="s">
        <v>60</v>
      </c>
      <c r="K52" s="44">
        <v>2026</v>
      </c>
      <c r="L52" s="44" t="s">
        <v>60</v>
      </c>
      <c r="M52" s="45">
        <v>1000</v>
      </c>
      <c r="N52" s="45">
        <v>174</v>
      </c>
      <c r="O52" s="45">
        <v>8.6999999999999993</v>
      </c>
      <c r="P52" s="46">
        <f t="shared" si="3"/>
        <v>289</v>
      </c>
      <c r="Q52" s="45">
        <v>8.3000000000000007</v>
      </c>
      <c r="R52" s="46">
        <v>235</v>
      </c>
      <c r="S52" s="46">
        <v>15</v>
      </c>
      <c r="T52" s="46">
        <v>19</v>
      </c>
      <c r="U52" s="46">
        <v>18</v>
      </c>
      <c r="V52" s="46">
        <v>0</v>
      </c>
      <c r="W52" s="46">
        <v>2</v>
      </c>
      <c r="X52" s="46">
        <v>17</v>
      </c>
      <c r="Y52" s="46">
        <v>5</v>
      </c>
      <c r="Z52" s="46">
        <f t="shared" si="23"/>
        <v>44.444736000000006</v>
      </c>
      <c r="AA52" s="46">
        <f t="shared" si="30"/>
        <v>47.442992000000004</v>
      </c>
      <c r="AB52" s="46">
        <f t="shared" si="31"/>
        <v>50.970352000000005</v>
      </c>
      <c r="AC52" s="46">
        <v>235</v>
      </c>
      <c r="AD52" s="46">
        <f>228-31</f>
        <v>197</v>
      </c>
      <c r="AE52" s="46">
        <v>31</v>
      </c>
      <c r="AF52" s="59">
        <f t="shared" si="1"/>
        <v>-7</v>
      </c>
      <c r="AG52" s="46">
        <f t="shared" si="4"/>
        <v>31</v>
      </c>
      <c r="AH52" s="47">
        <f t="shared" si="5"/>
        <v>37.250234364537299</v>
      </c>
      <c r="AI52" s="47">
        <f t="shared" si="6"/>
        <v>34</v>
      </c>
      <c r="AJ52" s="47">
        <f t="shared" si="7"/>
        <v>20</v>
      </c>
      <c r="AK52" s="47">
        <f t="shared" si="8"/>
        <v>252</v>
      </c>
      <c r="AL52" s="48">
        <f t="shared" si="9"/>
        <v>0.252</v>
      </c>
      <c r="AM52" s="46">
        <f t="shared" si="10"/>
        <v>44.405286343612332</v>
      </c>
      <c r="AN52" s="46">
        <f t="shared" si="11"/>
        <v>13.596491228070176</v>
      </c>
      <c r="AO52" s="46">
        <f t="shared" si="12"/>
        <v>203.0482456140351</v>
      </c>
      <c r="AP52" s="46">
        <f t="shared" si="13"/>
        <v>46.65789473684211</v>
      </c>
      <c r="AQ52" s="49">
        <f t="shared" si="14"/>
        <v>0.68425524441336572</v>
      </c>
      <c r="AR52" s="50">
        <f t="shared" si="15"/>
        <v>0.31574475558663428</v>
      </c>
      <c r="AS52" s="51">
        <f t="shared" si="16"/>
        <v>0.20304824561403509</v>
      </c>
      <c r="AT52" s="51">
        <f t="shared" si="17"/>
        <v>4.6657894736842107E-2</v>
      </c>
      <c r="AU52" s="51">
        <f t="shared" si="24"/>
        <v>0.24970614035087718</v>
      </c>
      <c r="AV52" s="52">
        <f t="shared" si="18"/>
        <v>194.96883898227244</v>
      </c>
      <c r="AW52" s="52">
        <f t="shared" si="19"/>
        <v>44.801350234224309</v>
      </c>
      <c r="AX52" s="15">
        <f t="shared" si="20"/>
        <v>0.19496883898227244</v>
      </c>
      <c r="AY52" s="15">
        <f t="shared" si="21"/>
        <v>4.480135023422431E-2</v>
      </c>
      <c r="AZ52" s="15">
        <f t="shared" si="22"/>
        <v>0.23977018921649673</v>
      </c>
      <c r="BA52" s="61">
        <f t="shared" si="25"/>
        <v>14.403141361256544</v>
      </c>
      <c r="BB52" s="61">
        <v>7</v>
      </c>
      <c r="BC52" s="61">
        <f t="shared" si="26"/>
        <v>18.243979057591623</v>
      </c>
      <c r="BD52" s="61">
        <f>19+5</f>
        <v>24</v>
      </c>
      <c r="BE52" s="61">
        <f t="shared" si="27"/>
        <v>1.9204188481675393</v>
      </c>
      <c r="BF52" s="61">
        <v>0</v>
      </c>
      <c r="BG52" s="61">
        <v>0</v>
      </c>
      <c r="BH52" s="61">
        <v>0</v>
      </c>
      <c r="BI52" s="56">
        <f t="shared" si="28"/>
        <v>65.567539267015704</v>
      </c>
      <c r="BJ52" s="57">
        <f t="shared" si="32"/>
        <v>0.25384618503038436</v>
      </c>
      <c r="BK52" s="58">
        <f t="shared" si="29"/>
        <v>0.1086453876205916</v>
      </c>
    </row>
    <row r="53" spans="1:63" ht="17.25" customHeight="1" x14ac:dyDescent="0.3">
      <c r="A53" s="41">
        <v>52</v>
      </c>
      <c r="B53" s="42">
        <v>46212</v>
      </c>
      <c r="C53" s="43" t="str">
        <f t="shared" si="0"/>
        <v>Jul-26</v>
      </c>
      <c r="D53" s="43" t="s">
        <v>67</v>
      </c>
      <c r="E53" s="43" t="s">
        <v>35</v>
      </c>
      <c r="F53" s="43" t="s">
        <v>41</v>
      </c>
      <c r="G53" s="14" t="s">
        <v>178</v>
      </c>
      <c r="H53" s="14" t="s">
        <v>236</v>
      </c>
      <c r="I53" s="14" t="s">
        <v>238</v>
      </c>
      <c r="J53" s="44" t="s">
        <v>178</v>
      </c>
      <c r="K53" s="44">
        <v>2026</v>
      </c>
      <c r="L53" s="44">
        <v>51701</v>
      </c>
      <c r="M53" s="45">
        <v>1000</v>
      </c>
      <c r="N53" s="45">
        <v>183</v>
      </c>
      <c r="O53" s="45">
        <v>8.1999999999999993</v>
      </c>
      <c r="P53" s="46">
        <f t="shared" si="3"/>
        <v>284</v>
      </c>
      <c r="Q53" s="45">
        <v>7.32</v>
      </c>
      <c r="R53" s="46">
        <v>225</v>
      </c>
      <c r="S53" s="46">
        <v>15</v>
      </c>
      <c r="T53" s="46">
        <v>16</v>
      </c>
      <c r="U53" s="46">
        <v>22</v>
      </c>
      <c r="V53" s="46">
        <v>0</v>
      </c>
      <c r="W53" s="46">
        <v>6</v>
      </c>
      <c r="X53" s="46">
        <v>27</v>
      </c>
      <c r="Y53" s="46">
        <v>4</v>
      </c>
      <c r="Z53" s="46">
        <f t="shared" si="23"/>
        <v>42.416504000000003</v>
      </c>
      <c r="AA53" s="46">
        <f t="shared" si="30"/>
        <v>45.150207999999999</v>
      </c>
      <c r="AB53" s="46">
        <f t="shared" si="31"/>
        <v>50.088512000000001</v>
      </c>
      <c r="AC53" s="46">
        <v>225</v>
      </c>
      <c r="AD53" s="46">
        <f>217-29</f>
        <v>188</v>
      </c>
      <c r="AE53" s="46">
        <v>29</v>
      </c>
      <c r="AF53" s="59">
        <f t="shared" si="1"/>
        <v>-8</v>
      </c>
      <c r="AG53" s="46">
        <f t="shared" si="4"/>
        <v>25</v>
      </c>
      <c r="AH53" s="47">
        <f t="shared" si="5"/>
        <v>29.662045112363234</v>
      </c>
      <c r="AI53" s="47">
        <f t="shared" si="6"/>
        <v>31</v>
      </c>
      <c r="AJ53" s="47">
        <f t="shared" si="7"/>
        <v>28</v>
      </c>
      <c r="AK53" s="47">
        <f t="shared" si="8"/>
        <v>240.5</v>
      </c>
      <c r="AL53" s="48">
        <f t="shared" si="9"/>
        <v>0.24049999999999999</v>
      </c>
      <c r="AM53" s="46">
        <f t="shared" si="10"/>
        <v>42.378854625550659</v>
      </c>
      <c r="AN53" s="46">
        <f t="shared" si="11"/>
        <v>13.364055299539171</v>
      </c>
      <c r="AO53" s="46">
        <f t="shared" si="12"/>
        <v>194.93087557603684</v>
      </c>
      <c r="AP53" s="46">
        <f t="shared" si="13"/>
        <v>51.115207373271886</v>
      </c>
      <c r="AQ53" s="49">
        <f t="shared" si="14"/>
        <v>0.68780970030858013</v>
      </c>
      <c r="AR53" s="50">
        <f t="shared" si="15"/>
        <v>0.31219029969141981</v>
      </c>
      <c r="AS53" s="51">
        <f t="shared" si="16"/>
        <v>0.19493087557603683</v>
      </c>
      <c r="AT53" s="51">
        <f t="shared" si="17"/>
        <v>5.1115207373271888E-2</v>
      </c>
      <c r="AU53" s="51">
        <f t="shared" si="24"/>
        <v>0.24604608294930871</v>
      </c>
      <c r="AV53" s="52">
        <f t="shared" si="18"/>
        <v>189.17480155379158</v>
      </c>
      <c r="AW53" s="52">
        <f t="shared" si="19"/>
        <v>49.605836851883126</v>
      </c>
      <c r="AX53" s="15">
        <f t="shared" si="20"/>
        <v>0.18917480155379157</v>
      </c>
      <c r="AY53" s="15">
        <f t="shared" si="21"/>
        <v>4.9605836851883127E-2</v>
      </c>
      <c r="AZ53" s="15">
        <f t="shared" si="22"/>
        <v>0.23878063840567471</v>
      </c>
      <c r="BA53" s="61">
        <f t="shared" si="25"/>
        <v>14.557068062827225</v>
      </c>
      <c r="BB53" s="61">
        <v>6</v>
      </c>
      <c r="BC53" s="61">
        <f t="shared" si="26"/>
        <v>15.527539267015708</v>
      </c>
      <c r="BD53" s="61">
        <v>19</v>
      </c>
      <c r="BE53" s="61">
        <f t="shared" si="27"/>
        <v>5.8228272251308901</v>
      </c>
      <c r="BF53" s="61">
        <v>0</v>
      </c>
      <c r="BG53" s="61">
        <v>0</v>
      </c>
      <c r="BH53" s="61">
        <v>0</v>
      </c>
      <c r="BI53" s="56">
        <f t="shared" si="28"/>
        <v>60.907434554973833</v>
      </c>
      <c r="BJ53" s="57">
        <f t="shared" si="32"/>
        <v>0.24515891373543378</v>
      </c>
      <c r="BK53" s="58">
        <f t="shared" si="29"/>
        <v>0.1093461067171661</v>
      </c>
    </row>
    <row r="54" spans="1:63" ht="17.25" customHeight="1" x14ac:dyDescent="0.3">
      <c r="A54" s="41">
        <v>53</v>
      </c>
      <c r="B54" s="42">
        <v>46212</v>
      </c>
      <c r="C54" s="43" t="str">
        <f t="shared" si="0"/>
        <v>Jul-26</v>
      </c>
      <c r="D54" s="43" t="s">
        <v>68</v>
      </c>
      <c r="E54" s="43" t="s">
        <v>35</v>
      </c>
      <c r="F54" s="43" t="s">
        <v>41</v>
      </c>
      <c r="G54" s="14" t="s">
        <v>234</v>
      </c>
      <c r="H54" s="14" t="s">
        <v>60</v>
      </c>
      <c r="I54" s="14" t="s">
        <v>60</v>
      </c>
      <c r="J54" s="44" t="s">
        <v>60</v>
      </c>
      <c r="K54" s="44">
        <v>2026</v>
      </c>
      <c r="L54" s="44">
        <v>1054</v>
      </c>
      <c r="M54" s="45">
        <v>1000</v>
      </c>
      <c r="N54" s="45">
        <v>181</v>
      </c>
      <c r="O54" s="45">
        <v>8</v>
      </c>
      <c r="P54" s="46">
        <f t="shared" si="3"/>
        <v>301</v>
      </c>
      <c r="Q54" s="45">
        <v>7.89</v>
      </c>
      <c r="R54" s="46">
        <v>255</v>
      </c>
      <c r="S54" s="46">
        <v>14</v>
      </c>
      <c r="T54" s="46">
        <v>10</v>
      </c>
      <c r="U54" s="46">
        <v>22</v>
      </c>
      <c r="V54" s="46">
        <v>0</v>
      </c>
      <c r="W54" s="46">
        <v>0</v>
      </c>
      <c r="X54" s="46">
        <v>12</v>
      </c>
      <c r="Y54" s="46">
        <v>3</v>
      </c>
      <c r="Z54" s="46">
        <f t="shared" si="23"/>
        <v>47.090256000000004</v>
      </c>
      <c r="AA54" s="46">
        <f t="shared" si="30"/>
        <v>49.206672000000005</v>
      </c>
      <c r="AB54" s="46">
        <f t="shared" si="31"/>
        <v>53.086768000000006</v>
      </c>
      <c r="AC54" s="46">
        <v>255</v>
      </c>
      <c r="AD54" s="46">
        <f>248-36</f>
        <v>212</v>
      </c>
      <c r="AE54" s="46">
        <v>36</v>
      </c>
      <c r="AF54" s="59">
        <f t="shared" si="1"/>
        <v>-7</v>
      </c>
      <c r="AG54" s="46">
        <f t="shared" si="4"/>
        <v>29</v>
      </c>
      <c r="AH54" s="47">
        <f t="shared" si="5"/>
        <v>34.972735964362393</v>
      </c>
      <c r="AI54" s="47">
        <f t="shared" si="6"/>
        <v>24</v>
      </c>
      <c r="AJ54" s="47">
        <f t="shared" si="7"/>
        <v>22</v>
      </c>
      <c r="AK54" s="47">
        <f t="shared" si="8"/>
        <v>267</v>
      </c>
      <c r="AL54" s="48">
        <f t="shared" si="9"/>
        <v>0.26700000000000002</v>
      </c>
      <c r="AM54" s="46">
        <f t="shared" si="10"/>
        <v>47.048458149779734</v>
      </c>
      <c r="AN54" s="46">
        <f t="shared" si="11"/>
        <v>14.516129032258064</v>
      </c>
      <c r="AO54" s="46">
        <f t="shared" si="12"/>
        <v>217.98387096774195</v>
      </c>
      <c r="AP54" s="46">
        <f t="shared" si="13"/>
        <v>39.322580645161288</v>
      </c>
      <c r="AQ54" s="49">
        <f t="shared" si="14"/>
        <v>0.73098758815826448</v>
      </c>
      <c r="AR54" s="50">
        <f t="shared" si="15"/>
        <v>0.26901241184173552</v>
      </c>
      <c r="AS54" s="51">
        <f t="shared" si="16"/>
        <v>0.21798387096774194</v>
      </c>
      <c r="AT54" s="51">
        <f t="shared" si="17"/>
        <v>3.9322580645161288E-2</v>
      </c>
      <c r="AU54" s="51">
        <f t="shared" si="24"/>
        <v>0.25730645161290322</v>
      </c>
      <c r="AV54" s="52">
        <f t="shared" si="18"/>
        <v>210.24601418679276</v>
      </c>
      <c r="AW54" s="52">
        <f t="shared" si="19"/>
        <v>37.926731970950847</v>
      </c>
      <c r="AX54" s="15">
        <f t="shared" si="20"/>
        <v>0.21024601418679276</v>
      </c>
      <c r="AY54" s="15">
        <f t="shared" si="21"/>
        <v>3.7926731970950846E-2</v>
      </c>
      <c r="AZ54" s="15">
        <f t="shared" si="22"/>
        <v>0.2481727461577436</v>
      </c>
      <c r="BA54" s="61">
        <f t="shared" si="25"/>
        <v>13.503036649214659</v>
      </c>
      <c r="BB54" s="61">
        <v>6</v>
      </c>
      <c r="BC54" s="61">
        <f t="shared" si="26"/>
        <v>9.6450261780104718</v>
      </c>
      <c r="BD54" s="61">
        <f>17+6</f>
        <v>23</v>
      </c>
      <c r="BE54" s="61">
        <f t="shared" si="27"/>
        <v>0</v>
      </c>
      <c r="BF54" s="61">
        <v>0</v>
      </c>
      <c r="BG54" s="61">
        <v>0</v>
      </c>
      <c r="BH54" s="61">
        <v>0</v>
      </c>
      <c r="BI54" s="56">
        <f t="shared" si="28"/>
        <v>52.148062827225132</v>
      </c>
      <c r="BJ54" s="57">
        <f t="shared" si="32"/>
        <v>0.19378964453051889</v>
      </c>
      <c r="BK54" s="58">
        <f t="shared" si="29"/>
        <v>9.1995455892521963E-2</v>
      </c>
    </row>
    <row r="55" spans="1:63" ht="17.25" customHeight="1" x14ac:dyDescent="0.3">
      <c r="A55" s="41">
        <v>54</v>
      </c>
      <c r="B55" s="42">
        <v>46212</v>
      </c>
      <c r="C55" s="43" t="str">
        <f t="shared" ref="C55" si="36">IF(ISBLANK(B55),"",TEXT(B55,"mmm-YY"))</f>
        <v>Jul-26</v>
      </c>
      <c r="D55" s="43" t="s">
        <v>68</v>
      </c>
      <c r="E55" s="43" t="s">
        <v>35</v>
      </c>
      <c r="F55" s="43" t="s">
        <v>41</v>
      </c>
      <c r="G55" s="14" t="s">
        <v>234</v>
      </c>
      <c r="H55" s="14" t="s">
        <v>60</v>
      </c>
      <c r="I55" s="14" t="s">
        <v>60</v>
      </c>
      <c r="J55" s="44" t="s">
        <v>60</v>
      </c>
      <c r="K55" s="44">
        <v>2026</v>
      </c>
      <c r="L55" s="44">
        <v>1054</v>
      </c>
      <c r="M55" s="45">
        <v>1000</v>
      </c>
      <c r="N55" s="45">
        <v>182</v>
      </c>
      <c r="O55" s="45">
        <v>8</v>
      </c>
      <c r="P55" s="46">
        <f t="shared" si="3"/>
        <v>294</v>
      </c>
      <c r="Q55" s="45">
        <v>7.89</v>
      </c>
      <c r="R55" s="46">
        <v>244</v>
      </c>
      <c r="S55" s="46">
        <v>14</v>
      </c>
      <c r="T55" s="46">
        <v>16</v>
      </c>
      <c r="U55" s="46">
        <v>17</v>
      </c>
      <c r="V55" s="46">
        <v>0</v>
      </c>
      <c r="W55" s="46">
        <v>3</v>
      </c>
      <c r="X55" s="46">
        <v>20</v>
      </c>
      <c r="Y55" s="46">
        <v>3</v>
      </c>
      <c r="Z55" s="46">
        <f t="shared" si="23"/>
        <v>45.679312000000003</v>
      </c>
      <c r="AA55" s="46">
        <f t="shared" si="30"/>
        <v>48.324832000000001</v>
      </c>
      <c r="AB55" s="46">
        <f t="shared" si="31"/>
        <v>51.852192000000002</v>
      </c>
      <c r="AC55" s="46">
        <v>244</v>
      </c>
      <c r="AD55" s="46">
        <f>235-32</f>
        <v>203</v>
      </c>
      <c r="AE55" s="46">
        <v>32</v>
      </c>
      <c r="AF55" s="59">
        <f t="shared" si="1"/>
        <v>-9</v>
      </c>
      <c r="AG55" s="46">
        <f t="shared" si="4"/>
        <v>19</v>
      </c>
      <c r="AH55" s="47">
        <f t="shared" si="5"/>
        <v>22.733272197672996</v>
      </c>
      <c r="AI55" s="47">
        <f t="shared" si="6"/>
        <v>30</v>
      </c>
      <c r="AJ55" s="47">
        <f t="shared" si="7"/>
        <v>20</v>
      </c>
      <c r="AK55" s="47">
        <f t="shared" si="8"/>
        <v>259</v>
      </c>
      <c r="AL55" s="48">
        <f t="shared" si="9"/>
        <v>0.25900000000000001</v>
      </c>
      <c r="AM55" s="46">
        <f t="shared" si="10"/>
        <v>45.63876651982379</v>
      </c>
      <c r="AN55" s="46">
        <f t="shared" si="11"/>
        <v>13.617021276595745</v>
      </c>
      <c r="AO55" s="46">
        <f t="shared" si="12"/>
        <v>210.77446808510635</v>
      </c>
      <c r="AP55" s="46">
        <f t="shared" si="13"/>
        <v>43.191489361702125</v>
      </c>
      <c r="AQ55" s="49">
        <f t="shared" si="14"/>
        <v>0.7526079176949898</v>
      </c>
      <c r="AR55" s="50">
        <f t="shared" si="15"/>
        <v>0.24739208230501017</v>
      </c>
      <c r="AS55" s="51">
        <f t="shared" si="16"/>
        <v>0.21077446808510636</v>
      </c>
      <c r="AT55" s="51">
        <f t="shared" si="17"/>
        <v>4.3191489361702126E-2</v>
      </c>
      <c r="AU55" s="51">
        <f t="shared" si="24"/>
        <v>0.2539659574468085</v>
      </c>
      <c r="AV55" s="52">
        <f t="shared" si="18"/>
        <v>203.29252623370834</v>
      </c>
      <c r="AW55" s="52">
        <f t="shared" si="19"/>
        <v>41.658304556087778</v>
      </c>
      <c r="AX55" s="15">
        <f t="shared" si="20"/>
        <v>0.20329252623370833</v>
      </c>
      <c r="AY55" s="15">
        <f t="shared" si="21"/>
        <v>4.165830455608778E-2</v>
      </c>
      <c r="AZ55" s="15">
        <f t="shared" si="22"/>
        <v>0.24495083078979613</v>
      </c>
      <c r="BA55" s="61">
        <f t="shared" si="25"/>
        <v>13.503036649214659</v>
      </c>
      <c r="BB55" s="61">
        <v>5</v>
      </c>
      <c r="BC55" s="61">
        <f t="shared" si="26"/>
        <v>15.432041884816753</v>
      </c>
      <c r="BD55" s="61">
        <v>14</v>
      </c>
      <c r="BE55" s="61">
        <f t="shared" si="27"/>
        <v>2.8935078534031411</v>
      </c>
      <c r="BF55" s="61">
        <v>0</v>
      </c>
      <c r="BG55" s="61">
        <v>0</v>
      </c>
      <c r="BH55" s="61">
        <v>0</v>
      </c>
      <c r="BI55" s="56">
        <f t="shared" si="28"/>
        <v>50.828586387434555</v>
      </c>
      <c r="BJ55" s="57">
        <f t="shared" si="32"/>
        <v>0.19233311171108489</v>
      </c>
      <c r="BK55" s="58">
        <f t="shared" si="29"/>
        <v>9.1147963789234759E-2</v>
      </c>
    </row>
    <row r="56" spans="1:63" ht="17.25" customHeight="1" x14ac:dyDescent="0.3">
      <c r="A56" s="41">
        <v>55</v>
      </c>
      <c r="B56" s="42">
        <v>46214</v>
      </c>
      <c r="C56" s="43" t="str">
        <f t="shared" si="0"/>
        <v>Jul-26</v>
      </c>
      <c r="D56" s="43" t="s">
        <v>68</v>
      </c>
      <c r="E56" s="43" t="s">
        <v>35</v>
      </c>
      <c r="F56" s="43" t="s">
        <v>41</v>
      </c>
      <c r="G56" s="14" t="s">
        <v>234</v>
      </c>
      <c r="H56" s="14" t="s">
        <v>60</v>
      </c>
      <c r="I56" s="14" t="s">
        <v>60</v>
      </c>
      <c r="J56" s="44" t="s">
        <v>60</v>
      </c>
      <c r="K56" s="44">
        <v>2026</v>
      </c>
      <c r="L56" s="44">
        <v>1055</v>
      </c>
      <c r="M56" s="45">
        <v>1000</v>
      </c>
      <c r="N56" s="45">
        <v>178</v>
      </c>
      <c r="O56" s="45">
        <v>8.1</v>
      </c>
      <c r="P56" s="46">
        <f t="shared" si="3"/>
        <v>297</v>
      </c>
      <c r="Q56" s="45">
        <v>7.84</v>
      </c>
      <c r="R56" s="46">
        <v>249</v>
      </c>
      <c r="S56" s="46">
        <v>17</v>
      </c>
      <c r="T56" s="46">
        <v>16</v>
      </c>
      <c r="U56" s="46">
        <v>15</v>
      </c>
      <c r="V56" s="46">
        <v>0</v>
      </c>
      <c r="W56" s="46">
        <v>0</v>
      </c>
      <c r="X56" s="46">
        <v>9</v>
      </c>
      <c r="Y56" s="46">
        <v>5</v>
      </c>
      <c r="Z56" s="46">
        <f t="shared" si="23"/>
        <v>46.825704000000002</v>
      </c>
      <c r="AA56" s="46">
        <f t="shared" si="30"/>
        <v>49.735776000000008</v>
      </c>
      <c r="AB56" s="46">
        <f t="shared" si="31"/>
        <v>52.381295999999999</v>
      </c>
      <c r="AC56" s="46">
        <f>249</f>
        <v>249</v>
      </c>
      <c r="AD56" s="46">
        <f>242-37</f>
        <v>205</v>
      </c>
      <c r="AE56" s="46">
        <v>37</v>
      </c>
      <c r="AF56" s="59">
        <f t="shared" si="1"/>
        <v>-7</v>
      </c>
      <c r="AG56" s="46">
        <f t="shared" si="4"/>
        <v>31</v>
      </c>
      <c r="AH56" s="47">
        <f t="shared" si="5"/>
        <v>37.616622546487605</v>
      </c>
      <c r="AI56" s="47">
        <f t="shared" si="6"/>
        <v>33</v>
      </c>
      <c r="AJ56" s="47">
        <f t="shared" si="7"/>
        <v>15</v>
      </c>
      <c r="AK56" s="47">
        <f t="shared" si="8"/>
        <v>265.5</v>
      </c>
      <c r="AL56" s="48">
        <f t="shared" si="9"/>
        <v>0.26550000000000001</v>
      </c>
      <c r="AM56" s="46">
        <f t="shared" si="10"/>
        <v>46.784140969162998</v>
      </c>
      <c r="AN56" s="46">
        <f t="shared" si="11"/>
        <v>15.289256198347108</v>
      </c>
      <c r="AO56" s="46">
        <f t="shared" si="12"/>
        <v>210.92975206611573</v>
      </c>
      <c r="AP56" s="46">
        <f t="shared" si="13"/>
        <v>40.66115702479339</v>
      </c>
      <c r="AQ56" s="49">
        <f t="shared" si="14"/>
        <v>0.71172854361451987</v>
      </c>
      <c r="AR56" s="50">
        <f t="shared" si="15"/>
        <v>0.28827145638548013</v>
      </c>
      <c r="AS56" s="51">
        <f t="shared" si="16"/>
        <v>0.21092975206611572</v>
      </c>
      <c r="AT56" s="51">
        <f t="shared" si="17"/>
        <v>4.0661157024793393E-2</v>
      </c>
      <c r="AU56" s="51">
        <f t="shared" si="24"/>
        <v>0.25159090909090909</v>
      </c>
      <c r="AV56" s="52">
        <f t="shared" si="18"/>
        <v>203.55273246505993</v>
      </c>
      <c r="AW56" s="52">
        <f t="shared" si="19"/>
        <v>39.239080957119988</v>
      </c>
      <c r="AX56" s="15">
        <f t="shared" si="20"/>
        <v>0.20355273246505992</v>
      </c>
      <c r="AY56" s="15">
        <f t="shared" si="21"/>
        <v>3.923908095711999E-2</v>
      </c>
      <c r="AZ56" s="15">
        <f t="shared" si="22"/>
        <v>0.24279181342217993</v>
      </c>
      <c r="BA56" s="61">
        <f t="shared" si="25"/>
        <v>16.405445026178011</v>
      </c>
      <c r="BB56" s="61">
        <v>6</v>
      </c>
      <c r="BC56" s="61">
        <f t="shared" si="26"/>
        <v>15.440418848167539</v>
      </c>
      <c r="BD56" s="61">
        <f>17+6</f>
        <v>23</v>
      </c>
      <c r="BE56" s="61">
        <f t="shared" si="27"/>
        <v>0</v>
      </c>
      <c r="BF56" s="61">
        <v>0</v>
      </c>
      <c r="BG56" s="61">
        <v>0</v>
      </c>
      <c r="BH56" s="61">
        <v>2</v>
      </c>
      <c r="BI56" s="56">
        <f t="shared" si="28"/>
        <v>62.845863874345554</v>
      </c>
      <c r="BJ56" s="57">
        <f t="shared" si="32"/>
        <v>0.23093432944247441</v>
      </c>
      <c r="BK56" s="58">
        <f t="shared" si="29"/>
        <v>0.1092948537862342</v>
      </c>
    </row>
    <row r="57" spans="1:63" ht="17.25" customHeight="1" x14ac:dyDescent="0.3">
      <c r="A57" s="41">
        <v>56</v>
      </c>
      <c r="B57" s="42">
        <v>46214</v>
      </c>
      <c r="C57" s="43" t="str">
        <f t="shared" si="0"/>
        <v>Jul-26</v>
      </c>
      <c r="D57" s="43" t="s">
        <v>68</v>
      </c>
      <c r="E57" s="43" t="s">
        <v>35</v>
      </c>
      <c r="F57" s="43" t="s">
        <v>41</v>
      </c>
      <c r="G57" s="14" t="s">
        <v>234</v>
      </c>
      <c r="H57" s="14" t="s">
        <v>60</v>
      </c>
      <c r="I57" s="14" t="s">
        <v>60</v>
      </c>
      <c r="J57" s="44" t="s">
        <v>60</v>
      </c>
      <c r="K57" s="44">
        <v>2026</v>
      </c>
      <c r="L57" s="44">
        <v>1055</v>
      </c>
      <c r="M57" s="45">
        <v>1000</v>
      </c>
      <c r="N57" s="45">
        <v>178</v>
      </c>
      <c r="O57" s="45">
        <v>8.1</v>
      </c>
      <c r="P57" s="46">
        <f t="shared" si="3"/>
        <v>301</v>
      </c>
      <c r="Q57" s="45">
        <v>7.84</v>
      </c>
      <c r="R57" s="46">
        <v>242</v>
      </c>
      <c r="S57" s="46">
        <v>24</v>
      </c>
      <c r="T57" s="46">
        <v>12</v>
      </c>
      <c r="U57" s="46">
        <v>23</v>
      </c>
      <c r="V57" s="46">
        <v>0</v>
      </c>
      <c r="W57" s="46">
        <v>0</v>
      </c>
      <c r="X57" s="46">
        <v>13</v>
      </c>
      <c r="Y57" s="46">
        <v>3</v>
      </c>
      <c r="Z57" s="46">
        <f t="shared" si="23"/>
        <v>45.85568</v>
      </c>
      <c r="AA57" s="46">
        <f t="shared" si="30"/>
        <v>49.030304000000001</v>
      </c>
      <c r="AB57" s="46">
        <f t="shared" si="31"/>
        <v>53.086768000000006</v>
      </c>
      <c r="AC57" s="46">
        <v>242</v>
      </c>
      <c r="AD57" s="46">
        <f>235-38</f>
        <v>197</v>
      </c>
      <c r="AE57" s="46">
        <v>38</v>
      </c>
      <c r="AF57" s="59">
        <f t="shared" si="1"/>
        <v>-7</v>
      </c>
      <c r="AG57" s="46">
        <f t="shared" si="4"/>
        <v>20</v>
      </c>
      <c r="AH57" s="47">
        <f t="shared" si="5"/>
        <v>24.454233156028369</v>
      </c>
      <c r="AI57" s="47">
        <f t="shared" si="6"/>
        <v>36</v>
      </c>
      <c r="AJ57" s="47">
        <f t="shared" si="7"/>
        <v>23</v>
      </c>
      <c r="AK57" s="47">
        <f t="shared" si="8"/>
        <v>260</v>
      </c>
      <c r="AL57" s="48">
        <f t="shared" si="9"/>
        <v>0.26</v>
      </c>
      <c r="AM57" s="46">
        <f t="shared" si="10"/>
        <v>45.814977973568283</v>
      </c>
      <c r="AN57" s="46">
        <f t="shared" si="11"/>
        <v>16.170212765957448</v>
      </c>
      <c r="AO57" s="46">
        <f t="shared" si="12"/>
        <v>202.86808510638298</v>
      </c>
      <c r="AP57" s="46">
        <f t="shared" si="13"/>
        <v>49.459574468085108</v>
      </c>
      <c r="AQ57" s="49">
        <f t="shared" si="14"/>
        <v>0.72274341144176613</v>
      </c>
      <c r="AR57" s="50">
        <f t="shared" si="15"/>
        <v>0.27725658855823376</v>
      </c>
      <c r="AS57" s="51">
        <f t="shared" si="16"/>
        <v>0.20286808510638299</v>
      </c>
      <c r="AT57" s="51">
        <f t="shared" si="17"/>
        <v>4.9459574468085112E-2</v>
      </c>
      <c r="AU57" s="51">
        <f t="shared" si="24"/>
        <v>0.25232765957446812</v>
      </c>
      <c r="AV57" s="52">
        <f t="shared" si="18"/>
        <v>195.77301281051575</v>
      </c>
      <c r="AW57" s="52">
        <f t="shared" si="19"/>
        <v>47.729784114960452</v>
      </c>
      <c r="AX57" s="15">
        <f t="shared" si="20"/>
        <v>0.19577301281051576</v>
      </c>
      <c r="AY57" s="15">
        <f t="shared" si="21"/>
        <v>4.7729784114960455E-2</v>
      </c>
      <c r="AZ57" s="15">
        <f t="shared" si="22"/>
        <v>0.24350279692547622</v>
      </c>
      <c r="BA57" s="61">
        <f t="shared" si="25"/>
        <v>23.160628272251312</v>
      </c>
      <c r="BB57" s="61">
        <v>6</v>
      </c>
      <c r="BC57" s="61">
        <f t="shared" si="26"/>
        <v>11.580314136125656</v>
      </c>
      <c r="BD57" s="61">
        <v>14</v>
      </c>
      <c r="BE57" s="61">
        <f t="shared" si="27"/>
        <v>0</v>
      </c>
      <c r="BF57" s="61">
        <v>0</v>
      </c>
      <c r="BG57" s="61">
        <v>0</v>
      </c>
      <c r="BH57" s="61">
        <v>0</v>
      </c>
      <c r="BI57" s="56">
        <f t="shared" si="28"/>
        <v>54.740942408376966</v>
      </c>
      <c r="BJ57" s="57">
        <f t="shared" si="32"/>
        <v>0.2040461380895284</v>
      </c>
      <c r="BK57" s="58">
        <f t="shared" si="29"/>
        <v>0.14802349376777316</v>
      </c>
    </row>
    <row r="58" spans="1:63" ht="17.25" customHeight="1" x14ac:dyDescent="0.3">
      <c r="A58" s="41">
        <v>57</v>
      </c>
      <c r="B58" s="42">
        <v>46216</v>
      </c>
      <c r="C58" s="43" t="str">
        <f t="shared" si="0"/>
        <v>Jul-26</v>
      </c>
      <c r="D58" s="43" t="s">
        <v>68</v>
      </c>
      <c r="E58" s="43" t="s">
        <v>35</v>
      </c>
      <c r="F58" s="43" t="s">
        <v>41</v>
      </c>
      <c r="G58" s="14" t="s">
        <v>234</v>
      </c>
      <c r="H58" s="14" t="s">
        <v>60</v>
      </c>
      <c r="I58" s="14" t="s">
        <v>60</v>
      </c>
      <c r="J58" s="44" t="s">
        <v>60</v>
      </c>
      <c r="K58" s="44">
        <v>2026</v>
      </c>
      <c r="L58" s="44">
        <v>101</v>
      </c>
      <c r="M58" s="45">
        <v>1000</v>
      </c>
      <c r="N58" s="45">
        <v>181</v>
      </c>
      <c r="O58" s="45">
        <v>8</v>
      </c>
      <c r="P58" s="46">
        <f t="shared" si="3"/>
        <v>301</v>
      </c>
      <c r="Q58" s="45">
        <v>7.77</v>
      </c>
      <c r="R58" s="46">
        <v>250</v>
      </c>
      <c r="S58" s="46">
        <v>18</v>
      </c>
      <c r="T58" s="46">
        <v>10</v>
      </c>
      <c r="U58" s="46">
        <v>23</v>
      </c>
      <c r="V58" s="46">
        <v>0</v>
      </c>
      <c r="W58" s="46">
        <v>0</v>
      </c>
      <c r="X58" s="46">
        <v>9</v>
      </c>
      <c r="Y58" s="46">
        <v>3</v>
      </c>
      <c r="Z58" s="46">
        <f t="shared" si="23"/>
        <v>46.561152</v>
      </c>
      <c r="AA58" s="46">
        <f t="shared" si="30"/>
        <v>49.030304000000001</v>
      </c>
      <c r="AB58" s="46">
        <f t="shared" si="31"/>
        <v>53.086768000000006</v>
      </c>
      <c r="AC58" s="46">
        <f>250</f>
        <v>250</v>
      </c>
      <c r="AD58" s="46">
        <f>242-42</f>
        <v>200</v>
      </c>
      <c r="AE58" s="46">
        <v>42</v>
      </c>
      <c r="AF58" s="59">
        <f t="shared" si="1"/>
        <v>-8</v>
      </c>
      <c r="AG58" s="46">
        <f t="shared" si="4"/>
        <v>15</v>
      </c>
      <c r="AH58" s="47">
        <f t="shared" si="5"/>
        <v>18.513722879291169</v>
      </c>
      <c r="AI58" s="47">
        <f t="shared" si="6"/>
        <v>28</v>
      </c>
      <c r="AJ58" s="47">
        <f t="shared" si="7"/>
        <v>23</v>
      </c>
      <c r="AK58" s="47">
        <f t="shared" si="8"/>
        <v>264</v>
      </c>
      <c r="AL58" s="48">
        <f t="shared" si="9"/>
        <v>0.26400000000000001</v>
      </c>
      <c r="AM58" s="46">
        <f t="shared" si="10"/>
        <v>46.519823788546255</v>
      </c>
      <c r="AN58" s="46">
        <f t="shared" si="11"/>
        <v>17.355371900826448</v>
      </c>
      <c r="AO58" s="46">
        <f t="shared" si="12"/>
        <v>206.61157024793388</v>
      </c>
      <c r="AP58" s="46">
        <f t="shared" si="13"/>
        <v>42.148760330578511</v>
      </c>
      <c r="AQ58" s="49">
        <f t="shared" si="14"/>
        <v>0.76905739907212234</v>
      </c>
      <c r="AR58" s="50">
        <f t="shared" si="15"/>
        <v>0.23094260092787763</v>
      </c>
      <c r="AS58" s="51">
        <f t="shared" si="16"/>
        <v>0.20661157024793389</v>
      </c>
      <c r="AT58" s="51">
        <f t="shared" si="17"/>
        <v>4.2148760330578509E-2</v>
      </c>
      <c r="AU58" s="51">
        <f t="shared" si="24"/>
        <v>0.24876033057851241</v>
      </c>
      <c r="AV58" s="52">
        <f t="shared" si="18"/>
        <v>199.53701700488946</v>
      </c>
      <c r="AW58" s="52">
        <f t="shared" si="19"/>
        <v>40.705551468997449</v>
      </c>
      <c r="AX58" s="15">
        <f t="shared" si="20"/>
        <v>0.19953701700488946</v>
      </c>
      <c r="AY58" s="15">
        <f t="shared" si="21"/>
        <v>4.0705551468997452E-2</v>
      </c>
      <c r="AZ58" s="15">
        <f t="shared" si="22"/>
        <v>0.24024256847388692</v>
      </c>
      <c r="BA58" s="61">
        <f t="shared" si="25"/>
        <v>17.383664921465968</v>
      </c>
      <c r="BB58" s="61">
        <v>4</v>
      </c>
      <c r="BC58" s="61">
        <f t="shared" si="26"/>
        <v>9.6575916230366499</v>
      </c>
      <c r="BD58" s="61">
        <f>8+2</f>
        <v>10</v>
      </c>
      <c r="BE58" s="61">
        <f t="shared" si="27"/>
        <v>0</v>
      </c>
      <c r="BF58" s="61">
        <v>0</v>
      </c>
      <c r="BG58" s="61">
        <v>0</v>
      </c>
      <c r="BH58" s="61">
        <v>1</v>
      </c>
      <c r="BI58" s="56">
        <f t="shared" si="28"/>
        <v>42.041256544502616</v>
      </c>
      <c r="BJ58" s="57">
        <f t="shared" si="32"/>
        <v>0.1565892899905382</v>
      </c>
      <c r="BK58" s="58">
        <f t="shared" si="29"/>
        <v>0.10691832460732983</v>
      </c>
    </row>
    <row r="59" spans="1:63" ht="17.25" customHeight="1" x14ac:dyDescent="0.3">
      <c r="A59" s="41">
        <v>58</v>
      </c>
      <c r="B59" s="42">
        <v>46216</v>
      </c>
      <c r="C59" s="43" t="str">
        <f t="shared" si="0"/>
        <v>Jul-26</v>
      </c>
      <c r="D59" s="43" t="s">
        <v>68</v>
      </c>
      <c r="E59" s="43" t="s">
        <v>35</v>
      </c>
      <c r="F59" s="43" t="s">
        <v>41</v>
      </c>
      <c r="G59" s="14" t="s">
        <v>234</v>
      </c>
      <c r="H59" s="14" t="s">
        <v>60</v>
      </c>
      <c r="I59" s="14" t="s">
        <v>60</v>
      </c>
      <c r="J59" s="44" t="s">
        <v>60</v>
      </c>
      <c r="K59" s="44">
        <v>2026</v>
      </c>
      <c r="L59" s="44">
        <v>101</v>
      </c>
      <c r="M59" s="45">
        <v>1000</v>
      </c>
      <c r="N59" s="45">
        <v>181</v>
      </c>
      <c r="O59" s="45">
        <v>8</v>
      </c>
      <c r="P59" s="46">
        <f t="shared" si="3"/>
        <v>301</v>
      </c>
      <c r="Q59" s="45">
        <v>7.77</v>
      </c>
      <c r="R59" s="46">
        <v>249</v>
      </c>
      <c r="S59" s="46">
        <v>20</v>
      </c>
      <c r="T59" s="46">
        <v>13</v>
      </c>
      <c r="U59" s="46">
        <v>19</v>
      </c>
      <c r="V59" s="46">
        <v>0</v>
      </c>
      <c r="W59" s="46">
        <v>0</v>
      </c>
      <c r="X59" s="46">
        <v>17</v>
      </c>
      <c r="Y59" s="46">
        <v>5</v>
      </c>
      <c r="Z59" s="46">
        <f t="shared" si="23"/>
        <v>46.825704000000002</v>
      </c>
      <c r="AA59" s="46">
        <f t="shared" si="30"/>
        <v>49.735776000000008</v>
      </c>
      <c r="AB59" s="46">
        <f t="shared" si="31"/>
        <v>53.086768000000006</v>
      </c>
      <c r="AC59" s="46">
        <f>249</f>
        <v>249</v>
      </c>
      <c r="AD59" s="46">
        <f>241-36</f>
        <v>205</v>
      </c>
      <c r="AE59" s="46">
        <v>36</v>
      </c>
      <c r="AF59" s="59">
        <f t="shared" si="1"/>
        <v>-8</v>
      </c>
      <c r="AG59" s="46">
        <f t="shared" si="4"/>
        <v>24</v>
      </c>
      <c r="AH59" s="47">
        <f t="shared" si="5"/>
        <v>29.011721103159477</v>
      </c>
      <c r="AI59" s="47">
        <f t="shared" si="6"/>
        <v>33</v>
      </c>
      <c r="AJ59" s="47">
        <f t="shared" si="7"/>
        <v>19</v>
      </c>
      <c r="AK59" s="47">
        <f t="shared" si="8"/>
        <v>265.5</v>
      </c>
      <c r="AL59" s="48">
        <f t="shared" si="9"/>
        <v>0.26550000000000001</v>
      </c>
      <c r="AM59" s="46">
        <f t="shared" si="10"/>
        <v>46.784140969162998</v>
      </c>
      <c r="AN59" s="46">
        <f t="shared" si="11"/>
        <v>14.937759336099584</v>
      </c>
      <c r="AO59" s="46">
        <f t="shared" si="12"/>
        <v>211.80497925311204</v>
      </c>
      <c r="AP59" s="46">
        <f t="shared" si="13"/>
        <v>44.232365145228215</v>
      </c>
      <c r="AQ59" s="49">
        <f t="shared" si="14"/>
        <v>0.73085806942471931</v>
      </c>
      <c r="AR59" s="50">
        <f t="shared" si="15"/>
        <v>0.26914193057528063</v>
      </c>
      <c r="AS59" s="51">
        <f t="shared" si="16"/>
        <v>0.21180497925311204</v>
      </c>
      <c r="AT59" s="51">
        <f t="shared" si="17"/>
        <v>4.4232365145228214E-2</v>
      </c>
      <c r="AU59" s="51">
        <f t="shared" si="24"/>
        <v>0.25603734439834025</v>
      </c>
      <c r="AV59" s="52">
        <f t="shared" si="18"/>
        <v>204.55259933523061</v>
      </c>
      <c r="AW59" s="52">
        <f t="shared" si="19"/>
        <v>42.71781190936543</v>
      </c>
      <c r="AX59" s="15">
        <f t="shared" si="20"/>
        <v>0.20455259933523062</v>
      </c>
      <c r="AY59" s="15">
        <f t="shared" si="21"/>
        <v>4.2717811909365432E-2</v>
      </c>
      <c r="AZ59" s="15">
        <f t="shared" si="22"/>
        <v>0.24727041124459606</v>
      </c>
      <c r="BA59" s="61">
        <f t="shared" si="25"/>
        <v>19.3151832460733</v>
      </c>
      <c r="BB59" s="61">
        <v>6</v>
      </c>
      <c r="BC59" s="61">
        <f t="shared" si="26"/>
        <v>12.554869109947644</v>
      </c>
      <c r="BD59" s="61">
        <f>12+3</f>
        <v>15</v>
      </c>
      <c r="BE59" s="61">
        <f t="shared" si="27"/>
        <v>0</v>
      </c>
      <c r="BF59" s="61">
        <v>0</v>
      </c>
      <c r="BG59" s="61">
        <v>0</v>
      </c>
      <c r="BH59" s="61">
        <v>3</v>
      </c>
      <c r="BI59" s="56">
        <f t="shared" si="28"/>
        <v>55.870052356020942</v>
      </c>
      <c r="BJ59" s="57">
        <f t="shared" si="32"/>
        <v>0.20514509286450847</v>
      </c>
      <c r="BK59" s="58">
        <f t="shared" si="29"/>
        <v>0.12348869876133317</v>
      </c>
    </row>
    <row r="60" spans="1:63" ht="17.25" customHeight="1" x14ac:dyDescent="0.3">
      <c r="A60" s="41">
        <v>59</v>
      </c>
      <c r="B60" s="42">
        <v>46216</v>
      </c>
      <c r="C60" s="43" t="str">
        <f t="shared" ref="C60:C61" si="37">IF(ISBLANK(B60),"",TEXT(B60,"mmm-YY"))</f>
        <v>Jul-26</v>
      </c>
      <c r="D60" s="43" t="s">
        <v>68</v>
      </c>
      <c r="E60" s="43" t="s">
        <v>35</v>
      </c>
      <c r="F60" s="43" t="s">
        <v>41</v>
      </c>
      <c r="G60" s="14" t="s">
        <v>234</v>
      </c>
      <c r="H60" s="14" t="s">
        <v>60</v>
      </c>
      <c r="I60" s="14" t="s">
        <v>60</v>
      </c>
      <c r="J60" s="44" t="s">
        <v>60</v>
      </c>
      <c r="K60" s="44">
        <v>2026</v>
      </c>
      <c r="L60" s="44">
        <v>102</v>
      </c>
      <c r="M60" s="45">
        <v>1000</v>
      </c>
      <c r="N60" s="45">
        <v>182</v>
      </c>
      <c r="O60" s="45">
        <v>8.1999999999999993</v>
      </c>
      <c r="P60" s="46">
        <f t="shared" si="3"/>
        <v>294</v>
      </c>
      <c r="Q60" s="45">
        <v>8</v>
      </c>
      <c r="R60" s="46">
        <v>250</v>
      </c>
      <c r="S60" s="46">
        <v>14</v>
      </c>
      <c r="T60" s="46">
        <v>11</v>
      </c>
      <c r="U60" s="46">
        <v>19</v>
      </c>
      <c r="V60" s="46">
        <v>0</v>
      </c>
      <c r="W60" s="46">
        <v>0</v>
      </c>
      <c r="X60" s="46">
        <v>17</v>
      </c>
      <c r="Y60" s="46">
        <v>4</v>
      </c>
      <c r="Z60" s="46">
        <f t="shared" si="23"/>
        <v>46.296600000000005</v>
      </c>
      <c r="AA60" s="46">
        <f t="shared" si="30"/>
        <v>48.501200000000004</v>
      </c>
      <c r="AB60" s="46">
        <f t="shared" si="31"/>
        <v>51.852192000000002</v>
      </c>
      <c r="AC60" s="46">
        <v>250</v>
      </c>
      <c r="AD60" s="46">
        <f>242-34</f>
        <v>208</v>
      </c>
      <c r="AE60" s="46">
        <v>34</v>
      </c>
      <c r="AF60" s="59">
        <f t="shared" si="1"/>
        <v>-8</v>
      </c>
      <c r="AG60" s="46">
        <f t="shared" si="4"/>
        <v>19</v>
      </c>
      <c r="AH60" s="47">
        <f t="shared" si="5"/>
        <v>22.847107438016529</v>
      </c>
      <c r="AI60" s="47">
        <f t="shared" si="6"/>
        <v>25</v>
      </c>
      <c r="AJ60" s="47">
        <f t="shared" si="7"/>
        <v>19</v>
      </c>
      <c r="AK60" s="47">
        <f t="shared" si="8"/>
        <v>262.5</v>
      </c>
      <c r="AL60" s="48">
        <f t="shared" si="9"/>
        <v>0.26250000000000001</v>
      </c>
      <c r="AM60" s="46">
        <f t="shared" si="10"/>
        <v>46.255506607929519</v>
      </c>
      <c r="AN60" s="46">
        <f t="shared" si="11"/>
        <v>14.049586776859504</v>
      </c>
      <c r="AO60" s="46">
        <f t="shared" si="12"/>
        <v>214.87603305785126</v>
      </c>
      <c r="AP60" s="46">
        <f t="shared" si="13"/>
        <v>37.81818181818182</v>
      </c>
      <c r="AQ60" s="49">
        <f t="shared" si="14"/>
        <v>0.77262888626524984</v>
      </c>
      <c r="AR60" s="50">
        <f t="shared" si="15"/>
        <v>0.22737111373475014</v>
      </c>
      <c r="AS60" s="51">
        <f t="shared" si="16"/>
        <v>0.21487603305785125</v>
      </c>
      <c r="AT60" s="51">
        <f t="shared" si="17"/>
        <v>3.781818181818182E-2</v>
      </c>
      <c r="AU60" s="51">
        <f t="shared" si="24"/>
        <v>0.25269421487603305</v>
      </c>
      <c r="AV60" s="52">
        <f t="shared" si="18"/>
        <v>207.00099519709229</v>
      </c>
      <c r="AW60" s="52">
        <f t="shared" si="19"/>
        <v>36.432175154688245</v>
      </c>
      <c r="AX60" s="15">
        <f t="shared" si="20"/>
        <v>0.20700099519709231</v>
      </c>
      <c r="AY60" s="15">
        <f t="shared" si="21"/>
        <v>3.6432175154688246E-2</v>
      </c>
      <c r="AZ60" s="15">
        <f t="shared" si="22"/>
        <v>0.24343317035178055</v>
      </c>
      <c r="BA60" s="61">
        <f t="shared" si="25"/>
        <v>13.486910994764397</v>
      </c>
      <c r="BB60" s="61">
        <v>5</v>
      </c>
      <c r="BC60" s="61">
        <f t="shared" si="26"/>
        <v>10.596858638743456</v>
      </c>
      <c r="BD60" s="61">
        <f>11+3</f>
        <v>14</v>
      </c>
      <c r="BE60" s="61">
        <f t="shared" si="27"/>
        <v>0</v>
      </c>
      <c r="BF60" s="61">
        <v>0</v>
      </c>
      <c r="BG60" s="61">
        <v>0</v>
      </c>
      <c r="BH60" s="61">
        <v>0</v>
      </c>
      <c r="BI60" s="56">
        <f t="shared" si="28"/>
        <v>43.083769633507856</v>
      </c>
      <c r="BJ60" s="57">
        <f t="shared" si="32"/>
        <v>0.16262845849802371</v>
      </c>
      <c r="BK60" s="58">
        <f t="shared" si="29"/>
        <v>8.887937978252114E-2</v>
      </c>
    </row>
    <row r="61" spans="1:63" ht="17.25" customHeight="1" x14ac:dyDescent="0.3">
      <c r="A61" s="41">
        <v>60</v>
      </c>
      <c r="B61" s="42">
        <v>46216</v>
      </c>
      <c r="C61" s="43" t="str">
        <f t="shared" si="37"/>
        <v>Jul-26</v>
      </c>
      <c r="D61" s="43" t="s">
        <v>68</v>
      </c>
      <c r="E61" s="43" t="s">
        <v>35</v>
      </c>
      <c r="F61" s="43" t="s">
        <v>41</v>
      </c>
      <c r="G61" s="14" t="s">
        <v>234</v>
      </c>
      <c r="H61" s="14" t="s">
        <v>60</v>
      </c>
      <c r="I61" s="14" t="s">
        <v>60</v>
      </c>
      <c r="J61" s="44" t="s">
        <v>60</v>
      </c>
      <c r="K61" s="44">
        <v>2026</v>
      </c>
      <c r="L61" s="44">
        <v>102</v>
      </c>
      <c r="M61" s="45">
        <v>1000</v>
      </c>
      <c r="N61" s="45">
        <v>184</v>
      </c>
      <c r="O61" s="45">
        <v>8.1999999999999993</v>
      </c>
      <c r="P61" s="46">
        <f t="shared" si="3"/>
        <v>300</v>
      </c>
      <c r="Q61" s="45">
        <v>8</v>
      </c>
      <c r="R61" s="46">
        <v>250</v>
      </c>
      <c r="S61" s="46">
        <v>14</v>
      </c>
      <c r="T61" s="46">
        <v>11</v>
      </c>
      <c r="U61" s="46">
        <v>23</v>
      </c>
      <c r="V61" s="46">
        <v>0</v>
      </c>
      <c r="W61" s="46">
        <v>2</v>
      </c>
      <c r="X61" s="46">
        <v>17</v>
      </c>
      <c r="Y61" s="46">
        <v>2</v>
      </c>
      <c r="Z61" s="46">
        <f t="shared" si="23"/>
        <v>46.296600000000005</v>
      </c>
      <c r="AA61" s="46">
        <f t="shared" si="30"/>
        <v>48.501200000000004</v>
      </c>
      <c r="AB61" s="46">
        <f t="shared" si="31"/>
        <v>52.910400000000003</v>
      </c>
      <c r="AC61" s="46">
        <v>250</v>
      </c>
      <c r="AD61" s="46">
        <f>242-36</f>
        <v>206</v>
      </c>
      <c r="AE61" s="46">
        <v>36</v>
      </c>
      <c r="AF61" s="59">
        <f t="shared" si="1"/>
        <v>-8</v>
      </c>
      <c r="AG61" s="46">
        <f t="shared" si="4"/>
        <v>23</v>
      </c>
      <c r="AH61" s="47">
        <f t="shared" si="5"/>
        <v>27.857438016528924</v>
      </c>
      <c r="AI61" s="47">
        <f t="shared" si="6"/>
        <v>25</v>
      </c>
      <c r="AJ61" s="47">
        <f t="shared" si="7"/>
        <v>25</v>
      </c>
      <c r="AK61" s="47">
        <f t="shared" si="8"/>
        <v>262.5</v>
      </c>
      <c r="AL61" s="48">
        <f t="shared" si="9"/>
        <v>0.26250000000000001</v>
      </c>
      <c r="AM61" s="46">
        <f t="shared" si="10"/>
        <v>46.255506607929519</v>
      </c>
      <c r="AN61" s="46">
        <f t="shared" si="11"/>
        <v>14.87603305785124</v>
      </c>
      <c r="AO61" s="46">
        <f t="shared" si="12"/>
        <v>212.80991735537188</v>
      </c>
      <c r="AP61" s="46">
        <f t="shared" si="13"/>
        <v>42.561983471074377</v>
      </c>
      <c r="AQ61" s="49">
        <f t="shared" si="14"/>
        <v>0.74047520661157018</v>
      </c>
      <c r="AR61" s="50">
        <f t="shared" si="15"/>
        <v>0.25952479338842976</v>
      </c>
      <c r="AS61" s="51">
        <f t="shared" si="16"/>
        <v>0.21280991735537189</v>
      </c>
      <c r="AT61" s="51">
        <f t="shared" si="17"/>
        <v>4.2561983471074379E-2</v>
      </c>
      <c r="AU61" s="51">
        <f t="shared" si="24"/>
        <v>0.25537190082644629</v>
      </c>
      <c r="AV61" s="52">
        <f t="shared" si="18"/>
        <v>205.01060101250485</v>
      </c>
      <c r="AW61" s="52">
        <f t="shared" si="19"/>
        <v>41.002120202500969</v>
      </c>
      <c r="AX61" s="15">
        <f t="shared" si="20"/>
        <v>0.20501060101250485</v>
      </c>
      <c r="AY61" s="15">
        <f t="shared" si="21"/>
        <v>4.100212020250097E-2</v>
      </c>
      <c r="AZ61" s="15">
        <f t="shared" si="22"/>
        <v>0.24601272121500581</v>
      </c>
      <c r="BA61" s="61">
        <f t="shared" si="25"/>
        <v>13.486910994764397</v>
      </c>
      <c r="BB61" s="61">
        <v>5</v>
      </c>
      <c r="BC61" s="61">
        <f t="shared" si="26"/>
        <v>10.596858638743456</v>
      </c>
      <c r="BD61" s="61">
        <f>12+4</f>
        <v>16</v>
      </c>
      <c r="BE61" s="61">
        <f t="shared" si="27"/>
        <v>1.9267015706806283</v>
      </c>
      <c r="BF61" s="61">
        <v>0</v>
      </c>
      <c r="BG61" s="61">
        <v>0</v>
      </c>
      <c r="BH61" s="61">
        <v>2</v>
      </c>
      <c r="BI61" s="56">
        <f t="shared" si="28"/>
        <v>49.010471204188484</v>
      </c>
      <c r="BJ61" s="57">
        <f t="shared" si="32"/>
        <v>0.185</v>
      </c>
      <c r="BK61" s="58">
        <f t="shared" si="29"/>
        <v>8.9742286382351447E-2</v>
      </c>
    </row>
    <row r="62" spans="1:63" ht="17.25" customHeight="1" x14ac:dyDescent="0.3">
      <c r="A62" s="41">
        <v>61</v>
      </c>
      <c r="B62" s="42">
        <v>46217</v>
      </c>
      <c r="C62" s="43" t="str">
        <f t="shared" si="0"/>
        <v>Jul-26</v>
      </c>
      <c r="D62" s="43" t="s">
        <v>68</v>
      </c>
      <c r="E62" s="43" t="s">
        <v>35</v>
      </c>
      <c r="F62" s="43" t="s">
        <v>41</v>
      </c>
      <c r="G62" s="14" t="s">
        <v>88</v>
      </c>
      <c r="H62" s="14" t="s">
        <v>60</v>
      </c>
      <c r="I62" s="14" t="s">
        <v>60</v>
      </c>
      <c r="J62" s="44" t="s">
        <v>60</v>
      </c>
      <c r="K62" s="44">
        <v>2026</v>
      </c>
      <c r="L62" s="44">
        <v>103</v>
      </c>
      <c r="M62" s="45">
        <v>1000</v>
      </c>
      <c r="N62" s="45">
        <v>168</v>
      </c>
      <c r="O62" s="45">
        <v>7.6</v>
      </c>
      <c r="P62" s="46">
        <f t="shared" si="3"/>
        <v>283</v>
      </c>
      <c r="Q62" s="45">
        <v>7.6</v>
      </c>
      <c r="R62" s="46">
        <v>240</v>
      </c>
      <c r="S62" s="46">
        <v>15</v>
      </c>
      <c r="T62" s="46">
        <v>14</v>
      </c>
      <c r="U62" s="46">
        <v>14</v>
      </c>
      <c r="V62" s="46">
        <v>0</v>
      </c>
      <c r="W62" s="46">
        <v>0</v>
      </c>
      <c r="X62" s="46">
        <v>33</v>
      </c>
      <c r="Y62" s="46">
        <v>8</v>
      </c>
      <c r="Z62" s="46">
        <f t="shared" si="23"/>
        <v>44.885656000000004</v>
      </c>
      <c r="AA62" s="46">
        <f t="shared" si="30"/>
        <v>47.442992000000004</v>
      </c>
      <c r="AB62" s="46">
        <f t="shared" si="31"/>
        <v>49.912143999999998</v>
      </c>
      <c r="AC62" s="46">
        <f t="shared" ref="AC62:AC69" si="38">R62</f>
        <v>240</v>
      </c>
      <c r="AD62" s="46">
        <f>231-34</f>
        <v>197</v>
      </c>
      <c r="AE62" s="46">
        <v>34</v>
      </c>
      <c r="AF62" s="59">
        <f t="shared" si="1"/>
        <v>-9</v>
      </c>
      <c r="AG62" s="46">
        <f t="shared" si="4"/>
        <v>8</v>
      </c>
      <c r="AH62" s="47">
        <f t="shared" si="5"/>
        <v>9.6343771668446969</v>
      </c>
      <c r="AI62" s="47">
        <f t="shared" si="6"/>
        <v>29</v>
      </c>
      <c r="AJ62" s="47">
        <f t="shared" si="7"/>
        <v>14</v>
      </c>
      <c r="AK62" s="47">
        <f t="shared" si="8"/>
        <v>254.5</v>
      </c>
      <c r="AL62" s="48">
        <f t="shared" si="9"/>
        <v>0.2545</v>
      </c>
      <c r="AM62" s="46">
        <f t="shared" si="10"/>
        <v>44.845814977973568</v>
      </c>
      <c r="AN62" s="46">
        <f t="shared" si="11"/>
        <v>14.718614718614718</v>
      </c>
      <c r="AO62" s="46">
        <f t="shared" si="12"/>
        <v>204.67532467532467</v>
      </c>
      <c r="AP62" s="46">
        <f t="shared" si="13"/>
        <v>36.670995670995673</v>
      </c>
      <c r="AQ62" s="49">
        <f t="shared" si="14"/>
        <v>0.81401280153058408</v>
      </c>
      <c r="AR62" s="50">
        <f t="shared" si="15"/>
        <v>0.18598719846941592</v>
      </c>
      <c r="AS62" s="51">
        <f t="shared" si="16"/>
        <v>0.20467532467532468</v>
      </c>
      <c r="AT62" s="51">
        <f t="shared" si="17"/>
        <v>3.6670995670995674E-2</v>
      </c>
      <c r="AU62" s="51">
        <f t="shared" si="24"/>
        <v>0.24134632034632036</v>
      </c>
      <c r="AV62" s="52">
        <f t="shared" si="18"/>
        <v>198.03141361256544</v>
      </c>
      <c r="AW62" s="52">
        <f t="shared" si="19"/>
        <v>35.480628272251316</v>
      </c>
      <c r="AX62" s="15">
        <f t="shared" si="20"/>
        <v>0.19803141361256543</v>
      </c>
      <c r="AY62" s="15">
        <f t="shared" si="21"/>
        <v>3.5480628272251319E-2</v>
      </c>
      <c r="AZ62" s="15">
        <f t="shared" si="22"/>
        <v>0.23351204188481675</v>
      </c>
      <c r="BA62" s="61">
        <f t="shared" si="25"/>
        <v>14.513089005235603</v>
      </c>
      <c r="BB62" s="61">
        <v>2</v>
      </c>
      <c r="BC62" s="61">
        <f t="shared" si="26"/>
        <v>13.545549738219897</v>
      </c>
      <c r="BD62" s="61">
        <f>3+3+0</f>
        <v>6</v>
      </c>
      <c r="BE62" s="61">
        <f t="shared" si="27"/>
        <v>0</v>
      </c>
      <c r="BF62" s="61"/>
      <c r="BG62" s="61">
        <v>0</v>
      </c>
      <c r="BH62" s="61"/>
      <c r="BI62" s="56">
        <f t="shared" si="28"/>
        <v>36.058638743455504</v>
      </c>
      <c r="BJ62" s="57">
        <f t="shared" si="32"/>
        <v>0.13854423148103448</v>
      </c>
      <c r="BK62" s="58">
        <f t="shared" si="29"/>
        <v>8.3822786828607124E-2</v>
      </c>
    </row>
    <row r="63" spans="1:63" ht="17.25" customHeight="1" x14ac:dyDescent="0.3">
      <c r="A63" s="41">
        <v>62</v>
      </c>
      <c r="B63" s="42">
        <v>46217</v>
      </c>
      <c r="C63" s="43" t="str">
        <f t="shared" si="0"/>
        <v>Jul-26</v>
      </c>
      <c r="D63" s="43" t="s">
        <v>68</v>
      </c>
      <c r="E63" s="43" t="s">
        <v>35</v>
      </c>
      <c r="F63" s="43" t="s">
        <v>41</v>
      </c>
      <c r="G63" s="14" t="s">
        <v>88</v>
      </c>
      <c r="H63" s="14" t="s">
        <v>60</v>
      </c>
      <c r="I63" s="14" t="s">
        <v>60</v>
      </c>
      <c r="J63" s="44" t="s">
        <v>60</v>
      </c>
      <c r="K63" s="44">
        <v>2026</v>
      </c>
      <c r="L63" s="44">
        <v>103</v>
      </c>
      <c r="M63" s="45">
        <v>1000</v>
      </c>
      <c r="N63" s="45">
        <v>168</v>
      </c>
      <c r="O63" s="45">
        <v>7.6</v>
      </c>
      <c r="P63" s="46">
        <f t="shared" si="3"/>
        <v>292</v>
      </c>
      <c r="Q63" s="45">
        <v>7.59</v>
      </c>
      <c r="R63" s="46">
        <v>252</v>
      </c>
      <c r="S63" s="46">
        <v>10</v>
      </c>
      <c r="T63" s="46">
        <v>11</v>
      </c>
      <c r="U63" s="46">
        <v>19</v>
      </c>
      <c r="V63" s="46">
        <v>0</v>
      </c>
      <c r="W63" s="46">
        <v>0</v>
      </c>
      <c r="X63" s="46">
        <v>18</v>
      </c>
      <c r="Y63" s="46">
        <v>5</v>
      </c>
      <c r="Z63" s="46">
        <f t="shared" si="23"/>
        <v>46.296600000000005</v>
      </c>
      <c r="AA63" s="46">
        <f t="shared" si="30"/>
        <v>48.148463999999997</v>
      </c>
      <c r="AB63" s="46">
        <f t="shared" si="31"/>
        <v>51.499456000000002</v>
      </c>
      <c r="AC63" s="46">
        <f t="shared" si="38"/>
        <v>252</v>
      </c>
      <c r="AD63" s="46">
        <f>243-36</f>
        <v>207</v>
      </c>
      <c r="AE63" s="46">
        <v>36</v>
      </c>
      <c r="AF63" s="59">
        <f t="shared" si="1"/>
        <v>-9</v>
      </c>
      <c r="AG63" s="46">
        <f t="shared" si="4"/>
        <v>21</v>
      </c>
      <c r="AH63" s="47">
        <f t="shared" si="5"/>
        <v>25.308708773701742</v>
      </c>
      <c r="AI63" s="47">
        <f t="shared" si="6"/>
        <v>21</v>
      </c>
      <c r="AJ63" s="47">
        <f t="shared" si="7"/>
        <v>19</v>
      </c>
      <c r="AK63" s="47">
        <f t="shared" si="8"/>
        <v>262.5</v>
      </c>
      <c r="AL63" s="48">
        <f t="shared" si="9"/>
        <v>0.26250000000000001</v>
      </c>
      <c r="AM63" s="46">
        <f t="shared" si="10"/>
        <v>46.255506607929519</v>
      </c>
      <c r="AN63" s="46">
        <f t="shared" si="11"/>
        <v>14.814814814814813</v>
      </c>
      <c r="AO63" s="46">
        <f t="shared" si="12"/>
        <v>214.66666666666666</v>
      </c>
      <c r="AP63" s="46">
        <f t="shared" si="13"/>
        <v>34.074074074074076</v>
      </c>
      <c r="AQ63" s="49">
        <f t="shared" si="14"/>
        <v>0.7763400384462269</v>
      </c>
      <c r="AR63" s="50">
        <f t="shared" si="15"/>
        <v>0.22365996155377307</v>
      </c>
      <c r="AS63" s="51">
        <f t="shared" si="16"/>
        <v>0.21466666666666664</v>
      </c>
      <c r="AT63" s="51">
        <f t="shared" si="17"/>
        <v>3.4074074074074076E-2</v>
      </c>
      <c r="AU63" s="51">
        <f t="shared" si="24"/>
        <v>0.24874074074074071</v>
      </c>
      <c r="AV63" s="52">
        <f t="shared" si="18"/>
        <v>207.72090750436297</v>
      </c>
      <c r="AW63" s="52">
        <f t="shared" si="19"/>
        <v>32.971572619740158</v>
      </c>
      <c r="AX63" s="15">
        <f t="shared" si="20"/>
        <v>0.20772090750436298</v>
      </c>
      <c r="AY63" s="15">
        <f t="shared" si="21"/>
        <v>3.297157261974016E-2</v>
      </c>
      <c r="AZ63" s="15">
        <f t="shared" si="22"/>
        <v>0.24069248012410313</v>
      </c>
      <c r="BA63" s="61">
        <f t="shared" si="25"/>
        <v>9.6764397905759161</v>
      </c>
      <c r="BB63" s="61">
        <v>3</v>
      </c>
      <c r="BC63" s="61">
        <f t="shared" si="26"/>
        <v>10.644083769633507</v>
      </c>
      <c r="BD63" s="61">
        <v>15</v>
      </c>
      <c r="BE63" s="61">
        <f t="shared" si="27"/>
        <v>0</v>
      </c>
      <c r="BF63" s="61">
        <v>0</v>
      </c>
      <c r="BG63" s="61">
        <v>0</v>
      </c>
      <c r="BH63" s="61">
        <v>3</v>
      </c>
      <c r="BI63" s="56">
        <f t="shared" si="28"/>
        <v>41.320523560209423</v>
      </c>
      <c r="BJ63" s="57">
        <f t="shared" si="32"/>
        <v>0.15641830304745574</v>
      </c>
      <c r="BK63" s="58">
        <f t="shared" si="29"/>
        <v>6.1238839567999595E-2</v>
      </c>
    </row>
    <row r="64" spans="1:63" ht="17.25" customHeight="1" x14ac:dyDescent="0.3">
      <c r="A64" s="41">
        <v>63</v>
      </c>
      <c r="B64" s="42">
        <v>46218</v>
      </c>
      <c r="C64" s="43" t="str">
        <f t="shared" si="0"/>
        <v>Jul-26</v>
      </c>
      <c r="D64" s="43" t="s">
        <v>68</v>
      </c>
      <c r="E64" s="43" t="s">
        <v>35</v>
      </c>
      <c r="F64" s="43" t="s">
        <v>41</v>
      </c>
      <c r="G64" s="14" t="s">
        <v>88</v>
      </c>
      <c r="H64" s="14" t="s">
        <v>60</v>
      </c>
      <c r="I64" s="14" t="s">
        <v>60</v>
      </c>
      <c r="J64" s="44" t="s">
        <v>60</v>
      </c>
      <c r="K64" s="44">
        <v>2026</v>
      </c>
      <c r="L64" s="44">
        <v>104</v>
      </c>
      <c r="M64" s="45">
        <v>1000</v>
      </c>
      <c r="N64" s="45">
        <v>178</v>
      </c>
      <c r="O64" s="45">
        <v>7.3</v>
      </c>
      <c r="P64" s="46">
        <f t="shared" si="3"/>
        <v>290</v>
      </c>
      <c r="Q64" s="45">
        <v>7.03</v>
      </c>
      <c r="R64" s="46">
        <v>252</v>
      </c>
      <c r="S64" s="46">
        <v>14</v>
      </c>
      <c r="T64" s="46">
        <v>14</v>
      </c>
      <c r="U64" s="46">
        <v>8</v>
      </c>
      <c r="V64" s="46">
        <v>0</v>
      </c>
      <c r="W64" s="46">
        <v>2</v>
      </c>
      <c r="X64" s="46">
        <v>25</v>
      </c>
      <c r="Y64" s="46">
        <v>3</v>
      </c>
      <c r="Z64" s="46">
        <f t="shared" si="23"/>
        <v>46.913888</v>
      </c>
      <c r="AA64" s="46">
        <f t="shared" si="30"/>
        <v>49.383040000000001</v>
      </c>
      <c r="AB64" s="46">
        <f t="shared" si="31"/>
        <v>51.146720000000002</v>
      </c>
      <c r="AC64" s="46">
        <f t="shared" si="38"/>
        <v>252</v>
      </c>
      <c r="AD64" s="46">
        <f>242-35</f>
        <v>207</v>
      </c>
      <c r="AE64" s="46">
        <v>35</v>
      </c>
      <c r="AF64" s="59">
        <f t="shared" si="1"/>
        <v>-10</v>
      </c>
      <c r="AG64" s="46">
        <f t="shared" si="4"/>
        <v>18</v>
      </c>
      <c r="AH64" s="47">
        <f t="shared" si="5"/>
        <v>21.496403798612722</v>
      </c>
      <c r="AI64" s="47">
        <f t="shared" si="6"/>
        <v>28</v>
      </c>
      <c r="AJ64" s="47">
        <f t="shared" si="7"/>
        <v>10</v>
      </c>
      <c r="AK64" s="47">
        <f t="shared" si="8"/>
        <v>266</v>
      </c>
      <c r="AL64" s="48">
        <f t="shared" si="9"/>
        <v>0.26600000000000001</v>
      </c>
      <c r="AM64" s="46">
        <f t="shared" si="10"/>
        <v>46.872246696035241</v>
      </c>
      <c r="AN64" s="46">
        <f t="shared" si="11"/>
        <v>14.462809917355372</v>
      </c>
      <c r="AO64" s="46">
        <f t="shared" si="12"/>
        <v>215.55371900826447</v>
      </c>
      <c r="AP64" s="46">
        <f t="shared" si="13"/>
        <v>32.504132231404959</v>
      </c>
      <c r="AQ64" s="49">
        <f t="shared" si="14"/>
        <v>0.79483998690133539</v>
      </c>
      <c r="AR64" s="50">
        <f t="shared" si="15"/>
        <v>0.20516001309866455</v>
      </c>
      <c r="AS64" s="51">
        <f t="shared" si="16"/>
        <v>0.21555371900826448</v>
      </c>
      <c r="AT64" s="51">
        <f t="shared" si="17"/>
        <v>3.2504132231404963E-2</v>
      </c>
      <c r="AU64" s="51">
        <f t="shared" si="24"/>
        <v>0.24805785123966945</v>
      </c>
      <c r="AV64" s="52">
        <f t="shared" si="18"/>
        <v>209.84323828479944</v>
      </c>
      <c r="AW64" s="52">
        <f t="shared" si="19"/>
        <v>31.6430279953269</v>
      </c>
      <c r="AX64" s="15">
        <f t="shared" si="20"/>
        <v>0.20984323828479945</v>
      </c>
      <c r="AY64" s="15">
        <f t="shared" si="21"/>
        <v>3.1643027995326901E-2</v>
      </c>
      <c r="AZ64" s="15">
        <f t="shared" si="22"/>
        <v>0.24148626628012634</v>
      </c>
      <c r="BA64" s="61">
        <f t="shared" si="25"/>
        <v>13.629109947643979</v>
      </c>
      <c r="BB64" s="61">
        <v>5</v>
      </c>
      <c r="BC64" s="61">
        <f t="shared" si="26"/>
        <v>13.629109947643979</v>
      </c>
      <c r="BD64" s="61">
        <v>13</v>
      </c>
      <c r="BE64" s="61">
        <f t="shared" si="27"/>
        <v>1.9470157068062828</v>
      </c>
      <c r="BF64" s="61">
        <v>0</v>
      </c>
      <c r="BG64" s="61">
        <v>0</v>
      </c>
      <c r="BH64" s="61">
        <v>0</v>
      </c>
      <c r="BI64" s="56">
        <f t="shared" si="28"/>
        <v>47.205235602094241</v>
      </c>
      <c r="BJ64" s="57">
        <f t="shared" si="32"/>
        <v>0.17317798368137186</v>
      </c>
      <c r="BK64" s="58">
        <f t="shared" si="29"/>
        <v>8.999570023016415E-2</v>
      </c>
    </row>
    <row r="65" spans="1:63" ht="17.25" customHeight="1" x14ac:dyDescent="0.3">
      <c r="A65" s="41">
        <v>64</v>
      </c>
      <c r="B65" s="42">
        <v>46218</v>
      </c>
      <c r="C65" s="43" t="str">
        <f t="shared" si="0"/>
        <v>Jul-26</v>
      </c>
      <c r="D65" s="43" t="s">
        <v>68</v>
      </c>
      <c r="E65" s="43" t="s">
        <v>35</v>
      </c>
      <c r="F65" s="43" t="s">
        <v>41</v>
      </c>
      <c r="G65" s="14" t="s">
        <v>88</v>
      </c>
      <c r="H65" s="14" t="s">
        <v>60</v>
      </c>
      <c r="I65" s="14" t="s">
        <v>60</v>
      </c>
      <c r="J65" s="44" t="s">
        <v>60</v>
      </c>
      <c r="K65" s="44">
        <v>2026</v>
      </c>
      <c r="L65" s="44">
        <v>104</v>
      </c>
      <c r="M65" s="45">
        <v>1000</v>
      </c>
      <c r="N65" s="45">
        <v>178</v>
      </c>
      <c r="O65" s="45">
        <v>7.3</v>
      </c>
      <c r="P65" s="46">
        <f t="shared" si="3"/>
        <v>293</v>
      </c>
      <c r="Q65" s="45">
        <v>7.03</v>
      </c>
      <c r="R65" s="46">
        <v>251</v>
      </c>
      <c r="S65" s="46">
        <v>12</v>
      </c>
      <c r="T65" s="46">
        <v>17</v>
      </c>
      <c r="U65" s="46">
        <v>13</v>
      </c>
      <c r="V65" s="46">
        <v>0</v>
      </c>
      <c r="W65" s="46">
        <v>0</v>
      </c>
      <c r="X65" s="46">
        <v>21</v>
      </c>
      <c r="Y65" s="46">
        <v>4</v>
      </c>
      <c r="Z65" s="46">
        <f t="shared" si="23"/>
        <v>46.825704000000002</v>
      </c>
      <c r="AA65" s="46">
        <f t="shared" si="30"/>
        <v>49.383040000000001</v>
      </c>
      <c r="AB65" s="46">
        <f t="shared" si="31"/>
        <v>51.675823999999999</v>
      </c>
      <c r="AC65" s="46">
        <f t="shared" si="38"/>
        <v>251</v>
      </c>
      <c r="AD65" s="46">
        <f>241-41</f>
        <v>200</v>
      </c>
      <c r="AE65" s="46">
        <v>41</v>
      </c>
      <c r="AF65" s="59">
        <f t="shared" si="1"/>
        <v>-10</v>
      </c>
      <c r="AG65" s="46">
        <f t="shared" si="4"/>
        <v>17</v>
      </c>
      <c r="AH65" s="47">
        <f t="shared" si="5"/>
        <v>20.754386035382851</v>
      </c>
      <c r="AI65" s="47">
        <f t="shared" si="6"/>
        <v>29</v>
      </c>
      <c r="AJ65" s="47">
        <f t="shared" si="7"/>
        <v>13</v>
      </c>
      <c r="AK65" s="47">
        <f t="shared" si="8"/>
        <v>265.5</v>
      </c>
      <c r="AL65" s="48">
        <f t="shared" si="9"/>
        <v>0.26550000000000001</v>
      </c>
      <c r="AM65" s="46">
        <f t="shared" si="10"/>
        <v>46.784140969162998</v>
      </c>
      <c r="AN65" s="46">
        <f t="shared" si="11"/>
        <v>17.012448132780083</v>
      </c>
      <c r="AO65" s="46">
        <f t="shared" si="12"/>
        <v>208.29875518672199</v>
      </c>
      <c r="AP65" s="46">
        <f t="shared" si="13"/>
        <v>34.854771784232369</v>
      </c>
      <c r="AQ65" s="49">
        <f t="shared" si="14"/>
        <v>0.78582120807036571</v>
      </c>
      <c r="AR65" s="50">
        <f t="shared" si="15"/>
        <v>0.21417879192963429</v>
      </c>
      <c r="AS65" s="51">
        <f t="shared" si="16"/>
        <v>0.208298755186722</v>
      </c>
      <c r="AT65" s="51">
        <f t="shared" si="17"/>
        <v>3.4854771784232366E-2</v>
      </c>
      <c r="AU65" s="51">
        <f t="shared" si="24"/>
        <v>0.24315352697095438</v>
      </c>
      <c r="AV65" s="52">
        <f t="shared" si="18"/>
        <v>202.7804740283722</v>
      </c>
      <c r="AW65" s="52">
        <f t="shared" si="19"/>
        <v>33.931394060524433</v>
      </c>
      <c r="AX65" s="15">
        <f t="shared" si="20"/>
        <v>0.20278047402837221</v>
      </c>
      <c r="AY65" s="15">
        <f t="shared" si="21"/>
        <v>3.3931394060524429E-2</v>
      </c>
      <c r="AZ65" s="15">
        <f t="shared" si="22"/>
        <v>0.23671186808889663</v>
      </c>
      <c r="BA65" s="61">
        <f t="shared" si="25"/>
        <v>11.682094240837696</v>
      </c>
      <c r="BB65" s="61">
        <v>4</v>
      </c>
      <c r="BC65" s="61">
        <f t="shared" si="26"/>
        <v>16.549633507853404</v>
      </c>
      <c r="BD65" s="61">
        <v>13</v>
      </c>
      <c r="BE65" s="61">
        <f t="shared" si="27"/>
        <v>0</v>
      </c>
      <c r="BF65" s="61">
        <v>0</v>
      </c>
      <c r="BG65" s="61">
        <v>0</v>
      </c>
      <c r="BH65" s="61">
        <v>0</v>
      </c>
      <c r="BI65" s="56">
        <f t="shared" si="28"/>
        <v>45.2317277486911</v>
      </c>
      <c r="BJ65" s="57">
        <f t="shared" si="32"/>
        <v>0.16593793696891471</v>
      </c>
      <c r="BK65" s="58">
        <f t="shared" si="29"/>
        <v>7.8410471204188481E-2</v>
      </c>
    </row>
    <row r="66" spans="1:63" ht="17.25" customHeight="1" x14ac:dyDescent="0.3">
      <c r="A66" s="41">
        <v>65</v>
      </c>
      <c r="B66" s="42">
        <v>46219</v>
      </c>
      <c r="C66" s="43" t="str">
        <f t="shared" ref="C66:C129" si="39">IF(ISBLANK(B66),"",TEXT(B66,"mmm-YY"))</f>
        <v>Jul-26</v>
      </c>
      <c r="D66" s="43" t="s">
        <v>68</v>
      </c>
      <c r="E66" s="43" t="s">
        <v>35</v>
      </c>
      <c r="F66" s="43" t="s">
        <v>41</v>
      </c>
      <c r="G66" s="14" t="s">
        <v>88</v>
      </c>
      <c r="H66" s="14" t="s">
        <v>60</v>
      </c>
      <c r="I66" s="14" t="s">
        <v>60</v>
      </c>
      <c r="J66" s="44" t="s">
        <v>60</v>
      </c>
      <c r="K66" s="44">
        <v>2026</v>
      </c>
      <c r="L66" s="44">
        <v>105</v>
      </c>
      <c r="M66" s="45">
        <v>1000</v>
      </c>
      <c r="N66" s="45">
        <v>174</v>
      </c>
      <c r="O66" s="45">
        <v>7.4</v>
      </c>
      <c r="P66" s="46">
        <f t="shared" si="3"/>
        <v>300</v>
      </c>
      <c r="Q66" s="45">
        <v>7.2</v>
      </c>
      <c r="R66" s="46">
        <v>261</v>
      </c>
      <c r="S66" s="46">
        <v>14</v>
      </c>
      <c r="T66" s="46">
        <v>8</v>
      </c>
      <c r="U66" s="46">
        <v>17</v>
      </c>
      <c r="V66" s="46">
        <v>0</v>
      </c>
      <c r="W66" s="46">
        <v>0</v>
      </c>
      <c r="X66" s="46">
        <v>17</v>
      </c>
      <c r="Y66" s="46">
        <v>3</v>
      </c>
      <c r="Z66" s="46">
        <f t="shared" si="23"/>
        <v>47.972096000000008</v>
      </c>
      <c r="AA66" s="46">
        <f t="shared" si="30"/>
        <v>49.912143999999998</v>
      </c>
      <c r="AB66" s="46">
        <f t="shared" si="31"/>
        <v>52.910400000000003</v>
      </c>
      <c r="AC66" s="46">
        <f t="shared" si="38"/>
        <v>261</v>
      </c>
      <c r="AD66" s="46">
        <f>251-44</f>
        <v>207</v>
      </c>
      <c r="AE66" s="46">
        <v>44</v>
      </c>
      <c r="AF66" s="59">
        <f t="shared" ref="AF66:AF129" si="40">AD66+AE66-AC66</f>
        <v>-10</v>
      </c>
      <c r="AG66" s="46">
        <f t="shared" si="4"/>
        <v>12</v>
      </c>
      <c r="AH66" s="47">
        <f t="shared" si="5"/>
        <v>14.741894491001514</v>
      </c>
      <c r="AI66" s="47">
        <f t="shared" si="6"/>
        <v>22</v>
      </c>
      <c r="AJ66" s="47">
        <f t="shared" si="7"/>
        <v>17</v>
      </c>
      <c r="AK66" s="47">
        <f t="shared" si="8"/>
        <v>272</v>
      </c>
      <c r="AL66" s="48">
        <f t="shared" si="9"/>
        <v>0.27200000000000002</v>
      </c>
      <c r="AM66" s="46">
        <f t="shared" si="10"/>
        <v>47.929515418502206</v>
      </c>
      <c r="AN66" s="46">
        <f t="shared" si="11"/>
        <v>17.529880478087652</v>
      </c>
      <c r="AO66" s="46">
        <f t="shared" si="12"/>
        <v>215.24701195219126</v>
      </c>
      <c r="AP66" s="46">
        <f t="shared" si="13"/>
        <v>32.163346613545819</v>
      </c>
      <c r="AQ66" s="49">
        <f t="shared" si="14"/>
        <v>0.82086035169666161</v>
      </c>
      <c r="AR66" s="50">
        <f t="shared" si="15"/>
        <v>0.17913964830333839</v>
      </c>
      <c r="AS66" s="51">
        <f t="shared" si="16"/>
        <v>0.21524701195219126</v>
      </c>
      <c r="AT66" s="51">
        <f t="shared" si="17"/>
        <v>3.2163346613545821E-2</v>
      </c>
      <c r="AU66" s="51">
        <f t="shared" si="24"/>
        <v>0.24741035856573707</v>
      </c>
      <c r="AV66" s="52">
        <f t="shared" si="18"/>
        <v>209.16149433678899</v>
      </c>
      <c r="AW66" s="52">
        <f t="shared" si="19"/>
        <v>31.254016395152377</v>
      </c>
      <c r="AX66" s="15">
        <f t="shared" si="20"/>
        <v>0.20916149433678899</v>
      </c>
      <c r="AY66" s="15">
        <f t="shared" si="21"/>
        <v>3.1254016395152379E-2</v>
      </c>
      <c r="AZ66" s="15">
        <f t="shared" si="22"/>
        <v>0.24041551073194137</v>
      </c>
      <c r="BA66" s="61">
        <f t="shared" si="25"/>
        <v>13.604188481675394</v>
      </c>
      <c r="BB66" s="61">
        <v>2</v>
      </c>
      <c r="BC66" s="61">
        <f t="shared" si="26"/>
        <v>7.7738219895287957</v>
      </c>
      <c r="BD66" s="61">
        <v>10</v>
      </c>
      <c r="BE66" s="61">
        <f t="shared" si="27"/>
        <v>0</v>
      </c>
      <c r="BF66" s="61">
        <v>0</v>
      </c>
      <c r="BG66" s="61">
        <v>0</v>
      </c>
      <c r="BH66" s="61">
        <v>0</v>
      </c>
      <c r="BI66" s="56">
        <f t="shared" si="28"/>
        <v>33.378010471204192</v>
      </c>
      <c r="BJ66" s="57">
        <f t="shared" si="32"/>
        <v>0.12137504569270138</v>
      </c>
      <c r="BK66" s="58">
        <f t="shared" si="29"/>
        <v>7.5382553051571946E-2</v>
      </c>
    </row>
    <row r="67" spans="1:63" ht="17.25" customHeight="1" x14ac:dyDescent="0.3">
      <c r="A67" s="41">
        <v>66</v>
      </c>
      <c r="B67" s="42">
        <v>46219</v>
      </c>
      <c r="C67" s="43" t="str">
        <f t="shared" si="39"/>
        <v>Jul-26</v>
      </c>
      <c r="D67" s="43" t="s">
        <v>68</v>
      </c>
      <c r="E67" s="43" t="s">
        <v>35</v>
      </c>
      <c r="F67" s="43" t="s">
        <v>41</v>
      </c>
      <c r="G67" s="14" t="s">
        <v>88</v>
      </c>
      <c r="H67" s="14" t="s">
        <v>60</v>
      </c>
      <c r="I67" s="14" t="s">
        <v>60</v>
      </c>
      <c r="J67" s="44" t="s">
        <v>60</v>
      </c>
      <c r="K67" s="44">
        <v>2026</v>
      </c>
      <c r="L67" s="44">
        <v>105</v>
      </c>
      <c r="M67" s="45">
        <v>1000</v>
      </c>
      <c r="N67" s="45">
        <v>174</v>
      </c>
      <c r="O67" s="45">
        <v>7.4</v>
      </c>
      <c r="P67" s="46">
        <f t="shared" ref="P67:P130" si="41">SUM(R67:W67)</f>
        <v>300</v>
      </c>
      <c r="Q67" s="45">
        <v>7.2</v>
      </c>
      <c r="R67" s="46">
        <v>255</v>
      </c>
      <c r="S67" s="46">
        <v>17</v>
      </c>
      <c r="T67" s="46">
        <v>10</v>
      </c>
      <c r="U67" s="46">
        <v>15</v>
      </c>
      <c r="V67" s="46">
        <v>0</v>
      </c>
      <c r="W67" s="46">
        <v>3</v>
      </c>
      <c r="X67" s="46">
        <v>20</v>
      </c>
      <c r="Y67" s="46">
        <v>2</v>
      </c>
      <c r="Z67" s="46">
        <f t="shared" si="23"/>
        <v>47.354808000000006</v>
      </c>
      <c r="AA67" s="46">
        <f t="shared" si="30"/>
        <v>49.735776000000008</v>
      </c>
      <c r="AB67" s="46">
        <f t="shared" si="31"/>
        <v>52.910400000000003</v>
      </c>
      <c r="AC67" s="46">
        <f t="shared" si="38"/>
        <v>255</v>
      </c>
      <c r="AD67" s="46">
        <f>246-43</f>
        <v>203</v>
      </c>
      <c r="AE67" s="46">
        <v>43</v>
      </c>
      <c r="AF67" s="59">
        <f t="shared" si="40"/>
        <v>-9</v>
      </c>
      <c r="AG67" s="46">
        <f t="shared" ref="AG67:AG130" si="42">SUM(BB67,BD67,BF67,BH67)</f>
        <v>13</v>
      </c>
      <c r="AH67" s="47">
        <f t="shared" ref="AH67:AH130" si="43">IFERROR(AG67*(100-3)/(100-Q67)*(100+AN67)%,"")</f>
        <v>15.963563568825345</v>
      </c>
      <c r="AI67" s="47">
        <f t="shared" ref="AI67:AI130" si="44">S67+T67</f>
        <v>27</v>
      </c>
      <c r="AJ67" s="47">
        <f t="shared" ref="AJ67:AJ130" si="45">U67+V67+W67</f>
        <v>18</v>
      </c>
      <c r="AK67" s="47">
        <f t="shared" ref="AK67:AK130" si="46">R67+(AI67/2)</f>
        <v>268.5</v>
      </c>
      <c r="AL67" s="48">
        <f t="shared" ref="AL67:AL130" si="47">IFERROR(AK67/M67,"")</f>
        <v>0.26850000000000002</v>
      </c>
      <c r="AM67" s="46">
        <f t="shared" ref="AM67:AM130" si="48">IFERROR(((AK67*80/454)*1000)/M67,"")</f>
        <v>47.312775330396477</v>
      </c>
      <c r="AN67" s="46">
        <f t="shared" ref="AN67:AN130" si="49">IFERROR(AE67/(AE67+AD67)%,"")</f>
        <v>17.479674796747968</v>
      </c>
      <c r="AO67" s="46">
        <f t="shared" ref="AO67:AO130" si="50">IFERROR((P67-AI67-AJ67)*(100-AN67)%,"")</f>
        <v>210.42682926829269</v>
      </c>
      <c r="AP67" s="46">
        <f t="shared" ref="AP67:AP130" si="51">IFERROR((AJ67+AI67)*(100-AN67)%,"")</f>
        <v>37.134146341463413</v>
      </c>
      <c r="AQ67" s="49">
        <f t="shared" ref="AQ67:AQ130" si="52">IFERROR((R67-AH67)/P67,"")</f>
        <v>0.79678812143724886</v>
      </c>
      <c r="AR67" s="50">
        <f t="shared" ref="AR67:AR130" si="53">IFERROR((AH67+AI67+AJ67)/P67,"")</f>
        <v>0.20321187856275114</v>
      </c>
      <c r="AS67" s="51">
        <f t="shared" ref="AS67:AS130" si="54">IFERROR(AO67/M67,"")</f>
        <v>0.2104268292682927</v>
      </c>
      <c r="AT67" s="51">
        <f t="shared" ref="AT67:AT130" si="55">IFERROR(AP67/M67,"")</f>
        <v>3.7134146341463413E-2</v>
      </c>
      <c r="AU67" s="51">
        <f t="shared" si="24"/>
        <v>0.24756097560975612</v>
      </c>
      <c r="AV67" s="52">
        <f t="shared" ref="AV67:AV130" si="56">IFERROR(AO67*(100-Q67)/(100-4.5),"")</f>
        <v>204.47758906908442</v>
      </c>
      <c r="AW67" s="52">
        <f t="shared" ref="AW67:AW130" si="57">IFERROR(AP67*(100-Q67)/(100-4.5),"")</f>
        <v>36.084280423956073</v>
      </c>
      <c r="AX67" s="15">
        <f t="shared" ref="AX67:AX130" si="58">IFERROR(AV67/M67,"")</f>
        <v>0.20447758906908442</v>
      </c>
      <c r="AY67" s="15">
        <f t="shared" ref="AY67:AY130" si="59">IFERROR(AW67/M67,"")</f>
        <v>3.6084280423956075E-2</v>
      </c>
      <c r="AZ67" s="15">
        <f t="shared" ref="AZ67:AZ130" si="60">IFERROR(AX67+AY67,"")</f>
        <v>0.24056186949304048</v>
      </c>
      <c r="BA67" s="61">
        <f t="shared" si="25"/>
        <v>16.519371727748691</v>
      </c>
      <c r="BB67" s="61">
        <v>3</v>
      </c>
      <c r="BC67" s="61">
        <f t="shared" si="26"/>
        <v>9.7172774869109944</v>
      </c>
      <c r="BD67" s="61">
        <v>10</v>
      </c>
      <c r="BE67" s="61">
        <f t="shared" si="27"/>
        <v>2.915183246073298</v>
      </c>
      <c r="BF67" s="61">
        <v>0</v>
      </c>
      <c r="BG67" s="61">
        <v>0</v>
      </c>
      <c r="BH67" s="61">
        <v>0</v>
      </c>
      <c r="BI67" s="56">
        <f t="shared" si="28"/>
        <v>42.151832460732983</v>
      </c>
      <c r="BJ67" s="57">
        <f t="shared" si="32"/>
        <v>0.15382352042064076</v>
      </c>
      <c r="BK67" s="58">
        <f t="shared" si="29"/>
        <v>9.6154540530781735E-2</v>
      </c>
    </row>
    <row r="68" spans="1:63" ht="17.25" customHeight="1" x14ac:dyDescent="0.3">
      <c r="A68" s="41">
        <v>67</v>
      </c>
      <c r="B68" s="42">
        <v>46220</v>
      </c>
      <c r="C68" s="43" t="str">
        <f t="shared" si="39"/>
        <v>Jul-26</v>
      </c>
      <c r="D68" s="43" t="s">
        <v>68</v>
      </c>
      <c r="E68" s="43" t="s">
        <v>35</v>
      </c>
      <c r="F68" s="43" t="s">
        <v>41</v>
      </c>
      <c r="G68" s="14" t="s">
        <v>88</v>
      </c>
      <c r="H68" s="14" t="s">
        <v>60</v>
      </c>
      <c r="I68" s="14" t="s">
        <v>60</v>
      </c>
      <c r="J68" s="44" t="s">
        <v>60</v>
      </c>
      <c r="K68" s="44">
        <v>2026</v>
      </c>
      <c r="L68" s="44">
        <v>106</v>
      </c>
      <c r="M68" s="45">
        <v>1000</v>
      </c>
      <c r="N68" s="45">
        <v>178</v>
      </c>
      <c r="O68" s="45">
        <v>7.7</v>
      </c>
      <c r="P68" s="46">
        <f t="shared" si="41"/>
        <v>293</v>
      </c>
      <c r="Q68" s="45">
        <v>7.4</v>
      </c>
      <c r="R68" s="46">
        <v>252</v>
      </c>
      <c r="S68" s="46">
        <v>16</v>
      </c>
      <c r="T68" s="46">
        <v>9</v>
      </c>
      <c r="U68" s="46">
        <v>14</v>
      </c>
      <c r="V68" s="46">
        <v>0</v>
      </c>
      <c r="W68" s="46">
        <v>2</v>
      </c>
      <c r="X68" s="46">
        <v>21</v>
      </c>
      <c r="Y68" s="46">
        <v>4</v>
      </c>
      <c r="Z68" s="46">
        <f t="shared" ref="Z68:Z131" si="61">IFERROR(SUM($R68,0.5*$S68,$T68*0.5)*80*2.2046/$M68,"")</f>
        <v>46.649336000000005</v>
      </c>
      <c r="AA68" s="46">
        <f t="shared" ref="AA68:AA131" si="62">IFERROR(SUM($R68,$S68,$T68)*80*2.2046/$M68,"")</f>
        <v>48.853936000000004</v>
      </c>
      <c r="AB68" s="46">
        <f t="shared" si="31"/>
        <v>51.675823999999999</v>
      </c>
      <c r="AC68" s="46">
        <f t="shared" si="38"/>
        <v>252</v>
      </c>
      <c r="AD68" s="46">
        <f>241-33</f>
        <v>208</v>
      </c>
      <c r="AE68" s="46">
        <v>33</v>
      </c>
      <c r="AF68" s="59">
        <f t="shared" si="40"/>
        <v>-11</v>
      </c>
      <c r="AG68" s="46">
        <f t="shared" si="42"/>
        <v>23</v>
      </c>
      <c r="AH68" s="47">
        <f t="shared" si="43"/>
        <v>27.391896615075776</v>
      </c>
      <c r="AI68" s="47">
        <f t="shared" si="44"/>
        <v>25</v>
      </c>
      <c r="AJ68" s="47">
        <f t="shared" si="45"/>
        <v>16</v>
      </c>
      <c r="AK68" s="47">
        <f t="shared" si="46"/>
        <v>264.5</v>
      </c>
      <c r="AL68" s="48">
        <f t="shared" si="47"/>
        <v>0.26450000000000001</v>
      </c>
      <c r="AM68" s="46">
        <f t="shared" si="48"/>
        <v>46.607929515418505</v>
      </c>
      <c r="AN68" s="46">
        <f t="shared" si="49"/>
        <v>13.692946058091286</v>
      </c>
      <c r="AO68" s="46">
        <f t="shared" si="50"/>
        <v>217.49377593360998</v>
      </c>
      <c r="AP68" s="46">
        <f t="shared" si="51"/>
        <v>35.385892116182575</v>
      </c>
      <c r="AQ68" s="49">
        <f t="shared" si="52"/>
        <v>0.7665805576277277</v>
      </c>
      <c r="AR68" s="50">
        <f t="shared" si="53"/>
        <v>0.23341944237227227</v>
      </c>
      <c r="AS68" s="51">
        <f t="shared" si="54"/>
        <v>0.21749377593361</v>
      </c>
      <c r="AT68" s="51">
        <f t="shared" si="55"/>
        <v>3.5385892116182573E-2</v>
      </c>
      <c r="AU68" s="51">
        <f t="shared" ref="AU68:AU131" si="63">IFERROR(AS68+AT68,"")</f>
        <v>0.25287966804979256</v>
      </c>
      <c r="AV68" s="52">
        <f t="shared" si="56"/>
        <v>210.88925289478829</v>
      </c>
      <c r="AW68" s="52">
        <f t="shared" si="57"/>
        <v>34.311346701136195</v>
      </c>
      <c r="AX68" s="15">
        <f t="shared" si="58"/>
        <v>0.2108892528947883</v>
      </c>
      <c r="AY68" s="15">
        <f t="shared" si="59"/>
        <v>3.4311346701136197E-2</v>
      </c>
      <c r="AZ68" s="15">
        <f t="shared" si="60"/>
        <v>0.2452005995959245</v>
      </c>
      <c r="BA68" s="61">
        <f t="shared" ref="BA68:BA131" si="64">IFERROR(S68*(100-Q68)/(100-4.5),"")</f>
        <v>15.514136125654449</v>
      </c>
      <c r="BB68" s="61">
        <v>4</v>
      </c>
      <c r="BC68" s="61">
        <f t="shared" ref="BC68:BC131" si="65">IFERROR(T68*(100-Q68)/(100-4.5),"")</f>
        <v>8.7267015706806284</v>
      </c>
      <c r="BD68" s="61">
        <v>19</v>
      </c>
      <c r="BE68" s="61">
        <f t="shared" ref="BE68:BE131" si="66">IFERROR(W68*(100-Q68)/(100-4.5),"")</f>
        <v>1.9392670157068062</v>
      </c>
      <c r="BF68" s="61">
        <v>0</v>
      </c>
      <c r="BG68" s="61">
        <v>0</v>
      </c>
      <c r="BH68" s="61">
        <v>0</v>
      </c>
      <c r="BI68" s="56">
        <f t="shared" ref="BI68:BI131" si="67">SUM(BA68:BH68)</f>
        <v>49.180104712041881</v>
      </c>
      <c r="BJ68" s="57">
        <f t="shared" ref="BJ68:BJ131" si="68">IFERROR(BI68/(SUM(R68:T68)*(100-Q68)/(100-4.5)),"")</f>
        <v>0.18310578475021638</v>
      </c>
      <c r="BK68" s="58">
        <f t="shared" ref="BK68:BK131" si="69">IFERROR(SUM(BA68:BB68)/AD68,"")</f>
        <v>9.3817962142569461E-2</v>
      </c>
    </row>
    <row r="69" spans="1:63" ht="17.25" customHeight="1" x14ac:dyDescent="0.3">
      <c r="A69" s="41">
        <v>68</v>
      </c>
      <c r="B69" s="42">
        <v>46220</v>
      </c>
      <c r="C69" s="43" t="str">
        <f t="shared" si="39"/>
        <v>Jul-26</v>
      </c>
      <c r="D69" s="43" t="s">
        <v>68</v>
      </c>
      <c r="E69" s="43" t="s">
        <v>35</v>
      </c>
      <c r="F69" s="43" t="s">
        <v>41</v>
      </c>
      <c r="G69" s="14" t="s">
        <v>88</v>
      </c>
      <c r="H69" s="14" t="s">
        <v>60</v>
      </c>
      <c r="I69" s="14" t="s">
        <v>60</v>
      </c>
      <c r="J69" s="44" t="s">
        <v>60</v>
      </c>
      <c r="K69" s="44">
        <v>2026</v>
      </c>
      <c r="L69" s="44">
        <v>106</v>
      </c>
      <c r="M69" s="45">
        <v>1000</v>
      </c>
      <c r="N69" s="45">
        <v>178</v>
      </c>
      <c r="O69" s="45">
        <v>7.7</v>
      </c>
      <c r="P69" s="46">
        <f t="shared" si="41"/>
        <v>294</v>
      </c>
      <c r="Q69" s="45">
        <v>7.4</v>
      </c>
      <c r="R69" s="46">
        <v>250</v>
      </c>
      <c r="S69" s="46">
        <v>15</v>
      </c>
      <c r="T69" s="46">
        <v>9</v>
      </c>
      <c r="U69" s="46">
        <v>20</v>
      </c>
      <c r="V69" s="46">
        <v>0</v>
      </c>
      <c r="W69" s="46">
        <v>0</v>
      </c>
      <c r="X69" s="46">
        <v>24</v>
      </c>
      <c r="Y69" s="46">
        <v>6</v>
      </c>
      <c r="Z69" s="46">
        <f t="shared" si="61"/>
        <v>46.208416000000007</v>
      </c>
      <c r="AA69" s="46">
        <f t="shared" si="62"/>
        <v>48.324832000000001</v>
      </c>
      <c r="AB69" s="46">
        <f t="shared" ref="AB69:AB132" si="70">IFERROR(SUM($R69,$S69,$T69,$U69,$W69)*80*2.2046/$M69,"")</f>
        <v>51.852192000000002</v>
      </c>
      <c r="AC69" s="46">
        <f t="shared" si="38"/>
        <v>250</v>
      </c>
      <c r="AD69" s="46">
        <f>241-33</f>
        <v>208</v>
      </c>
      <c r="AE69" s="46">
        <v>33</v>
      </c>
      <c r="AF69" s="59">
        <f t="shared" si="40"/>
        <v>-9</v>
      </c>
      <c r="AG69" s="46">
        <f t="shared" si="42"/>
        <v>14</v>
      </c>
      <c r="AH69" s="47">
        <f t="shared" si="43"/>
        <v>16.67332837439395</v>
      </c>
      <c r="AI69" s="47">
        <f t="shared" si="44"/>
        <v>24</v>
      </c>
      <c r="AJ69" s="47">
        <f t="shared" si="45"/>
        <v>20</v>
      </c>
      <c r="AK69" s="47">
        <f t="shared" si="46"/>
        <v>262</v>
      </c>
      <c r="AL69" s="48">
        <f t="shared" si="47"/>
        <v>0.26200000000000001</v>
      </c>
      <c r="AM69" s="46">
        <f t="shared" si="48"/>
        <v>46.167400881057269</v>
      </c>
      <c r="AN69" s="46">
        <f t="shared" si="49"/>
        <v>13.692946058091286</v>
      </c>
      <c r="AO69" s="46">
        <f t="shared" si="50"/>
        <v>215.76763485477179</v>
      </c>
      <c r="AP69" s="46">
        <f t="shared" si="51"/>
        <v>37.975103734439834</v>
      </c>
      <c r="AQ69" s="49">
        <f t="shared" si="52"/>
        <v>0.79362813478097294</v>
      </c>
      <c r="AR69" s="50">
        <f t="shared" si="53"/>
        <v>0.20637186521902703</v>
      </c>
      <c r="AS69" s="51">
        <f t="shared" si="54"/>
        <v>0.21576763485477179</v>
      </c>
      <c r="AT69" s="51">
        <f t="shared" si="55"/>
        <v>3.7975103734439832E-2</v>
      </c>
      <c r="AU69" s="51">
        <f t="shared" si="63"/>
        <v>0.25374273858921165</v>
      </c>
      <c r="AV69" s="52">
        <f t="shared" si="56"/>
        <v>209.21552866546455</v>
      </c>
      <c r="AW69" s="52">
        <f t="shared" si="57"/>
        <v>36.821933045121767</v>
      </c>
      <c r="AX69" s="15">
        <f t="shared" si="58"/>
        <v>0.20921552866546456</v>
      </c>
      <c r="AY69" s="15">
        <f t="shared" si="59"/>
        <v>3.6821933045121769E-2</v>
      </c>
      <c r="AZ69" s="15">
        <f t="shared" si="60"/>
        <v>0.24603746171058632</v>
      </c>
      <c r="BA69" s="61">
        <f t="shared" si="64"/>
        <v>14.544502617801047</v>
      </c>
      <c r="BB69" s="61">
        <v>2</v>
      </c>
      <c r="BC69" s="61">
        <f t="shared" si="65"/>
        <v>8.7267015706806284</v>
      </c>
      <c r="BD69" s="61">
        <v>12</v>
      </c>
      <c r="BE69" s="61">
        <f t="shared" si="66"/>
        <v>0</v>
      </c>
      <c r="BF69" s="61">
        <v>0</v>
      </c>
      <c r="BG69" s="61">
        <v>0</v>
      </c>
      <c r="BH69" s="61">
        <v>0</v>
      </c>
      <c r="BI69" s="56">
        <f t="shared" si="67"/>
        <v>37.271204188481676</v>
      </c>
      <c r="BJ69" s="57">
        <f t="shared" si="68"/>
        <v>0.14028629534454762</v>
      </c>
      <c r="BK69" s="58">
        <f t="shared" si="69"/>
        <v>7.9540877970197349E-2</v>
      </c>
    </row>
    <row r="70" spans="1:63" ht="17.25" customHeight="1" x14ac:dyDescent="0.3">
      <c r="A70" s="41">
        <v>69</v>
      </c>
      <c r="B70" s="42">
        <v>46221</v>
      </c>
      <c r="C70" s="43" t="str">
        <f t="shared" si="39"/>
        <v>Jul-26</v>
      </c>
      <c r="D70" s="43" t="s">
        <v>68</v>
      </c>
      <c r="E70" s="43" t="s">
        <v>35</v>
      </c>
      <c r="F70" s="43" t="s">
        <v>41</v>
      </c>
      <c r="G70" s="14" t="s">
        <v>105</v>
      </c>
      <c r="H70" s="14" t="s">
        <v>60</v>
      </c>
      <c r="I70" s="14" t="s">
        <v>60</v>
      </c>
      <c r="J70" s="44" t="s">
        <v>60</v>
      </c>
      <c r="K70" s="44">
        <v>2026</v>
      </c>
      <c r="L70" s="44">
        <v>107</v>
      </c>
      <c r="M70" s="45">
        <v>1000</v>
      </c>
      <c r="N70" s="45">
        <v>180</v>
      </c>
      <c r="O70" s="45">
        <v>7.9</v>
      </c>
      <c r="P70" s="46">
        <f t="shared" si="41"/>
        <v>284</v>
      </c>
      <c r="Q70" s="45">
        <v>7.6</v>
      </c>
      <c r="R70" s="46">
        <v>232</v>
      </c>
      <c r="S70" s="46">
        <v>17</v>
      </c>
      <c r="T70" s="46">
        <v>7</v>
      </c>
      <c r="U70" s="46">
        <v>28</v>
      </c>
      <c r="V70" s="46">
        <v>0</v>
      </c>
      <c r="W70" s="46">
        <v>0</v>
      </c>
      <c r="X70" s="46">
        <v>24</v>
      </c>
      <c r="Y70" s="46">
        <v>5</v>
      </c>
      <c r="Z70" s="46">
        <f t="shared" si="61"/>
        <v>43.033791999999998</v>
      </c>
      <c r="AA70" s="46">
        <f t="shared" si="62"/>
        <v>45.150207999999999</v>
      </c>
      <c r="AB70" s="46">
        <f t="shared" si="70"/>
        <v>50.088512000000001</v>
      </c>
      <c r="AC70" s="46">
        <f t="shared" ref="AC70:AC164" si="71">R70</f>
        <v>232</v>
      </c>
      <c r="AD70" s="46">
        <f>228-39</f>
        <v>189</v>
      </c>
      <c r="AE70" s="46">
        <v>39</v>
      </c>
      <c r="AF70" s="59">
        <f t="shared" si="40"/>
        <v>-4</v>
      </c>
      <c r="AG70" s="46">
        <f t="shared" si="42"/>
        <v>20</v>
      </c>
      <c r="AH70" s="47">
        <f t="shared" si="43"/>
        <v>24.587035771246295</v>
      </c>
      <c r="AI70" s="47">
        <f t="shared" si="44"/>
        <v>24</v>
      </c>
      <c r="AJ70" s="47">
        <f t="shared" si="45"/>
        <v>28</v>
      </c>
      <c r="AK70" s="47">
        <f t="shared" si="46"/>
        <v>244</v>
      </c>
      <c r="AL70" s="48">
        <f t="shared" si="47"/>
        <v>0.24399999999999999</v>
      </c>
      <c r="AM70" s="46">
        <f t="shared" si="48"/>
        <v>42.995594713656388</v>
      </c>
      <c r="AN70" s="46">
        <f t="shared" si="49"/>
        <v>17.10526315789474</v>
      </c>
      <c r="AO70" s="46">
        <f t="shared" si="50"/>
        <v>192.31578947368422</v>
      </c>
      <c r="AP70" s="46">
        <f t="shared" si="51"/>
        <v>43.10526315789474</v>
      </c>
      <c r="AQ70" s="49">
        <f t="shared" si="52"/>
        <v>0.73032733883363987</v>
      </c>
      <c r="AR70" s="50">
        <f t="shared" si="53"/>
        <v>0.26967266116636018</v>
      </c>
      <c r="AS70" s="51">
        <f t="shared" si="54"/>
        <v>0.19231578947368422</v>
      </c>
      <c r="AT70" s="51">
        <f t="shared" si="55"/>
        <v>4.3105263157894737E-2</v>
      </c>
      <c r="AU70" s="51">
        <f t="shared" si="63"/>
        <v>0.23542105263157895</v>
      </c>
      <c r="AV70" s="52">
        <f t="shared" si="56"/>
        <v>186.07307798291541</v>
      </c>
      <c r="AW70" s="52">
        <f t="shared" si="57"/>
        <v>41.706034720308629</v>
      </c>
      <c r="AX70" s="15">
        <f t="shared" si="58"/>
        <v>0.18607307798291542</v>
      </c>
      <c r="AY70" s="15">
        <f t="shared" si="59"/>
        <v>4.1706034720308628E-2</v>
      </c>
      <c r="AZ70" s="15">
        <f t="shared" si="60"/>
        <v>0.22777911270322404</v>
      </c>
      <c r="BA70" s="61">
        <f t="shared" si="64"/>
        <v>16.448167539267018</v>
      </c>
      <c r="BB70" s="61">
        <v>4</v>
      </c>
      <c r="BC70" s="61">
        <f t="shared" si="65"/>
        <v>6.7727748691099485</v>
      </c>
      <c r="BD70" s="61">
        <v>16</v>
      </c>
      <c r="BE70" s="61">
        <f t="shared" si="66"/>
        <v>0</v>
      </c>
      <c r="BF70" s="61">
        <v>0</v>
      </c>
      <c r="BG70" s="61">
        <v>0</v>
      </c>
      <c r="BH70" s="61">
        <v>0</v>
      </c>
      <c r="BI70" s="56">
        <f t="shared" si="67"/>
        <v>43.22094240837697</v>
      </c>
      <c r="BJ70" s="57">
        <f t="shared" si="68"/>
        <v>0.17449607683982685</v>
      </c>
      <c r="BK70" s="58">
        <f t="shared" si="69"/>
        <v>0.10819136264162443</v>
      </c>
    </row>
    <row r="71" spans="1:63" ht="17.25" customHeight="1" x14ac:dyDescent="0.3">
      <c r="A71" s="41">
        <v>70</v>
      </c>
      <c r="B71" s="42">
        <v>46221</v>
      </c>
      <c r="C71" s="43" t="str">
        <f t="shared" si="39"/>
        <v>Jul-26</v>
      </c>
      <c r="D71" s="43" t="s">
        <v>68</v>
      </c>
      <c r="E71" s="43" t="s">
        <v>35</v>
      </c>
      <c r="F71" s="43" t="s">
        <v>41</v>
      </c>
      <c r="G71" s="14" t="s">
        <v>105</v>
      </c>
      <c r="H71" s="14" t="s">
        <v>60</v>
      </c>
      <c r="I71" s="14" t="s">
        <v>60</v>
      </c>
      <c r="J71" s="44" t="s">
        <v>60</v>
      </c>
      <c r="K71" s="44">
        <v>2026</v>
      </c>
      <c r="L71" s="44">
        <v>107</v>
      </c>
      <c r="M71" s="45">
        <v>1000</v>
      </c>
      <c r="N71" s="45">
        <v>180</v>
      </c>
      <c r="O71" s="45">
        <v>7.9</v>
      </c>
      <c r="P71" s="46">
        <f t="shared" si="41"/>
        <v>292</v>
      </c>
      <c r="Q71" s="45">
        <v>7.6</v>
      </c>
      <c r="R71" s="46">
        <v>237</v>
      </c>
      <c r="S71" s="46">
        <v>14</v>
      </c>
      <c r="T71" s="46">
        <v>11</v>
      </c>
      <c r="U71" s="46">
        <v>30</v>
      </c>
      <c r="V71" s="46">
        <v>0</v>
      </c>
      <c r="W71" s="46">
        <v>0</v>
      </c>
      <c r="X71" s="46">
        <v>19</v>
      </c>
      <c r="Y71" s="46">
        <v>5</v>
      </c>
      <c r="Z71" s="46">
        <f t="shared" si="61"/>
        <v>44.003816</v>
      </c>
      <c r="AA71" s="46">
        <f t="shared" si="62"/>
        <v>46.208416000000007</v>
      </c>
      <c r="AB71" s="46">
        <f t="shared" si="70"/>
        <v>51.499456000000002</v>
      </c>
      <c r="AC71" s="46">
        <f t="shared" si="71"/>
        <v>237</v>
      </c>
      <c r="AD71" s="46">
        <f>232-37</f>
        <v>195</v>
      </c>
      <c r="AE71" s="46">
        <v>37</v>
      </c>
      <c r="AF71" s="59">
        <f t="shared" si="40"/>
        <v>-5</v>
      </c>
      <c r="AG71" s="46">
        <f t="shared" si="42"/>
        <v>26</v>
      </c>
      <c r="AH71" s="47">
        <f t="shared" si="43"/>
        <v>31.647354082698907</v>
      </c>
      <c r="AI71" s="47">
        <f t="shared" si="44"/>
        <v>25</v>
      </c>
      <c r="AJ71" s="47">
        <f t="shared" si="45"/>
        <v>30</v>
      </c>
      <c r="AK71" s="47">
        <f t="shared" si="46"/>
        <v>249.5</v>
      </c>
      <c r="AL71" s="48">
        <f t="shared" si="47"/>
        <v>0.2495</v>
      </c>
      <c r="AM71" s="46">
        <f t="shared" si="48"/>
        <v>43.964757709251103</v>
      </c>
      <c r="AN71" s="46">
        <f t="shared" si="49"/>
        <v>15.948275862068966</v>
      </c>
      <c r="AO71" s="46">
        <f t="shared" si="50"/>
        <v>199.20258620689654</v>
      </c>
      <c r="AP71" s="46">
        <f t="shared" si="51"/>
        <v>46.228448275862064</v>
      </c>
      <c r="AQ71" s="49">
        <f t="shared" si="52"/>
        <v>0.70326248601815444</v>
      </c>
      <c r="AR71" s="50">
        <f t="shared" si="53"/>
        <v>0.29673751398184556</v>
      </c>
      <c r="AS71" s="51">
        <f t="shared" si="54"/>
        <v>0.19920258620689654</v>
      </c>
      <c r="AT71" s="51">
        <f t="shared" si="55"/>
        <v>4.6228448275862061E-2</v>
      </c>
      <c r="AU71" s="51">
        <f t="shared" si="63"/>
        <v>0.2454310344827586</v>
      </c>
      <c r="AV71" s="52">
        <f t="shared" si="56"/>
        <v>192.73632424625384</v>
      </c>
      <c r="AW71" s="52">
        <f t="shared" si="57"/>
        <v>44.727838960101096</v>
      </c>
      <c r="AX71" s="15">
        <f t="shared" si="58"/>
        <v>0.19273632424625384</v>
      </c>
      <c r="AY71" s="15">
        <f t="shared" si="59"/>
        <v>4.4727838960101095E-2</v>
      </c>
      <c r="AZ71" s="15">
        <f t="shared" si="60"/>
        <v>0.23746416320635494</v>
      </c>
      <c r="BA71" s="61">
        <f t="shared" si="64"/>
        <v>13.545549738219897</v>
      </c>
      <c r="BB71" s="61">
        <v>6</v>
      </c>
      <c r="BC71" s="61">
        <f t="shared" si="65"/>
        <v>10.642931937172776</v>
      </c>
      <c r="BD71" s="61">
        <v>20</v>
      </c>
      <c r="BE71" s="61">
        <f t="shared" si="66"/>
        <v>0</v>
      </c>
      <c r="BF71" s="61">
        <v>0</v>
      </c>
      <c r="BG71" s="61">
        <v>0</v>
      </c>
      <c r="BH71" s="61">
        <v>0</v>
      </c>
      <c r="BI71" s="56">
        <f t="shared" si="67"/>
        <v>50.188481675392673</v>
      </c>
      <c r="BJ71" s="57">
        <f t="shared" si="68"/>
        <v>0.19798585638280292</v>
      </c>
      <c r="BK71" s="58">
        <f t="shared" si="69"/>
        <v>0.10023358840112767</v>
      </c>
    </row>
    <row r="72" spans="1:63" ht="17.25" customHeight="1" x14ac:dyDescent="0.3">
      <c r="A72" s="41">
        <v>71</v>
      </c>
      <c r="B72" s="42">
        <v>46223</v>
      </c>
      <c r="C72" s="43" t="str">
        <f t="shared" si="39"/>
        <v>Jul-26</v>
      </c>
      <c r="D72" s="43" t="s">
        <v>68</v>
      </c>
      <c r="E72" s="43" t="s">
        <v>35</v>
      </c>
      <c r="F72" s="43" t="s">
        <v>41</v>
      </c>
      <c r="G72" s="14" t="s">
        <v>105</v>
      </c>
      <c r="H72" s="14" t="s">
        <v>60</v>
      </c>
      <c r="I72" s="14" t="s">
        <v>60</v>
      </c>
      <c r="J72" s="44" t="s">
        <v>60</v>
      </c>
      <c r="K72" s="44">
        <v>2026</v>
      </c>
      <c r="L72" s="44">
        <v>108</v>
      </c>
      <c r="M72" s="45">
        <v>1000</v>
      </c>
      <c r="N72" s="45">
        <v>183</v>
      </c>
      <c r="O72" s="45">
        <v>8.1999999999999993</v>
      </c>
      <c r="P72" s="46">
        <f t="shared" si="41"/>
        <v>285</v>
      </c>
      <c r="Q72" s="45">
        <v>7.84</v>
      </c>
      <c r="R72" s="46">
        <v>228</v>
      </c>
      <c r="S72" s="46">
        <v>14</v>
      </c>
      <c r="T72" s="46">
        <v>9</v>
      </c>
      <c r="U72" s="46">
        <v>34</v>
      </c>
      <c r="V72" s="46">
        <v>0</v>
      </c>
      <c r="W72" s="46">
        <v>0</v>
      </c>
      <c r="X72" s="46">
        <v>34</v>
      </c>
      <c r="Y72" s="46">
        <v>3</v>
      </c>
      <c r="Z72" s="46">
        <f t="shared" si="61"/>
        <v>42.240136</v>
      </c>
      <c r="AA72" s="46">
        <f t="shared" si="62"/>
        <v>44.268368000000002</v>
      </c>
      <c r="AB72" s="46">
        <f t="shared" si="70"/>
        <v>50.264880000000005</v>
      </c>
      <c r="AC72" s="46">
        <f t="shared" si="71"/>
        <v>228</v>
      </c>
      <c r="AD72" s="46">
        <f>218-37</f>
        <v>181</v>
      </c>
      <c r="AE72" s="46">
        <v>37</v>
      </c>
      <c r="AF72" s="59">
        <f t="shared" si="40"/>
        <v>-10</v>
      </c>
      <c r="AG72" s="46">
        <f t="shared" si="42"/>
        <v>20</v>
      </c>
      <c r="AH72" s="47">
        <f t="shared" si="43"/>
        <v>24.623112576452598</v>
      </c>
      <c r="AI72" s="47">
        <f t="shared" si="44"/>
        <v>23</v>
      </c>
      <c r="AJ72" s="47">
        <f t="shared" si="45"/>
        <v>34</v>
      </c>
      <c r="AK72" s="47">
        <f t="shared" si="46"/>
        <v>239.5</v>
      </c>
      <c r="AL72" s="48">
        <f t="shared" si="47"/>
        <v>0.23949999999999999</v>
      </c>
      <c r="AM72" s="46">
        <f t="shared" si="48"/>
        <v>42.202643171806166</v>
      </c>
      <c r="AN72" s="46">
        <f t="shared" si="49"/>
        <v>16.972477064220183</v>
      </c>
      <c r="AO72" s="46">
        <f t="shared" si="50"/>
        <v>189.30275229357798</v>
      </c>
      <c r="AP72" s="46">
        <f t="shared" si="51"/>
        <v>47.325688073394495</v>
      </c>
      <c r="AQ72" s="49">
        <f t="shared" si="52"/>
        <v>0.71360311376683294</v>
      </c>
      <c r="AR72" s="50">
        <f t="shared" si="53"/>
        <v>0.286396886233167</v>
      </c>
      <c r="AS72" s="51">
        <f t="shared" si="54"/>
        <v>0.18930275229357799</v>
      </c>
      <c r="AT72" s="51">
        <f t="shared" si="55"/>
        <v>4.7325688073394497E-2</v>
      </c>
      <c r="AU72" s="51">
        <f t="shared" si="63"/>
        <v>0.23662844036697248</v>
      </c>
      <c r="AV72" s="52">
        <f t="shared" si="56"/>
        <v>182.68211153273452</v>
      </c>
      <c r="AW72" s="52">
        <f t="shared" si="57"/>
        <v>45.670527883183631</v>
      </c>
      <c r="AX72" s="15">
        <f t="shared" si="58"/>
        <v>0.18268211153273453</v>
      </c>
      <c r="AY72" s="15">
        <f t="shared" si="59"/>
        <v>4.5670527883183633E-2</v>
      </c>
      <c r="AZ72" s="15">
        <f t="shared" si="60"/>
        <v>0.22835263941591816</v>
      </c>
      <c r="BA72" s="61">
        <f t="shared" si="64"/>
        <v>13.510366492146597</v>
      </c>
      <c r="BB72" s="61">
        <v>6</v>
      </c>
      <c r="BC72" s="61">
        <f t="shared" si="65"/>
        <v>8.6852356020942398</v>
      </c>
      <c r="BD72" s="61">
        <v>14</v>
      </c>
      <c r="BE72" s="61">
        <f t="shared" si="66"/>
        <v>0</v>
      </c>
      <c r="BF72" s="61">
        <v>0</v>
      </c>
      <c r="BG72" s="61">
        <v>0</v>
      </c>
      <c r="BH72" s="61">
        <v>0</v>
      </c>
      <c r="BI72" s="56">
        <f t="shared" si="67"/>
        <v>42.195602094240833</v>
      </c>
      <c r="BJ72" s="57">
        <f t="shared" si="68"/>
        <v>0.17420249557326248</v>
      </c>
      <c r="BK72" s="58">
        <f t="shared" si="69"/>
        <v>0.10779208006710826</v>
      </c>
    </row>
    <row r="73" spans="1:63" ht="17.25" customHeight="1" x14ac:dyDescent="0.3">
      <c r="A73" s="41">
        <v>72</v>
      </c>
      <c r="B73" s="42">
        <v>46223</v>
      </c>
      <c r="C73" s="43" t="str">
        <f t="shared" si="39"/>
        <v>Jul-26</v>
      </c>
      <c r="D73" s="43" t="s">
        <v>68</v>
      </c>
      <c r="E73" s="43" t="s">
        <v>35</v>
      </c>
      <c r="F73" s="43" t="s">
        <v>41</v>
      </c>
      <c r="G73" s="14" t="s">
        <v>105</v>
      </c>
      <c r="H73" s="14" t="s">
        <v>60</v>
      </c>
      <c r="I73" s="14" t="s">
        <v>60</v>
      </c>
      <c r="J73" s="44" t="s">
        <v>60</v>
      </c>
      <c r="K73" s="44">
        <v>2026</v>
      </c>
      <c r="L73" s="44">
        <v>108</v>
      </c>
      <c r="M73" s="45">
        <v>1000</v>
      </c>
      <c r="N73" s="45">
        <v>183</v>
      </c>
      <c r="O73" s="45">
        <v>8.1999999999999993</v>
      </c>
      <c r="P73" s="46">
        <f t="shared" si="41"/>
        <v>278</v>
      </c>
      <c r="Q73" s="45">
        <v>7.84</v>
      </c>
      <c r="R73" s="46">
        <v>236</v>
      </c>
      <c r="S73" s="46">
        <v>14</v>
      </c>
      <c r="T73" s="46">
        <v>8</v>
      </c>
      <c r="U73" s="46">
        <v>20</v>
      </c>
      <c r="V73" s="46">
        <v>0</v>
      </c>
      <c r="W73" s="46">
        <v>0</v>
      </c>
      <c r="X73" s="46">
        <v>19</v>
      </c>
      <c r="Y73" s="46">
        <v>6</v>
      </c>
      <c r="Z73" s="46">
        <f t="shared" si="61"/>
        <v>43.562896000000002</v>
      </c>
      <c r="AA73" s="46">
        <f t="shared" si="62"/>
        <v>45.502944000000006</v>
      </c>
      <c r="AB73" s="46">
        <f t="shared" si="70"/>
        <v>49.030304000000001</v>
      </c>
      <c r="AC73" s="46">
        <f t="shared" si="71"/>
        <v>236</v>
      </c>
      <c r="AD73" s="46">
        <f>227-33</f>
        <v>194</v>
      </c>
      <c r="AE73" s="46">
        <v>33</v>
      </c>
      <c r="AF73" s="59">
        <f t="shared" si="40"/>
        <v>-9</v>
      </c>
      <c r="AG73" s="46">
        <f t="shared" si="42"/>
        <v>17</v>
      </c>
      <c r="AH73" s="47">
        <f t="shared" si="43"/>
        <v>20.493950379344103</v>
      </c>
      <c r="AI73" s="47">
        <f t="shared" si="44"/>
        <v>22</v>
      </c>
      <c r="AJ73" s="47">
        <f t="shared" si="45"/>
        <v>20</v>
      </c>
      <c r="AK73" s="47">
        <f t="shared" si="46"/>
        <v>247</v>
      </c>
      <c r="AL73" s="48">
        <f t="shared" si="47"/>
        <v>0.247</v>
      </c>
      <c r="AM73" s="46">
        <f t="shared" si="48"/>
        <v>43.524229074889867</v>
      </c>
      <c r="AN73" s="46">
        <f t="shared" si="49"/>
        <v>14.537444933920705</v>
      </c>
      <c r="AO73" s="46">
        <f t="shared" si="50"/>
        <v>201.69162995594712</v>
      </c>
      <c r="AP73" s="46">
        <f t="shared" si="51"/>
        <v>35.894273127753301</v>
      </c>
      <c r="AQ73" s="49">
        <f t="shared" si="52"/>
        <v>0.77520161734048876</v>
      </c>
      <c r="AR73" s="50">
        <f t="shared" si="53"/>
        <v>0.22479838265951116</v>
      </c>
      <c r="AS73" s="51">
        <f t="shared" si="54"/>
        <v>0.20169162995594711</v>
      </c>
      <c r="AT73" s="51">
        <f t="shared" si="55"/>
        <v>3.5894273127753298E-2</v>
      </c>
      <c r="AU73" s="51">
        <f t="shared" si="63"/>
        <v>0.23758590308370042</v>
      </c>
      <c r="AV73" s="52">
        <f t="shared" si="56"/>
        <v>194.63770279308991</v>
      </c>
      <c r="AW73" s="52">
        <f t="shared" si="57"/>
        <v>34.638913208939734</v>
      </c>
      <c r="AX73" s="15">
        <f t="shared" si="58"/>
        <v>0.19463770279308992</v>
      </c>
      <c r="AY73" s="15">
        <f t="shared" si="59"/>
        <v>3.4638913208939734E-2</v>
      </c>
      <c r="AZ73" s="15">
        <f t="shared" si="60"/>
        <v>0.22927661600202964</v>
      </c>
      <c r="BA73" s="61">
        <f t="shared" si="64"/>
        <v>13.510366492146597</v>
      </c>
      <c r="BB73" s="61">
        <v>5</v>
      </c>
      <c r="BC73" s="61">
        <f t="shared" si="65"/>
        <v>7.7202094240837695</v>
      </c>
      <c r="BD73" s="61">
        <v>12</v>
      </c>
      <c r="BE73" s="61">
        <f t="shared" si="66"/>
        <v>0</v>
      </c>
      <c r="BF73" s="61">
        <v>0</v>
      </c>
      <c r="BG73" s="61">
        <v>0</v>
      </c>
      <c r="BH73" s="61">
        <v>0</v>
      </c>
      <c r="BI73" s="56">
        <f t="shared" si="67"/>
        <v>38.230575916230364</v>
      </c>
      <c r="BJ73" s="57">
        <f t="shared" si="68"/>
        <v>0.15355078461455643</v>
      </c>
      <c r="BK73" s="58">
        <f t="shared" si="69"/>
        <v>9.5414260268796874E-2</v>
      </c>
    </row>
    <row r="74" spans="1:63" ht="17.25" customHeight="1" x14ac:dyDescent="0.3">
      <c r="A74" s="41">
        <v>73</v>
      </c>
      <c r="B74" s="42">
        <v>46224</v>
      </c>
      <c r="C74" s="43" t="str">
        <f t="shared" si="39"/>
        <v>Jul-26</v>
      </c>
      <c r="D74" s="43" t="s">
        <v>68</v>
      </c>
      <c r="E74" s="43" t="s">
        <v>35</v>
      </c>
      <c r="F74" s="43" t="s">
        <v>41</v>
      </c>
      <c r="G74" s="14" t="s">
        <v>105</v>
      </c>
      <c r="H74" s="14" t="s">
        <v>60</v>
      </c>
      <c r="I74" s="14" t="s">
        <v>60</v>
      </c>
      <c r="J74" s="44" t="s">
        <v>60</v>
      </c>
      <c r="K74" s="44">
        <v>2026</v>
      </c>
      <c r="L74" s="44">
        <v>109</v>
      </c>
      <c r="M74" s="45">
        <v>1000</v>
      </c>
      <c r="N74" s="45">
        <v>173</v>
      </c>
      <c r="O74" s="45">
        <v>8.3000000000000007</v>
      </c>
      <c r="P74" s="46">
        <f t="shared" si="41"/>
        <v>294</v>
      </c>
      <c r="Q74" s="45">
        <v>7.9</v>
      </c>
      <c r="R74" s="46">
        <v>244</v>
      </c>
      <c r="S74" s="46">
        <v>18</v>
      </c>
      <c r="T74" s="46">
        <v>9</v>
      </c>
      <c r="U74" s="46">
        <v>23</v>
      </c>
      <c r="V74" s="46">
        <v>0</v>
      </c>
      <c r="W74" s="46">
        <v>0</v>
      </c>
      <c r="X74" s="46">
        <v>14</v>
      </c>
      <c r="Y74" s="46">
        <v>6</v>
      </c>
      <c r="Z74" s="46">
        <f t="shared" si="61"/>
        <v>45.414760000000001</v>
      </c>
      <c r="AA74" s="46">
        <f t="shared" si="62"/>
        <v>47.795728000000004</v>
      </c>
      <c r="AB74" s="46">
        <f t="shared" si="70"/>
        <v>51.852192000000002</v>
      </c>
      <c r="AC74" s="46">
        <f t="shared" si="71"/>
        <v>244</v>
      </c>
      <c r="AD74" s="46">
        <f>233-41</f>
        <v>192</v>
      </c>
      <c r="AE74" s="46">
        <v>41</v>
      </c>
      <c r="AF74" s="59">
        <f t="shared" si="40"/>
        <v>-11</v>
      </c>
      <c r="AG74" s="46">
        <f t="shared" si="42"/>
        <v>21</v>
      </c>
      <c r="AH74" s="47">
        <f t="shared" si="43"/>
        <v>26.009142889097038</v>
      </c>
      <c r="AI74" s="47">
        <f t="shared" si="44"/>
        <v>27</v>
      </c>
      <c r="AJ74" s="47">
        <f t="shared" si="45"/>
        <v>23</v>
      </c>
      <c r="AK74" s="47">
        <f t="shared" si="46"/>
        <v>257.5</v>
      </c>
      <c r="AL74" s="48">
        <f t="shared" si="47"/>
        <v>0.25750000000000001</v>
      </c>
      <c r="AM74" s="46">
        <f t="shared" si="48"/>
        <v>45.374449339207047</v>
      </c>
      <c r="AN74" s="46">
        <f t="shared" si="49"/>
        <v>17.596566523605151</v>
      </c>
      <c r="AO74" s="46">
        <f t="shared" si="50"/>
        <v>201.06437768240343</v>
      </c>
      <c r="AP74" s="46">
        <f t="shared" si="51"/>
        <v>41.201716738197426</v>
      </c>
      <c r="AQ74" s="49">
        <f t="shared" si="52"/>
        <v>0.74146550037722092</v>
      </c>
      <c r="AR74" s="50">
        <f t="shared" si="53"/>
        <v>0.25853449962277902</v>
      </c>
      <c r="AS74" s="51">
        <f t="shared" si="54"/>
        <v>0.20106437768240343</v>
      </c>
      <c r="AT74" s="51">
        <f t="shared" si="55"/>
        <v>4.1201716738197426E-2</v>
      </c>
      <c r="AU74" s="51">
        <f t="shared" si="63"/>
        <v>0.24226609442060085</v>
      </c>
      <c r="AV74" s="52">
        <f t="shared" si="56"/>
        <v>193.90606475967911</v>
      </c>
      <c r="AW74" s="52">
        <f t="shared" si="57"/>
        <v>39.734849335999819</v>
      </c>
      <c r="AX74" s="15">
        <f t="shared" si="58"/>
        <v>0.19390606475967911</v>
      </c>
      <c r="AY74" s="15">
        <f t="shared" si="59"/>
        <v>3.9734849335999821E-2</v>
      </c>
      <c r="AZ74" s="15">
        <f t="shared" si="60"/>
        <v>0.23364091409567894</v>
      </c>
      <c r="BA74" s="61">
        <f t="shared" si="64"/>
        <v>17.35916230366492</v>
      </c>
      <c r="BB74" s="61">
        <v>4</v>
      </c>
      <c r="BC74" s="61">
        <f t="shared" si="65"/>
        <v>8.6795811518324602</v>
      </c>
      <c r="BD74" s="61">
        <v>17</v>
      </c>
      <c r="BE74" s="61">
        <f t="shared" si="66"/>
        <v>0</v>
      </c>
      <c r="BF74" s="61">
        <v>0</v>
      </c>
      <c r="BG74" s="61">
        <v>0</v>
      </c>
      <c r="BH74" s="61">
        <v>0</v>
      </c>
      <c r="BI74" s="56">
        <f t="shared" si="67"/>
        <v>47.038743455497382</v>
      </c>
      <c r="BJ74" s="57">
        <f t="shared" si="68"/>
        <v>0.17998245129031096</v>
      </c>
      <c r="BK74" s="58">
        <f t="shared" si="69"/>
        <v>0.11124563699825479</v>
      </c>
    </row>
    <row r="75" spans="1:63" ht="17.25" customHeight="1" x14ac:dyDescent="0.3">
      <c r="A75" s="41">
        <v>74</v>
      </c>
      <c r="B75" s="42">
        <v>46224</v>
      </c>
      <c r="C75" s="43" t="str">
        <f t="shared" si="39"/>
        <v>Jul-26</v>
      </c>
      <c r="D75" s="43" t="s">
        <v>68</v>
      </c>
      <c r="E75" s="43" t="s">
        <v>35</v>
      </c>
      <c r="F75" s="43" t="s">
        <v>41</v>
      </c>
      <c r="G75" s="14" t="s">
        <v>105</v>
      </c>
      <c r="H75" s="14" t="s">
        <v>60</v>
      </c>
      <c r="I75" s="14" t="s">
        <v>60</v>
      </c>
      <c r="J75" s="44" t="s">
        <v>60</v>
      </c>
      <c r="K75" s="44">
        <v>2026</v>
      </c>
      <c r="L75" s="44">
        <v>109</v>
      </c>
      <c r="M75" s="45">
        <v>1000</v>
      </c>
      <c r="N75" s="45">
        <v>173</v>
      </c>
      <c r="O75" s="45">
        <v>8.3000000000000007</v>
      </c>
      <c r="P75" s="46">
        <f t="shared" si="41"/>
        <v>286</v>
      </c>
      <c r="Q75" s="45">
        <v>7.9</v>
      </c>
      <c r="R75" s="46">
        <v>242</v>
      </c>
      <c r="S75" s="46">
        <v>10</v>
      </c>
      <c r="T75" s="46">
        <v>6</v>
      </c>
      <c r="U75" s="46">
        <v>28</v>
      </c>
      <c r="V75" s="46">
        <v>0</v>
      </c>
      <c r="W75" s="46">
        <v>0</v>
      </c>
      <c r="X75" s="46">
        <v>23</v>
      </c>
      <c r="Y75" s="46">
        <v>2</v>
      </c>
      <c r="Z75" s="46">
        <f t="shared" si="61"/>
        <v>44.091999999999999</v>
      </c>
      <c r="AA75" s="46">
        <f t="shared" si="62"/>
        <v>45.502944000000006</v>
      </c>
      <c r="AB75" s="46">
        <f t="shared" si="70"/>
        <v>50.441248000000002</v>
      </c>
      <c r="AC75" s="46">
        <f t="shared" si="71"/>
        <v>242</v>
      </c>
      <c r="AD75" s="46">
        <f>232-41</f>
        <v>191</v>
      </c>
      <c r="AE75" s="46">
        <v>41</v>
      </c>
      <c r="AF75" s="59">
        <f t="shared" si="40"/>
        <v>-10</v>
      </c>
      <c r="AG75" s="46">
        <f t="shared" si="42"/>
        <v>20</v>
      </c>
      <c r="AH75" s="47">
        <f t="shared" si="43"/>
        <v>24.786588790295408</v>
      </c>
      <c r="AI75" s="47">
        <f t="shared" si="44"/>
        <v>16</v>
      </c>
      <c r="AJ75" s="47">
        <f t="shared" si="45"/>
        <v>28</v>
      </c>
      <c r="AK75" s="47">
        <f t="shared" si="46"/>
        <v>250</v>
      </c>
      <c r="AL75" s="48">
        <f t="shared" si="47"/>
        <v>0.25</v>
      </c>
      <c r="AM75" s="46">
        <f t="shared" si="48"/>
        <v>44.052863436123346</v>
      </c>
      <c r="AN75" s="46">
        <f t="shared" si="49"/>
        <v>17.672413793103448</v>
      </c>
      <c r="AO75" s="46">
        <f t="shared" si="50"/>
        <v>199.23275862068965</v>
      </c>
      <c r="AP75" s="46">
        <f t="shared" si="51"/>
        <v>36.224137931034484</v>
      </c>
      <c r="AQ75" s="49">
        <f t="shared" si="52"/>
        <v>0.75948745178218391</v>
      </c>
      <c r="AR75" s="50">
        <f t="shared" si="53"/>
        <v>0.24051254821781612</v>
      </c>
      <c r="AS75" s="51">
        <f t="shared" si="54"/>
        <v>0.19923275862068965</v>
      </c>
      <c r="AT75" s="51">
        <f t="shared" si="55"/>
        <v>3.6224137931034482E-2</v>
      </c>
      <c r="AU75" s="51">
        <f t="shared" si="63"/>
        <v>0.23545689655172414</v>
      </c>
      <c r="AV75" s="52">
        <f t="shared" si="56"/>
        <v>192.1396551724138</v>
      </c>
      <c r="AW75" s="52">
        <f t="shared" si="57"/>
        <v>34.934482758620689</v>
      </c>
      <c r="AX75" s="15">
        <f t="shared" si="58"/>
        <v>0.1921396551724138</v>
      </c>
      <c r="AY75" s="15">
        <f t="shared" si="59"/>
        <v>3.493448275862069E-2</v>
      </c>
      <c r="AZ75" s="15">
        <f t="shared" si="60"/>
        <v>0.22707413793103448</v>
      </c>
      <c r="BA75" s="61">
        <f t="shared" si="64"/>
        <v>9.6439790575916238</v>
      </c>
      <c r="BB75" s="61">
        <v>5</v>
      </c>
      <c r="BC75" s="61">
        <f t="shared" si="65"/>
        <v>5.7863874345549728</v>
      </c>
      <c r="BD75" s="61">
        <v>15</v>
      </c>
      <c r="BE75" s="61">
        <f t="shared" si="66"/>
        <v>0</v>
      </c>
      <c r="BF75" s="61">
        <v>0</v>
      </c>
      <c r="BG75" s="61">
        <v>0</v>
      </c>
      <c r="BH75" s="61">
        <v>0</v>
      </c>
      <c r="BI75" s="56">
        <f t="shared" si="67"/>
        <v>35.430366492146597</v>
      </c>
      <c r="BJ75" s="57">
        <f t="shared" si="68"/>
        <v>0.14239661978469645</v>
      </c>
      <c r="BK75" s="58">
        <f t="shared" si="69"/>
        <v>7.6670047421945678E-2</v>
      </c>
    </row>
    <row r="76" spans="1:63" ht="17.25" customHeight="1" x14ac:dyDescent="0.3">
      <c r="A76" s="41">
        <v>75</v>
      </c>
      <c r="B76" s="42">
        <v>46225</v>
      </c>
      <c r="C76" s="43" t="str">
        <f t="shared" si="39"/>
        <v>Jul-26</v>
      </c>
      <c r="D76" s="43" t="s">
        <v>68</v>
      </c>
      <c r="E76" s="43" t="s">
        <v>35</v>
      </c>
      <c r="F76" s="43" t="s">
        <v>41</v>
      </c>
      <c r="G76" s="14" t="s">
        <v>105</v>
      </c>
      <c r="H76" s="14" t="s">
        <v>60</v>
      </c>
      <c r="I76" s="14" t="s">
        <v>60</v>
      </c>
      <c r="J76" s="44" t="s">
        <v>60</v>
      </c>
      <c r="K76" s="44">
        <v>2026</v>
      </c>
      <c r="L76" s="44">
        <v>110</v>
      </c>
      <c r="M76" s="45">
        <v>1000</v>
      </c>
      <c r="N76" s="45">
        <v>173</v>
      </c>
      <c r="O76" s="45">
        <v>7.7</v>
      </c>
      <c r="P76" s="46">
        <f t="shared" si="41"/>
        <v>286</v>
      </c>
      <c r="Q76" s="45">
        <v>7.1</v>
      </c>
      <c r="R76" s="46">
        <v>225</v>
      </c>
      <c r="S76" s="46">
        <v>17</v>
      </c>
      <c r="T76" s="46">
        <v>6</v>
      </c>
      <c r="U76" s="46">
        <v>38</v>
      </c>
      <c r="V76" s="46">
        <v>0</v>
      </c>
      <c r="W76" s="46">
        <v>0</v>
      </c>
      <c r="X76" s="46">
        <v>22</v>
      </c>
      <c r="Y76" s="46">
        <v>5</v>
      </c>
      <c r="Z76" s="46">
        <f t="shared" si="61"/>
        <v>41.711031999999996</v>
      </c>
      <c r="AA76" s="46">
        <f t="shared" si="62"/>
        <v>43.739264000000006</v>
      </c>
      <c r="AB76" s="46">
        <f t="shared" si="70"/>
        <v>50.441248000000002</v>
      </c>
      <c r="AC76" s="46">
        <f t="shared" si="71"/>
        <v>225</v>
      </c>
      <c r="AD76" s="46">
        <f>214-37</f>
        <v>177</v>
      </c>
      <c r="AE76" s="46">
        <v>37</v>
      </c>
      <c r="AF76" s="59">
        <f t="shared" si="40"/>
        <v>-11</v>
      </c>
      <c r="AG76" s="46">
        <f t="shared" si="42"/>
        <v>13</v>
      </c>
      <c r="AH76" s="47">
        <f t="shared" si="43"/>
        <v>15.920595957868475</v>
      </c>
      <c r="AI76" s="47">
        <f t="shared" si="44"/>
        <v>23</v>
      </c>
      <c r="AJ76" s="47">
        <f t="shared" si="45"/>
        <v>38</v>
      </c>
      <c r="AK76" s="47">
        <f t="shared" si="46"/>
        <v>236.5</v>
      </c>
      <c r="AL76" s="48">
        <f t="shared" si="47"/>
        <v>0.23649999999999999</v>
      </c>
      <c r="AM76" s="46">
        <f t="shared" si="48"/>
        <v>41.674008810572687</v>
      </c>
      <c r="AN76" s="46">
        <f t="shared" si="49"/>
        <v>17.289719626168225</v>
      </c>
      <c r="AO76" s="46">
        <f t="shared" si="50"/>
        <v>186.0981308411215</v>
      </c>
      <c r="AP76" s="46">
        <f t="shared" si="51"/>
        <v>50.453271028037385</v>
      </c>
      <c r="AQ76" s="49">
        <f t="shared" si="52"/>
        <v>0.7310468672801802</v>
      </c>
      <c r="AR76" s="50">
        <f t="shared" si="53"/>
        <v>0.26895313271981985</v>
      </c>
      <c r="AS76" s="51">
        <f t="shared" si="54"/>
        <v>0.18609813084112151</v>
      </c>
      <c r="AT76" s="51">
        <f t="shared" si="55"/>
        <v>5.0453271028037386E-2</v>
      </c>
      <c r="AU76" s="51">
        <f t="shared" si="63"/>
        <v>0.23655140186915891</v>
      </c>
      <c r="AV76" s="52">
        <f t="shared" si="56"/>
        <v>181.03158487057789</v>
      </c>
      <c r="AW76" s="52">
        <f t="shared" si="57"/>
        <v>49.079674120467779</v>
      </c>
      <c r="AX76" s="15">
        <f t="shared" si="58"/>
        <v>0.18103158487057788</v>
      </c>
      <c r="AY76" s="15">
        <f t="shared" si="59"/>
        <v>4.9079674120467778E-2</v>
      </c>
      <c r="AZ76" s="15">
        <f t="shared" si="60"/>
        <v>0.23011125899104568</v>
      </c>
      <c r="BA76" s="61">
        <f t="shared" si="64"/>
        <v>16.537172774869113</v>
      </c>
      <c r="BB76" s="61">
        <v>4</v>
      </c>
      <c r="BC76" s="61">
        <f t="shared" si="65"/>
        <v>5.8366492146596869</v>
      </c>
      <c r="BD76" s="61">
        <v>9</v>
      </c>
      <c r="BE76" s="61">
        <f t="shared" si="66"/>
        <v>0</v>
      </c>
      <c r="BF76" s="61">
        <v>0</v>
      </c>
      <c r="BG76" s="61">
        <v>0</v>
      </c>
      <c r="BH76" s="61">
        <v>0</v>
      </c>
      <c r="BI76" s="56">
        <f t="shared" si="67"/>
        <v>35.3738219895288</v>
      </c>
      <c r="BJ76" s="57">
        <f t="shared" si="68"/>
        <v>0.14662835515122052</v>
      </c>
      <c r="BK76" s="58">
        <f t="shared" si="69"/>
        <v>0.11602922471677465</v>
      </c>
    </row>
    <row r="77" spans="1:63" ht="17.25" customHeight="1" x14ac:dyDescent="0.3">
      <c r="A77" s="41">
        <v>76</v>
      </c>
      <c r="B77" s="42">
        <v>46225</v>
      </c>
      <c r="C77" s="43" t="str">
        <f t="shared" si="39"/>
        <v>Jul-26</v>
      </c>
      <c r="D77" s="43" t="s">
        <v>68</v>
      </c>
      <c r="E77" s="43" t="s">
        <v>35</v>
      </c>
      <c r="F77" s="43" t="s">
        <v>41</v>
      </c>
      <c r="G77" s="14" t="s">
        <v>105</v>
      </c>
      <c r="H77" s="14" t="s">
        <v>60</v>
      </c>
      <c r="I77" s="14" t="s">
        <v>60</v>
      </c>
      <c r="J77" s="44" t="s">
        <v>60</v>
      </c>
      <c r="K77" s="44">
        <v>2026</v>
      </c>
      <c r="L77" s="44">
        <v>110</v>
      </c>
      <c r="M77" s="45">
        <v>1000</v>
      </c>
      <c r="N77" s="45">
        <v>173</v>
      </c>
      <c r="O77" s="45">
        <v>7.7</v>
      </c>
      <c r="P77" s="46">
        <f t="shared" si="41"/>
        <v>289</v>
      </c>
      <c r="Q77" s="45">
        <v>7.1</v>
      </c>
      <c r="R77" s="46">
        <v>238</v>
      </c>
      <c r="S77" s="46">
        <v>13</v>
      </c>
      <c r="T77" s="46">
        <v>8</v>
      </c>
      <c r="U77" s="46">
        <v>28</v>
      </c>
      <c r="V77" s="46">
        <v>0</v>
      </c>
      <c r="W77" s="46">
        <v>2</v>
      </c>
      <c r="X77" s="46">
        <v>19</v>
      </c>
      <c r="Y77" s="46">
        <v>3</v>
      </c>
      <c r="Z77" s="46">
        <f t="shared" si="61"/>
        <v>43.827448000000004</v>
      </c>
      <c r="AA77" s="46">
        <f t="shared" si="62"/>
        <v>45.679312000000003</v>
      </c>
      <c r="AB77" s="46">
        <f t="shared" si="70"/>
        <v>50.970352000000005</v>
      </c>
      <c r="AC77" s="46">
        <f t="shared" si="71"/>
        <v>238</v>
      </c>
      <c r="AD77" s="46">
        <f>227-32</f>
        <v>195</v>
      </c>
      <c r="AE77" s="46">
        <v>32</v>
      </c>
      <c r="AF77" s="59">
        <f t="shared" si="40"/>
        <v>-11</v>
      </c>
      <c r="AG77" s="46">
        <f t="shared" si="42"/>
        <v>20</v>
      </c>
      <c r="AH77" s="47">
        <f t="shared" si="43"/>
        <v>23.826481982900471</v>
      </c>
      <c r="AI77" s="47">
        <f t="shared" si="44"/>
        <v>21</v>
      </c>
      <c r="AJ77" s="47">
        <f t="shared" si="45"/>
        <v>30</v>
      </c>
      <c r="AK77" s="47">
        <f t="shared" si="46"/>
        <v>248.5</v>
      </c>
      <c r="AL77" s="48">
        <f t="shared" si="47"/>
        <v>0.2485</v>
      </c>
      <c r="AM77" s="46">
        <f t="shared" si="48"/>
        <v>43.78854625550661</v>
      </c>
      <c r="AN77" s="46">
        <f t="shared" si="49"/>
        <v>14.096916299559471</v>
      </c>
      <c r="AO77" s="46">
        <f t="shared" si="50"/>
        <v>204.44933920704847</v>
      </c>
      <c r="AP77" s="46">
        <f t="shared" si="51"/>
        <v>43.810572687224671</v>
      </c>
      <c r="AQ77" s="49">
        <f t="shared" si="52"/>
        <v>0.74108483742941011</v>
      </c>
      <c r="AR77" s="50">
        <f t="shared" si="53"/>
        <v>0.25891516257058989</v>
      </c>
      <c r="AS77" s="51">
        <f t="shared" si="54"/>
        <v>0.20444933920704847</v>
      </c>
      <c r="AT77" s="51">
        <f t="shared" si="55"/>
        <v>4.3810572687224672E-2</v>
      </c>
      <c r="AU77" s="51">
        <f t="shared" si="63"/>
        <v>0.24825991189427316</v>
      </c>
      <c r="AV77" s="52">
        <f t="shared" si="56"/>
        <v>198.88317918675187</v>
      </c>
      <c r="AW77" s="52">
        <f t="shared" si="57"/>
        <v>42.617824111446829</v>
      </c>
      <c r="AX77" s="15">
        <f t="shared" si="58"/>
        <v>0.19888317918675189</v>
      </c>
      <c r="AY77" s="15">
        <f t="shared" si="59"/>
        <v>4.261782411144683E-2</v>
      </c>
      <c r="AZ77" s="15">
        <f t="shared" si="60"/>
        <v>0.24150100329819871</v>
      </c>
      <c r="BA77" s="61">
        <f t="shared" si="64"/>
        <v>12.64607329842932</v>
      </c>
      <c r="BB77" s="61">
        <v>5</v>
      </c>
      <c r="BC77" s="61">
        <f t="shared" si="65"/>
        <v>7.7821989528795816</v>
      </c>
      <c r="BD77" s="61">
        <v>15</v>
      </c>
      <c r="BE77" s="61">
        <f t="shared" si="66"/>
        <v>1.9455497382198954</v>
      </c>
      <c r="BF77" s="61">
        <v>0</v>
      </c>
      <c r="BG77" s="61">
        <v>0</v>
      </c>
      <c r="BH77" s="61">
        <v>0</v>
      </c>
      <c r="BI77" s="56">
        <f t="shared" si="67"/>
        <v>42.3738219895288</v>
      </c>
      <c r="BJ77" s="57">
        <f t="shared" si="68"/>
        <v>0.16818433072469671</v>
      </c>
      <c r="BK77" s="58">
        <f t="shared" si="69"/>
        <v>9.0492683581688826E-2</v>
      </c>
    </row>
    <row r="78" spans="1:63" ht="17.25" customHeight="1" x14ac:dyDescent="0.3">
      <c r="A78" s="41">
        <v>77</v>
      </c>
      <c r="B78" s="42">
        <v>46226</v>
      </c>
      <c r="C78" s="43" t="str">
        <f t="shared" si="39"/>
        <v>Jul-26</v>
      </c>
      <c r="D78" s="43" t="s">
        <v>68</v>
      </c>
      <c r="E78" s="43" t="s">
        <v>35</v>
      </c>
      <c r="F78" s="43" t="s">
        <v>41</v>
      </c>
      <c r="G78" s="14" t="s">
        <v>105</v>
      </c>
      <c r="H78" s="14" t="s">
        <v>60</v>
      </c>
      <c r="I78" s="14" t="s">
        <v>60</v>
      </c>
      <c r="J78" s="44" t="s">
        <v>60</v>
      </c>
      <c r="K78" s="44">
        <v>2026</v>
      </c>
      <c r="L78" s="44">
        <v>111</v>
      </c>
      <c r="M78" s="45">
        <v>1000</v>
      </c>
      <c r="N78" s="45">
        <v>176</v>
      </c>
      <c r="O78" s="45">
        <v>8.4</v>
      </c>
      <c r="P78" s="46">
        <f t="shared" si="41"/>
        <v>281</v>
      </c>
      <c r="Q78" s="45">
        <v>7.1</v>
      </c>
      <c r="R78" s="46">
        <v>225</v>
      </c>
      <c r="S78" s="46">
        <v>22</v>
      </c>
      <c r="T78" s="46">
        <v>7</v>
      </c>
      <c r="U78" s="46">
        <v>27</v>
      </c>
      <c r="V78" s="46">
        <v>0</v>
      </c>
      <c r="W78" s="46">
        <v>0</v>
      </c>
      <c r="X78" s="46">
        <v>21</v>
      </c>
      <c r="Y78" s="46">
        <v>5</v>
      </c>
      <c r="Z78" s="46">
        <f t="shared" si="61"/>
        <v>42.240136</v>
      </c>
      <c r="AA78" s="46">
        <f t="shared" si="62"/>
        <v>44.797471999999999</v>
      </c>
      <c r="AB78" s="46">
        <f t="shared" si="70"/>
        <v>49.559408000000005</v>
      </c>
      <c r="AC78" s="46">
        <f t="shared" si="71"/>
        <v>225</v>
      </c>
      <c r="AD78" s="46">
        <f>216-33</f>
        <v>183</v>
      </c>
      <c r="AE78" s="46">
        <v>33</v>
      </c>
      <c r="AF78" s="59">
        <f t="shared" si="40"/>
        <v>-9</v>
      </c>
      <c r="AG78" s="46">
        <f t="shared" si="42"/>
        <v>20</v>
      </c>
      <c r="AH78" s="47">
        <f t="shared" si="43"/>
        <v>24.073077383088147</v>
      </c>
      <c r="AI78" s="47">
        <f t="shared" si="44"/>
        <v>29</v>
      </c>
      <c r="AJ78" s="47">
        <f t="shared" si="45"/>
        <v>27</v>
      </c>
      <c r="AK78" s="47">
        <f t="shared" si="46"/>
        <v>239.5</v>
      </c>
      <c r="AL78" s="48">
        <f t="shared" si="47"/>
        <v>0.23949999999999999</v>
      </c>
      <c r="AM78" s="46">
        <f t="shared" si="48"/>
        <v>42.202643171806166</v>
      </c>
      <c r="AN78" s="46">
        <f t="shared" si="49"/>
        <v>15.277777777777777</v>
      </c>
      <c r="AO78" s="46">
        <f t="shared" si="50"/>
        <v>190.62500000000003</v>
      </c>
      <c r="AP78" s="46">
        <f t="shared" si="51"/>
        <v>47.44444444444445</v>
      </c>
      <c r="AQ78" s="49">
        <f t="shared" si="52"/>
        <v>0.71504242924167916</v>
      </c>
      <c r="AR78" s="50">
        <f t="shared" si="53"/>
        <v>0.28495757075832079</v>
      </c>
      <c r="AS78" s="51">
        <f t="shared" si="54"/>
        <v>0.19062500000000002</v>
      </c>
      <c r="AT78" s="51">
        <f t="shared" si="55"/>
        <v>4.7444444444444449E-2</v>
      </c>
      <c r="AU78" s="51">
        <f t="shared" si="63"/>
        <v>0.23806944444444447</v>
      </c>
      <c r="AV78" s="52">
        <f t="shared" si="56"/>
        <v>185.43520942408381</v>
      </c>
      <c r="AW78" s="52">
        <f t="shared" si="57"/>
        <v>46.15276323443863</v>
      </c>
      <c r="AX78" s="15">
        <f t="shared" si="58"/>
        <v>0.18543520942408381</v>
      </c>
      <c r="AY78" s="15">
        <f t="shared" si="59"/>
        <v>4.6152763234438628E-2</v>
      </c>
      <c r="AZ78" s="15">
        <f t="shared" si="60"/>
        <v>0.23158797265852243</v>
      </c>
      <c r="BA78" s="61">
        <f t="shared" si="64"/>
        <v>21.401047120418848</v>
      </c>
      <c r="BB78" s="61">
        <v>5</v>
      </c>
      <c r="BC78" s="61">
        <f t="shared" si="65"/>
        <v>6.8094240837696338</v>
      </c>
      <c r="BD78" s="61">
        <v>15</v>
      </c>
      <c r="BE78" s="61">
        <f t="shared" si="66"/>
        <v>0</v>
      </c>
      <c r="BF78" s="61">
        <v>0</v>
      </c>
      <c r="BG78" s="61">
        <v>0</v>
      </c>
      <c r="BH78" s="61">
        <v>0</v>
      </c>
      <c r="BI78" s="56">
        <f t="shared" si="67"/>
        <v>48.21047120418848</v>
      </c>
      <c r="BJ78" s="57">
        <f t="shared" si="68"/>
        <v>0.19511709314053716</v>
      </c>
      <c r="BK78" s="58">
        <f t="shared" si="69"/>
        <v>0.14426801705146911</v>
      </c>
    </row>
    <row r="79" spans="1:63" ht="17.25" customHeight="1" x14ac:dyDescent="0.3">
      <c r="A79" s="41">
        <v>78</v>
      </c>
      <c r="B79" s="42">
        <v>46226</v>
      </c>
      <c r="C79" s="43" t="str">
        <f t="shared" si="39"/>
        <v>Jul-26</v>
      </c>
      <c r="D79" s="43" t="s">
        <v>68</v>
      </c>
      <c r="E79" s="43" t="s">
        <v>35</v>
      </c>
      <c r="F79" s="43" t="s">
        <v>41</v>
      </c>
      <c r="G79" s="14" t="s">
        <v>105</v>
      </c>
      <c r="H79" s="14" t="s">
        <v>60</v>
      </c>
      <c r="I79" s="14" t="s">
        <v>60</v>
      </c>
      <c r="J79" s="44" t="s">
        <v>60</v>
      </c>
      <c r="K79" s="44">
        <v>2026</v>
      </c>
      <c r="L79" s="44">
        <v>111</v>
      </c>
      <c r="M79" s="45">
        <v>1000</v>
      </c>
      <c r="N79" s="45">
        <v>176</v>
      </c>
      <c r="O79" s="45">
        <v>8.4</v>
      </c>
      <c r="P79" s="46">
        <f t="shared" si="41"/>
        <v>285</v>
      </c>
      <c r="Q79" s="45">
        <v>7.1</v>
      </c>
      <c r="R79" s="46">
        <v>229</v>
      </c>
      <c r="S79" s="46">
        <v>15</v>
      </c>
      <c r="T79" s="46">
        <v>5</v>
      </c>
      <c r="U79" s="46">
        <v>34</v>
      </c>
      <c r="V79" s="46">
        <v>0</v>
      </c>
      <c r="W79" s="46">
        <v>2</v>
      </c>
      <c r="X79" s="46">
        <v>29</v>
      </c>
      <c r="Y79" s="46">
        <v>6</v>
      </c>
      <c r="Z79" s="46">
        <f t="shared" si="61"/>
        <v>42.151952000000001</v>
      </c>
      <c r="AA79" s="46">
        <f t="shared" si="62"/>
        <v>43.915632000000002</v>
      </c>
      <c r="AB79" s="46">
        <f t="shared" si="70"/>
        <v>50.264880000000005</v>
      </c>
      <c r="AC79" s="46">
        <f t="shared" si="71"/>
        <v>229</v>
      </c>
      <c r="AD79" s="46">
        <f>220-36</f>
        <v>184</v>
      </c>
      <c r="AE79" s="46">
        <v>36</v>
      </c>
      <c r="AF79" s="59">
        <f t="shared" si="40"/>
        <v>-9</v>
      </c>
      <c r="AG79" s="46">
        <f t="shared" si="42"/>
        <v>16</v>
      </c>
      <c r="AH79" s="47">
        <f t="shared" si="43"/>
        <v>19.439866914570896</v>
      </c>
      <c r="AI79" s="47">
        <f t="shared" si="44"/>
        <v>20</v>
      </c>
      <c r="AJ79" s="47">
        <f t="shared" si="45"/>
        <v>36</v>
      </c>
      <c r="AK79" s="47">
        <f t="shared" si="46"/>
        <v>239</v>
      </c>
      <c r="AL79" s="48">
        <f t="shared" si="47"/>
        <v>0.23899999999999999</v>
      </c>
      <c r="AM79" s="46">
        <f t="shared" si="48"/>
        <v>42.114537444933923</v>
      </c>
      <c r="AN79" s="46">
        <f t="shared" si="49"/>
        <v>16.363636363636363</v>
      </c>
      <c r="AO79" s="46">
        <f t="shared" si="50"/>
        <v>191.52727272727273</v>
      </c>
      <c r="AP79" s="46">
        <f t="shared" si="51"/>
        <v>46.836363636363643</v>
      </c>
      <c r="AQ79" s="49">
        <f t="shared" si="52"/>
        <v>0.73529871258045298</v>
      </c>
      <c r="AR79" s="50">
        <f t="shared" si="53"/>
        <v>0.26470128741954702</v>
      </c>
      <c r="AS79" s="51">
        <f t="shared" si="54"/>
        <v>0.19152727272727274</v>
      </c>
      <c r="AT79" s="51">
        <f t="shared" si="55"/>
        <v>4.6836363636363641E-2</v>
      </c>
      <c r="AU79" s="51">
        <f t="shared" si="63"/>
        <v>0.23836363636363639</v>
      </c>
      <c r="AV79" s="52">
        <f t="shared" si="56"/>
        <v>186.31291765825799</v>
      </c>
      <c r="AW79" s="52">
        <f t="shared" si="57"/>
        <v>45.561237505949556</v>
      </c>
      <c r="AX79" s="15">
        <f t="shared" si="58"/>
        <v>0.186312917658258</v>
      </c>
      <c r="AY79" s="15">
        <f t="shared" si="59"/>
        <v>4.5561237505949558E-2</v>
      </c>
      <c r="AZ79" s="15">
        <f t="shared" si="60"/>
        <v>0.23187415516420756</v>
      </c>
      <c r="BA79" s="61">
        <f t="shared" si="64"/>
        <v>14.591623036649215</v>
      </c>
      <c r="BB79" s="61">
        <v>4</v>
      </c>
      <c r="BC79" s="61">
        <f t="shared" si="65"/>
        <v>4.8638743455497382</v>
      </c>
      <c r="BD79" s="61">
        <v>12</v>
      </c>
      <c r="BE79" s="61">
        <f t="shared" si="66"/>
        <v>1.9455497382198954</v>
      </c>
      <c r="BF79" s="61">
        <v>0</v>
      </c>
      <c r="BG79" s="61">
        <v>0</v>
      </c>
      <c r="BH79" s="61">
        <v>0</v>
      </c>
      <c r="BI79" s="56">
        <f t="shared" si="67"/>
        <v>37.401047120418852</v>
      </c>
      <c r="BJ79" s="57">
        <f t="shared" si="68"/>
        <v>0.15440880853878375</v>
      </c>
      <c r="BK79" s="58">
        <f t="shared" si="69"/>
        <v>0.10104142954700661</v>
      </c>
    </row>
    <row r="80" spans="1:63" ht="17.25" customHeight="1" x14ac:dyDescent="0.3">
      <c r="A80" s="41">
        <v>79</v>
      </c>
      <c r="B80" s="42">
        <v>46227</v>
      </c>
      <c r="C80" s="43" t="str">
        <f t="shared" si="39"/>
        <v>Jul-26</v>
      </c>
      <c r="D80" s="43" t="s">
        <v>68</v>
      </c>
      <c r="E80" s="43" t="s">
        <v>35</v>
      </c>
      <c r="F80" s="43" t="s">
        <v>41</v>
      </c>
      <c r="G80" s="14" t="s">
        <v>105</v>
      </c>
      <c r="H80" s="14" t="s">
        <v>60</v>
      </c>
      <c r="I80" s="14" t="s">
        <v>60</v>
      </c>
      <c r="J80" s="44" t="s">
        <v>60</v>
      </c>
      <c r="K80" s="44">
        <v>2026</v>
      </c>
      <c r="L80" s="44">
        <v>112</v>
      </c>
      <c r="M80" s="45">
        <v>1000</v>
      </c>
      <c r="N80" s="45">
        <v>173</v>
      </c>
      <c r="O80" s="45">
        <v>8.5</v>
      </c>
      <c r="P80" s="46">
        <f t="shared" si="41"/>
        <v>280</v>
      </c>
      <c r="Q80" s="45">
        <v>7.2</v>
      </c>
      <c r="R80" s="46">
        <v>237</v>
      </c>
      <c r="S80" s="46">
        <v>10</v>
      </c>
      <c r="T80" s="46">
        <v>4</v>
      </c>
      <c r="U80" s="46">
        <v>29</v>
      </c>
      <c r="V80" s="46">
        <v>0</v>
      </c>
      <c r="W80" s="46">
        <v>0</v>
      </c>
      <c r="X80" s="46">
        <v>34</v>
      </c>
      <c r="Y80" s="46">
        <v>3</v>
      </c>
      <c r="Z80" s="46">
        <f t="shared" si="61"/>
        <v>43.033791999999998</v>
      </c>
      <c r="AA80" s="46">
        <f t="shared" si="62"/>
        <v>44.268368000000002</v>
      </c>
      <c r="AB80" s="46">
        <f t="shared" si="70"/>
        <v>49.383040000000001</v>
      </c>
      <c r="AC80" s="46">
        <f t="shared" si="71"/>
        <v>237</v>
      </c>
      <c r="AD80" s="46">
        <f>228-36</f>
        <v>192</v>
      </c>
      <c r="AE80" s="46">
        <v>36</v>
      </c>
      <c r="AF80" s="59">
        <f t="shared" si="40"/>
        <v>-9</v>
      </c>
      <c r="AG80" s="46">
        <f t="shared" si="42"/>
        <v>24</v>
      </c>
      <c r="AH80" s="47">
        <f t="shared" si="43"/>
        <v>29.047186932849367</v>
      </c>
      <c r="AI80" s="47">
        <f t="shared" si="44"/>
        <v>14</v>
      </c>
      <c r="AJ80" s="47">
        <f t="shared" si="45"/>
        <v>29</v>
      </c>
      <c r="AK80" s="47">
        <f t="shared" si="46"/>
        <v>244</v>
      </c>
      <c r="AL80" s="48">
        <f t="shared" si="47"/>
        <v>0.24399999999999999</v>
      </c>
      <c r="AM80" s="46">
        <f t="shared" si="48"/>
        <v>42.995594713656388</v>
      </c>
      <c r="AN80" s="46">
        <f t="shared" si="49"/>
        <v>15.789473684210527</v>
      </c>
      <c r="AO80" s="46">
        <f t="shared" si="50"/>
        <v>199.57894736842107</v>
      </c>
      <c r="AP80" s="46">
        <f t="shared" si="51"/>
        <v>36.21052631578948</v>
      </c>
      <c r="AQ80" s="49">
        <f t="shared" si="52"/>
        <v>0.74268861809696651</v>
      </c>
      <c r="AR80" s="50">
        <f t="shared" si="53"/>
        <v>0.25731138190303349</v>
      </c>
      <c r="AS80" s="51">
        <f t="shared" si="54"/>
        <v>0.19957894736842108</v>
      </c>
      <c r="AT80" s="51">
        <f t="shared" si="55"/>
        <v>3.6210526315789478E-2</v>
      </c>
      <c r="AU80" s="51">
        <f t="shared" si="63"/>
        <v>0.23578947368421055</v>
      </c>
      <c r="AV80" s="52">
        <f t="shared" si="56"/>
        <v>193.93640121245522</v>
      </c>
      <c r="AW80" s="52">
        <f t="shared" si="57"/>
        <v>35.186773215761924</v>
      </c>
      <c r="AX80" s="15">
        <f t="shared" si="58"/>
        <v>0.19393640121245523</v>
      </c>
      <c r="AY80" s="15">
        <f t="shared" si="59"/>
        <v>3.5186773215761927E-2</v>
      </c>
      <c r="AZ80" s="15">
        <f t="shared" si="60"/>
        <v>0.22912317442821717</v>
      </c>
      <c r="BA80" s="61">
        <f t="shared" si="64"/>
        <v>9.7172774869109944</v>
      </c>
      <c r="BB80" s="61">
        <v>7</v>
      </c>
      <c r="BC80" s="61">
        <f t="shared" si="65"/>
        <v>3.8869109947643978</v>
      </c>
      <c r="BD80" s="61">
        <v>17</v>
      </c>
      <c r="BE80" s="61">
        <f t="shared" si="66"/>
        <v>0</v>
      </c>
      <c r="BF80" s="61">
        <v>0</v>
      </c>
      <c r="BG80" s="61">
        <v>0</v>
      </c>
      <c r="BH80" s="61">
        <v>0</v>
      </c>
      <c r="BI80" s="56">
        <f t="shared" si="67"/>
        <v>37.604188481675394</v>
      </c>
      <c r="BJ80" s="57">
        <f t="shared" si="68"/>
        <v>0.15417639785684847</v>
      </c>
      <c r="BK80" s="58">
        <f t="shared" si="69"/>
        <v>8.7069153577661429E-2</v>
      </c>
    </row>
    <row r="81" spans="1:63" ht="17.25" customHeight="1" x14ac:dyDescent="0.3">
      <c r="A81" s="41">
        <v>80</v>
      </c>
      <c r="B81" s="42">
        <v>46227</v>
      </c>
      <c r="C81" s="43" t="str">
        <f t="shared" si="39"/>
        <v>Jul-26</v>
      </c>
      <c r="D81" s="43" t="s">
        <v>68</v>
      </c>
      <c r="E81" s="43" t="s">
        <v>35</v>
      </c>
      <c r="F81" s="43" t="s">
        <v>41</v>
      </c>
      <c r="G81" s="14" t="s">
        <v>105</v>
      </c>
      <c r="H81" s="14" t="s">
        <v>60</v>
      </c>
      <c r="I81" s="14" t="s">
        <v>60</v>
      </c>
      <c r="J81" s="44" t="s">
        <v>60</v>
      </c>
      <c r="K81" s="44">
        <v>2026</v>
      </c>
      <c r="L81" s="44">
        <v>112</v>
      </c>
      <c r="M81" s="45">
        <v>1000</v>
      </c>
      <c r="N81" s="45">
        <v>173</v>
      </c>
      <c r="O81" s="45">
        <v>8.5</v>
      </c>
      <c r="P81" s="46">
        <f t="shared" si="41"/>
        <v>278</v>
      </c>
      <c r="Q81" s="45">
        <v>7.2</v>
      </c>
      <c r="R81" s="46">
        <v>226</v>
      </c>
      <c r="S81" s="46">
        <v>9</v>
      </c>
      <c r="T81" s="46">
        <v>6</v>
      </c>
      <c r="U81" s="46">
        <v>33</v>
      </c>
      <c r="V81" s="46">
        <v>0</v>
      </c>
      <c r="W81" s="46">
        <v>4</v>
      </c>
      <c r="X81" s="46">
        <v>38</v>
      </c>
      <c r="Y81" s="46">
        <v>7</v>
      </c>
      <c r="Z81" s="46">
        <f t="shared" si="61"/>
        <v>41.181927999999999</v>
      </c>
      <c r="AA81" s="46">
        <f t="shared" si="62"/>
        <v>42.504688000000002</v>
      </c>
      <c r="AB81" s="46">
        <f t="shared" si="70"/>
        <v>49.030304000000001</v>
      </c>
      <c r="AC81" s="46">
        <f t="shared" si="71"/>
        <v>226</v>
      </c>
      <c r="AD81" s="46">
        <f>213-35</f>
        <v>178</v>
      </c>
      <c r="AE81" s="46">
        <v>35</v>
      </c>
      <c r="AF81" s="59">
        <f t="shared" si="40"/>
        <v>-13</v>
      </c>
      <c r="AG81" s="46">
        <f t="shared" si="42"/>
        <v>18</v>
      </c>
      <c r="AH81" s="47">
        <f t="shared" si="43"/>
        <v>21.906265177270519</v>
      </c>
      <c r="AI81" s="47">
        <f t="shared" si="44"/>
        <v>15</v>
      </c>
      <c r="AJ81" s="47">
        <f t="shared" si="45"/>
        <v>37</v>
      </c>
      <c r="AK81" s="47">
        <f t="shared" si="46"/>
        <v>233.5</v>
      </c>
      <c r="AL81" s="48">
        <f t="shared" si="47"/>
        <v>0.23350000000000001</v>
      </c>
      <c r="AM81" s="46">
        <f t="shared" si="48"/>
        <v>41.145374449339208</v>
      </c>
      <c r="AN81" s="46">
        <f t="shared" si="49"/>
        <v>16.431924882629108</v>
      </c>
      <c r="AO81" s="46">
        <f t="shared" si="50"/>
        <v>188.86384976525824</v>
      </c>
      <c r="AP81" s="46">
        <f t="shared" si="51"/>
        <v>43.455399061032864</v>
      </c>
      <c r="AQ81" s="49">
        <f t="shared" si="52"/>
        <v>0.73415012526161683</v>
      </c>
      <c r="AR81" s="50">
        <f t="shared" si="53"/>
        <v>0.26584987473838312</v>
      </c>
      <c r="AS81" s="51">
        <f t="shared" si="54"/>
        <v>0.18886384976525825</v>
      </c>
      <c r="AT81" s="51">
        <f t="shared" si="55"/>
        <v>4.3455399061032865E-2</v>
      </c>
      <c r="AU81" s="51">
        <f t="shared" si="63"/>
        <v>0.23231924882629112</v>
      </c>
      <c r="AV81" s="52">
        <f t="shared" si="56"/>
        <v>183.52424354152842</v>
      </c>
      <c r="AW81" s="52">
        <f t="shared" si="57"/>
        <v>42.22681709805078</v>
      </c>
      <c r="AX81" s="15">
        <f t="shared" si="58"/>
        <v>0.18352424354152841</v>
      </c>
      <c r="AY81" s="15">
        <f t="shared" si="59"/>
        <v>4.2226817098050783E-2</v>
      </c>
      <c r="AZ81" s="15">
        <f t="shared" si="60"/>
        <v>0.2257510606395792</v>
      </c>
      <c r="BA81" s="61">
        <f t="shared" si="64"/>
        <v>8.7455497382198946</v>
      </c>
      <c r="BB81" s="61">
        <v>5</v>
      </c>
      <c r="BC81" s="61">
        <f t="shared" si="65"/>
        <v>5.8303664921465961</v>
      </c>
      <c r="BD81" s="61">
        <v>13</v>
      </c>
      <c r="BE81" s="61">
        <f t="shared" si="66"/>
        <v>3.8869109947643978</v>
      </c>
      <c r="BF81" s="61">
        <v>0</v>
      </c>
      <c r="BG81" s="61">
        <v>0</v>
      </c>
      <c r="BH81" s="61">
        <v>0</v>
      </c>
      <c r="BI81" s="56">
        <f t="shared" si="67"/>
        <v>36.462827225130887</v>
      </c>
      <c r="BJ81" s="57">
        <f t="shared" si="68"/>
        <v>0.15570002861639717</v>
      </c>
      <c r="BK81" s="58">
        <f t="shared" si="69"/>
        <v>7.7222189540561204E-2</v>
      </c>
    </row>
    <row r="82" spans="1:63" ht="17.25" customHeight="1" x14ac:dyDescent="0.3">
      <c r="A82" s="41">
        <v>81</v>
      </c>
      <c r="B82" s="42">
        <v>46228</v>
      </c>
      <c r="C82" s="43" t="str">
        <f t="shared" si="39"/>
        <v>Jul-26</v>
      </c>
      <c r="D82" s="43" t="s">
        <v>68</v>
      </c>
      <c r="E82" s="43" t="s">
        <v>35</v>
      </c>
      <c r="F82" s="43" t="s">
        <v>41</v>
      </c>
      <c r="G82" s="14" t="s">
        <v>105</v>
      </c>
      <c r="H82" s="14" t="s">
        <v>60</v>
      </c>
      <c r="I82" s="14" t="s">
        <v>60</v>
      </c>
      <c r="J82" s="44" t="s">
        <v>60</v>
      </c>
      <c r="K82" s="44">
        <v>2026</v>
      </c>
      <c r="L82" s="44">
        <v>113</v>
      </c>
      <c r="M82" s="45">
        <v>1000</v>
      </c>
      <c r="N82" s="45">
        <v>172</v>
      </c>
      <c r="O82" s="45">
        <v>8.6999999999999993</v>
      </c>
      <c r="P82" s="46">
        <f t="shared" si="41"/>
        <v>284</v>
      </c>
      <c r="Q82" s="45">
        <v>7.8</v>
      </c>
      <c r="R82" s="46">
        <v>226</v>
      </c>
      <c r="S82" s="46">
        <v>17</v>
      </c>
      <c r="T82" s="46">
        <v>4</v>
      </c>
      <c r="U82" s="46">
        <v>37</v>
      </c>
      <c r="V82" s="46">
        <v>0</v>
      </c>
      <c r="W82" s="46">
        <v>0</v>
      </c>
      <c r="X82" s="46">
        <v>28</v>
      </c>
      <c r="Y82" s="46">
        <v>3</v>
      </c>
      <c r="Z82" s="46">
        <f t="shared" si="61"/>
        <v>41.711031999999996</v>
      </c>
      <c r="AA82" s="46">
        <f t="shared" si="62"/>
        <v>43.562896000000002</v>
      </c>
      <c r="AB82" s="46">
        <f t="shared" si="70"/>
        <v>50.088512000000001</v>
      </c>
      <c r="AC82" s="46">
        <f t="shared" si="71"/>
        <v>226</v>
      </c>
      <c r="AD82" s="46">
        <f>219-35</f>
        <v>184</v>
      </c>
      <c r="AE82" s="46">
        <v>35</v>
      </c>
      <c r="AF82" s="59">
        <f t="shared" si="40"/>
        <v>-7</v>
      </c>
      <c r="AG82" s="46">
        <f t="shared" si="42"/>
        <v>16</v>
      </c>
      <c r="AH82" s="47">
        <f t="shared" si="43"/>
        <v>19.523172773105916</v>
      </c>
      <c r="AI82" s="47">
        <f t="shared" si="44"/>
        <v>21</v>
      </c>
      <c r="AJ82" s="47">
        <f t="shared" si="45"/>
        <v>37</v>
      </c>
      <c r="AK82" s="47">
        <f t="shared" si="46"/>
        <v>236.5</v>
      </c>
      <c r="AL82" s="48">
        <f t="shared" si="47"/>
        <v>0.23649999999999999</v>
      </c>
      <c r="AM82" s="46">
        <f t="shared" si="48"/>
        <v>41.674008810572687</v>
      </c>
      <c r="AN82" s="46">
        <f t="shared" si="49"/>
        <v>15.981735159817353</v>
      </c>
      <c r="AO82" s="46">
        <f t="shared" si="50"/>
        <v>189.88127853881281</v>
      </c>
      <c r="AP82" s="46">
        <f t="shared" si="51"/>
        <v>48.730593607305941</v>
      </c>
      <c r="AQ82" s="49">
        <f t="shared" si="52"/>
        <v>0.72703108178483833</v>
      </c>
      <c r="AR82" s="50">
        <f t="shared" si="53"/>
        <v>0.27296891821516167</v>
      </c>
      <c r="AS82" s="51">
        <f t="shared" si="54"/>
        <v>0.18988127853881281</v>
      </c>
      <c r="AT82" s="51">
        <f t="shared" si="55"/>
        <v>4.8730593607305944E-2</v>
      </c>
      <c r="AU82" s="51">
        <f t="shared" si="63"/>
        <v>0.23861187214611876</v>
      </c>
      <c r="AV82" s="52">
        <f t="shared" si="56"/>
        <v>183.31993592961823</v>
      </c>
      <c r="AW82" s="52">
        <f t="shared" si="57"/>
        <v>47.046709220875478</v>
      </c>
      <c r="AX82" s="15">
        <f t="shared" si="58"/>
        <v>0.18331993592961823</v>
      </c>
      <c r="AY82" s="15">
        <f t="shared" si="59"/>
        <v>4.7046709220875477E-2</v>
      </c>
      <c r="AZ82" s="15">
        <f t="shared" si="60"/>
        <v>0.23036664515049371</v>
      </c>
      <c r="BA82" s="61">
        <f t="shared" si="64"/>
        <v>16.412565445026178</v>
      </c>
      <c r="BB82" s="61">
        <v>5</v>
      </c>
      <c r="BC82" s="61">
        <f t="shared" si="65"/>
        <v>3.8617801047120421</v>
      </c>
      <c r="BD82" s="61">
        <v>11</v>
      </c>
      <c r="BE82" s="61">
        <f t="shared" si="66"/>
        <v>0</v>
      </c>
      <c r="BF82" s="61">
        <v>0</v>
      </c>
      <c r="BG82" s="61">
        <v>0</v>
      </c>
      <c r="BH82" s="61">
        <v>0</v>
      </c>
      <c r="BI82" s="56">
        <f t="shared" si="67"/>
        <v>36.274345549738221</v>
      </c>
      <c r="BJ82" s="57">
        <f t="shared" si="68"/>
        <v>0.15211606523400106</v>
      </c>
      <c r="BK82" s="58">
        <f t="shared" si="69"/>
        <v>0.11637263828818575</v>
      </c>
    </row>
    <row r="83" spans="1:63" ht="17.25" customHeight="1" x14ac:dyDescent="0.3">
      <c r="A83" s="41">
        <v>82</v>
      </c>
      <c r="B83" s="42">
        <v>46228</v>
      </c>
      <c r="C83" s="43" t="str">
        <f t="shared" si="39"/>
        <v>Jul-26</v>
      </c>
      <c r="D83" s="43" t="s">
        <v>68</v>
      </c>
      <c r="E83" s="43" t="s">
        <v>35</v>
      </c>
      <c r="F83" s="43" t="s">
        <v>41</v>
      </c>
      <c r="G83" s="14" t="s">
        <v>105</v>
      </c>
      <c r="H83" s="14" t="s">
        <v>60</v>
      </c>
      <c r="I83" s="14" t="s">
        <v>60</v>
      </c>
      <c r="J83" s="44" t="s">
        <v>60</v>
      </c>
      <c r="K83" s="44">
        <v>2026</v>
      </c>
      <c r="L83" s="44">
        <v>113</v>
      </c>
      <c r="M83" s="45">
        <v>1000</v>
      </c>
      <c r="N83" s="45">
        <v>172</v>
      </c>
      <c r="O83" s="45">
        <v>8.6999999999999993</v>
      </c>
      <c r="P83" s="46">
        <f t="shared" si="41"/>
        <v>284</v>
      </c>
      <c r="Q83" s="45">
        <v>7.8</v>
      </c>
      <c r="R83" s="46">
        <v>232</v>
      </c>
      <c r="S83" s="46">
        <v>15</v>
      </c>
      <c r="T83" s="46">
        <v>7</v>
      </c>
      <c r="U83" s="46">
        <v>25</v>
      </c>
      <c r="V83" s="46">
        <v>0</v>
      </c>
      <c r="W83" s="46">
        <v>5</v>
      </c>
      <c r="X83" s="46">
        <v>24</v>
      </c>
      <c r="Y83" s="46">
        <v>7</v>
      </c>
      <c r="Z83" s="46">
        <f t="shared" si="61"/>
        <v>42.857424000000002</v>
      </c>
      <c r="AA83" s="46">
        <f t="shared" si="62"/>
        <v>44.797471999999999</v>
      </c>
      <c r="AB83" s="46">
        <f t="shared" si="70"/>
        <v>50.088512000000001</v>
      </c>
      <c r="AC83" s="46">
        <f t="shared" si="71"/>
        <v>232</v>
      </c>
      <c r="AD83" s="46">
        <f>225-35</f>
        <v>190</v>
      </c>
      <c r="AE83" s="46">
        <v>35</v>
      </c>
      <c r="AF83" s="59">
        <f t="shared" si="40"/>
        <v>-7</v>
      </c>
      <c r="AG83" s="46">
        <f t="shared" si="42"/>
        <v>15</v>
      </c>
      <c r="AH83" s="47">
        <f t="shared" si="43"/>
        <v>18.235719450469993</v>
      </c>
      <c r="AI83" s="47">
        <f t="shared" si="44"/>
        <v>22</v>
      </c>
      <c r="AJ83" s="47">
        <f t="shared" si="45"/>
        <v>30</v>
      </c>
      <c r="AK83" s="47">
        <f t="shared" si="46"/>
        <v>243</v>
      </c>
      <c r="AL83" s="48">
        <f t="shared" si="47"/>
        <v>0.24299999999999999</v>
      </c>
      <c r="AM83" s="46">
        <f t="shared" si="48"/>
        <v>42.819383259911895</v>
      </c>
      <c r="AN83" s="46">
        <f t="shared" si="49"/>
        <v>15.555555555555555</v>
      </c>
      <c r="AO83" s="46">
        <f t="shared" si="50"/>
        <v>195.9111111111111</v>
      </c>
      <c r="AP83" s="46">
        <f t="shared" si="51"/>
        <v>43.911111111111111</v>
      </c>
      <c r="AQ83" s="49">
        <f t="shared" si="52"/>
        <v>0.75269112869552823</v>
      </c>
      <c r="AR83" s="50">
        <f t="shared" si="53"/>
        <v>0.24730887130447179</v>
      </c>
      <c r="AS83" s="51">
        <f t="shared" si="54"/>
        <v>0.19591111111111109</v>
      </c>
      <c r="AT83" s="51">
        <f t="shared" si="55"/>
        <v>4.3911111111111109E-2</v>
      </c>
      <c r="AU83" s="51">
        <f t="shared" si="63"/>
        <v>0.23982222222222221</v>
      </c>
      <c r="AV83" s="52">
        <f t="shared" si="56"/>
        <v>189.14140779522978</v>
      </c>
      <c r="AW83" s="52">
        <f t="shared" si="57"/>
        <v>42.393763816172196</v>
      </c>
      <c r="AX83" s="15">
        <f t="shared" si="58"/>
        <v>0.18914140779522978</v>
      </c>
      <c r="AY83" s="15">
        <f t="shared" si="59"/>
        <v>4.2393763816172193E-2</v>
      </c>
      <c r="AZ83" s="15">
        <f t="shared" si="60"/>
        <v>0.23153517161140197</v>
      </c>
      <c r="BA83" s="61">
        <f t="shared" si="64"/>
        <v>14.481675392670157</v>
      </c>
      <c r="BB83" s="61">
        <v>5</v>
      </c>
      <c r="BC83" s="61">
        <f t="shared" si="65"/>
        <v>6.7581151832460726</v>
      </c>
      <c r="BD83" s="61">
        <v>10</v>
      </c>
      <c r="BE83" s="61">
        <f t="shared" si="66"/>
        <v>4.827225130890052</v>
      </c>
      <c r="BF83" s="61">
        <v>0</v>
      </c>
      <c r="BG83" s="61">
        <v>0</v>
      </c>
      <c r="BH83" s="61">
        <v>0</v>
      </c>
      <c r="BI83" s="56">
        <f t="shared" si="67"/>
        <v>41.067015706806281</v>
      </c>
      <c r="BJ83" s="57">
        <f t="shared" si="68"/>
        <v>0.16746801714861564</v>
      </c>
      <c r="BK83" s="58">
        <f t="shared" si="69"/>
        <v>0.1025351336456324</v>
      </c>
    </row>
    <row r="84" spans="1:63" ht="17.25" customHeight="1" x14ac:dyDescent="0.3">
      <c r="A84" s="41">
        <v>83</v>
      </c>
      <c r="B84" s="42">
        <v>46230</v>
      </c>
      <c r="C84" s="43" t="str">
        <f t="shared" si="39"/>
        <v>Jul-26</v>
      </c>
      <c r="D84" s="43" t="s">
        <v>68</v>
      </c>
      <c r="E84" s="43" t="s">
        <v>35</v>
      </c>
      <c r="F84" s="43" t="s">
        <v>41</v>
      </c>
      <c r="G84" s="14" t="s">
        <v>105</v>
      </c>
      <c r="H84" s="14" t="s">
        <v>60</v>
      </c>
      <c r="I84" s="14" t="s">
        <v>60</v>
      </c>
      <c r="J84" s="44" t="s">
        <v>60</v>
      </c>
      <c r="K84" s="44">
        <v>2026</v>
      </c>
      <c r="L84" s="44">
        <v>114</v>
      </c>
      <c r="M84" s="45">
        <v>1000</v>
      </c>
      <c r="N84" s="45">
        <v>178</v>
      </c>
      <c r="O84" s="45">
        <v>9</v>
      </c>
      <c r="P84" s="46">
        <f t="shared" si="41"/>
        <v>294</v>
      </c>
      <c r="Q84" s="45">
        <v>7.6</v>
      </c>
      <c r="R84" s="46">
        <v>225</v>
      </c>
      <c r="S84" s="46">
        <v>26</v>
      </c>
      <c r="T84" s="46">
        <v>5</v>
      </c>
      <c r="U84" s="46">
        <v>38</v>
      </c>
      <c r="V84" s="46">
        <v>0</v>
      </c>
      <c r="W84" s="46">
        <v>0</v>
      </c>
      <c r="X84" s="46">
        <v>17</v>
      </c>
      <c r="Y84" s="46">
        <v>3</v>
      </c>
      <c r="Z84" s="46">
        <f t="shared" si="61"/>
        <v>42.416504000000003</v>
      </c>
      <c r="AA84" s="46">
        <f t="shared" si="62"/>
        <v>45.150207999999999</v>
      </c>
      <c r="AB84" s="46">
        <f t="shared" si="70"/>
        <v>51.852192000000002</v>
      </c>
      <c r="AC84" s="46">
        <f t="shared" si="71"/>
        <v>225</v>
      </c>
      <c r="AD84" s="46">
        <f>216-30</f>
        <v>186</v>
      </c>
      <c r="AE84" s="46">
        <v>30</v>
      </c>
      <c r="AF84" s="59">
        <f t="shared" si="40"/>
        <v>-9</v>
      </c>
      <c r="AG84" s="46">
        <f t="shared" si="42"/>
        <v>21</v>
      </c>
      <c r="AH84" s="47">
        <f t="shared" si="43"/>
        <v>25.107323232323228</v>
      </c>
      <c r="AI84" s="47">
        <f t="shared" si="44"/>
        <v>31</v>
      </c>
      <c r="AJ84" s="47">
        <f t="shared" si="45"/>
        <v>38</v>
      </c>
      <c r="AK84" s="47">
        <f t="shared" si="46"/>
        <v>240.5</v>
      </c>
      <c r="AL84" s="48">
        <f t="shared" si="47"/>
        <v>0.24049999999999999</v>
      </c>
      <c r="AM84" s="46">
        <f t="shared" si="48"/>
        <v>42.378854625550659</v>
      </c>
      <c r="AN84" s="46">
        <f t="shared" si="49"/>
        <v>13.888888888888888</v>
      </c>
      <c r="AO84" s="46">
        <f t="shared" si="50"/>
        <v>193.75</v>
      </c>
      <c r="AP84" s="46">
        <f t="shared" si="51"/>
        <v>59.416666666666671</v>
      </c>
      <c r="AQ84" s="49">
        <f t="shared" si="52"/>
        <v>0.67990706383563526</v>
      </c>
      <c r="AR84" s="50">
        <f t="shared" si="53"/>
        <v>0.32009293616436468</v>
      </c>
      <c r="AS84" s="51">
        <f t="shared" si="54"/>
        <v>0.19375000000000001</v>
      </c>
      <c r="AT84" s="51">
        <f t="shared" si="55"/>
        <v>5.9416666666666673E-2</v>
      </c>
      <c r="AU84" s="51">
        <f t="shared" si="63"/>
        <v>0.25316666666666665</v>
      </c>
      <c r="AV84" s="52">
        <f t="shared" si="56"/>
        <v>187.4607329842932</v>
      </c>
      <c r="AW84" s="52">
        <f t="shared" si="57"/>
        <v>57.487958115183247</v>
      </c>
      <c r="AX84" s="15">
        <f t="shared" si="58"/>
        <v>0.18746073298429319</v>
      </c>
      <c r="AY84" s="15">
        <f t="shared" si="59"/>
        <v>5.7487958115183244E-2</v>
      </c>
      <c r="AZ84" s="15">
        <f t="shared" si="60"/>
        <v>0.24494869109947642</v>
      </c>
      <c r="BA84" s="61">
        <f t="shared" si="64"/>
        <v>25.156020942408379</v>
      </c>
      <c r="BB84" s="61">
        <v>5</v>
      </c>
      <c r="BC84" s="61">
        <f t="shared" si="65"/>
        <v>4.837696335078534</v>
      </c>
      <c r="BD84" s="61">
        <v>16</v>
      </c>
      <c r="BE84" s="61">
        <f t="shared" si="66"/>
        <v>0</v>
      </c>
      <c r="BF84" s="61">
        <v>0</v>
      </c>
      <c r="BG84" s="61">
        <v>0</v>
      </c>
      <c r="BH84" s="61">
        <v>0</v>
      </c>
      <c r="BI84" s="56">
        <f t="shared" si="67"/>
        <v>50.993717277486915</v>
      </c>
      <c r="BJ84" s="57">
        <f t="shared" si="68"/>
        <v>0.20587713068181818</v>
      </c>
      <c r="BK84" s="58">
        <f t="shared" si="69"/>
        <v>0.16212914485165794</v>
      </c>
    </row>
    <row r="85" spans="1:63" ht="17.25" customHeight="1" x14ac:dyDescent="0.3">
      <c r="A85" s="41">
        <v>84</v>
      </c>
      <c r="B85" s="42">
        <v>46230</v>
      </c>
      <c r="C85" s="43" t="str">
        <f t="shared" si="39"/>
        <v>Jul-26</v>
      </c>
      <c r="D85" s="43" t="s">
        <v>68</v>
      </c>
      <c r="E85" s="43" t="s">
        <v>35</v>
      </c>
      <c r="F85" s="43" t="s">
        <v>41</v>
      </c>
      <c r="G85" s="14" t="s">
        <v>105</v>
      </c>
      <c r="H85" s="14" t="s">
        <v>60</v>
      </c>
      <c r="I85" s="14" t="s">
        <v>60</v>
      </c>
      <c r="J85" s="44" t="s">
        <v>60</v>
      </c>
      <c r="K85" s="44">
        <v>2026</v>
      </c>
      <c r="L85" s="44">
        <v>114</v>
      </c>
      <c r="M85" s="45">
        <v>1000</v>
      </c>
      <c r="N85" s="45">
        <v>178</v>
      </c>
      <c r="O85" s="45">
        <v>9</v>
      </c>
      <c r="P85" s="46">
        <f t="shared" si="41"/>
        <v>289</v>
      </c>
      <c r="Q85" s="45">
        <v>7.6</v>
      </c>
      <c r="R85" s="46">
        <v>239</v>
      </c>
      <c r="S85" s="46">
        <v>16</v>
      </c>
      <c r="T85" s="46">
        <v>8</v>
      </c>
      <c r="U85" s="46">
        <v>26</v>
      </c>
      <c r="V85" s="46">
        <v>0</v>
      </c>
      <c r="W85" s="46">
        <v>0</v>
      </c>
      <c r="X85" s="46">
        <v>16</v>
      </c>
      <c r="Y85" s="46">
        <v>4</v>
      </c>
      <c r="Z85" s="46">
        <f t="shared" si="61"/>
        <v>44.268368000000002</v>
      </c>
      <c r="AA85" s="46">
        <f t="shared" si="62"/>
        <v>46.384783999999996</v>
      </c>
      <c r="AB85" s="46">
        <f t="shared" si="70"/>
        <v>50.970352000000005</v>
      </c>
      <c r="AC85" s="46">
        <f t="shared" si="71"/>
        <v>239</v>
      </c>
      <c r="AD85" s="46">
        <f>228-34</f>
        <v>194</v>
      </c>
      <c r="AE85" s="46">
        <v>34</v>
      </c>
      <c r="AF85" s="59">
        <f t="shared" si="40"/>
        <v>-11</v>
      </c>
      <c r="AG85" s="46">
        <f t="shared" si="42"/>
        <v>19</v>
      </c>
      <c r="AH85" s="47">
        <f t="shared" si="43"/>
        <v>22.920274170274169</v>
      </c>
      <c r="AI85" s="47">
        <f t="shared" si="44"/>
        <v>24</v>
      </c>
      <c r="AJ85" s="47">
        <f t="shared" si="45"/>
        <v>26</v>
      </c>
      <c r="AK85" s="47">
        <f t="shared" si="46"/>
        <v>251</v>
      </c>
      <c r="AL85" s="48">
        <f t="shared" si="47"/>
        <v>0.251</v>
      </c>
      <c r="AM85" s="46">
        <f t="shared" si="48"/>
        <v>44.229074889867839</v>
      </c>
      <c r="AN85" s="46">
        <f t="shared" si="49"/>
        <v>14.912280701754387</v>
      </c>
      <c r="AO85" s="46">
        <f t="shared" si="50"/>
        <v>203.35964912280701</v>
      </c>
      <c r="AP85" s="46">
        <f t="shared" si="51"/>
        <v>42.543859649122808</v>
      </c>
      <c r="AQ85" s="49">
        <f t="shared" si="52"/>
        <v>0.74768071221358412</v>
      </c>
      <c r="AR85" s="50">
        <f t="shared" si="53"/>
        <v>0.25231928778641582</v>
      </c>
      <c r="AS85" s="51">
        <f t="shared" si="54"/>
        <v>0.20335964912280702</v>
      </c>
      <c r="AT85" s="51">
        <f t="shared" si="55"/>
        <v>4.2543859649122807E-2</v>
      </c>
      <c r="AU85" s="51">
        <f t="shared" si="63"/>
        <v>0.24590350877192982</v>
      </c>
      <c r="AV85" s="52">
        <f t="shared" si="56"/>
        <v>196.75844585285205</v>
      </c>
      <c r="AW85" s="52">
        <f t="shared" si="57"/>
        <v>41.16285478093139</v>
      </c>
      <c r="AX85" s="15">
        <f t="shared" si="58"/>
        <v>0.19675844585285204</v>
      </c>
      <c r="AY85" s="15">
        <f t="shared" si="59"/>
        <v>4.1162854780931388E-2</v>
      </c>
      <c r="AZ85" s="15">
        <f t="shared" si="60"/>
        <v>0.23792130063378342</v>
      </c>
      <c r="BA85" s="61">
        <f t="shared" si="64"/>
        <v>15.480628272251311</v>
      </c>
      <c r="BB85" s="61">
        <v>4</v>
      </c>
      <c r="BC85" s="61">
        <f t="shared" si="65"/>
        <v>7.7403141361256553</v>
      </c>
      <c r="BD85" s="61">
        <v>15</v>
      </c>
      <c r="BE85" s="61">
        <f t="shared" si="66"/>
        <v>0</v>
      </c>
      <c r="BF85" s="61">
        <v>0</v>
      </c>
      <c r="BG85" s="61">
        <v>0</v>
      </c>
      <c r="BH85" s="61">
        <v>0</v>
      </c>
      <c r="BI85" s="56">
        <f t="shared" si="67"/>
        <v>42.220942408376963</v>
      </c>
      <c r="BJ85" s="57">
        <f t="shared" si="68"/>
        <v>0.16592184748078284</v>
      </c>
      <c r="BK85" s="58">
        <f t="shared" si="69"/>
        <v>0.10041560965077995</v>
      </c>
    </row>
    <row r="86" spans="1:63" ht="17.25" customHeight="1" x14ac:dyDescent="0.3">
      <c r="A86" s="41">
        <v>85</v>
      </c>
      <c r="B86" s="42">
        <v>46231</v>
      </c>
      <c r="C86" s="43" t="str">
        <f t="shared" si="39"/>
        <v>Jul-26</v>
      </c>
      <c r="D86" s="43" t="s">
        <v>68</v>
      </c>
      <c r="E86" s="43" t="s">
        <v>35</v>
      </c>
      <c r="F86" s="43" t="s">
        <v>41</v>
      </c>
      <c r="G86" s="14" t="s">
        <v>105</v>
      </c>
      <c r="H86" s="14" t="s">
        <v>60</v>
      </c>
      <c r="I86" s="14" t="s">
        <v>60</v>
      </c>
      <c r="J86" s="44" t="s">
        <v>60</v>
      </c>
      <c r="K86" s="44">
        <v>2026</v>
      </c>
      <c r="L86" s="44">
        <v>115</v>
      </c>
      <c r="M86" s="45">
        <v>1000</v>
      </c>
      <c r="N86" s="45">
        <v>174</v>
      </c>
      <c r="O86" s="45">
        <v>9</v>
      </c>
      <c r="P86" s="46">
        <f t="shared" si="41"/>
        <v>291</v>
      </c>
      <c r="Q86" s="45">
        <v>8.1999999999999993</v>
      </c>
      <c r="R86" s="46">
        <v>243</v>
      </c>
      <c r="S86" s="46">
        <v>15</v>
      </c>
      <c r="T86" s="46">
        <v>7</v>
      </c>
      <c r="U86" s="46">
        <v>25</v>
      </c>
      <c r="V86" s="46">
        <v>0</v>
      </c>
      <c r="W86" s="46">
        <v>1</v>
      </c>
      <c r="X86" s="46">
        <v>13</v>
      </c>
      <c r="Y86" s="46">
        <v>5</v>
      </c>
      <c r="Z86" s="46">
        <f t="shared" si="61"/>
        <v>44.797471999999999</v>
      </c>
      <c r="AA86" s="46">
        <f t="shared" si="62"/>
        <v>46.737520000000004</v>
      </c>
      <c r="AB86" s="46">
        <f t="shared" si="70"/>
        <v>51.323088000000006</v>
      </c>
      <c r="AC86" s="46">
        <f t="shared" si="71"/>
        <v>243</v>
      </c>
      <c r="AD86" s="46">
        <f>230-35</f>
        <v>195</v>
      </c>
      <c r="AE86" s="46">
        <v>35</v>
      </c>
      <c r="AF86" s="59">
        <f t="shared" si="40"/>
        <v>-13</v>
      </c>
      <c r="AG86" s="46">
        <f t="shared" si="42"/>
        <v>15</v>
      </c>
      <c r="AH86" s="47">
        <f t="shared" si="43"/>
        <v>18.261579994316566</v>
      </c>
      <c r="AI86" s="47">
        <f t="shared" si="44"/>
        <v>22</v>
      </c>
      <c r="AJ86" s="47">
        <f t="shared" si="45"/>
        <v>26</v>
      </c>
      <c r="AK86" s="47">
        <f t="shared" si="46"/>
        <v>254</v>
      </c>
      <c r="AL86" s="48">
        <f t="shared" si="47"/>
        <v>0.254</v>
      </c>
      <c r="AM86" s="46">
        <f t="shared" si="48"/>
        <v>44.757709251101325</v>
      </c>
      <c r="AN86" s="46">
        <f t="shared" si="49"/>
        <v>15.217391304347828</v>
      </c>
      <c r="AO86" s="46">
        <f t="shared" si="50"/>
        <v>206.02173913043478</v>
      </c>
      <c r="AP86" s="46">
        <f t="shared" si="51"/>
        <v>40.695652173913047</v>
      </c>
      <c r="AQ86" s="49">
        <f t="shared" si="52"/>
        <v>0.77229697596454783</v>
      </c>
      <c r="AR86" s="50">
        <f t="shared" si="53"/>
        <v>0.22770302403545212</v>
      </c>
      <c r="AS86" s="51">
        <f t="shared" si="54"/>
        <v>0.20602173913043478</v>
      </c>
      <c r="AT86" s="51">
        <f t="shared" si="55"/>
        <v>4.0695652173913049E-2</v>
      </c>
      <c r="AU86" s="51">
        <f t="shared" si="63"/>
        <v>0.24671739130434783</v>
      </c>
      <c r="AV86" s="52">
        <f t="shared" si="56"/>
        <v>198.03974504894148</v>
      </c>
      <c r="AW86" s="52">
        <f t="shared" si="57"/>
        <v>39.118961984976096</v>
      </c>
      <c r="AX86" s="15">
        <f t="shared" si="58"/>
        <v>0.19803974504894148</v>
      </c>
      <c r="AY86" s="15">
        <f t="shared" si="59"/>
        <v>3.9118961984976094E-2</v>
      </c>
      <c r="AZ86" s="15">
        <f t="shared" si="60"/>
        <v>0.23715870703391756</v>
      </c>
      <c r="BA86" s="61">
        <f t="shared" si="64"/>
        <v>14.418848167539267</v>
      </c>
      <c r="BB86" s="61">
        <v>4</v>
      </c>
      <c r="BC86" s="61">
        <f t="shared" si="65"/>
        <v>6.7287958115183253</v>
      </c>
      <c r="BD86" s="61">
        <v>11</v>
      </c>
      <c r="BE86" s="61">
        <f t="shared" si="66"/>
        <v>0.96125654450261777</v>
      </c>
      <c r="BF86" s="61">
        <v>0</v>
      </c>
      <c r="BG86" s="61">
        <v>0</v>
      </c>
      <c r="BH86" s="61">
        <v>0</v>
      </c>
      <c r="BI86" s="56">
        <f t="shared" si="67"/>
        <v>37.108900523560209</v>
      </c>
      <c r="BJ86" s="57">
        <f t="shared" si="68"/>
        <v>0.14567764212603279</v>
      </c>
      <c r="BK86" s="58">
        <f t="shared" si="69"/>
        <v>9.4455631628406492E-2</v>
      </c>
    </row>
    <row r="87" spans="1:63" ht="17.25" customHeight="1" x14ac:dyDescent="0.3">
      <c r="A87" s="41">
        <v>86</v>
      </c>
      <c r="B87" s="42">
        <v>46231</v>
      </c>
      <c r="C87" s="43" t="str">
        <f t="shared" si="39"/>
        <v>Jul-26</v>
      </c>
      <c r="D87" s="43" t="s">
        <v>68</v>
      </c>
      <c r="E87" s="43" t="s">
        <v>35</v>
      </c>
      <c r="F87" s="43" t="s">
        <v>41</v>
      </c>
      <c r="G87" s="14" t="s">
        <v>105</v>
      </c>
      <c r="H87" s="14" t="s">
        <v>60</v>
      </c>
      <c r="I87" s="14" t="s">
        <v>60</v>
      </c>
      <c r="J87" s="44" t="s">
        <v>60</v>
      </c>
      <c r="K87" s="44">
        <v>2026</v>
      </c>
      <c r="L87" s="44">
        <v>115</v>
      </c>
      <c r="M87" s="45">
        <v>1000</v>
      </c>
      <c r="N87" s="45">
        <v>174</v>
      </c>
      <c r="O87" s="45">
        <v>9</v>
      </c>
      <c r="P87" s="46">
        <f t="shared" si="41"/>
        <v>289</v>
      </c>
      <c r="Q87" s="45">
        <v>8.1999999999999993</v>
      </c>
      <c r="R87" s="46">
        <v>239</v>
      </c>
      <c r="S87" s="46">
        <v>13</v>
      </c>
      <c r="T87" s="46">
        <v>5</v>
      </c>
      <c r="U87" s="46">
        <v>31</v>
      </c>
      <c r="V87" s="46">
        <v>0</v>
      </c>
      <c r="W87" s="46">
        <v>1</v>
      </c>
      <c r="X87" s="46">
        <v>23</v>
      </c>
      <c r="Y87" s="46">
        <v>3</v>
      </c>
      <c r="Z87" s="46">
        <f t="shared" si="61"/>
        <v>43.739264000000006</v>
      </c>
      <c r="AA87" s="46">
        <f t="shared" si="62"/>
        <v>45.326576000000003</v>
      </c>
      <c r="AB87" s="46">
        <f t="shared" si="70"/>
        <v>50.970352000000005</v>
      </c>
      <c r="AC87" s="46">
        <f t="shared" si="71"/>
        <v>239</v>
      </c>
      <c r="AD87" s="46">
        <f>227-41</f>
        <v>186</v>
      </c>
      <c r="AE87" s="46">
        <v>41</v>
      </c>
      <c r="AF87" s="59">
        <f t="shared" si="40"/>
        <v>-12</v>
      </c>
      <c r="AG87" s="46">
        <f t="shared" si="42"/>
        <v>20</v>
      </c>
      <c r="AH87" s="47">
        <f t="shared" si="43"/>
        <v>24.949852677243197</v>
      </c>
      <c r="AI87" s="47">
        <f t="shared" si="44"/>
        <v>18</v>
      </c>
      <c r="AJ87" s="47">
        <f t="shared" si="45"/>
        <v>32</v>
      </c>
      <c r="AK87" s="47">
        <f t="shared" si="46"/>
        <v>248</v>
      </c>
      <c r="AL87" s="48">
        <f t="shared" si="47"/>
        <v>0.248</v>
      </c>
      <c r="AM87" s="46">
        <f t="shared" si="48"/>
        <v>43.70044052863436</v>
      </c>
      <c r="AN87" s="46">
        <f t="shared" si="49"/>
        <v>18.061674008810574</v>
      </c>
      <c r="AO87" s="46">
        <f t="shared" si="50"/>
        <v>195.83259911894274</v>
      </c>
      <c r="AP87" s="46">
        <f t="shared" si="51"/>
        <v>40.969162995594715</v>
      </c>
      <c r="AQ87" s="49">
        <f t="shared" si="52"/>
        <v>0.74065794921369132</v>
      </c>
      <c r="AR87" s="50">
        <f t="shared" si="53"/>
        <v>0.25934205078630868</v>
      </c>
      <c r="AS87" s="51">
        <f t="shared" si="54"/>
        <v>0.19583259911894274</v>
      </c>
      <c r="AT87" s="51">
        <f t="shared" si="55"/>
        <v>4.0969162995594714E-2</v>
      </c>
      <c r="AU87" s="51">
        <f t="shared" si="63"/>
        <v>0.23680176211453746</v>
      </c>
      <c r="AV87" s="52">
        <f t="shared" si="56"/>
        <v>188.24536753004131</v>
      </c>
      <c r="AW87" s="52">
        <f t="shared" si="57"/>
        <v>39.381876052309892</v>
      </c>
      <c r="AX87" s="15">
        <f t="shared" si="58"/>
        <v>0.18824536753004131</v>
      </c>
      <c r="AY87" s="15">
        <f t="shared" si="59"/>
        <v>3.9381876052309889E-2</v>
      </c>
      <c r="AZ87" s="15">
        <f t="shared" si="60"/>
        <v>0.2276272435823512</v>
      </c>
      <c r="BA87" s="61">
        <f t="shared" si="64"/>
        <v>12.496335078534029</v>
      </c>
      <c r="BB87" s="61">
        <v>4</v>
      </c>
      <c r="BC87" s="61">
        <f t="shared" si="65"/>
        <v>4.8062827225130889</v>
      </c>
      <c r="BD87" s="61">
        <v>16</v>
      </c>
      <c r="BE87" s="61">
        <f t="shared" si="66"/>
        <v>0.96125654450261777</v>
      </c>
      <c r="BF87" s="61">
        <v>0</v>
      </c>
      <c r="BG87" s="61">
        <v>0</v>
      </c>
      <c r="BH87" s="61">
        <v>0</v>
      </c>
      <c r="BI87" s="56">
        <f t="shared" si="67"/>
        <v>38.263874345549738</v>
      </c>
      <c r="BJ87" s="57">
        <f t="shared" si="68"/>
        <v>0.15488754948585573</v>
      </c>
      <c r="BK87" s="58">
        <f t="shared" si="69"/>
        <v>8.8689973540505548E-2</v>
      </c>
    </row>
    <row r="88" spans="1:63" ht="17.25" customHeight="1" x14ac:dyDescent="0.3">
      <c r="A88" s="41">
        <v>87</v>
      </c>
      <c r="B88" s="42">
        <v>46232</v>
      </c>
      <c r="C88" s="43" t="str">
        <f t="shared" si="39"/>
        <v>Jul-26</v>
      </c>
      <c r="D88" s="43" t="s">
        <v>68</v>
      </c>
      <c r="E88" s="43" t="s">
        <v>35</v>
      </c>
      <c r="F88" s="43" t="s">
        <v>41</v>
      </c>
      <c r="G88" s="14" t="s">
        <v>105</v>
      </c>
      <c r="H88" s="14" t="s">
        <v>60</v>
      </c>
      <c r="I88" s="14" t="s">
        <v>60</v>
      </c>
      <c r="J88" s="44" t="s">
        <v>60</v>
      </c>
      <c r="K88" s="44">
        <v>2026</v>
      </c>
      <c r="L88" s="44">
        <v>116</v>
      </c>
      <c r="M88" s="45">
        <v>1000</v>
      </c>
      <c r="N88" s="45">
        <v>172</v>
      </c>
      <c r="O88" s="45">
        <v>8.8000000000000007</v>
      </c>
      <c r="P88" s="46">
        <f t="shared" si="41"/>
        <v>286</v>
      </c>
      <c r="Q88" s="45">
        <v>8.1999999999999993</v>
      </c>
      <c r="R88" s="46">
        <v>229</v>
      </c>
      <c r="S88" s="46">
        <v>15</v>
      </c>
      <c r="T88" s="46">
        <v>4</v>
      </c>
      <c r="U88" s="46">
        <v>34</v>
      </c>
      <c r="V88" s="46">
        <v>0</v>
      </c>
      <c r="W88" s="46">
        <v>4</v>
      </c>
      <c r="X88" s="46">
        <v>23</v>
      </c>
      <c r="Y88" s="46">
        <v>4</v>
      </c>
      <c r="Z88" s="46">
        <f t="shared" si="61"/>
        <v>42.063768000000003</v>
      </c>
      <c r="AA88" s="46">
        <f t="shared" si="62"/>
        <v>43.739264000000006</v>
      </c>
      <c r="AB88" s="46">
        <f t="shared" si="70"/>
        <v>50.441248000000002</v>
      </c>
      <c r="AC88" s="46">
        <f t="shared" si="71"/>
        <v>229</v>
      </c>
      <c r="AD88" s="46">
        <f>218-34</f>
        <v>184</v>
      </c>
      <c r="AE88" s="46">
        <v>34</v>
      </c>
      <c r="AF88" s="59">
        <f t="shared" si="40"/>
        <v>-11</v>
      </c>
      <c r="AG88" s="46">
        <f t="shared" si="42"/>
        <v>14</v>
      </c>
      <c r="AH88" s="47">
        <f t="shared" si="43"/>
        <v>17.100197877316067</v>
      </c>
      <c r="AI88" s="47">
        <f t="shared" si="44"/>
        <v>19</v>
      </c>
      <c r="AJ88" s="47">
        <f t="shared" si="45"/>
        <v>38</v>
      </c>
      <c r="AK88" s="47">
        <f t="shared" si="46"/>
        <v>238.5</v>
      </c>
      <c r="AL88" s="48">
        <f t="shared" si="47"/>
        <v>0.23849999999999999</v>
      </c>
      <c r="AM88" s="46">
        <f t="shared" si="48"/>
        <v>42.026431718061673</v>
      </c>
      <c r="AN88" s="46">
        <f t="shared" si="49"/>
        <v>15.596330275229356</v>
      </c>
      <c r="AO88" s="46">
        <f t="shared" si="50"/>
        <v>193.28440366972478</v>
      </c>
      <c r="AP88" s="46">
        <f t="shared" si="51"/>
        <v>48.11009174311927</v>
      </c>
      <c r="AQ88" s="49">
        <f t="shared" si="52"/>
        <v>0.74090839903036332</v>
      </c>
      <c r="AR88" s="50">
        <f t="shared" si="53"/>
        <v>0.25909160096963657</v>
      </c>
      <c r="AS88" s="51">
        <f t="shared" si="54"/>
        <v>0.19328440366972477</v>
      </c>
      <c r="AT88" s="51">
        <f t="shared" si="55"/>
        <v>4.8110091743119268E-2</v>
      </c>
      <c r="AU88" s="51">
        <f t="shared" si="63"/>
        <v>0.24139449541284402</v>
      </c>
      <c r="AV88" s="52">
        <f t="shared" si="56"/>
        <v>185.79589797780872</v>
      </c>
      <c r="AW88" s="52">
        <f t="shared" si="57"/>
        <v>46.246140544694747</v>
      </c>
      <c r="AX88" s="15">
        <f t="shared" si="58"/>
        <v>0.18579589797780871</v>
      </c>
      <c r="AY88" s="15">
        <f t="shared" si="59"/>
        <v>4.6246140544694746E-2</v>
      </c>
      <c r="AZ88" s="15">
        <f t="shared" si="60"/>
        <v>0.23204203852250346</v>
      </c>
      <c r="BA88" s="61">
        <f t="shared" si="64"/>
        <v>14.418848167539267</v>
      </c>
      <c r="BB88" s="61">
        <v>5</v>
      </c>
      <c r="BC88" s="61">
        <f t="shared" si="65"/>
        <v>3.8450261780104711</v>
      </c>
      <c r="BD88" s="61">
        <v>9</v>
      </c>
      <c r="BE88" s="61">
        <f t="shared" si="66"/>
        <v>3.8450261780104711</v>
      </c>
      <c r="BF88" s="61">
        <v>0</v>
      </c>
      <c r="BG88" s="61">
        <v>0</v>
      </c>
      <c r="BH88" s="61">
        <v>0</v>
      </c>
      <c r="BI88" s="56">
        <f t="shared" si="67"/>
        <v>36.108900523560209</v>
      </c>
      <c r="BJ88" s="57">
        <f t="shared" si="68"/>
        <v>0.15146883126010263</v>
      </c>
      <c r="BK88" s="58">
        <f t="shared" si="69"/>
        <v>0.10553721830184384</v>
      </c>
    </row>
    <row r="89" spans="1:63" ht="17.25" customHeight="1" x14ac:dyDescent="0.3">
      <c r="A89" s="41">
        <v>88</v>
      </c>
      <c r="B89" s="42">
        <v>46232</v>
      </c>
      <c r="C89" s="43" t="str">
        <f t="shared" si="39"/>
        <v>Jul-26</v>
      </c>
      <c r="D89" s="43" t="s">
        <v>68</v>
      </c>
      <c r="E89" s="43" t="s">
        <v>35</v>
      </c>
      <c r="F89" s="43" t="s">
        <v>41</v>
      </c>
      <c r="G89" s="14" t="s">
        <v>105</v>
      </c>
      <c r="H89" s="14" t="s">
        <v>60</v>
      </c>
      <c r="I89" s="14" t="s">
        <v>60</v>
      </c>
      <c r="J89" s="44" t="s">
        <v>60</v>
      </c>
      <c r="K89" s="44">
        <v>2026</v>
      </c>
      <c r="L89" s="44">
        <v>116</v>
      </c>
      <c r="M89" s="45">
        <v>1000</v>
      </c>
      <c r="N89" s="45">
        <v>172</v>
      </c>
      <c r="O89" s="45">
        <v>8.8000000000000007</v>
      </c>
      <c r="P89" s="46">
        <f t="shared" si="41"/>
        <v>288</v>
      </c>
      <c r="Q89" s="45">
        <v>8.1999999999999993</v>
      </c>
      <c r="R89" s="46">
        <v>241</v>
      </c>
      <c r="S89" s="46">
        <v>13</v>
      </c>
      <c r="T89" s="46">
        <v>5</v>
      </c>
      <c r="U89" s="46">
        <v>27</v>
      </c>
      <c r="V89" s="46">
        <v>0</v>
      </c>
      <c r="W89" s="46">
        <v>2</v>
      </c>
      <c r="X89" s="46">
        <v>26</v>
      </c>
      <c r="Y89" s="46">
        <v>3</v>
      </c>
      <c r="Z89" s="46">
        <f t="shared" si="61"/>
        <v>44.091999999999999</v>
      </c>
      <c r="AA89" s="46">
        <f t="shared" si="62"/>
        <v>45.679312000000003</v>
      </c>
      <c r="AB89" s="46">
        <f t="shared" si="70"/>
        <v>50.793984000000002</v>
      </c>
      <c r="AC89" s="46">
        <f t="shared" si="71"/>
        <v>241</v>
      </c>
      <c r="AD89" s="46">
        <f>231-35</f>
        <v>196</v>
      </c>
      <c r="AE89" s="46">
        <v>35</v>
      </c>
      <c r="AF89" s="59">
        <f t="shared" si="40"/>
        <v>-10</v>
      </c>
      <c r="AG89" s="46">
        <f t="shared" si="42"/>
        <v>15</v>
      </c>
      <c r="AH89" s="47">
        <f t="shared" si="43"/>
        <v>18.251138839374136</v>
      </c>
      <c r="AI89" s="47">
        <f t="shared" si="44"/>
        <v>18</v>
      </c>
      <c r="AJ89" s="47">
        <f t="shared" si="45"/>
        <v>29</v>
      </c>
      <c r="AK89" s="47">
        <f t="shared" si="46"/>
        <v>250</v>
      </c>
      <c r="AL89" s="48">
        <f t="shared" si="47"/>
        <v>0.25</v>
      </c>
      <c r="AM89" s="46">
        <f t="shared" si="48"/>
        <v>44.052863436123346</v>
      </c>
      <c r="AN89" s="46">
        <f t="shared" si="49"/>
        <v>15.15151515151515</v>
      </c>
      <c r="AO89" s="46">
        <f t="shared" si="50"/>
        <v>204.48484848484847</v>
      </c>
      <c r="AP89" s="46">
        <f t="shared" si="51"/>
        <v>39.878787878787875</v>
      </c>
      <c r="AQ89" s="49">
        <f t="shared" si="52"/>
        <v>0.7734335456966176</v>
      </c>
      <c r="AR89" s="50">
        <f t="shared" si="53"/>
        <v>0.2265664543033824</v>
      </c>
      <c r="AS89" s="51">
        <f t="shared" si="54"/>
        <v>0.20448484848484846</v>
      </c>
      <c r="AT89" s="51">
        <f t="shared" si="55"/>
        <v>3.9878787878787875E-2</v>
      </c>
      <c r="AU89" s="51">
        <f t="shared" si="63"/>
        <v>0.24436363636363634</v>
      </c>
      <c r="AV89" s="52">
        <f t="shared" si="56"/>
        <v>196.56239885768679</v>
      </c>
      <c r="AW89" s="52">
        <f t="shared" si="57"/>
        <v>38.333745835316513</v>
      </c>
      <c r="AX89" s="15">
        <f t="shared" si="58"/>
        <v>0.19656239885768678</v>
      </c>
      <c r="AY89" s="15">
        <f t="shared" si="59"/>
        <v>3.8333745835316513E-2</v>
      </c>
      <c r="AZ89" s="15">
        <f t="shared" si="60"/>
        <v>0.23489614469300329</v>
      </c>
      <c r="BA89" s="61">
        <f t="shared" si="64"/>
        <v>12.496335078534029</v>
      </c>
      <c r="BB89" s="61">
        <v>4</v>
      </c>
      <c r="BC89" s="61">
        <f t="shared" si="65"/>
        <v>4.8062827225130889</v>
      </c>
      <c r="BD89" s="61">
        <v>11</v>
      </c>
      <c r="BE89" s="61">
        <f t="shared" si="66"/>
        <v>1.9225130890052355</v>
      </c>
      <c r="BF89" s="61">
        <v>0</v>
      </c>
      <c r="BG89" s="61">
        <v>0</v>
      </c>
      <c r="BH89" s="61">
        <v>0</v>
      </c>
      <c r="BI89" s="56">
        <f t="shared" si="67"/>
        <v>34.225130890052355</v>
      </c>
      <c r="BJ89" s="57">
        <f t="shared" si="68"/>
        <v>0.13746940217528453</v>
      </c>
      <c r="BK89" s="58">
        <f t="shared" si="69"/>
        <v>8.4164974890479749E-2</v>
      </c>
    </row>
    <row r="90" spans="1:63" ht="17.25" customHeight="1" x14ac:dyDescent="0.3">
      <c r="A90" s="41">
        <v>89</v>
      </c>
      <c r="B90" s="42">
        <v>46233</v>
      </c>
      <c r="C90" s="43" t="str">
        <f t="shared" si="39"/>
        <v>Jul-26</v>
      </c>
      <c r="D90" s="43" t="s">
        <v>68</v>
      </c>
      <c r="E90" s="43" t="s">
        <v>35</v>
      </c>
      <c r="F90" s="43" t="s">
        <v>41</v>
      </c>
      <c r="G90" s="14" t="s">
        <v>105</v>
      </c>
      <c r="H90" s="14" t="s">
        <v>60</v>
      </c>
      <c r="I90" s="14" t="s">
        <v>60</v>
      </c>
      <c r="J90" s="44" t="s">
        <v>60</v>
      </c>
      <c r="K90" s="44">
        <v>2026</v>
      </c>
      <c r="L90" s="44">
        <v>117</v>
      </c>
      <c r="M90" s="45">
        <v>1000</v>
      </c>
      <c r="N90" s="45">
        <v>180</v>
      </c>
      <c r="O90" s="45">
        <v>8.4</v>
      </c>
      <c r="P90" s="46">
        <f t="shared" si="41"/>
        <v>278</v>
      </c>
      <c r="Q90" s="45">
        <v>7.6</v>
      </c>
      <c r="R90" s="46">
        <v>222</v>
      </c>
      <c r="S90" s="46">
        <v>20</v>
      </c>
      <c r="T90" s="46">
        <v>11</v>
      </c>
      <c r="U90" s="46">
        <v>23</v>
      </c>
      <c r="V90" s="46">
        <v>0</v>
      </c>
      <c r="W90" s="46">
        <v>2</v>
      </c>
      <c r="X90" s="46">
        <v>28</v>
      </c>
      <c r="Y90" s="46">
        <v>4</v>
      </c>
      <c r="Z90" s="46">
        <f t="shared" si="61"/>
        <v>41.8874</v>
      </c>
      <c r="AA90" s="46">
        <f t="shared" si="62"/>
        <v>44.621104000000003</v>
      </c>
      <c r="AB90" s="46">
        <f t="shared" si="70"/>
        <v>49.030304000000001</v>
      </c>
      <c r="AC90" s="46">
        <f t="shared" si="71"/>
        <v>222</v>
      </c>
      <c r="AD90" s="46">
        <f>212-34</f>
        <v>178</v>
      </c>
      <c r="AE90" s="46">
        <v>34</v>
      </c>
      <c r="AF90" s="59">
        <f t="shared" si="40"/>
        <v>-10</v>
      </c>
      <c r="AG90" s="46">
        <f t="shared" si="42"/>
        <v>16</v>
      </c>
      <c r="AH90" s="47">
        <f t="shared" si="43"/>
        <v>19.49032099975496</v>
      </c>
      <c r="AI90" s="47">
        <f t="shared" si="44"/>
        <v>31</v>
      </c>
      <c r="AJ90" s="47">
        <f t="shared" si="45"/>
        <v>25</v>
      </c>
      <c r="AK90" s="47">
        <f t="shared" si="46"/>
        <v>237.5</v>
      </c>
      <c r="AL90" s="48">
        <f t="shared" si="47"/>
        <v>0.23749999999999999</v>
      </c>
      <c r="AM90" s="46">
        <f t="shared" si="48"/>
        <v>41.85022026431718</v>
      </c>
      <c r="AN90" s="46">
        <f t="shared" si="49"/>
        <v>16.037735849056602</v>
      </c>
      <c r="AO90" s="46">
        <f t="shared" si="50"/>
        <v>186.39622641509436</v>
      </c>
      <c r="AP90" s="46">
        <f t="shared" si="51"/>
        <v>47.018867924528301</v>
      </c>
      <c r="AQ90" s="49">
        <f t="shared" si="52"/>
        <v>0.72845208273469431</v>
      </c>
      <c r="AR90" s="50">
        <f t="shared" si="53"/>
        <v>0.27154791726530558</v>
      </c>
      <c r="AS90" s="51">
        <f t="shared" si="54"/>
        <v>0.18639622641509437</v>
      </c>
      <c r="AT90" s="51">
        <f t="shared" si="55"/>
        <v>4.70188679245283E-2</v>
      </c>
      <c r="AU90" s="51">
        <f t="shared" si="63"/>
        <v>0.23341509433962268</v>
      </c>
      <c r="AV90" s="52">
        <f t="shared" si="56"/>
        <v>180.34566828015411</v>
      </c>
      <c r="AW90" s="52">
        <f t="shared" si="57"/>
        <v>45.492601007606439</v>
      </c>
      <c r="AX90" s="15">
        <f t="shared" si="58"/>
        <v>0.18034566828015411</v>
      </c>
      <c r="AY90" s="15">
        <f t="shared" si="59"/>
        <v>4.5492601007606437E-2</v>
      </c>
      <c r="AZ90" s="15">
        <f t="shared" si="60"/>
        <v>0.22583826928776055</v>
      </c>
      <c r="BA90" s="61">
        <f t="shared" si="64"/>
        <v>19.350785340314136</v>
      </c>
      <c r="BB90" s="61">
        <v>3</v>
      </c>
      <c r="BC90" s="61">
        <f t="shared" si="65"/>
        <v>10.642931937172776</v>
      </c>
      <c r="BD90" s="61">
        <v>13</v>
      </c>
      <c r="BE90" s="61">
        <f t="shared" si="66"/>
        <v>1.9350785340314138</v>
      </c>
      <c r="BF90" s="61">
        <v>0</v>
      </c>
      <c r="BG90" s="61">
        <v>0</v>
      </c>
      <c r="BH90" s="61">
        <v>0</v>
      </c>
      <c r="BI90" s="56">
        <f t="shared" si="67"/>
        <v>47.92879581151832</v>
      </c>
      <c r="BJ90" s="57">
        <f t="shared" si="68"/>
        <v>0.19579761476994675</v>
      </c>
      <c r="BK90" s="58">
        <f t="shared" si="69"/>
        <v>0.12556620977704572</v>
      </c>
    </row>
    <row r="91" spans="1:63" ht="17.25" customHeight="1" x14ac:dyDescent="0.3">
      <c r="A91" s="41">
        <v>90</v>
      </c>
      <c r="B91" s="42">
        <v>46233</v>
      </c>
      <c r="C91" s="43" t="str">
        <f t="shared" si="39"/>
        <v>Jul-26</v>
      </c>
      <c r="D91" s="43" t="s">
        <v>68</v>
      </c>
      <c r="E91" s="43" t="s">
        <v>35</v>
      </c>
      <c r="F91" s="43" t="s">
        <v>41</v>
      </c>
      <c r="G91" s="14" t="s">
        <v>105</v>
      </c>
      <c r="H91" s="14" t="s">
        <v>60</v>
      </c>
      <c r="I91" s="14" t="s">
        <v>60</v>
      </c>
      <c r="J91" s="44" t="s">
        <v>60</v>
      </c>
      <c r="K91" s="44">
        <v>2026</v>
      </c>
      <c r="L91" s="44">
        <v>117</v>
      </c>
      <c r="M91" s="45">
        <v>1000</v>
      </c>
      <c r="N91" s="45">
        <v>180</v>
      </c>
      <c r="O91" s="45">
        <v>8.4</v>
      </c>
      <c r="P91" s="46">
        <f t="shared" si="41"/>
        <v>277</v>
      </c>
      <c r="Q91" s="45">
        <v>7.6</v>
      </c>
      <c r="R91" s="46">
        <v>228</v>
      </c>
      <c r="S91" s="46">
        <v>16</v>
      </c>
      <c r="T91" s="46">
        <v>5</v>
      </c>
      <c r="U91" s="46">
        <v>28</v>
      </c>
      <c r="V91" s="46">
        <v>0</v>
      </c>
      <c r="W91" s="46">
        <v>0</v>
      </c>
      <c r="X91" s="46">
        <v>35</v>
      </c>
      <c r="Y91" s="46">
        <v>5</v>
      </c>
      <c r="Z91" s="46">
        <f t="shared" si="61"/>
        <v>42.063768000000003</v>
      </c>
      <c r="AA91" s="46">
        <f t="shared" si="62"/>
        <v>43.915632000000002</v>
      </c>
      <c r="AB91" s="46">
        <f t="shared" si="70"/>
        <v>48.853936000000004</v>
      </c>
      <c r="AC91" s="46">
        <f t="shared" si="71"/>
        <v>228</v>
      </c>
      <c r="AD91" s="46">
        <f>219-38</f>
        <v>181</v>
      </c>
      <c r="AE91" s="46">
        <v>38</v>
      </c>
      <c r="AF91" s="59">
        <f t="shared" si="40"/>
        <v>-9</v>
      </c>
      <c r="AG91" s="46">
        <f t="shared" si="42"/>
        <v>17</v>
      </c>
      <c r="AH91" s="47">
        <f t="shared" si="43"/>
        <v>20.942942141572278</v>
      </c>
      <c r="AI91" s="47">
        <f t="shared" si="44"/>
        <v>21</v>
      </c>
      <c r="AJ91" s="47">
        <f t="shared" si="45"/>
        <v>28</v>
      </c>
      <c r="AK91" s="47">
        <f t="shared" si="46"/>
        <v>238.5</v>
      </c>
      <c r="AL91" s="48">
        <f t="shared" si="47"/>
        <v>0.23849999999999999</v>
      </c>
      <c r="AM91" s="46">
        <f t="shared" si="48"/>
        <v>42.026431718061673</v>
      </c>
      <c r="AN91" s="46">
        <f t="shared" si="49"/>
        <v>17.351598173515981</v>
      </c>
      <c r="AO91" s="46">
        <f t="shared" si="50"/>
        <v>188.43835616438358</v>
      </c>
      <c r="AP91" s="46">
        <f t="shared" si="51"/>
        <v>40.497716894977167</v>
      </c>
      <c r="AQ91" s="49">
        <f t="shared" si="52"/>
        <v>0.74749840382103871</v>
      </c>
      <c r="AR91" s="50">
        <f t="shared" si="53"/>
        <v>0.25250159617896129</v>
      </c>
      <c r="AS91" s="51">
        <f t="shared" si="54"/>
        <v>0.18843835616438359</v>
      </c>
      <c r="AT91" s="51">
        <f t="shared" si="55"/>
        <v>4.0497716894977165E-2</v>
      </c>
      <c r="AU91" s="51">
        <f t="shared" si="63"/>
        <v>0.22893607305936076</v>
      </c>
      <c r="AV91" s="52">
        <f t="shared" si="56"/>
        <v>182.32150900093242</v>
      </c>
      <c r="AW91" s="52">
        <f t="shared" si="57"/>
        <v>39.183131320375814</v>
      </c>
      <c r="AX91" s="15">
        <f t="shared" si="58"/>
        <v>0.18232150900093241</v>
      </c>
      <c r="AY91" s="15">
        <f t="shared" si="59"/>
        <v>3.9183131320375812E-2</v>
      </c>
      <c r="AZ91" s="15">
        <f t="shared" si="60"/>
        <v>0.22150464032130823</v>
      </c>
      <c r="BA91" s="61">
        <f t="shared" si="64"/>
        <v>15.480628272251311</v>
      </c>
      <c r="BB91" s="61">
        <v>4</v>
      </c>
      <c r="BC91" s="61">
        <f t="shared" si="65"/>
        <v>4.837696335078534</v>
      </c>
      <c r="BD91" s="61">
        <v>13</v>
      </c>
      <c r="BE91" s="61">
        <f t="shared" si="66"/>
        <v>0</v>
      </c>
      <c r="BF91" s="61">
        <v>0</v>
      </c>
      <c r="BG91" s="61">
        <v>0</v>
      </c>
      <c r="BH91" s="61">
        <v>0</v>
      </c>
      <c r="BI91" s="56">
        <f t="shared" si="67"/>
        <v>37.318324607329842</v>
      </c>
      <c r="BJ91" s="57">
        <f t="shared" si="68"/>
        <v>0.15490098923833862</v>
      </c>
      <c r="BK91" s="58">
        <f t="shared" si="69"/>
        <v>0.10762778050967574</v>
      </c>
    </row>
    <row r="92" spans="1:63" ht="18" customHeight="1" x14ac:dyDescent="0.3">
      <c r="A92" s="41">
        <v>91</v>
      </c>
      <c r="B92" s="42">
        <v>46234</v>
      </c>
      <c r="C92" s="43" t="str">
        <f t="shared" si="39"/>
        <v>Jul-26</v>
      </c>
      <c r="D92" s="43" t="s">
        <v>68</v>
      </c>
      <c r="E92" s="43" t="s">
        <v>35</v>
      </c>
      <c r="F92" s="43" t="s">
        <v>41</v>
      </c>
      <c r="G92" s="14" t="s">
        <v>105</v>
      </c>
      <c r="H92" s="14" t="s">
        <v>60</v>
      </c>
      <c r="I92" s="14" t="s">
        <v>60</v>
      </c>
      <c r="J92" s="44" t="s">
        <v>60</v>
      </c>
      <c r="K92" s="44">
        <v>2026</v>
      </c>
      <c r="L92" s="44">
        <v>118</v>
      </c>
      <c r="M92" s="45">
        <v>1000</v>
      </c>
      <c r="N92" s="45">
        <v>174</v>
      </c>
      <c r="O92" s="45">
        <v>8.4</v>
      </c>
      <c r="P92" s="46">
        <f t="shared" si="41"/>
        <v>282</v>
      </c>
      <c r="Q92" s="45">
        <v>7.9</v>
      </c>
      <c r="R92" s="46">
        <v>245</v>
      </c>
      <c r="S92" s="46">
        <v>9</v>
      </c>
      <c r="T92" s="46">
        <v>3</v>
      </c>
      <c r="U92" s="46">
        <v>25</v>
      </c>
      <c r="V92" s="46">
        <v>0</v>
      </c>
      <c r="W92" s="46">
        <v>0</v>
      </c>
      <c r="X92" s="46">
        <v>34</v>
      </c>
      <c r="Y92" s="46">
        <v>5</v>
      </c>
      <c r="Z92" s="46">
        <f t="shared" si="61"/>
        <v>44.268368000000002</v>
      </c>
      <c r="AA92" s="46">
        <f t="shared" si="62"/>
        <v>45.326576000000003</v>
      </c>
      <c r="AB92" s="46">
        <f t="shared" si="70"/>
        <v>49.735776000000008</v>
      </c>
      <c r="AC92" s="46">
        <f t="shared" si="71"/>
        <v>245</v>
      </c>
      <c r="AD92" s="46">
        <f>239-35</f>
        <v>204</v>
      </c>
      <c r="AE92" s="46">
        <v>35</v>
      </c>
      <c r="AF92" s="59">
        <f t="shared" si="40"/>
        <v>-6</v>
      </c>
      <c r="AG92" s="46">
        <f t="shared" si="42"/>
        <v>21</v>
      </c>
      <c r="AH92" s="47">
        <f t="shared" si="43"/>
        <v>25.356193695228491</v>
      </c>
      <c r="AI92" s="47">
        <f t="shared" si="44"/>
        <v>12</v>
      </c>
      <c r="AJ92" s="47">
        <f t="shared" si="45"/>
        <v>25</v>
      </c>
      <c r="AK92" s="47">
        <f t="shared" si="46"/>
        <v>251</v>
      </c>
      <c r="AL92" s="48">
        <f t="shared" si="47"/>
        <v>0.251</v>
      </c>
      <c r="AM92" s="46">
        <f t="shared" si="48"/>
        <v>44.229074889867839</v>
      </c>
      <c r="AN92" s="46">
        <f t="shared" si="49"/>
        <v>14.644351464435145</v>
      </c>
      <c r="AO92" s="46">
        <f t="shared" si="50"/>
        <v>209.12133891213389</v>
      </c>
      <c r="AP92" s="46">
        <f t="shared" si="51"/>
        <v>31.581589958158997</v>
      </c>
      <c r="AQ92" s="49">
        <f t="shared" si="52"/>
        <v>0.7788787457616011</v>
      </c>
      <c r="AR92" s="50">
        <f t="shared" si="53"/>
        <v>0.2211212542383989</v>
      </c>
      <c r="AS92" s="51">
        <f t="shared" si="54"/>
        <v>0.20912133891213389</v>
      </c>
      <c r="AT92" s="51">
        <f t="shared" si="55"/>
        <v>3.1581589958158997E-2</v>
      </c>
      <c r="AU92" s="51">
        <f t="shared" si="63"/>
        <v>0.24070292887029288</v>
      </c>
      <c r="AV92" s="52">
        <f t="shared" si="56"/>
        <v>201.67618129641394</v>
      </c>
      <c r="AW92" s="52">
        <f t="shared" si="57"/>
        <v>30.457219216193124</v>
      </c>
      <c r="AX92" s="15">
        <f t="shared" si="58"/>
        <v>0.20167618129641393</v>
      </c>
      <c r="AY92" s="15">
        <f t="shared" si="59"/>
        <v>3.0457219216193123E-2</v>
      </c>
      <c r="AZ92" s="15">
        <f t="shared" si="60"/>
        <v>0.23213340051260706</v>
      </c>
      <c r="BA92" s="61">
        <f t="shared" si="64"/>
        <v>8.6795811518324602</v>
      </c>
      <c r="BB92" s="61">
        <v>4</v>
      </c>
      <c r="BC92" s="61">
        <f t="shared" si="65"/>
        <v>2.8931937172774864</v>
      </c>
      <c r="BD92" s="61">
        <v>17</v>
      </c>
      <c r="BE92" s="61">
        <f t="shared" si="66"/>
        <v>0</v>
      </c>
      <c r="BF92" s="61">
        <v>0</v>
      </c>
      <c r="BG92" s="61">
        <v>0</v>
      </c>
      <c r="BH92" s="61">
        <v>0</v>
      </c>
      <c r="BI92" s="56">
        <f t="shared" si="67"/>
        <v>32.572774869109949</v>
      </c>
      <c r="BJ92" s="57">
        <f t="shared" si="68"/>
        <v>0.13142118404542519</v>
      </c>
      <c r="BK92" s="58">
        <f t="shared" si="69"/>
        <v>6.2154809567806175E-2</v>
      </c>
    </row>
    <row r="93" spans="1:63" ht="17.25" customHeight="1" x14ac:dyDescent="0.3">
      <c r="A93" s="41">
        <v>92</v>
      </c>
      <c r="B93" s="42">
        <v>46234</v>
      </c>
      <c r="C93" s="43" t="str">
        <f t="shared" si="39"/>
        <v>Jul-26</v>
      </c>
      <c r="D93" s="43" t="s">
        <v>68</v>
      </c>
      <c r="E93" s="43" t="s">
        <v>35</v>
      </c>
      <c r="F93" s="43" t="s">
        <v>41</v>
      </c>
      <c r="G93" s="14" t="s">
        <v>105</v>
      </c>
      <c r="H93" s="14" t="s">
        <v>60</v>
      </c>
      <c r="I93" s="14" t="s">
        <v>60</v>
      </c>
      <c r="J93" s="44" t="s">
        <v>60</v>
      </c>
      <c r="K93" s="44">
        <v>2026</v>
      </c>
      <c r="L93" s="44">
        <v>118</v>
      </c>
      <c r="M93" s="45">
        <v>1000</v>
      </c>
      <c r="N93" s="45">
        <v>174</v>
      </c>
      <c r="O93" s="45">
        <v>8.4</v>
      </c>
      <c r="P93" s="46">
        <f t="shared" si="41"/>
        <v>281</v>
      </c>
      <c r="Q93" s="45">
        <v>7.9</v>
      </c>
      <c r="R93" s="46">
        <v>232</v>
      </c>
      <c r="S93" s="46">
        <v>15</v>
      </c>
      <c r="T93" s="46">
        <v>5</v>
      </c>
      <c r="U93" s="46">
        <v>29</v>
      </c>
      <c r="V93" s="46">
        <v>0</v>
      </c>
      <c r="W93" s="46">
        <v>0</v>
      </c>
      <c r="X93" s="46">
        <v>37</v>
      </c>
      <c r="Y93" s="46">
        <v>4</v>
      </c>
      <c r="Z93" s="46">
        <f t="shared" si="61"/>
        <v>42.681056000000005</v>
      </c>
      <c r="AA93" s="46">
        <f t="shared" si="62"/>
        <v>44.444736000000006</v>
      </c>
      <c r="AB93" s="46">
        <f t="shared" si="70"/>
        <v>49.559408000000005</v>
      </c>
      <c r="AC93" s="46">
        <f t="shared" si="71"/>
        <v>232</v>
      </c>
      <c r="AD93" s="46">
        <f>223-34</f>
        <v>189</v>
      </c>
      <c r="AE93" s="46">
        <v>34</v>
      </c>
      <c r="AF93" s="59">
        <f t="shared" si="40"/>
        <v>-9</v>
      </c>
      <c r="AG93" s="46">
        <f t="shared" si="42"/>
        <v>17</v>
      </c>
      <c r="AH93" s="47">
        <f t="shared" si="43"/>
        <v>20.634278396946193</v>
      </c>
      <c r="AI93" s="47">
        <f t="shared" si="44"/>
        <v>20</v>
      </c>
      <c r="AJ93" s="47">
        <f t="shared" si="45"/>
        <v>29</v>
      </c>
      <c r="AK93" s="47">
        <f t="shared" si="46"/>
        <v>242</v>
      </c>
      <c r="AL93" s="48">
        <f t="shared" si="47"/>
        <v>0.24199999999999999</v>
      </c>
      <c r="AM93" s="46">
        <f t="shared" si="48"/>
        <v>42.643171806167402</v>
      </c>
      <c r="AN93" s="46">
        <f t="shared" si="49"/>
        <v>15.246636771300448</v>
      </c>
      <c r="AO93" s="46">
        <f t="shared" si="50"/>
        <v>196.62780269058297</v>
      </c>
      <c r="AP93" s="46">
        <f t="shared" si="51"/>
        <v>41.529147982062781</v>
      </c>
      <c r="AQ93" s="49">
        <f t="shared" si="52"/>
        <v>0.752191180082042</v>
      </c>
      <c r="AR93" s="50">
        <f t="shared" si="53"/>
        <v>0.247808819917958</v>
      </c>
      <c r="AS93" s="51">
        <f t="shared" si="54"/>
        <v>0.19662780269058297</v>
      </c>
      <c r="AT93" s="51">
        <f t="shared" si="55"/>
        <v>4.1529147982062781E-2</v>
      </c>
      <c r="AU93" s="51">
        <f t="shared" si="63"/>
        <v>0.23815695067264575</v>
      </c>
      <c r="AV93" s="52">
        <f t="shared" si="56"/>
        <v>189.62744112882399</v>
      </c>
      <c r="AW93" s="52">
        <f t="shared" si="57"/>
        <v>40.050623341863684</v>
      </c>
      <c r="AX93" s="15">
        <f t="shared" si="58"/>
        <v>0.18962744112882399</v>
      </c>
      <c r="AY93" s="15">
        <f t="shared" si="59"/>
        <v>4.0050623341863684E-2</v>
      </c>
      <c r="AZ93" s="15">
        <f t="shared" si="60"/>
        <v>0.22967806447068767</v>
      </c>
      <c r="BA93" s="61">
        <f t="shared" si="64"/>
        <v>14.465968586387435</v>
      </c>
      <c r="BB93" s="61">
        <v>4</v>
      </c>
      <c r="BC93" s="61">
        <f t="shared" si="65"/>
        <v>4.8219895287958119</v>
      </c>
      <c r="BD93" s="61">
        <v>13</v>
      </c>
      <c r="BE93" s="61">
        <f t="shared" si="66"/>
        <v>0</v>
      </c>
      <c r="BF93" s="61">
        <v>0</v>
      </c>
      <c r="BG93" s="61">
        <v>0</v>
      </c>
      <c r="BH93" s="61">
        <v>0</v>
      </c>
      <c r="BI93" s="56">
        <f t="shared" si="67"/>
        <v>36.287958115183244</v>
      </c>
      <c r="BJ93" s="57">
        <f t="shared" si="68"/>
        <v>0.14931578856660291</v>
      </c>
      <c r="BK93" s="58">
        <f t="shared" si="69"/>
        <v>9.7703537494113396E-2</v>
      </c>
    </row>
    <row r="94" spans="1:63" ht="17.25" customHeight="1" x14ac:dyDescent="0.3">
      <c r="A94" s="41">
        <v>93</v>
      </c>
      <c r="B94" s="42">
        <v>46235</v>
      </c>
      <c r="C94" s="43" t="str">
        <f t="shared" si="39"/>
        <v>Aug-26</v>
      </c>
      <c r="D94" s="43" t="s">
        <v>68</v>
      </c>
      <c r="E94" s="43" t="s">
        <v>35</v>
      </c>
      <c r="F94" s="43" t="s">
        <v>41</v>
      </c>
      <c r="G94" s="14" t="s">
        <v>105</v>
      </c>
      <c r="H94" s="14" t="s">
        <v>60</v>
      </c>
      <c r="I94" s="14" t="s">
        <v>60</v>
      </c>
      <c r="J94" s="44" t="s">
        <v>60</v>
      </c>
      <c r="K94" s="44">
        <v>2026</v>
      </c>
      <c r="L94" s="44">
        <v>119</v>
      </c>
      <c r="M94" s="45">
        <v>1000</v>
      </c>
      <c r="N94" s="45">
        <v>174</v>
      </c>
      <c r="O94" s="45">
        <v>8.4</v>
      </c>
      <c r="P94" s="46">
        <f t="shared" si="41"/>
        <v>284</v>
      </c>
      <c r="Q94" s="45">
        <v>7.9</v>
      </c>
      <c r="R94" s="46">
        <v>234</v>
      </c>
      <c r="S94" s="46">
        <v>15</v>
      </c>
      <c r="T94" s="46">
        <v>6</v>
      </c>
      <c r="U94" s="46">
        <v>29</v>
      </c>
      <c r="V94" s="46">
        <v>0</v>
      </c>
      <c r="W94" s="46">
        <v>0</v>
      </c>
      <c r="X94" s="46">
        <v>29</v>
      </c>
      <c r="Y94" s="46">
        <v>4</v>
      </c>
      <c r="Z94" s="46">
        <f t="shared" si="61"/>
        <v>43.121976000000004</v>
      </c>
      <c r="AA94" s="46">
        <f t="shared" si="62"/>
        <v>44.973840000000003</v>
      </c>
      <c r="AB94" s="46">
        <f t="shared" si="70"/>
        <v>50.088512000000001</v>
      </c>
      <c r="AC94" s="46">
        <f t="shared" si="71"/>
        <v>234</v>
      </c>
      <c r="AD94" s="46">
        <f>226-38</f>
        <v>188</v>
      </c>
      <c r="AE94" s="46">
        <v>38</v>
      </c>
      <c r="AF94" s="59">
        <f t="shared" si="40"/>
        <v>-8</v>
      </c>
      <c r="AG94" s="46">
        <f t="shared" si="42"/>
        <v>15</v>
      </c>
      <c r="AH94" s="47">
        <f t="shared" si="43"/>
        <v>18.454354155256407</v>
      </c>
      <c r="AI94" s="47">
        <f t="shared" si="44"/>
        <v>21</v>
      </c>
      <c r="AJ94" s="47">
        <f t="shared" si="45"/>
        <v>29</v>
      </c>
      <c r="AK94" s="47">
        <f t="shared" si="46"/>
        <v>244.5</v>
      </c>
      <c r="AL94" s="48">
        <f t="shared" si="47"/>
        <v>0.2445</v>
      </c>
      <c r="AM94" s="46">
        <f t="shared" si="48"/>
        <v>43.083700440528638</v>
      </c>
      <c r="AN94" s="46">
        <f t="shared" si="49"/>
        <v>16.814159292035399</v>
      </c>
      <c r="AO94" s="46">
        <f t="shared" si="50"/>
        <v>194.65486725663715</v>
      </c>
      <c r="AP94" s="46">
        <f t="shared" si="51"/>
        <v>41.592920353982301</v>
      </c>
      <c r="AQ94" s="49">
        <f t="shared" si="52"/>
        <v>0.75896354170684366</v>
      </c>
      <c r="AR94" s="50">
        <f t="shared" si="53"/>
        <v>0.24103645829315637</v>
      </c>
      <c r="AS94" s="51">
        <f t="shared" si="54"/>
        <v>0.19465486725663714</v>
      </c>
      <c r="AT94" s="51">
        <f t="shared" si="55"/>
        <v>4.15929203539823E-2</v>
      </c>
      <c r="AU94" s="51">
        <f t="shared" si="63"/>
        <v>0.23624778761061943</v>
      </c>
      <c r="AV94" s="52">
        <f t="shared" si="56"/>
        <v>187.72474632812862</v>
      </c>
      <c r="AW94" s="52">
        <f t="shared" si="57"/>
        <v>40.112125283788167</v>
      </c>
      <c r="AX94" s="15">
        <f t="shared" si="58"/>
        <v>0.18772474632812861</v>
      </c>
      <c r="AY94" s="15">
        <f t="shared" si="59"/>
        <v>4.0112125283788165E-2</v>
      </c>
      <c r="AZ94" s="15">
        <f t="shared" si="60"/>
        <v>0.22783687161191676</v>
      </c>
      <c r="BA94" s="61">
        <f t="shared" si="64"/>
        <v>14.465968586387435</v>
      </c>
      <c r="BB94" s="61">
        <v>4</v>
      </c>
      <c r="BC94" s="61">
        <f t="shared" si="65"/>
        <v>5.7863874345549728</v>
      </c>
      <c r="BD94" s="61">
        <v>11</v>
      </c>
      <c r="BE94" s="61">
        <f t="shared" si="66"/>
        <v>0</v>
      </c>
      <c r="BF94" s="61">
        <v>0</v>
      </c>
      <c r="BG94" s="61">
        <v>0</v>
      </c>
      <c r="BH94" s="61">
        <v>0</v>
      </c>
      <c r="BI94" s="56">
        <f t="shared" si="67"/>
        <v>35.252356020942408</v>
      </c>
      <c r="BJ94" s="57">
        <f t="shared" si="68"/>
        <v>0.1433480232483873</v>
      </c>
      <c r="BK94" s="58">
        <f t="shared" si="69"/>
        <v>9.822323716163528E-2</v>
      </c>
    </row>
    <row r="95" spans="1:63" ht="17.25" customHeight="1" x14ac:dyDescent="0.3">
      <c r="A95" s="41">
        <v>94</v>
      </c>
      <c r="B95" s="42">
        <v>46235</v>
      </c>
      <c r="C95" s="43" t="str">
        <f t="shared" si="39"/>
        <v>Aug-26</v>
      </c>
      <c r="D95" s="43" t="s">
        <v>68</v>
      </c>
      <c r="E95" s="43" t="s">
        <v>35</v>
      </c>
      <c r="F95" s="43" t="s">
        <v>41</v>
      </c>
      <c r="G95" s="14" t="s">
        <v>105</v>
      </c>
      <c r="H95" s="14" t="s">
        <v>60</v>
      </c>
      <c r="I95" s="14" t="s">
        <v>60</v>
      </c>
      <c r="J95" s="44" t="s">
        <v>60</v>
      </c>
      <c r="K95" s="44">
        <v>2026</v>
      </c>
      <c r="L95" s="44">
        <v>119</v>
      </c>
      <c r="M95" s="45">
        <v>1000</v>
      </c>
      <c r="N95" s="45">
        <v>174</v>
      </c>
      <c r="O95" s="45">
        <v>8.4</v>
      </c>
      <c r="P95" s="46">
        <f t="shared" si="41"/>
        <v>286</v>
      </c>
      <c r="Q95" s="45">
        <v>7.9</v>
      </c>
      <c r="R95" s="46">
        <v>237</v>
      </c>
      <c r="S95" s="46">
        <v>16</v>
      </c>
      <c r="T95" s="46">
        <v>7</v>
      </c>
      <c r="U95" s="46">
        <v>25</v>
      </c>
      <c r="V95" s="46">
        <v>0</v>
      </c>
      <c r="W95" s="46">
        <v>1</v>
      </c>
      <c r="X95" s="46">
        <v>26</v>
      </c>
      <c r="Y95" s="46">
        <v>4</v>
      </c>
      <c r="Z95" s="46">
        <f t="shared" si="61"/>
        <v>43.827448000000004</v>
      </c>
      <c r="AA95" s="46">
        <f t="shared" si="62"/>
        <v>45.85568</v>
      </c>
      <c r="AB95" s="46">
        <f t="shared" si="70"/>
        <v>50.441248000000002</v>
      </c>
      <c r="AC95" s="46">
        <f t="shared" si="71"/>
        <v>237</v>
      </c>
      <c r="AD95" s="46">
        <f>229-33</f>
        <v>196</v>
      </c>
      <c r="AE95" s="46">
        <v>33</v>
      </c>
      <c r="AF95" s="59">
        <f t="shared" si="40"/>
        <v>-8</v>
      </c>
      <c r="AG95" s="46">
        <f t="shared" si="42"/>
        <v>16</v>
      </c>
      <c r="AH95" s="47">
        <f t="shared" si="43"/>
        <v>19.279594517066602</v>
      </c>
      <c r="AI95" s="47">
        <f t="shared" si="44"/>
        <v>23</v>
      </c>
      <c r="AJ95" s="47">
        <f t="shared" si="45"/>
        <v>26</v>
      </c>
      <c r="AK95" s="47">
        <f t="shared" si="46"/>
        <v>248.5</v>
      </c>
      <c r="AL95" s="48">
        <f t="shared" si="47"/>
        <v>0.2485</v>
      </c>
      <c r="AM95" s="46">
        <f t="shared" si="48"/>
        <v>43.78854625550661</v>
      </c>
      <c r="AN95" s="46">
        <f t="shared" si="49"/>
        <v>14.410480349344978</v>
      </c>
      <c r="AO95" s="46">
        <f t="shared" si="50"/>
        <v>202.84716157205241</v>
      </c>
      <c r="AP95" s="46">
        <f t="shared" si="51"/>
        <v>41.938864628820959</v>
      </c>
      <c r="AQ95" s="49">
        <f t="shared" si="52"/>
        <v>0.76126015903123567</v>
      </c>
      <c r="AR95" s="50">
        <f t="shared" si="53"/>
        <v>0.23873984096876433</v>
      </c>
      <c r="AS95" s="51">
        <f t="shared" si="54"/>
        <v>0.2028471615720524</v>
      </c>
      <c r="AT95" s="51">
        <f t="shared" si="55"/>
        <v>4.193886462882096E-2</v>
      </c>
      <c r="AU95" s="51">
        <f t="shared" si="63"/>
        <v>0.24478602620087336</v>
      </c>
      <c r="AV95" s="52">
        <f t="shared" si="56"/>
        <v>195.62537780927778</v>
      </c>
      <c r="AW95" s="52">
        <f t="shared" si="57"/>
        <v>40.445753217951932</v>
      </c>
      <c r="AX95" s="15">
        <f t="shared" si="58"/>
        <v>0.19562537780927777</v>
      </c>
      <c r="AY95" s="15">
        <f t="shared" si="59"/>
        <v>4.0445753217951935E-2</v>
      </c>
      <c r="AZ95" s="15">
        <f t="shared" si="60"/>
        <v>0.23607113102722971</v>
      </c>
      <c r="BA95" s="61">
        <f t="shared" si="64"/>
        <v>15.430366492146597</v>
      </c>
      <c r="BB95" s="61">
        <v>5</v>
      </c>
      <c r="BC95" s="61">
        <f t="shared" si="65"/>
        <v>6.7507853403141356</v>
      </c>
      <c r="BD95" s="61">
        <v>11</v>
      </c>
      <c r="BE95" s="61">
        <f t="shared" si="66"/>
        <v>0.96439790575916229</v>
      </c>
      <c r="BF95" s="61">
        <v>0</v>
      </c>
      <c r="BG95" s="61">
        <v>0</v>
      </c>
      <c r="BH95" s="61">
        <v>0</v>
      </c>
      <c r="BI95" s="56">
        <f t="shared" si="67"/>
        <v>39.145549738219891</v>
      </c>
      <c r="BJ95" s="57">
        <f t="shared" si="68"/>
        <v>0.15611793201369747</v>
      </c>
      <c r="BK95" s="58">
        <f t="shared" si="69"/>
        <v>0.10423656373544182</v>
      </c>
    </row>
    <row r="96" spans="1:63" ht="17.25" customHeight="1" x14ac:dyDescent="0.3">
      <c r="A96" s="41">
        <v>95</v>
      </c>
      <c r="B96" s="42">
        <v>46237</v>
      </c>
      <c r="C96" s="43" t="str">
        <f t="shared" si="39"/>
        <v>Aug-26</v>
      </c>
      <c r="D96" s="43" t="s">
        <v>68</v>
      </c>
      <c r="E96" s="43" t="s">
        <v>35</v>
      </c>
      <c r="F96" s="43" t="s">
        <v>41</v>
      </c>
      <c r="G96" s="14" t="s">
        <v>115</v>
      </c>
      <c r="H96" s="14" t="s">
        <v>60</v>
      </c>
      <c r="I96" s="14" t="s">
        <v>60</v>
      </c>
      <c r="J96" s="44" t="s">
        <v>60</v>
      </c>
      <c r="K96" s="44">
        <v>2026</v>
      </c>
      <c r="L96" s="44">
        <v>120</v>
      </c>
      <c r="M96" s="45">
        <v>1000</v>
      </c>
      <c r="N96" s="45">
        <v>188</v>
      </c>
      <c r="O96" s="45">
        <v>8.1999999999999993</v>
      </c>
      <c r="P96" s="46">
        <f t="shared" si="41"/>
        <v>302</v>
      </c>
      <c r="Q96" s="45">
        <v>7.7</v>
      </c>
      <c r="R96" s="46">
        <v>225</v>
      </c>
      <c r="S96" s="46">
        <v>21</v>
      </c>
      <c r="T96" s="46">
        <v>6</v>
      </c>
      <c r="U96" s="46">
        <v>50</v>
      </c>
      <c r="V96" s="46">
        <v>0</v>
      </c>
      <c r="W96" s="46">
        <v>0</v>
      </c>
      <c r="X96" s="46">
        <v>6</v>
      </c>
      <c r="Y96" s="46">
        <v>2</v>
      </c>
      <c r="Z96" s="46">
        <f t="shared" si="61"/>
        <v>42.063768000000003</v>
      </c>
      <c r="AA96" s="46">
        <f t="shared" si="62"/>
        <v>44.444736000000006</v>
      </c>
      <c r="AB96" s="46">
        <f t="shared" si="70"/>
        <v>53.263136000000003</v>
      </c>
      <c r="AC96" s="46">
        <f t="shared" si="71"/>
        <v>225</v>
      </c>
      <c r="AD96" s="46">
        <f>217-35</f>
        <v>182</v>
      </c>
      <c r="AE96" s="46">
        <v>35</v>
      </c>
      <c r="AF96" s="59">
        <f t="shared" si="40"/>
        <v>-8</v>
      </c>
      <c r="AG96" s="46">
        <f t="shared" si="42"/>
        <v>18</v>
      </c>
      <c r="AH96" s="47">
        <f t="shared" si="43"/>
        <v>21.967637088036906</v>
      </c>
      <c r="AI96" s="47">
        <f t="shared" si="44"/>
        <v>27</v>
      </c>
      <c r="AJ96" s="47">
        <f t="shared" si="45"/>
        <v>50</v>
      </c>
      <c r="AK96" s="47">
        <f t="shared" si="46"/>
        <v>238.5</v>
      </c>
      <c r="AL96" s="48">
        <f t="shared" si="47"/>
        <v>0.23849999999999999</v>
      </c>
      <c r="AM96" s="46">
        <f t="shared" si="48"/>
        <v>42.026431718061673</v>
      </c>
      <c r="AN96" s="46">
        <f t="shared" si="49"/>
        <v>16.129032258064516</v>
      </c>
      <c r="AO96" s="46">
        <f t="shared" si="50"/>
        <v>188.70967741935485</v>
      </c>
      <c r="AP96" s="46">
        <f t="shared" si="51"/>
        <v>64.58064516129032</v>
      </c>
      <c r="AQ96" s="49">
        <f t="shared" si="52"/>
        <v>0.67229259242371886</v>
      </c>
      <c r="AR96" s="50">
        <f t="shared" si="53"/>
        <v>0.32770740757628114</v>
      </c>
      <c r="AS96" s="51">
        <f t="shared" si="54"/>
        <v>0.18870967741935485</v>
      </c>
      <c r="AT96" s="51">
        <f t="shared" si="55"/>
        <v>6.458064516129032E-2</v>
      </c>
      <c r="AU96" s="51">
        <f t="shared" si="63"/>
        <v>0.25329032258064516</v>
      </c>
      <c r="AV96" s="52">
        <f t="shared" si="56"/>
        <v>182.386421212633</v>
      </c>
      <c r="AW96" s="52">
        <f t="shared" si="57"/>
        <v>62.416686370545506</v>
      </c>
      <c r="AX96" s="15">
        <f t="shared" si="58"/>
        <v>0.18238642121263299</v>
      </c>
      <c r="AY96" s="15">
        <f t="shared" si="59"/>
        <v>6.2416686370545503E-2</v>
      </c>
      <c r="AZ96" s="15">
        <f t="shared" si="60"/>
        <v>0.2448031075831785</v>
      </c>
      <c r="BA96" s="61">
        <f t="shared" si="64"/>
        <v>20.296335078534032</v>
      </c>
      <c r="BB96" s="61">
        <v>5</v>
      </c>
      <c r="BC96" s="61">
        <f t="shared" si="65"/>
        <v>5.7989528795811518</v>
      </c>
      <c r="BD96" s="61">
        <v>13</v>
      </c>
      <c r="BE96" s="61">
        <f t="shared" si="66"/>
        <v>0</v>
      </c>
      <c r="BF96" s="61">
        <v>0</v>
      </c>
      <c r="BG96" s="61">
        <v>0</v>
      </c>
      <c r="BH96" s="61">
        <v>0</v>
      </c>
      <c r="BI96" s="56">
        <f t="shared" si="67"/>
        <v>44.095287958115179</v>
      </c>
      <c r="BJ96" s="57">
        <f t="shared" si="68"/>
        <v>0.18104782541402259</v>
      </c>
      <c r="BK96" s="58">
        <f t="shared" si="69"/>
        <v>0.13899085207985731</v>
      </c>
    </row>
    <row r="97" spans="1:63" ht="17.25" customHeight="1" x14ac:dyDescent="0.3">
      <c r="A97" s="41">
        <v>96</v>
      </c>
      <c r="B97" s="42">
        <v>46237</v>
      </c>
      <c r="C97" s="43" t="str">
        <f t="shared" si="39"/>
        <v>Aug-26</v>
      </c>
      <c r="D97" s="43" t="s">
        <v>68</v>
      </c>
      <c r="E97" s="43" t="s">
        <v>35</v>
      </c>
      <c r="F97" s="43" t="s">
        <v>41</v>
      </c>
      <c r="G97" s="14" t="s">
        <v>115</v>
      </c>
      <c r="H97" s="14" t="s">
        <v>60</v>
      </c>
      <c r="I97" s="14" t="s">
        <v>60</v>
      </c>
      <c r="J97" s="44" t="s">
        <v>60</v>
      </c>
      <c r="K97" s="44">
        <v>2026</v>
      </c>
      <c r="L97" s="44">
        <v>120</v>
      </c>
      <c r="M97" s="45">
        <v>1000</v>
      </c>
      <c r="N97" s="45">
        <v>188</v>
      </c>
      <c r="O97" s="45">
        <v>8.1999999999999993</v>
      </c>
      <c r="P97" s="46">
        <f t="shared" si="41"/>
        <v>298</v>
      </c>
      <c r="Q97" s="45">
        <v>7.7</v>
      </c>
      <c r="R97" s="46">
        <v>212</v>
      </c>
      <c r="S97" s="46">
        <v>15</v>
      </c>
      <c r="T97" s="46">
        <v>7</v>
      </c>
      <c r="U97" s="46">
        <v>64</v>
      </c>
      <c r="V97" s="46">
        <v>0</v>
      </c>
      <c r="W97" s="46">
        <v>0</v>
      </c>
      <c r="X97" s="46">
        <v>17</v>
      </c>
      <c r="Y97" s="46">
        <v>2</v>
      </c>
      <c r="Z97" s="46">
        <f t="shared" si="61"/>
        <v>39.330064</v>
      </c>
      <c r="AA97" s="46">
        <f t="shared" si="62"/>
        <v>41.270111999999997</v>
      </c>
      <c r="AB97" s="46">
        <f t="shared" si="70"/>
        <v>52.557664000000003</v>
      </c>
      <c r="AC97" s="46">
        <f t="shared" si="71"/>
        <v>212</v>
      </c>
      <c r="AD97" s="46">
        <f>204-34</f>
        <v>170</v>
      </c>
      <c r="AE97" s="46">
        <v>34</v>
      </c>
      <c r="AF97" s="59">
        <f t="shared" si="40"/>
        <v>-8</v>
      </c>
      <c r="AG97" s="46">
        <f t="shared" si="42"/>
        <v>15</v>
      </c>
      <c r="AH97" s="47">
        <f t="shared" si="43"/>
        <v>18.391115926327195</v>
      </c>
      <c r="AI97" s="47">
        <f t="shared" si="44"/>
        <v>22</v>
      </c>
      <c r="AJ97" s="47">
        <f t="shared" si="45"/>
        <v>64</v>
      </c>
      <c r="AK97" s="47">
        <f t="shared" si="46"/>
        <v>223</v>
      </c>
      <c r="AL97" s="48">
        <f t="shared" si="47"/>
        <v>0.223</v>
      </c>
      <c r="AM97" s="46">
        <f t="shared" si="48"/>
        <v>39.295154185022028</v>
      </c>
      <c r="AN97" s="46">
        <f t="shared" si="49"/>
        <v>16.666666666666668</v>
      </c>
      <c r="AO97" s="46">
        <f t="shared" si="50"/>
        <v>176.66666666666666</v>
      </c>
      <c r="AP97" s="46">
        <f t="shared" si="51"/>
        <v>71.666666666666657</v>
      </c>
      <c r="AQ97" s="49">
        <f t="shared" si="52"/>
        <v>0.64969424185796243</v>
      </c>
      <c r="AR97" s="50">
        <f t="shared" si="53"/>
        <v>0.35030575814203757</v>
      </c>
      <c r="AS97" s="51">
        <f t="shared" si="54"/>
        <v>0.17666666666666667</v>
      </c>
      <c r="AT97" s="51">
        <f t="shared" si="55"/>
        <v>7.1666666666666656E-2</v>
      </c>
      <c r="AU97" s="51">
        <f t="shared" si="63"/>
        <v>0.24833333333333332</v>
      </c>
      <c r="AV97" s="52">
        <f t="shared" si="56"/>
        <v>170.74694589877834</v>
      </c>
      <c r="AW97" s="52">
        <f t="shared" si="57"/>
        <v>69.265270506108195</v>
      </c>
      <c r="AX97" s="15">
        <f t="shared" si="58"/>
        <v>0.17074694589877834</v>
      </c>
      <c r="AY97" s="15">
        <f t="shared" si="59"/>
        <v>6.9265270506108201E-2</v>
      </c>
      <c r="AZ97" s="15">
        <f t="shared" si="60"/>
        <v>0.24001221640488654</v>
      </c>
      <c r="BA97" s="61">
        <f t="shared" si="64"/>
        <v>14.497382198952879</v>
      </c>
      <c r="BB97" s="61">
        <v>5</v>
      </c>
      <c r="BC97" s="61">
        <f t="shared" si="65"/>
        <v>6.7654450261780106</v>
      </c>
      <c r="BD97" s="61">
        <v>10</v>
      </c>
      <c r="BE97" s="61">
        <f t="shared" si="66"/>
        <v>0</v>
      </c>
      <c r="BF97" s="61">
        <v>0</v>
      </c>
      <c r="BG97" s="61">
        <v>0</v>
      </c>
      <c r="BH97" s="61">
        <v>0</v>
      </c>
      <c r="BI97" s="56">
        <f t="shared" si="67"/>
        <v>36.262827225130891</v>
      </c>
      <c r="BJ97" s="57">
        <f t="shared" si="68"/>
        <v>0.16034206554249891</v>
      </c>
      <c r="BK97" s="58">
        <f t="shared" si="69"/>
        <v>0.11469048352325222</v>
      </c>
    </row>
    <row r="98" spans="1:63" ht="17.25" customHeight="1" x14ac:dyDescent="0.3">
      <c r="A98" s="41">
        <v>97</v>
      </c>
      <c r="B98" s="42">
        <v>46237</v>
      </c>
      <c r="C98" s="43" t="str">
        <f t="shared" si="39"/>
        <v>Aug-26</v>
      </c>
      <c r="D98" s="43" t="s">
        <v>68</v>
      </c>
      <c r="E98" s="43" t="s">
        <v>35</v>
      </c>
      <c r="F98" s="43" t="s">
        <v>41</v>
      </c>
      <c r="G98" s="14" t="s">
        <v>105</v>
      </c>
      <c r="H98" s="14" t="s">
        <v>60</v>
      </c>
      <c r="I98" s="14" t="s">
        <v>60</v>
      </c>
      <c r="J98" s="44" t="s">
        <v>60</v>
      </c>
      <c r="K98" s="44">
        <v>2026</v>
      </c>
      <c r="L98" s="44">
        <v>120</v>
      </c>
      <c r="M98" s="45">
        <v>1000</v>
      </c>
      <c r="N98" s="45">
        <v>175</v>
      </c>
      <c r="O98" s="45">
        <v>8.1999999999999993</v>
      </c>
      <c r="P98" s="46">
        <f t="shared" si="41"/>
        <v>283</v>
      </c>
      <c r="Q98" s="45">
        <v>7.7</v>
      </c>
      <c r="R98" s="46">
        <v>224</v>
      </c>
      <c r="S98" s="46">
        <v>15</v>
      </c>
      <c r="T98" s="46">
        <v>11</v>
      </c>
      <c r="U98" s="46">
        <v>33</v>
      </c>
      <c r="V98" s="46">
        <v>0</v>
      </c>
      <c r="W98" s="46">
        <v>0</v>
      </c>
      <c r="X98" s="46">
        <v>22</v>
      </c>
      <c r="Y98" s="46">
        <v>3</v>
      </c>
      <c r="Z98" s="46">
        <f t="shared" si="61"/>
        <v>41.799216000000001</v>
      </c>
      <c r="AA98" s="46">
        <f t="shared" si="62"/>
        <v>44.091999999999999</v>
      </c>
      <c r="AB98" s="46">
        <f t="shared" si="70"/>
        <v>49.912143999999998</v>
      </c>
      <c r="AC98" s="46">
        <f t="shared" si="71"/>
        <v>224</v>
      </c>
      <c r="AD98" s="46">
        <f>214-40</f>
        <v>174</v>
      </c>
      <c r="AE98" s="46">
        <v>40</v>
      </c>
      <c r="AF98" s="59">
        <f t="shared" si="40"/>
        <v>-10</v>
      </c>
      <c r="AG98" s="46">
        <f t="shared" si="42"/>
        <v>12</v>
      </c>
      <c r="AH98" s="47">
        <f t="shared" si="43"/>
        <v>14.968256700519436</v>
      </c>
      <c r="AI98" s="47">
        <f t="shared" si="44"/>
        <v>26</v>
      </c>
      <c r="AJ98" s="47">
        <f t="shared" si="45"/>
        <v>33</v>
      </c>
      <c r="AK98" s="47">
        <f t="shared" si="46"/>
        <v>237</v>
      </c>
      <c r="AL98" s="48">
        <f t="shared" si="47"/>
        <v>0.23699999999999999</v>
      </c>
      <c r="AM98" s="46">
        <f t="shared" si="48"/>
        <v>41.76211453744493</v>
      </c>
      <c r="AN98" s="46">
        <f t="shared" si="49"/>
        <v>18.691588785046729</v>
      </c>
      <c r="AO98" s="46">
        <f t="shared" si="50"/>
        <v>182.13084112149534</v>
      </c>
      <c r="AP98" s="46">
        <f t="shared" si="51"/>
        <v>47.971962616822431</v>
      </c>
      <c r="AQ98" s="49">
        <f t="shared" si="52"/>
        <v>0.73862806819604432</v>
      </c>
      <c r="AR98" s="50">
        <f t="shared" si="53"/>
        <v>0.26137193180395557</v>
      </c>
      <c r="AS98" s="51">
        <f t="shared" si="54"/>
        <v>0.18213084112149533</v>
      </c>
      <c r="AT98" s="51">
        <f t="shared" si="55"/>
        <v>4.7971962616822433E-2</v>
      </c>
      <c r="AU98" s="51">
        <f t="shared" si="63"/>
        <v>0.23010280373831776</v>
      </c>
      <c r="AV98" s="52">
        <f t="shared" si="56"/>
        <v>176.02802759700546</v>
      </c>
      <c r="AW98" s="52">
        <f t="shared" si="57"/>
        <v>46.36452512599697</v>
      </c>
      <c r="AX98" s="15">
        <f t="shared" si="58"/>
        <v>0.17602802759700545</v>
      </c>
      <c r="AY98" s="15">
        <f t="shared" si="59"/>
        <v>4.6364525125996967E-2</v>
      </c>
      <c r="AZ98" s="15">
        <f t="shared" si="60"/>
        <v>0.2223925527230024</v>
      </c>
      <c r="BA98" s="61">
        <f t="shared" si="64"/>
        <v>14.497382198952879</v>
      </c>
      <c r="BB98" s="61">
        <v>3</v>
      </c>
      <c r="BC98" s="61">
        <f t="shared" si="65"/>
        <v>10.631413612565444</v>
      </c>
      <c r="BD98" s="61">
        <v>9</v>
      </c>
      <c r="BE98" s="61">
        <f t="shared" si="66"/>
        <v>0</v>
      </c>
      <c r="BF98" s="61">
        <v>0</v>
      </c>
      <c r="BG98" s="61">
        <v>0</v>
      </c>
      <c r="BH98" s="61">
        <v>0</v>
      </c>
      <c r="BI98" s="56">
        <f t="shared" si="67"/>
        <v>37.128795811518323</v>
      </c>
      <c r="BJ98" s="57">
        <f t="shared" si="68"/>
        <v>0.15366413867822318</v>
      </c>
      <c r="BK98" s="58">
        <f t="shared" si="69"/>
        <v>0.10055966781007401</v>
      </c>
    </row>
    <row r="99" spans="1:63" ht="17.25" customHeight="1" x14ac:dyDescent="0.3">
      <c r="A99" s="41">
        <v>98</v>
      </c>
      <c r="B99" s="42">
        <v>46237</v>
      </c>
      <c r="C99" s="43" t="str">
        <f t="shared" si="39"/>
        <v>Aug-26</v>
      </c>
      <c r="D99" s="43" t="s">
        <v>68</v>
      </c>
      <c r="E99" s="43" t="s">
        <v>35</v>
      </c>
      <c r="F99" s="43" t="s">
        <v>41</v>
      </c>
      <c r="G99" s="14" t="s">
        <v>105</v>
      </c>
      <c r="H99" s="14" t="s">
        <v>60</v>
      </c>
      <c r="I99" s="14" t="s">
        <v>60</v>
      </c>
      <c r="J99" s="44" t="s">
        <v>60</v>
      </c>
      <c r="K99" s="44">
        <v>2026</v>
      </c>
      <c r="L99" s="44">
        <v>120</v>
      </c>
      <c r="M99" s="45">
        <v>1000</v>
      </c>
      <c r="N99" s="45">
        <v>175</v>
      </c>
      <c r="O99" s="45">
        <v>8.1999999999999993</v>
      </c>
      <c r="P99" s="46">
        <f t="shared" si="41"/>
        <v>286</v>
      </c>
      <c r="Q99" s="45">
        <v>7.7</v>
      </c>
      <c r="R99" s="46">
        <v>237</v>
      </c>
      <c r="S99" s="46">
        <v>12</v>
      </c>
      <c r="T99" s="46">
        <v>7</v>
      </c>
      <c r="U99" s="46">
        <v>30</v>
      </c>
      <c r="V99" s="46">
        <v>0</v>
      </c>
      <c r="W99" s="46">
        <v>0</v>
      </c>
      <c r="X99" s="46">
        <v>42</v>
      </c>
      <c r="Y99" s="46">
        <v>4</v>
      </c>
      <c r="Z99" s="46">
        <f t="shared" si="61"/>
        <v>43.474711999999997</v>
      </c>
      <c r="AA99" s="46">
        <f t="shared" si="62"/>
        <v>45.150207999999999</v>
      </c>
      <c r="AB99" s="46">
        <f t="shared" si="70"/>
        <v>50.441248000000002</v>
      </c>
      <c r="AC99" s="46">
        <f t="shared" si="71"/>
        <v>237</v>
      </c>
      <c r="AD99" s="46">
        <f>225-39</f>
        <v>186</v>
      </c>
      <c r="AE99" s="46">
        <v>39</v>
      </c>
      <c r="AF99" s="59">
        <f t="shared" si="40"/>
        <v>-12</v>
      </c>
      <c r="AG99" s="46">
        <f t="shared" si="42"/>
        <v>13</v>
      </c>
      <c r="AH99" s="47">
        <f t="shared" si="43"/>
        <v>16.030046948356809</v>
      </c>
      <c r="AI99" s="47">
        <f t="shared" si="44"/>
        <v>19</v>
      </c>
      <c r="AJ99" s="47">
        <f t="shared" si="45"/>
        <v>30</v>
      </c>
      <c r="AK99" s="47">
        <f t="shared" si="46"/>
        <v>246.5</v>
      </c>
      <c r="AL99" s="48">
        <f t="shared" si="47"/>
        <v>0.2465</v>
      </c>
      <c r="AM99" s="46">
        <f t="shared" si="48"/>
        <v>43.436123348017624</v>
      </c>
      <c r="AN99" s="46">
        <f t="shared" si="49"/>
        <v>17.333333333333332</v>
      </c>
      <c r="AO99" s="46">
        <f t="shared" si="50"/>
        <v>195.92</v>
      </c>
      <c r="AP99" s="46">
        <f t="shared" si="51"/>
        <v>40.506666666666668</v>
      </c>
      <c r="AQ99" s="49">
        <f t="shared" si="52"/>
        <v>0.77262221346728388</v>
      </c>
      <c r="AR99" s="50">
        <f t="shared" si="53"/>
        <v>0.22737778653271612</v>
      </c>
      <c r="AS99" s="51">
        <f t="shared" si="54"/>
        <v>0.19591999999999998</v>
      </c>
      <c r="AT99" s="51">
        <f t="shared" si="55"/>
        <v>4.050666666666667E-2</v>
      </c>
      <c r="AU99" s="51">
        <f t="shared" si="63"/>
        <v>0.23642666666666665</v>
      </c>
      <c r="AV99" s="52">
        <f t="shared" si="56"/>
        <v>189.35514136125653</v>
      </c>
      <c r="AW99" s="52">
        <f t="shared" si="57"/>
        <v>39.149375218150084</v>
      </c>
      <c r="AX99" s="15">
        <f t="shared" si="58"/>
        <v>0.18935514136125653</v>
      </c>
      <c r="AY99" s="15">
        <f t="shared" si="59"/>
        <v>3.9149375218150081E-2</v>
      </c>
      <c r="AZ99" s="15">
        <f t="shared" si="60"/>
        <v>0.22850451657940662</v>
      </c>
      <c r="BA99" s="61">
        <f t="shared" si="64"/>
        <v>11.597905759162304</v>
      </c>
      <c r="BB99" s="61">
        <v>3</v>
      </c>
      <c r="BC99" s="61">
        <f t="shared" si="65"/>
        <v>6.7654450261780106</v>
      </c>
      <c r="BD99" s="61">
        <v>10</v>
      </c>
      <c r="BE99" s="61">
        <f t="shared" si="66"/>
        <v>0</v>
      </c>
      <c r="BF99" s="61">
        <v>0</v>
      </c>
      <c r="BG99" s="61">
        <v>0</v>
      </c>
      <c r="BH99" s="61">
        <v>0</v>
      </c>
      <c r="BI99" s="56">
        <f t="shared" si="67"/>
        <v>31.363350785340316</v>
      </c>
      <c r="BJ99" s="57">
        <f t="shared" si="68"/>
        <v>0.12676056338028172</v>
      </c>
      <c r="BK99" s="58">
        <f t="shared" si="69"/>
        <v>7.8483364296571531E-2</v>
      </c>
    </row>
    <row r="100" spans="1:63" ht="17.25" customHeight="1" x14ac:dyDescent="0.3">
      <c r="A100" s="41">
        <v>99</v>
      </c>
      <c r="B100" s="42">
        <v>46238</v>
      </c>
      <c r="C100" s="43" t="str">
        <f t="shared" si="39"/>
        <v>Aug-26</v>
      </c>
      <c r="D100" s="43" t="s">
        <v>68</v>
      </c>
      <c r="E100" s="43" t="s">
        <v>35</v>
      </c>
      <c r="F100" s="43" t="s">
        <v>41</v>
      </c>
      <c r="G100" s="14" t="s">
        <v>115</v>
      </c>
      <c r="H100" s="14" t="s">
        <v>60</v>
      </c>
      <c r="I100" s="14" t="s">
        <v>60</v>
      </c>
      <c r="J100" s="44" t="s">
        <v>60</v>
      </c>
      <c r="K100" s="44">
        <v>2026</v>
      </c>
      <c r="L100" s="44">
        <v>121</v>
      </c>
      <c r="M100" s="45">
        <v>1000</v>
      </c>
      <c r="N100" s="45">
        <v>171</v>
      </c>
      <c r="O100" s="45">
        <v>8.3000000000000007</v>
      </c>
      <c r="P100" s="46">
        <f t="shared" si="41"/>
        <v>290</v>
      </c>
      <c r="Q100" s="45">
        <v>7.7</v>
      </c>
      <c r="R100" s="46">
        <v>235</v>
      </c>
      <c r="S100" s="46">
        <v>16</v>
      </c>
      <c r="T100" s="46">
        <v>8</v>
      </c>
      <c r="U100" s="46">
        <v>28</v>
      </c>
      <c r="V100" s="46">
        <v>0</v>
      </c>
      <c r="W100" s="46">
        <v>3</v>
      </c>
      <c r="X100" s="46">
        <v>12</v>
      </c>
      <c r="Y100" s="46">
        <v>3</v>
      </c>
      <c r="Z100" s="46">
        <f t="shared" si="61"/>
        <v>43.562896000000002</v>
      </c>
      <c r="AA100" s="46">
        <f t="shared" si="62"/>
        <v>45.679312000000003</v>
      </c>
      <c r="AB100" s="46">
        <f t="shared" si="70"/>
        <v>51.146720000000002</v>
      </c>
      <c r="AC100" s="46">
        <f t="shared" si="71"/>
        <v>235</v>
      </c>
      <c r="AD100" s="46">
        <f>229-33</f>
        <v>196</v>
      </c>
      <c r="AE100" s="46">
        <v>33</v>
      </c>
      <c r="AF100" s="59">
        <f t="shared" si="40"/>
        <v>-6</v>
      </c>
      <c r="AG100" s="46">
        <f t="shared" si="42"/>
        <v>13</v>
      </c>
      <c r="AH100" s="47">
        <f t="shared" si="43"/>
        <v>15.630727597023188</v>
      </c>
      <c r="AI100" s="47">
        <f t="shared" si="44"/>
        <v>24</v>
      </c>
      <c r="AJ100" s="47">
        <f t="shared" si="45"/>
        <v>31</v>
      </c>
      <c r="AK100" s="47">
        <f t="shared" si="46"/>
        <v>247</v>
      </c>
      <c r="AL100" s="48">
        <f t="shared" si="47"/>
        <v>0.247</v>
      </c>
      <c r="AM100" s="46">
        <f t="shared" si="48"/>
        <v>43.524229074889867</v>
      </c>
      <c r="AN100" s="46">
        <f t="shared" si="49"/>
        <v>14.410480349344978</v>
      </c>
      <c r="AO100" s="46">
        <f t="shared" si="50"/>
        <v>201.13537117903931</v>
      </c>
      <c r="AP100" s="46">
        <f t="shared" si="51"/>
        <v>47.074235807860262</v>
      </c>
      <c r="AQ100" s="49">
        <f t="shared" si="52"/>
        <v>0.75644576690681653</v>
      </c>
      <c r="AR100" s="50">
        <f t="shared" si="53"/>
        <v>0.24355423309318344</v>
      </c>
      <c r="AS100" s="51">
        <f t="shared" si="54"/>
        <v>0.20113537117903932</v>
      </c>
      <c r="AT100" s="51">
        <f t="shared" si="55"/>
        <v>4.7074235807860264E-2</v>
      </c>
      <c r="AU100" s="51">
        <f t="shared" si="63"/>
        <v>0.24820960698689959</v>
      </c>
      <c r="AV100" s="52">
        <f t="shared" si="56"/>
        <v>194.39575664738561</v>
      </c>
      <c r="AW100" s="52">
        <f t="shared" si="57"/>
        <v>45.496879215345572</v>
      </c>
      <c r="AX100" s="15">
        <f t="shared" si="58"/>
        <v>0.19439575664738562</v>
      </c>
      <c r="AY100" s="15">
        <f t="shared" si="59"/>
        <v>4.5496879215345572E-2</v>
      </c>
      <c r="AZ100" s="15">
        <f t="shared" si="60"/>
        <v>0.23989263586273119</v>
      </c>
      <c r="BA100" s="61">
        <f t="shared" si="64"/>
        <v>15.463874345549737</v>
      </c>
      <c r="BB100" s="61">
        <v>3</v>
      </c>
      <c r="BC100" s="61">
        <f t="shared" si="65"/>
        <v>7.7319371727748685</v>
      </c>
      <c r="BD100" s="61">
        <v>10</v>
      </c>
      <c r="BE100" s="61">
        <f t="shared" si="66"/>
        <v>2.8994764397905759</v>
      </c>
      <c r="BF100" s="61">
        <v>0</v>
      </c>
      <c r="BG100" s="61">
        <v>0</v>
      </c>
      <c r="BH100" s="61">
        <v>0</v>
      </c>
      <c r="BI100" s="56">
        <f t="shared" si="67"/>
        <v>39.095287958115179</v>
      </c>
      <c r="BJ100" s="57">
        <f t="shared" si="68"/>
        <v>0.15618032519440966</v>
      </c>
      <c r="BK100" s="58">
        <f t="shared" si="69"/>
        <v>9.4203440538519062E-2</v>
      </c>
    </row>
    <row r="101" spans="1:63" ht="17.25" customHeight="1" x14ac:dyDescent="0.3">
      <c r="A101" s="41">
        <v>100</v>
      </c>
      <c r="B101" s="42">
        <v>46238</v>
      </c>
      <c r="C101" s="43" t="str">
        <f t="shared" si="39"/>
        <v>Aug-26</v>
      </c>
      <c r="D101" s="43" t="s">
        <v>68</v>
      </c>
      <c r="E101" s="43" t="s">
        <v>35</v>
      </c>
      <c r="F101" s="43" t="s">
        <v>41</v>
      </c>
      <c r="G101" s="14" t="s">
        <v>115</v>
      </c>
      <c r="H101" s="14" t="s">
        <v>60</v>
      </c>
      <c r="I101" s="14" t="s">
        <v>60</v>
      </c>
      <c r="J101" s="44" t="s">
        <v>60</v>
      </c>
      <c r="K101" s="44">
        <v>2026</v>
      </c>
      <c r="L101" s="44">
        <v>121</v>
      </c>
      <c r="M101" s="45">
        <v>1000</v>
      </c>
      <c r="N101" s="45">
        <v>171</v>
      </c>
      <c r="O101" s="45">
        <v>8.3000000000000007</v>
      </c>
      <c r="P101" s="46">
        <f t="shared" si="41"/>
        <v>282</v>
      </c>
      <c r="Q101" s="45">
        <v>7.7</v>
      </c>
      <c r="R101" s="46">
        <v>227</v>
      </c>
      <c r="S101" s="46">
        <v>20</v>
      </c>
      <c r="T101" s="46">
        <v>6</v>
      </c>
      <c r="U101" s="46">
        <v>27</v>
      </c>
      <c r="V101" s="46">
        <v>0</v>
      </c>
      <c r="W101" s="46">
        <v>2</v>
      </c>
      <c r="X101" s="46">
        <v>24</v>
      </c>
      <c r="Y101" s="46">
        <v>3</v>
      </c>
      <c r="Z101" s="46">
        <f t="shared" si="61"/>
        <v>42.328319999999998</v>
      </c>
      <c r="AA101" s="46">
        <f t="shared" si="62"/>
        <v>44.621104000000003</v>
      </c>
      <c r="AB101" s="46">
        <f t="shared" si="70"/>
        <v>49.735776000000008</v>
      </c>
      <c r="AC101" s="46">
        <f t="shared" si="71"/>
        <v>227</v>
      </c>
      <c r="AD101" s="46">
        <f>220-34</f>
        <v>186</v>
      </c>
      <c r="AE101" s="46">
        <v>34</v>
      </c>
      <c r="AF101" s="59">
        <f t="shared" si="40"/>
        <v>-7</v>
      </c>
      <c r="AG101" s="46">
        <f t="shared" si="42"/>
        <v>19</v>
      </c>
      <c r="AH101" s="47">
        <f t="shared" si="43"/>
        <v>23.053383236481828</v>
      </c>
      <c r="AI101" s="47">
        <f t="shared" si="44"/>
        <v>26</v>
      </c>
      <c r="AJ101" s="47">
        <f t="shared" si="45"/>
        <v>29</v>
      </c>
      <c r="AK101" s="47">
        <f t="shared" si="46"/>
        <v>240</v>
      </c>
      <c r="AL101" s="48">
        <f t="shared" si="47"/>
        <v>0.24</v>
      </c>
      <c r="AM101" s="46">
        <f t="shared" si="48"/>
        <v>42.290748898678416</v>
      </c>
      <c r="AN101" s="46">
        <f t="shared" si="49"/>
        <v>15.454545454545453</v>
      </c>
      <c r="AO101" s="46">
        <f t="shared" si="50"/>
        <v>191.91818181818181</v>
      </c>
      <c r="AP101" s="46">
        <f t="shared" si="51"/>
        <v>46.5</v>
      </c>
      <c r="AQ101" s="49">
        <f t="shared" si="52"/>
        <v>0.72321495306212114</v>
      </c>
      <c r="AR101" s="50">
        <f t="shared" si="53"/>
        <v>0.27678504693787886</v>
      </c>
      <c r="AS101" s="51">
        <f t="shared" si="54"/>
        <v>0.19191818181818182</v>
      </c>
      <c r="AT101" s="51">
        <f t="shared" si="55"/>
        <v>4.65E-2</v>
      </c>
      <c r="AU101" s="51">
        <f t="shared" si="63"/>
        <v>0.23841818181818181</v>
      </c>
      <c r="AV101" s="52">
        <f t="shared" si="56"/>
        <v>185.48741551642073</v>
      </c>
      <c r="AW101" s="52">
        <f t="shared" si="57"/>
        <v>44.941884816753927</v>
      </c>
      <c r="AX101" s="15">
        <f t="shared" si="58"/>
        <v>0.18548741551642073</v>
      </c>
      <c r="AY101" s="15">
        <f t="shared" si="59"/>
        <v>4.494188481675393E-2</v>
      </c>
      <c r="AZ101" s="15">
        <f t="shared" si="60"/>
        <v>0.23042930033317466</v>
      </c>
      <c r="BA101" s="61">
        <f t="shared" si="64"/>
        <v>19.329842931937172</v>
      </c>
      <c r="BB101" s="61">
        <v>4</v>
      </c>
      <c r="BC101" s="61">
        <f t="shared" si="65"/>
        <v>5.7989528795811518</v>
      </c>
      <c r="BD101" s="61">
        <v>15</v>
      </c>
      <c r="BE101" s="61">
        <f t="shared" si="66"/>
        <v>1.9329842931937171</v>
      </c>
      <c r="BF101" s="61">
        <v>0</v>
      </c>
      <c r="BG101" s="61">
        <v>0</v>
      </c>
      <c r="BH101" s="61">
        <v>0</v>
      </c>
      <c r="BI101" s="56">
        <f t="shared" si="67"/>
        <v>46.061780104712042</v>
      </c>
      <c r="BJ101" s="57">
        <f t="shared" si="68"/>
        <v>0.18837439351830046</v>
      </c>
      <c r="BK101" s="58">
        <f t="shared" si="69"/>
        <v>0.12542926307493102</v>
      </c>
    </row>
    <row r="102" spans="1:63" ht="17.25" customHeight="1" x14ac:dyDescent="0.3">
      <c r="A102" s="41">
        <v>101</v>
      </c>
      <c r="B102" s="42">
        <v>46239</v>
      </c>
      <c r="C102" s="43" t="str">
        <f t="shared" si="39"/>
        <v>Aug-26</v>
      </c>
      <c r="D102" s="43" t="s">
        <v>68</v>
      </c>
      <c r="E102" s="43" t="s">
        <v>35</v>
      </c>
      <c r="F102" s="43" t="s">
        <v>41</v>
      </c>
      <c r="G102" s="14" t="s">
        <v>100</v>
      </c>
      <c r="H102" s="14" t="s">
        <v>60</v>
      </c>
      <c r="I102" s="14" t="s">
        <v>60</v>
      </c>
      <c r="J102" s="44" t="s">
        <v>60</v>
      </c>
      <c r="K102" s="44">
        <v>2026</v>
      </c>
      <c r="L102" s="44">
        <v>122</v>
      </c>
      <c r="M102" s="45">
        <v>1000</v>
      </c>
      <c r="N102" s="45">
        <v>176</v>
      </c>
      <c r="O102" s="45">
        <v>8.4</v>
      </c>
      <c r="P102" s="46">
        <f t="shared" si="41"/>
        <v>285</v>
      </c>
      <c r="Q102" s="45">
        <v>7.7</v>
      </c>
      <c r="R102" s="46">
        <v>230</v>
      </c>
      <c r="S102" s="46">
        <v>17</v>
      </c>
      <c r="T102" s="46">
        <v>8</v>
      </c>
      <c r="U102" s="46">
        <v>30</v>
      </c>
      <c r="V102" s="46">
        <v>0</v>
      </c>
      <c r="W102" s="46">
        <v>0</v>
      </c>
      <c r="X102" s="46">
        <v>17</v>
      </c>
      <c r="Y102" s="46">
        <v>3</v>
      </c>
      <c r="Z102" s="46">
        <f t="shared" si="61"/>
        <v>42.769240000000003</v>
      </c>
      <c r="AA102" s="46">
        <f t="shared" si="62"/>
        <v>44.973840000000003</v>
      </c>
      <c r="AB102" s="46">
        <f t="shared" si="70"/>
        <v>50.264880000000005</v>
      </c>
      <c r="AC102" s="46">
        <f t="shared" si="71"/>
        <v>230</v>
      </c>
      <c r="AD102" s="46">
        <f>223-31</f>
        <v>192</v>
      </c>
      <c r="AE102" s="46">
        <v>31</v>
      </c>
      <c r="AF102" s="59">
        <f t="shared" si="40"/>
        <v>-7</v>
      </c>
      <c r="AG102" s="46">
        <f t="shared" si="42"/>
        <v>16</v>
      </c>
      <c r="AH102" s="47">
        <f t="shared" si="43"/>
        <v>19.15220887241351</v>
      </c>
      <c r="AI102" s="47">
        <f t="shared" si="44"/>
        <v>25</v>
      </c>
      <c r="AJ102" s="47">
        <f t="shared" si="45"/>
        <v>30</v>
      </c>
      <c r="AK102" s="47">
        <f t="shared" si="46"/>
        <v>242.5</v>
      </c>
      <c r="AL102" s="48">
        <f t="shared" si="47"/>
        <v>0.24249999999999999</v>
      </c>
      <c r="AM102" s="46">
        <f t="shared" si="48"/>
        <v>42.731277533039645</v>
      </c>
      <c r="AN102" s="46">
        <f t="shared" si="49"/>
        <v>13.901345291479821</v>
      </c>
      <c r="AO102" s="46">
        <f t="shared" si="50"/>
        <v>198.02690582959639</v>
      </c>
      <c r="AP102" s="46">
        <f t="shared" si="51"/>
        <v>47.354260089686093</v>
      </c>
      <c r="AQ102" s="49">
        <f t="shared" si="52"/>
        <v>0.73981681097398777</v>
      </c>
      <c r="AR102" s="50">
        <f t="shared" si="53"/>
        <v>0.26018318902601234</v>
      </c>
      <c r="AS102" s="51">
        <f t="shared" si="54"/>
        <v>0.19802690582959639</v>
      </c>
      <c r="AT102" s="51">
        <f t="shared" si="55"/>
        <v>4.7354260089686094E-2</v>
      </c>
      <c r="AU102" s="51">
        <f t="shared" si="63"/>
        <v>0.2453811659192825</v>
      </c>
      <c r="AV102" s="52">
        <f t="shared" si="56"/>
        <v>191.39144929918058</v>
      </c>
      <c r="AW102" s="52">
        <f t="shared" si="57"/>
        <v>45.767520484586669</v>
      </c>
      <c r="AX102" s="15">
        <f t="shared" si="58"/>
        <v>0.19139144929918059</v>
      </c>
      <c r="AY102" s="15">
        <f t="shared" si="59"/>
        <v>4.5767520484586668E-2</v>
      </c>
      <c r="AZ102" s="15">
        <f t="shared" si="60"/>
        <v>0.23715896978376727</v>
      </c>
      <c r="BA102" s="61">
        <f t="shared" si="64"/>
        <v>16.430366492146597</v>
      </c>
      <c r="BB102" s="61">
        <v>3</v>
      </c>
      <c r="BC102" s="61">
        <f t="shared" si="65"/>
        <v>7.7319371727748685</v>
      </c>
      <c r="BD102" s="61">
        <v>13</v>
      </c>
      <c r="BE102" s="61">
        <f t="shared" si="66"/>
        <v>0</v>
      </c>
      <c r="BF102" s="61">
        <v>0</v>
      </c>
      <c r="BG102" s="61">
        <v>0</v>
      </c>
      <c r="BH102" s="61">
        <v>0</v>
      </c>
      <c r="BI102" s="56">
        <f t="shared" si="67"/>
        <v>40.162303664921467</v>
      </c>
      <c r="BJ102" s="57">
        <f t="shared" si="68"/>
        <v>0.16295965840290613</v>
      </c>
      <c r="BK102" s="58">
        <f t="shared" si="69"/>
        <v>0.10119982547993019</v>
      </c>
    </row>
    <row r="103" spans="1:63" ht="17.25" customHeight="1" x14ac:dyDescent="0.3">
      <c r="A103" s="41">
        <v>102</v>
      </c>
      <c r="B103" s="42">
        <v>46239</v>
      </c>
      <c r="C103" s="43" t="str">
        <f t="shared" si="39"/>
        <v>Aug-26</v>
      </c>
      <c r="D103" s="43" t="s">
        <v>68</v>
      </c>
      <c r="E103" s="43" t="s">
        <v>35</v>
      </c>
      <c r="F103" s="43" t="s">
        <v>41</v>
      </c>
      <c r="G103" s="14" t="s">
        <v>100</v>
      </c>
      <c r="H103" s="14" t="s">
        <v>60</v>
      </c>
      <c r="I103" s="14" t="s">
        <v>60</v>
      </c>
      <c r="J103" s="44" t="s">
        <v>60</v>
      </c>
      <c r="K103" s="44">
        <v>2026</v>
      </c>
      <c r="L103" s="44">
        <v>122</v>
      </c>
      <c r="M103" s="45">
        <v>1000</v>
      </c>
      <c r="N103" s="45">
        <v>174</v>
      </c>
      <c r="O103" s="45">
        <v>8.4</v>
      </c>
      <c r="P103" s="46">
        <f t="shared" si="41"/>
        <v>290</v>
      </c>
      <c r="Q103" s="45">
        <v>7.7</v>
      </c>
      <c r="R103" s="46">
        <v>231</v>
      </c>
      <c r="S103" s="46">
        <v>15</v>
      </c>
      <c r="T103" s="46">
        <v>7</v>
      </c>
      <c r="U103" s="46">
        <v>37</v>
      </c>
      <c r="V103" s="46">
        <v>0</v>
      </c>
      <c r="W103" s="46">
        <v>0</v>
      </c>
      <c r="X103" s="46">
        <v>15</v>
      </c>
      <c r="Y103" s="46">
        <v>3</v>
      </c>
      <c r="Z103" s="46">
        <f t="shared" si="61"/>
        <v>42.681056000000005</v>
      </c>
      <c r="AA103" s="46">
        <f t="shared" si="62"/>
        <v>44.621104000000003</v>
      </c>
      <c r="AB103" s="46">
        <f t="shared" si="70"/>
        <v>51.146720000000002</v>
      </c>
      <c r="AC103" s="46">
        <f t="shared" si="71"/>
        <v>231</v>
      </c>
      <c r="AD103" s="46">
        <f>222-36</f>
        <v>186</v>
      </c>
      <c r="AE103" s="46">
        <v>36</v>
      </c>
      <c r="AF103" s="59">
        <f t="shared" si="40"/>
        <v>-9</v>
      </c>
      <c r="AG103" s="46">
        <f t="shared" si="42"/>
        <v>17</v>
      </c>
      <c r="AH103" s="47">
        <f t="shared" si="43"/>
        <v>20.762788790957806</v>
      </c>
      <c r="AI103" s="47">
        <f t="shared" si="44"/>
        <v>22</v>
      </c>
      <c r="AJ103" s="47">
        <f t="shared" si="45"/>
        <v>37</v>
      </c>
      <c r="AK103" s="47">
        <f t="shared" si="46"/>
        <v>242</v>
      </c>
      <c r="AL103" s="48">
        <f t="shared" si="47"/>
        <v>0.24199999999999999</v>
      </c>
      <c r="AM103" s="46">
        <f t="shared" si="48"/>
        <v>42.643171806167402</v>
      </c>
      <c r="AN103" s="46">
        <f t="shared" si="49"/>
        <v>16.216216216216214</v>
      </c>
      <c r="AO103" s="46">
        <f t="shared" si="50"/>
        <v>193.54054054054058</v>
      </c>
      <c r="AP103" s="46">
        <f t="shared" si="51"/>
        <v>49.432432432432435</v>
      </c>
      <c r="AQ103" s="49">
        <f t="shared" si="52"/>
        <v>0.72495590072083516</v>
      </c>
      <c r="AR103" s="50">
        <f t="shared" si="53"/>
        <v>0.2750440992791649</v>
      </c>
      <c r="AS103" s="51">
        <f t="shared" si="54"/>
        <v>0.19354054054054057</v>
      </c>
      <c r="AT103" s="51">
        <f t="shared" si="55"/>
        <v>4.9432432432432435E-2</v>
      </c>
      <c r="AU103" s="51">
        <f t="shared" si="63"/>
        <v>0.24297297297297299</v>
      </c>
      <c r="AV103" s="52">
        <f t="shared" si="56"/>
        <v>187.0554124805434</v>
      </c>
      <c r="AW103" s="52">
        <f t="shared" si="57"/>
        <v>47.776057733125796</v>
      </c>
      <c r="AX103" s="15">
        <f t="shared" si="58"/>
        <v>0.18705541248054339</v>
      </c>
      <c r="AY103" s="15">
        <f t="shared" si="59"/>
        <v>4.7776057733125793E-2</v>
      </c>
      <c r="AZ103" s="15">
        <f t="shared" si="60"/>
        <v>0.23483147021366918</v>
      </c>
      <c r="BA103" s="61">
        <f t="shared" si="64"/>
        <v>14.497382198952879</v>
      </c>
      <c r="BB103" s="61">
        <v>4</v>
      </c>
      <c r="BC103" s="61">
        <f t="shared" si="65"/>
        <v>6.7654450261780106</v>
      </c>
      <c r="BD103" s="61">
        <v>13</v>
      </c>
      <c r="BE103" s="61">
        <f t="shared" si="66"/>
        <v>0</v>
      </c>
      <c r="BF103" s="61">
        <v>0</v>
      </c>
      <c r="BG103" s="61">
        <v>0</v>
      </c>
      <c r="BH103" s="61">
        <v>0</v>
      </c>
      <c r="BI103" s="56">
        <f t="shared" si="67"/>
        <v>38.262827225130891</v>
      </c>
      <c r="BJ103" s="57">
        <f t="shared" si="68"/>
        <v>0.15647977252386319</v>
      </c>
      <c r="BK103" s="58">
        <f t="shared" si="69"/>
        <v>9.9448291392219765E-2</v>
      </c>
    </row>
    <row r="104" spans="1:63" ht="17.25" customHeight="1" x14ac:dyDescent="0.3">
      <c r="A104" s="130">
        <v>103</v>
      </c>
      <c r="B104" s="42">
        <v>46240</v>
      </c>
      <c r="C104" s="43" t="str">
        <f t="shared" si="39"/>
        <v>Aug-26</v>
      </c>
      <c r="D104" s="43" t="s">
        <v>68</v>
      </c>
      <c r="E104" s="43" t="s">
        <v>35</v>
      </c>
      <c r="F104" s="43" t="s">
        <v>41</v>
      </c>
      <c r="G104" s="14" t="s">
        <v>100</v>
      </c>
      <c r="H104" s="14" t="s">
        <v>60</v>
      </c>
      <c r="I104" s="14" t="s">
        <v>60</v>
      </c>
      <c r="J104" s="44" t="s">
        <v>60</v>
      </c>
      <c r="K104" s="44">
        <v>2026</v>
      </c>
      <c r="L104" s="44">
        <v>123</v>
      </c>
      <c r="M104" s="45">
        <v>1000</v>
      </c>
      <c r="N104" s="45">
        <v>181</v>
      </c>
      <c r="O104" s="45">
        <v>8.6</v>
      </c>
      <c r="P104" s="46">
        <f t="shared" si="41"/>
        <v>285</v>
      </c>
      <c r="Q104" s="45">
        <v>7.5</v>
      </c>
      <c r="R104" s="46">
        <v>229</v>
      </c>
      <c r="S104" s="46">
        <v>6</v>
      </c>
      <c r="T104" s="46">
        <v>4</v>
      </c>
      <c r="U104" s="46">
        <v>46</v>
      </c>
      <c r="V104" s="46">
        <v>0</v>
      </c>
      <c r="W104" s="46">
        <v>0</v>
      </c>
      <c r="X104" s="46">
        <v>24</v>
      </c>
      <c r="Y104" s="46">
        <v>3</v>
      </c>
      <c r="Z104" s="46">
        <f t="shared" si="61"/>
        <v>41.270111999999997</v>
      </c>
      <c r="AA104" s="46">
        <f t="shared" si="62"/>
        <v>42.151952000000001</v>
      </c>
      <c r="AB104" s="46">
        <f t="shared" si="70"/>
        <v>50.264880000000005</v>
      </c>
      <c r="AC104" s="46">
        <f t="shared" si="71"/>
        <v>229</v>
      </c>
      <c r="AD104" s="46">
        <f>220-31</f>
        <v>189</v>
      </c>
      <c r="AE104" s="46">
        <v>31</v>
      </c>
      <c r="AF104" s="59">
        <f t="shared" si="40"/>
        <v>-9</v>
      </c>
      <c r="AG104" s="46">
        <f t="shared" si="42"/>
        <v>15</v>
      </c>
      <c r="AH104" s="47">
        <f t="shared" si="43"/>
        <v>17.946191646191647</v>
      </c>
      <c r="AI104" s="47">
        <f t="shared" si="44"/>
        <v>10</v>
      </c>
      <c r="AJ104" s="47">
        <f t="shared" si="45"/>
        <v>46</v>
      </c>
      <c r="AK104" s="47">
        <f t="shared" si="46"/>
        <v>234</v>
      </c>
      <c r="AL104" s="48">
        <f t="shared" si="47"/>
        <v>0.23400000000000001</v>
      </c>
      <c r="AM104" s="46">
        <f t="shared" si="48"/>
        <v>41.233480176211451</v>
      </c>
      <c r="AN104" s="46">
        <f t="shared" si="49"/>
        <v>14.09090909090909</v>
      </c>
      <c r="AO104" s="46">
        <f t="shared" si="50"/>
        <v>196.73181818181817</v>
      </c>
      <c r="AP104" s="46">
        <f t="shared" si="51"/>
        <v>48.109090909090902</v>
      </c>
      <c r="AQ104" s="49">
        <f t="shared" si="52"/>
        <v>0.74053967843441526</v>
      </c>
      <c r="AR104" s="50">
        <f t="shared" si="53"/>
        <v>0.25946032156558474</v>
      </c>
      <c r="AS104" s="51">
        <f t="shared" si="54"/>
        <v>0.19673181818181817</v>
      </c>
      <c r="AT104" s="51">
        <f t="shared" si="55"/>
        <v>4.81090909090909E-2</v>
      </c>
      <c r="AU104" s="51">
        <f t="shared" si="63"/>
        <v>0.24484090909090908</v>
      </c>
      <c r="AV104" s="52">
        <f t="shared" si="56"/>
        <v>190.55176106615895</v>
      </c>
      <c r="AW104" s="52">
        <f t="shared" si="57"/>
        <v>46.597810566396944</v>
      </c>
      <c r="AX104" s="15">
        <f t="shared" si="58"/>
        <v>0.19055176106615895</v>
      </c>
      <c r="AY104" s="15">
        <f t="shared" si="59"/>
        <v>4.6597810566396947E-2</v>
      </c>
      <c r="AZ104" s="15">
        <f t="shared" si="60"/>
        <v>0.2371495716325559</v>
      </c>
      <c r="BA104" s="61">
        <f t="shared" si="64"/>
        <v>5.8115183246073299</v>
      </c>
      <c r="BB104" s="61">
        <v>5</v>
      </c>
      <c r="BC104" s="61">
        <f t="shared" si="65"/>
        <v>3.8743455497382198</v>
      </c>
      <c r="BD104" s="61">
        <v>10</v>
      </c>
      <c r="BE104" s="61">
        <f t="shared" si="66"/>
        <v>0</v>
      </c>
      <c r="BF104" s="61">
        <v>0</v>
      </c>
      <c r="BG104" s="61">
        <v>0</v>
      </c>
      <c r="BH104" s="61">
        <v>0</v>
      </c>
      <c r="BI104" s="56">
        <f t="shared" si="67"/>
        <v>24.68586387434555</v>
      </c>
      <c r="BJ104" s="57">
        <f t="shared" si="68"/>
        <v>0.10663801877190998</v>
      </c>
      <c r="BK104" s="58">
        <f t="shared" si="69"/>
        <v>5.7203800659298046E-2</v>
      </c>
    </row>
    <row r="105" spans="1:63" ht="17.25" customHeight="1" x14ac:dyDescent="0.3">
      <c r="A105" s="130">
        <v>104</v>
      </c>
      <c r="B105" s="42">
        <v>46240</v>
      </c>
      <c r="C105" s="43" t="str">
        <f t="shared" si="39"/>
        <v>Aug-26</v>
      </c>
      <c r="D105" s="43" t="s">
        <v>68</v>
      </c>
      <c r="E105" s="43" t="s">
        <v>35</v>
      </c>
      <c r="F105" s="43" t="s">
        <v>41</v>
      </c>
      <c r="G105" s="14" t="s">
        <v>100</v>
      </c>
      <c r="H105" s="14" t="s">
        <v>60</v>
      </c>
      <c r="I105" s="14" t="s">
        <v>60</v>
      </c>
      <c r="J105" s="44" t="s">
        <v>60</v>
      </c>
      <c r="K105" s="44">
        <v>2026</v>
      </c>
      <c r="L105" s="44">
        <v>123</v>
      </c>
      <c r="M105" s="45">
        <v>1000</v>
      </c>
      <c r="N105" s="45">
        <v>181</v>
      </c>
      <c r="O105" s="45">
        <v>8.6</v>
      </c>
      <c r="P105" s="46">
        <f t="shared" si="41"/>
        <v>278</v>
      </c>
      <c r="Q105" s="45">
        <v>7.5</v>
      </c>
      <c r="R105" s="46">
        <v>221</v>
      </c>
      <c r="S105" s="46">
        <v>21</v>
      </c>
      <c r="T105" s="46">
        <v>8</v>
      </c>
      <c r="U105" s="46">
        <v>28</v>
      </c>
      <c r="V105" s="46">
        <v>0</v>
      </c>
      <c r="W105" s="46">
        <v>0</v>
      </c>
      <c r="X105" s="46">
        <v>32</v>
      </c>
      <c r="Y105" s="46">
        <v>2</v>
      </c>
      <c r="Z105" s="46">
        <f t="shared" si="61"/>
        <v>41.534664000000006</v>
      </c>
      <c r="AA105" s="46">
        <f t="shared" si="62"/>
        <v>44.091999999999999</v>
      </c>
      <c r="AB105" s="46">
        <f t="shared" si="70"/>
        <v>49.030304000000001</v>
      </c>
      <c r="AC105" s="46">
        <f t="shared" si="71"/>
        <v>221</v>
      </c>
      <c r="AD105" s="46">
        <f>212-30</f>
        <v>182</v>
      </c>
      <c r="AE105" s="46">
        <v>30</v>
      </c>
      <c r="AF105" s="59">
        <f t="shared" si="40"/>
        <v>-9</v>
      </c>
      <c r="AG105" s="46">
        <f t="shared" si="42"/>
        <v>16</v>
      </c>
      <c r="AH105" s="47">
        <f t="shared" si="43"/>
        <v>19.152677205507391</v>
      </c>
      <c r="AI105" s="47">
        <f t="shared" si="44"/>
        <v>29</v>
      </c>
      <c r="AJ105" s="47">
        <f t="shared" si="45"/>
        <v>28</v>
      </c>
      <c r="AK105" s="47">
        <f t="shared" si="46"/>
        <v>235.5</v>
      </c>
      <c r="AL105" s="48">
        <f t="shared" si="47"/>
        <v>0.23549999999999999</v>
      </c>
      <c r="AM105" s="46">
        <f t="shared" si="48"/>
        <v>41.497797356828194</v>
      </c>
      <c r="AN105" s="46">
        <f t="shared" si="49"/>
        <v>14.150943396226415</v>
      </c>
      <c r="AO105" s="46">
        <f t="shared" si="50"/>
        <v>189.72641509433964</v>
      </c>
      <c r="AP105" s="46">
        <f t="shared" si="51"/>
        <v>48.933962264150942</v>
      </c>
      <c r="AQ105" s="49">
        <f t="shared" si="52"/>
        <v>0.72606950645500945</v>
      </c>
      <c r="AR105" s="50">
        <f t="shared" si="53"/>
        <v>0.27393049354499061</v>
      </c>
      <c r="AS105" s="51">
        <f t="shared" si="54"/>
        <v>0.18972641509433966</v>
      </c>
      <c r="AT105" s="51">
        <f t="shared" si="55"/>
        <v>4.8933962264150942E-2</v>
      </c>
      <c r="AU105" s="51">
        <f t="shared" si="63"/>
        <v>0.23866037735849061</v>
      </c>
      <c r="AV105" s="52">
        <f t="shared" si="56"/>
        <v>183.76642299713524</v>
      </c>
      <c r="AW105" s="52">
        <f t="shared" si="57"/>
        <v>47.396769732292796</v>
      </c>
      <c r="AX105" s="15">
        <f t="shared" si="58"/>
        <v>0.18376642299713525</v>
      </c>
      <c r="AY105" s="15">
        <f t="shared" si="59"/>
        <v>4.7396769732292794E-2</v>
      </c>
      <c r="AZ105" s="15">
        <f t="shared" si="60"/>
        <v>0.23116319272942804</v>
      </c>
      <c r="BA105" s="61">
        <f t="shared" si="64"/>
        <v>20.340314136125656</v>
      </c>
      <c r="BB105" s="61">
        <v>3</v>
      </c>
      <c r="BC105" s="61">
        <f t="shared" si="65"/>
        <v>7.7486910994764395</v>
      </c>
      <c r="BD105" s="61">
        <v>13</v>
      </c>
      <c r="BE105" s="61">
        <f t="shared" si="66"/>
        <v>0</v>
      </c>
      <c r="BF105" s="61">
        <v>0</v>
      </c>
      <c r="BG105" s="61">
        <v>0</v>
      </c>
      <c r="BH105" s="61">
        <v>0</v>
      </c>
      <c r="BI105" s="56">
        <f t="shared" si="67"/>
        <v>44.089005235602095</v>
      </c>
      <c r="BJ105" s="57">
        <f t="shared" si="68"/>
        <v>0.18207567567567567</v>
      </c>
      <c r="BK105" s="58">
        <f t="shared" si="69"/>
        <v>0.12824348426442669</v>
      </c>
    </row>
    <row r="106" spans="1:63" ht="17.25" customHeight="1" x14ac:dyDescent="0.3">
      <c r="A106" s="130">
        <v>105</v>
      </c>
      <c r="B106" s="42">
        <v>46243</v>
      </c>
      <c r="C106" s="43" t="str">
        <f t="shared" si="39"/>
        <v>Aug-26</v>
      </c>
      <c r="D106" s="43" t="s">
        <v>68</v>
      </c>
      <c r="E106" s="43" t="s">
        <v>35</v>
      </c>
      <c r="F106" s="43" t="s">
        <v>41</v>
      </c>
      <c r="G106" s="14" t="s">
        <v>105</v>
      </c>
      <c r="H106" s="14" t="s">
        <v>60</v>
      </c>
      <c r="I106" s="14" t="s">
        <v>60</v>
      </c>
      <c r="J106" s="44" t="s">
        <v>60</v>
      </c>
      <c r="K106" s="44">
        <v>2026</v>
      </c>
      <c r="L106" s="44">
        <v>124</v>
      </c>
      <c r="M106" s="45">
        <v>1000</v>
      </c>
      <c r="N106" s="45">
        <v>187</v>
      </c>
      <c r="O106" s="45">
        <v>7.6</v>
      </c>
      <c r="P106" s="46">
        <f t="shared" si="41"/>
        <v>288</v>
      </c>
      <c r="Q106" s="45">
        <v>7.4</v>
      </c>
      <c r="R106" s="46">
        <v>206</v>
      </c>
      <c r="S106" s="46">
        <v>19</v>
      </c>
      <c r="T106" s="46">
        <v>12</v>
      </c>
      <c r="U106" s="46">
        <v>51</v>
      </c>
      <c r="V106" s="46">
        <v>0</v>
      </c>
      <c r="W106" s="46">
        <v>0</v>
      </c>
      <c r="X106" s="46">
        <v>17</v>
      </c>
      <c r="Y106" s="46">
        <v>3</v>
      </c>
      <c r="Z106" s="46">
        <f t="shared" si="61"/>
        <v>39.065512000000005</v>
      </c>
      <c r="AA106" s="46">
        <f t="shared" si="62"/>
        <v>41.799216000000001</v>
      </c>
      <c r="AB106" s="46">
        <f t="shared" si="70"/>
        <v>50.793984000000002</v>
      </c>
      <c r="AC106" s="46">
        <f t="shared" si="71"/>
        <v>206</v>
      </c>
      <c r="AD106" s="46">
        <f>198-30</f>
        <v>168</v>
      </c>
      <c r="AE106" s="46">
        <v>30</v>
      </c>
      <c r="AF106" s="59">
        <f t="shared" si="40"/>
        <v>-8</v>
      </c>
      <c r="AG106" s="46">
        <f t="shared" si="42"/>
        <v>14</v>
      </c>
      <c r="AH106" s="47">
        <f t="shared" si="43"/>
        <v>16.887230839714643</v>
      </c>
      <c r="AI106" s="47">
        <f t="shared" si="44"/>
        <v>31</v>
      </c>
      <c r="AJ106" s="47">
        <f t="shared" si="45"/>
        <v>51</v>
      </c>
      <c r="AK106" s="47">
        <f t="shared" si="46"/>
        <v>221.5</v>
      </c>
      <c r="AL106" s="48">
        <f t="shared" si="47"/>
        <v>0.2215</v>
      </c>
      <c r="AM106" s="46">
        <f t="shared" si="48"/>
        <v>39.030837004405285</v>
      </c>
      <c r="AN106" s="46">
        <f t="shared" si="49"/>
        <v>15.151515151515152</v>
      </c>
      <c r="AO106" s="46">
        <f t="shared" si="50"/>
        <v>174.78787878787878</v>
      </c>
      <c r="AP106" s="46">
        <f t="shared" si="51"/>
        <v>69.575757575757564</v>
      </c>
      <c r="AQ106" s="49">
        <f t="shared" si="52"/>
        <v>0.65664155958432413</v>
      </c>
      <c r="AR106" s="50">
        <f t="shared" si="53"/>
        <v>0.34335844041567587</v>
      </c>
      <c r="AS106" s="51">
        <f t="shared" si="54"/>
        <v>0.17478787878787877</v>
      </c>
      <c r="AT106" s="51">
        <f t="shared" si="55"/>
        <v>6.9575757575757569E-2</v>
      </c>
      <c r="AU106" s="51">
        <f t="shared" si="63"/>
        <v>0.24436363636363634</v>
      </c>
      <c r="AV106" s="52">
        <f t="shared" si="56"/>
        <v>169.48018403934634</v>
      </c>
      <c r="AW106" s="52">
        <f t="shared" si="57"/>
        <v>67.46298587973979</v>
      </c>
      <c r="AX106" s="15">
        <f t="shared" si="58"/>
        <v>0.16948018403934634</v>
      </c>
      <c r="AY106" s="15">
        <f t="shared" si="59"/>
        <v>6.7462985879739784E-2</v>
      </c>
      <c r="AZ106" s="15">
        <f t="shared" si="60"/>
        <v>0.23694316991908612</v>
      </c>
      <c r="BA106" s="61">
        <f t="shared" si="64"/>
        <v>18.423036649214659</v>
      </c>
      <c r="BB106" s="61">
        <v>5</v>
      </c>
      <c r="BC106" s="61">
        <f t="shared" si="65"/>
        <v>11.635602094240836</v>
      </c>
      <c r="BD106" s="61">
        <v>9</v>
      </c>
      <c r="BE106" s="61">
        <f t="shared" si="66"/>
        <v>0</v>
      </c>
      <c r="BF106" s="61">
        <v>0</v>
      </c>
      <c r="BG106" s="61">
        <v>0</v>
      </c>
      <c r="BH106" s="61">
        <v>0</v>
      </c>
      <c r="BI106" s="56">
        <f t="shared" si="67"/>
        <v>44.058638743455496</v>
      </c>
      <c r="BJ106" s="57">
        <f t="shared" si="68"/>
        <v>0.19172339630551077</v>
      </c>
      <c r="BK106" s="58">
        <f t="shared" si="69"/>
        <v>0.13942283719770629</v>
      </c>
    </row>
    <row r="107" spans="1:63" ht="17.25" customHeight="1" x14ac:dyDescent="0.3">
      <c r="A107" s="130">
        <v>106</v>
      </c>
      <c r="B107" s="42">
        <v>46243</v>
      </c>
      <c r="C107" s="43" t="str">
        <f t="shared" si="39"/>
        <v>Aug-26</v>
      </c>
      <c r="D107" s="43" t="s">
        <v>68</v>
      </c>
      <c r="E107" s="43" t="s">
        <v>35</v>
      </c>
      <c r="F107" s="43" t="s">
        <v>41</v>
      </c>
      <c r="G107" s="14" t="s">
        <v>105</v>
      </c>
      <c r="H107" s="14" t="s">
        <v>60</v>
      </c>
      <c r="I107" s="14" t="s">
        <v>60</v>
      </c>
      <c r="J107" s="44" t="s">
        <v>60</v>
      </c>
      <c r="K107" s="44">
        <v>2026</v>
      </c>
      <c r="L107" s="44">
        <v>124</v>
      </c>
      <c r="M107" s="45">
        <v>1000</v>
      </c>
      <c r="N107" s="45">
        <v>187</v>
      </c>
      <c r="O107" s="45">
        <v>7.6</v>
      </c>
      <c r="P107" s="46">
        <f t="shared" si="41"/>
        <v>285</v>
      </c>
      <c r="Q107" s="45">
        <v>7.4</v>
      </c>
      <c r="R107" s="46">
        <v>226</v>
      </c>
      <c r="S107" s="46">
        <v>13</v>
      </c>
      <c r="T107" s="46">
        <v>5</v>
      </c>
      <c r="U107" s="46">
        <v>40</v>
      </c>
      <c r="V107" s="46">
        <v>0</v>
      </c>
      <c r="W107" s="46">
        <v>1</v>
      </c>
      <c r="X107" s="46">
        <v>16</v>
      </c>
      <c r="Y107" s="46">
        <v>3</v>
      </c>
      <c r="Z107" s="46">
        <f t="shared" si="61"/>
        <v>41.446480000000001</v>
      </c>
      <c r="AA107" s="46">
        <f t="shared" si="62"/>
        <v>43.033791999999998</v>
      </c>
      <c r="AB107" s="46">
        <f t="shared" si="70"/>
        <v>50.264880000000005</v>
      </c>
      <c r="AC107" s="46">
        <f t="shared" si="71"/>
        <v>226</v>
      </c>
      <c r="AD107" s="46">
        <f>217-37</f>
        <v>180</v>
      </c>
      <c r="AE107" s="46">
        <v>37</v>
      </c>
      <c r="AF107" s="59">
        <f t="shared" si="40"/>
        <v>-9</v>
      </c>
      <c r="AG107" s="46">
        <f t="shared" si="42"/>
        <v>17</v>
      </c>
      <c r="AH107" s="47">
        <f t="shared" si="43"/>
        <v>20.844124175135118</v>
      </c>
      <c r="AI107" s="47">
        <f t="shared" si="44"/>
        <v>18</v>
      </c>
      <c r="AJ107" s="47">
        <f t="shared" si="45"/>
        <v>41</v>
      </c>
      <c r="AK107" s="47">
        <f t="shared" si="46"/>
        <v>235</v>
      </c>
      <c r="AL107" s="48">
        <f t="shared" si="47"/>
        <v>0.23499999999999999</v>
      </c>
      <c r="AM107" s="46">
        <f t="shared" si="48"/>
        <v>41.409691629955944</v>
      </c>
      <c r="AN107" s="46">
        <f t="shared" si="49"/>
        <v>17.050691244239633</v>
      </c>
      <c r="AO107" s="46">
        <f t="shared" si="50"/>
        <v>187.46543778801842</v>
      </c>
      <c r="AP107" s="46">
        <f t="shared" si="51"/>
        <v>48.940092165898612</v>
      </c>
      <c r="AQ107" s="49">
        <f t="shared" si="52"/>
        <v>0.71984517833285933</v>
      </c>
      <c r="AR107" s="50">
        <f t="shared" si="53"/>
        <v>0.28015482166714079</v>
      </c>
      <c r="AS107" s="51">
        <f t="shared" si="54"/>
        <v>0.18746543778801841</v>
      </c>
      <c r="AT107" s="51">
        <f t="shared" si="55"/>
        <v>4.8940092165898612E-2</v>
      </c>
      <c r="AU107" s="51">
        <f t="shared" si="63"/>
        <v>0.23640552995391703</v>
      </c>
      <c r="AV107" s="52">
        <f t="shared" si="56"/>
        <v>181.77277004367019</v>
      </c>
      <c r="AW107" s="52">
        <f t="shared" si="57"/>
        <v>47.453953241489124</v>
      </c>
      <c r="AX107" s="15">
        <f t="shared" si="58"/>
        <v>0.18177277004367018</v>
      </c>
      <c r="AY107" s="15">
        <f t="shared" si="59"/>
        <v>4.7453953241489127E-2</v>
      </c>
      <c r="AZ107" s="15">
        <f t="shared" si="60"/>
        <v>0.22922672328515931</v>
      </c>
      <c r="BA107" s="61">
        <f t="shared" si="64"/>
        <v>12.60523560209424</v>
      </c>
      <c r="BB107" s="61">
        <v>5</v>
      </c>
      <c r="BC107" s="61">
        <f t="shared" si="65"/>
        <v>4.848167539267016</v>
      </c>
      <c r="BD107" s="61">
        <v>12</v>
      </c>
      <c r="BE107" s="61">
        <f t="shared" si="66"/>
        <v>0.96963350785340308</v>
      </c>
      <c r="BF107" s="61">
        <v>0</v>
      </c>
      <c r="BG107" s="61">
        <v>0</v>
      </c>
      <c r="BH107" s="61">
        <v>0</v>
      </c>
      <c r="BI107" s="56">
        <f t="shared" si="67"/>
        <v>35.423036649214659</v>
      </c>
      <c r="BJ107" s="57">
        <f t="shared" si="68"/>
        <v>0.1497229401975711</v>
      </c>
      <c r="BK107" s="58">
        <f t="shared" si="69"/>
        <v>9.7806864456079112E-2</v>
      </c>
    </row>
    <row r="108" spans="1:63" ht="17.25" customHeight="1" x14ac:dyDescent="0.3">
      <c r="A108" s="130">
        <v>107</v>
      </c>
      <c r="B108" s="42">
        <v>46244</v>
      </c>
      <c r="C108" s="43" t="str">
        <f t="shared" si="39"/>
        <v>Aug-26</v>
      </c>
      <c r="D108" s="43" t="s">
        <v>68</v>
      </c>
      <c r="E108" s="43" t="s">
        <v>35</v>
      </c>
      <c r="F108" s="43" t="s">
        <v>41</v>
      </c>
      <c r="G108" s="14" t="s">
        <v>231</v>
      </c>
      <c r="H108" s="14" t="s">
        <v>60</v>
      </c>
      <c r="I108" s="14" t="s">
        <v>60</v>
      </c>
      <c r="J108" s="44" t="s">
        <v>60</v>
      </c>
      <c r="K108" s="44">
        <v>2026</v>
      </c>
      <c r="L108" s="44">
        <v>125</v>
      </c>
      <c r="M108" s="45">
        <v>1000</v>
      </c>
      <c r="N108" s="45">
        <v>175</v>
      </c>
      <c r="O108" s="45">
        <v>7.8</v>
      </c>
      <c r="P108" s="46">
        <f t="shared" si="41"/>
        <v>283</v>
      </c>
      <c r="Q108" s="45">
        <v>7.3</v>
      </c>
      <c r="R108" s="46">
        <v>238</v>
      </c>
      <c r="S108" s="46">
        <v>12</v>
      </c>
      <c r="T108" s="46">
        <v>5</v>
      </c>
      <c r="U108" s="46">
        <v>28</v>
      </c>
      <c r="V108" s="46">
        <v>0</v>
      </c>
      <c r="W108" s="46"/>
      <c r="X108" s="46">
        <v>16</v>
      </c>
      <c r="Y108" s="46">
        <v>3</v>
      </c>
      <c r="Z108" s="46">
        <f t="shared" si="61"/>
        <v>43.474711999999997</v>
      </c>
      <c r="AA108" s="46">
        <f t="shared" si="62"/>
        <v>44.973840000000003</v>
      </c>
      <c r="AB108" s="46">
        <f t="shared" si="70"/>
        <v>49.912143999999998</v>
      </c>
      <c r="AC108" s="46">
        <f t="shared" si="71"/>
        <v>238</v>
      </c>
      <c r="AD108" s="46">
        <f>233-33</f>
        <v>200</v>
      </c>
      <c r="AE108" s="46">
        <v>33</v>
      </c>
      <c r="AF108" s="59">
        <f t="shared" si="40"/>
        <v>-5</v>
      </c>
      <c r="AG108" s="46">
        <f t="shared" si="42"/>
        <v>18</v>
      </c>
      <c r="AH108" s="47">
        <f t="shared" si="43"/>
        <v>21.502562606775282</v>
      </c>
      <c r="AI108" s="47">
        <f t="shared" si="44"/>
        <v>17</v>
      </c>
      <c r="AJ108" s="47">
        <f t="shared" si="45"/>
        <v>28</v>
      </c>
      <c r="AK108" s="47">
        <f t="shared" si="46"/>
        <v>246.5</v>
      </c>
      <c r="AL108" s="48">
        <f t="shared" si="47"/>
        <v>0.2465</v>
      </c>
      <c r="AM108" s="46">
        <f t="shared" si="48"/>
        <v>43.436123348017624</v>
      </c>
      <c r="AN108" s="46">
        <f t="shared" si="49"/>
        <v>14.163090128755364</v>
      </c>
      <c r="AO108" s="46">
        <f t="shared" si="50"/>
        <v>204.29184549356225</v>
      </c>
      <c r="AP108" s="46">
        <f t="shared" si="51"/>
        <v>38.626609442060087</v>
      </c>
      <c r="AQ108" s="49">
        <f t="shared" si="52"/>
        <v>0.76500861269690712</v>
      </c>
      <c r="AR108" s="50">
        <f t="shared" si="53"/>
        <v>0.23499138730309288</v>
      </c>
      <c r="AS108" s="51">
        <f t="shared" si="54"/>
        <v>0.20429184549356225</v>
      </c>
      <c r="AT108" s="51">
        <f t="shared" si="55"/>
        <v>3.8626609442060089E-2</v>
      </c>
      <c r="AU108" s="51">
        <f t="shared" si="63"/>
        <v>0.24291845493562234</v>
      </c>
      <c r="AV108" s="52">
        <f t="shared" si="56"/>
        <v>198.3021369345887</v>
      </c>
      <c r="AW108" s="52">
        <f t="shared" si="57"/>
        <v>37.49410152124576</v>
      </c>
      <c r="AX108" s="15">
        <f t="shared" si="58"/>
        <v>0.1983021369345887</v>
      </c>
      <c r="AY108" s="15">
        <f t="shared" si="59"/>
        <v>3.7494101521245757E-2</v>
      </c>
      <c r="AZ108" s="15">
        <f t="shared" si="60"/>
        <v>0.23579623845583447</v>
      </c>
      <c r="BA108" s="61">
        <f t="shared" si="64"/>
        <v>11.648167539267016</v>
      </c>
      <c r="BB108" s="61">
        <v>5</v>
      </c>
      <c r="BC108" s="61">
        <f t="shared" si="65"/>
        <v>4.8534031413612562</v>
      </c>
      <c r="BD108" s="61">
        <v>13</v>
      </c>
      <c r="BE108" s="61">
        <f t="shared" si="66"/>
        <v>0</v>
      </c>
      <c r="BF108" s="61"/>
      <c r="BG108" s="61">
        <v>0</v>
      </c>
      <c r="BH108" s="61"/>
      <c r="BI108" s="56">
        <f t="shared" si="67"/>
        <v>34.501570680628269</v>
      </c>
      <c r="BJ108" s="57">
        <f t="shared" si="68"/>
        <v>0.13938701694269939</v>
      </c>
      <c r="BK108" s="58">
        <f t="shared" si="69"/>
        <v>8.3240837696335071E-2</v>
      </c>
    </row>
    <row r="109" spans="1:63" ht="17.25" customHeight="1" x14ac:dyDescent="0.3">
      <c r="A109" s="41">
        <v>108</v>
      </c>
      <c r="B109" s="42">
        <v>46244</v>
      </c>
      <c r="C109" s="43" t="str">
        <f t="shared" si="39"/>
        <v>Aug-26</v>
      </c>
      <c r="D109" s="43" t="s">
        <v>68</v>
      </c>
      <c r="E109" s="43" t="s">
        <v>35</v>
      </c>
      <c r="F109" s="43" t="s">
        <v>41</v>
      </c>
      <c r="G109" s="14" t="s">
        <v>231</v>
      </c>
      <c r="H109" s="14" t="s">
        <v>60</v>
      </c>
      <c r="I109" s="14" t="s">
        <v>60</v>
      </c>
      <c r="J109" s="44" t="s">
        <v>60</v>
      </c>
      <c r="K109" s="44">
        <v>2026</v>
      </c>
      <c r="L109" s="44">
        <v>125</v>
      </c>
      <c r="M109" s="45">
        <v>1000</v>
      </c>
      <c r="N109" s="45">
        <v>175</v>
      </c>
      <c r="O109" s="45">
        <v>7.8</v>
      </c>
      <c r="P109" s="46">
        <f t="shared" si="41"/>
        <v>282</v>
      </c>
      <c r="Q109" s="45">
        <v>7.3</v>
      </c>
      <c r="R109" s="46">
        <v>240</v>
      </c>
      <c r="S109" s="46">
        <v>11</v>
      </c>
      <c r="T109" s="46">
        <v>6</v>
      </c>
      <c r="U109" s="46">
        <v>25</v>
      </c>
      <c r="V109" s="46">
        <v>0</v>
      </c>
      <c r="W109" s="46"/>
      <c r="X109" s="46">
        <v>35</v>
      </c>
      <c r="Y109" s="46">
        <v>7</v>
      </c>
      <c r="Z109" s="46">
        <f t="shared" si="61"/>
        <v>43.827448000000004</v>
      </c>
      <c r="AA109" s="46">
        <f t="shared" si="62"/>
        <v>45.326576000000003</v>
      </c>
      <c r="AB109" s="46">
        <f t="shared" si="70"/>
        <v>49.735776000000008</v>
      </c>
      <c r="AC109" s="46">
        <f t="shared" si="71"/>
        <v>240</v>
      </c>
      <c r="AD109" s="46">
        <f>233-39</f>
        <v>194</v>
      </c>
      <c r="AE109" s="46">
        <v>39</v>
      </c>
      <c r="AF109" s="59">
        <f t="shared" si="40"/>
        <v>-7</v>
      </c>
      <c r="AG109" s="46">
        <f t="shared" si="42"/>
        <v>15</v>
      </c>
      <c r="AH109" s="47">
        <f t="shared" si="43"/>
        <v>18.322985679958887</v>
      </c>
      <c r="AI109" s="47">
        <f t="shared" si="44"/>
        <v>17</v>
      </c>
      <c r="AJ109" s="47">
        <f t="shared" si="45"/>
        <v>25</v>
      </c>
      <c r="AK109" s="47">
        <f t="shared" si="46"/>
        <v>248.5</v>
      </c>
      <c r="AL109" s="48">
        <f t="shared" si="47"/>
        <v>0.2485</v>
      </c>
      <c r="AM109" s="46">
        <f t="shared" si="48"/>
        <v>43.78854625550661</v>
      </c>
      <c r="AN109" s="46">
        <f t="shared" si="49"/>
        <v>16.738197424892704</v>
      </c>
      <c r="AO109" s="46">
        <f t="shared" si="50"/>
        <v>199.82832618025751</v>
      </c>
      <c r="AP109" s="46">
        <f t="shared" si="51"/>
        <v>34.969957081545061</v>
      </c>
      <c r="AQ109" s="49">
        <f t="shared" si="52"/>
        <v>0.78608870326255709</v>
      </c>
      <c r="AR109" s="50">
        <f t="shared" si="53"/>
        <v>0.21391129673744289</v>
      </c>
      <c r="AS109" s="51">
        <f t="shared" si="54"/>
        <v>0.1998283261802575</v>
      </c>
      <c r="AT109" s="51">
        <f t="shared" si="55"/>
        <v>3.4969957081545058E-2</v>
      </c>
      <c r="AU109" s="51">
        <f t="shared" si="63"/>
        <v>0.23479828326180258</v>
      </c>
      <c r="AV109" s="52">
        <f t="shared" si="56"/>
        <v>193.96948520324472</v>
      </c>
      <c r="AW109" s="52">
        <f t="shared" si="57"/>
        <v>33.944659910567829</v>
      </c>
      <c r="AX109" s="15">
        <f t="shared" si="58"/>
        <v>0.19396948520324472</v>
      </c>
      <c r="AY109" s="15">
        <f t="shared" si="59"/>
        <v>3.3944659910567831E-2</v>
      </c>
      <c r="AZ109" s="15">
        <f t="shared" si="60"/>
        <v>0.22791414511381256</v>
      </c>
      <c r="BA109" s="61">
        <f t="shared" si="64"/>
        <v>10.677486910994764</v>
      </c>
      <c r="BB109" s="61">
        <v>4</v>
      </c>
      <c r="BC109" s="61">
        <f t="shared" si="65"/>
        <v>5.8240837696335079</v>
      </c>
      <c r="BD109" s="61">
        <v>11</v>
      </c>
      <c r="BE109" s="61">
        <f t="shared" si="66"/>
        <v>0</v>
      </c>
      <c r="BF109" s="61"/>
      <c r="BG109" s="61">
        <v>0</v>
      </c>
      <c r="BH109" s="61"/>
      <c r="BI109" s="56">
        <f t="shared" si="67"/>
        <v>31.501570680628273</v>
      </c>
      <c r="BJ109" s="57">
        <f t="shared" si="68"/>
        <v>0.12627655421656403</v>
      </c>
      <c r="BK109" s="58">
        <f t="shared" si="69"/>
        <v>7.5657149025746204E-2</v>
      </c>
    </row>
    <row r="110" spans="1:63" ht="17.25" customHeight="1" x14ac:dyDescent="0.3">
      <c r="A110" s="41">
        <v>109</v>
      </c>
      <c r="B110" s="42">
        <v>46245</v>
      </c>
      <c r="C110" s="43" t="str">
        <f t="shared" si="39"/>
        <v>Aug-26</v>
      </c>
      <c r="D110" s="43" t="s">
        <v>68</v>
      </c>
      <c r="E110" s="43" t="s">
        <v>35</v>
      </c>
      <c r="F110" s="43" t="s">
        <v>41</v>
      </c>
      <c r="G110" s="14" t="s">
        <v>231</v>
      </c>
      <c r="H110" s="14" t="s">
        <v>60</v>
      </c>
      <c r="I110" s="14" t="s">
        <v>60</v>
      </c>
      <c r="J110" s="44" t="s">
        <v>60</v>
      </c>
      <c r="K110" s="44">
        <v>2026</v>
      </c>
      <c r="L110" s="44">
        <v>126</v>
      </c>
      <c r="M110" s="45">
        <v>1000</v>
      </c>
      <c r="N110" s="45">
        <v>178</v>
      </c>
      <c r="O110" s="45">
        <v>8.3000000000000007</v>
      </c>
      <c r="P110" s="46">
        <f t="shared" si="41"/>
        <v>278</v>
      </c>
      <c r="Q110" s="45">
        <v>7.6</v>
      </c>
      <c r="R110" s="46">
        <v>239</v>
      </c>
      <c r="S110" s="46">
        <v>11</v>
      </c>
      <c r="T110" s="46">
        <v>4</v>
      </c>
      <c r="U110" s="46">
        <v>24</v>
      </c>
      <c r="V110" s="46"/>
      <c r="W110" s="46"/>
      <c r="X110" s="46">
        <v>35</v>
      </c>
      <c r="Y110" s="46">
        <v>3</v>
      </c>
      <c r="Z110" s="46">
        <f t="shared" si="61"/>
        <v>43.474711999999997</v>
      </c>
      <c r="AA110" s="46">
        <f t="shared" si="62"/>
        <v>44.797471999999999</v>
      </c>
      <c r="AB110" s="46">
        <f t="shared" si="70"/>
        <v>49.030304000000001</v>
      </c>
      <c r="AC110" s="46">
        <f t="shared" si="71"/>
        <v>239</v>
      </c>
      <c r="AD110" s="46">
        <f>229-37</f>
        <v>192</v>
      </c>
      <c r="AE110" s="46">
        <v>37</v>
      </c>
      <c r="AF110" s="59">
        <f t="shared" si="40"/>
        <v>-10</v>
      </c>
      <c r="AG110" s="46">
        <f t="shared" si="42"/>
        <v>22</v>
      </c>
      <c r="AH110" s="47">
        <f t="shared" si="43"/>
        <v>26.826783114992722</v>
      </c>
      <c r="AI110" s="47">
        <f t="shared" si="44"/>
        <v>15</v>
      </c>
      <c r="AJ110" s="47">
        <f t="shared" si="45"/>
        <v>24</v>
      </c>
      <c r="AK110" s="47">
        <f t="shared" si="46"/>
        <v>246.5</v>
      </c>
      <c r="AL110" s="48">
        <f t="shared" si="47"/>
        <v>0.2465</v>
      </c>
      <c r="AM110" s="46">
        <f t="shared" si="48"/>
        <v>43.436123348017624</v>
      </c>
      <c r="AN110" s="46">
        <f t="shared" si="49"/>
        <v>16.157205240174672</v>
      </c>
      <c r="AO110" s="46">
        <f t="shared" si="50"/>
        <v>200.38427947598251</v>
      </c>
      <c r="AP110" s="46">
        <f t="shared" si="51"/>
        <v>32.698689956331876</v>
      </c>
      <c r="AQ110" s="49">
        <f t="shared" si="52"/>
        <v>0.76321301037772393</v>
      </c>
      <c r="AR110" s="50">
        <f t="shared" si="53"/>
        <v>0.23678698962227598</v>
      </c>
      <c r="AS110" s="51">
        <f t="shared" si="54"/>
        <v>0.2003842794759825</v>
      </c>
      <c r="AT110" s="51">
        <f t="shared" si="55"/>
        <v>3.2698689956331878E-2</v>
      </c>
      <c r="AU110" s="51">
        <f t="shared" si="63"/>
        <v>0.23308296943231438</v>
      </c>
      <c r="AV110" s="52">
        <f t="shared" si="56"/>
        <v>193.87965888566265</v>
      </c>
      <c r="AW110" s="52">
        <f t="shared" si="57"/>
        <v>31.637266512723198</v>
      </c>
      <c r="AX110" s="15">
        <f t="shared" si="58"/>
        <v>0.19387965888566264</v>
      </c>
      <c r="AY110" s="15">
        <f t="shared" si="59"/>
        <v>3.1637266512723194E-2</v>
      </c>
      <c r="AZ110" s="15">
        <f t="shared" si="60"/>
        <v>0.22551692539838583</v>
      </c>
      <c r="BA110" s="61">
        <f t="shared" si="64"/>
        <v>10.642931937172776</v>
      </c>
      <c r="BB110" s="61">
        <v>6</v>
      </c>
      <c r="BC110" s="61">
        <f t="shared" si="65"/>
        <v>3.8701570680628277</v>
      </c>
      <c r="BD110" s="61">
        <v>16</v>
      </c>
      <c r="BE110" s="61">
        <f t="shared" si="66"/>
        <v>0</v>
      </c>
      <c r="BF110" s="61"/>
      <c r="BG110" s="61">
        <v>0</v>
      </c>
      <c r="BH110" s="61"/>
      <c r="BI110" s="56">
        <f t="shared" si="67"/>
        <v>36.513089005235599</v>
      </c>
      <c r="BJ110" s="57">
        <f t="shared" si="68"/>
        <v>0.14857517810273713</v>
      </c>
      <c r="BK110" s="58">
        <f t="shared" si="69"/>
        <v>8.6681937172774878E-2</v>
      </c>
    </row>
    <row r="111" spans="1:63" ht="17.25" customHeight="1" x14ac:dyDescent="0.3">
      <c r="A111" s="41">
        <v>110</v>
      </c>
      <c r="B111" s="42">
        <v>46245</v>
      </c>
      <c r="C111" s="43" t="str">
        <f t="shared" si="39"/>
        <v>Aug-26</v>
      </c>
      <c r="D111" s="43" t="s">
        <v>68</v>
      </c>
      <c r="E111" s="43" t="s">
        <v>35</v>
      </c>
      <c r="F111" s="43" t="s">
        <v>41</v>
      </c>
      <c r="G111" s="14" t="s">
        <v>231</v>
      </c>
      <c r="H111" s="14" t="s">
        <v>60</v>
      </c>
      <c r="I111" s="14" t="s">
        <v>60</v>
      </c>
      <c r="J111" s="44" t="s">
        <v>60</v>
      </c>
      <c r="K111" s="44">
        <v>2026</v>
      </c>
      <c r="L111" s="44">
        <v>126</v>
      </c>
      <c r="M111" s="45">
        <v>1000</v>
      </c>
      <c r="N111" s="45">
        <v>181</v>
      </c>
      <c r="O111" s="45">
        <v>8.3000000000000007</v>
      </c>
      <c r="P111" s="46">
        <f t="shared" si="41"/>
        <v>283</v>
      </c>
      <c r="Q111" s="45">
        <v>7.6</v>
      </c>
      <c r="R111" s="46">
        <v>236</v>
      </c>
      <c r="S111" s="46">
        <v>18</v>
      </c>
      <c r="T111" s="46">
        <v>5</v>
      </c>
      <c r="U111" s="46">
        <v>24</v>
      </c>
      <c r="V111" s="46"/>
      <c r="W111" s="46"/>
      <c r="X111" s="46">
        <v>13</v>
      </c>
      <c r="Y111" s="46">
        <v>4</v>
      </c>
      <c r="Z111" s="46">
        <f t="shared" si="61"/>
        <v>43.65108</v>
      </c>
      <c r="AA111" s="46">
        <f t="shared" si="62"/>
        <v>45.679312000000003</v>
      </c>
      <c r="AB111" s="46">
        <f t="shared" si="70"/>
        <v>49.912143999999998</v>
      </c>
      <c r="AC111" s="46">
        <f t="shared" si="71"/>
        <v>236</v>
      </c>
      <c r="AD111" s="46">
        <f>225-31</f>
        <v>194</v>
      </c>
      <c r="AE111" s="46">
        <v>31</v>
      </c>
      <c r="AF111" s="59">
        <f t="shared" si="40"/>
        <v>-11</v>
      </c>
      <c r="AG111" s="46">
        <f t="shared" si="42"/>
        <v>21</v>
      </c>
      <c r="AH111" s="47">
        <f t="shared" si="43"/>
        <v>25.082828282828281</v>
      </c>
      <c r="AI111" s="47">
        <f t="shared" si="44"/>
        <v>23</v>
      </c>
      <c r="AJ111" s="47">
        <f t="shared" si="45"/>
        <v>24</v>
      </c>
      <c r="AK111" s="47">
        <f t="shared" si="46"/>
        <v>247.5</v>
      </c>
      <c r="AL111" s="48">
        <f t="shared" si="47"/>
        <v>0.2475</v>
      </c>
      <c r="AM111" s="46">
        <f t="shared" si="48"/>
        <v>43.612334801762117</v>
      </c>
      <c r="AN111" s="46">
        <f t="shared" si="49"/>
        <v>13.777777777777779</v>
      </c>
      <c r="AO111" s="46">
        <f t="shared" si="50"/>
        <v>203.48444444444448</v>
      </c>
      <c r="AP111" s="46">
        <f t="shared" si="51"/>
        <v>40.524444444444448</v>
      </c>
      <c r="AQ111" s="49">
        <f t="shared" si="52"/>
        <v>0.74529035942463506</v>
      </c>
      <c r="AR111" s="50">
        <f t="shared" si="53"/>
        <v>0.25470964057536494</v>
      </c>
      <c r="AS111" s="51">
        <f t="shared" si="54"/>
        <v>0.20348444444444447</v>
      </c>
      <c r="AT111" s="51">
        <f t="shared" si="55"/>
        <v>4.0524444444444446E-2</v>
      </c>
      <c r="AU111" s="51">
        <f t="shared" si="63"/>
        <v>0.24400888888888891</v>
      </c>
      <c r="AV111" s="52">
        <f t="shared" si="56"/>
        <v>196.87919022687612</v>
      </c>
      <c r="AW111" s="52">
        <f t="shared" si="57"/>
        <v>39.208991273996517</v>
      </c>
      <c r="AX111" s="15">
        <f t="shared" si="58"/>
        <v>0.19687919022687611</v>
      </c>
      <c r="AY111" s="15">
        <f t="shared" si="59"/>
        <v>3.9208991273996519E-2</v>
      </c>
      <c r="AZ111" s="15">
        <f t="shared" si="60"/>
        <v>0.23608818150087263</v>
      </c>
      <c r="BA111" s="61">
        <f t="shared" si="64"/>
        <v>17.415706806282724</v>
      </c>
      <c r="BB111" s="61">
        <v>7</v>
      </c>
      <c r="BC111" s="61">
        <f t="shared" si="65"/>
        <v>4.837696335078534</v>
      </c>
      <c r="BD111" s="61">
        <v>14</v>
      </c>
      <c r="BE111" s="61">
        <f t="shared" si="66"/>
        <v>0</v>
      </c>
      <c r="BF111" s="61"/>
      <c r="BG111" s="61">
        <v>0</v>
      </c>
      <c r="BH111" s="61"/>
      <c r="BI111" s="56">
        <f t="shared" si="67"/>
        <v>43.253403141361261</v>
      </c>
      <c r="BJ111" s="57">
        <f t="shared" si="68"/>
        <v>0.1726044226044226</v>
      </c>
      <c r="BK111" s="58">
        <f t="shared" si="69"/>
        <v>0.12585415879527179</v>
      </c>
    </row>
    <row r="112" spans="1:63" ht="17.25" customHeight="1" x14ac:dyDescent="0.3">
      <c r="A112" s="41">
        <v>111</v>
      </c>
      <c r="B112" s="42">
        <v>46246</v>
      </c>
      <c r="C112" s="43" t="str">
        <f t="shared" si="39"/>
        <v>Aug-26</v>
      </c>
      <c r="D112" s="43" t="s">
        <v>68</v>
      </c>
      <c r="E112" s="43" t="s">
        <v>35</v>
      </c>
      <c r="F112" s="43" t="s">
        <v>41</v>
      </c>
      <c r="G112" s="14" t="s">
        <v>231</v>
      </c>
      <c r="H112" s="14" t="s">
        <v>60</v>
      </c>
      <c r="I112" s="14" t="s">
        <v>60</v>
      </c>
      <c r="J112" s="44" t="s">
        <v>60</v>
      </c>
      <c r="K112" s="44">
        <v>2026</v>
      </c>
      <c r="L112" s="44">
        <v>127</v>
      </c>
      <c r="M112" s="45">
        <v>1000</v>
      </c>
      <c r="N112" s="45">
        <v>173</v>
      </c>
      <c r="O112" s="45">
        <v>8</v>
      </c>
      <c r="P112" s="46">
        <f t="shared" si="41"/>
        <v>282</v>
      </c>
      <c r="Q112" s="45">
        <v>7.4</v>
      </c>
      <c r="R112" s="46">
        <v>235</v>
      </c>
      <c r="S112" s="46">
        <v>17</v>
      </c>
      <c r="T112" s="46">
        <v>6</v>
      </c>
      <c r="U112" s="46">
        <v>24</v>
      </c>
      <c r="V112" s="46"/>
      <c r="W112" s="46"/>
      <c r="X112" s="46">
        <v>34</v>
      </c>
      <c r="Y112" s="46">
        <v>4</v>
      </c>
      <c r="Z112" s="46">
        <f t="shared" si="61"/>
        <v>43.474711999999997</v>
      </c>
      <c r="AA112" s="46">
        <f t="shared" si="62"/>
        <v>45.502944000000006</v>
      </c>
      <c r="AB112" s="46">
        <f t="shared" si="70"/>
        <v>49.735776000000008</v>
      </c>
      <c r="AC112" s="46">
        <f t="shared" si="71"/>
        <v>235</v>
      </c>
      <c r="AD112" s="46">
        <f>227-36</f>
        <v>191</v>
      </c>
      <c r="AE112" s="46">
        <v>36</v>
      </c>
      <c r="AF112" s="59">
        <f t="shared" si="40"/>
        <v>-8</v>
      </c>
      <c r="AG112" s="46">
        <f t="shared" si="42"/>
        <v>17</v>
      </c>
      <c r="AH112" s="47">
        <f t="shared" si="43"/>
        <v>20.631915966546469</v>
      </c>
      <c r="AI112" s="47">
        <f t="shared" si="44"/>
        <v>23</v>
      </c>
      <c r="AJ112" s="47">
        <f t="shared" si="45"/>
        <v>24</v>
      </c>
      <c r="AK112" s="47">
        <f t="shared" si="46"/>
        <v>246.5</v>
      </c>
      <c r="AL112" s="48">
        <f t="shared" si="47"/>
        <v>0.2465</v>
      </c>
      <c r="AM112" s="46">
        <f t="shared" si="48"/>
        <v>43.436123348017624</v>
      </c>
      <c r="AN112" s="46">
        <f t="shared" si="49"/>
        <v>15.859030837004406</v>
      </c>
      <c r="AO112" s="46">
        <f t="shared" si="50"/>
        <v>197.73127753303964</v>
      </c>
      <c r="AP112" s="46">
        <f t="shared" si="51"/>
        <v>39.546255506607928</v>
      </c>
      <c r="AQ112" s="49">
        <f t="shared" si="52"/>
        <v>0.76017051075692743</v>
      </c>
      <c r="AR112" s="50">
        <f t="shared" si="53"/>
        <v>0.2398294892430726</v>
      </c>
      <c r="AS112" s="51">
        <f t="shared" si="54"/>
        <v>0.19773127753303965</v>
      </c>
      <c r="AT112" s="51">
        <f t="shared" si="55"/>
        <v>3.9546255506607925E-2</v>
      </c>
      <c r="AU112" s="51">
        <f t="shared" si="63"/>
        <v>0.23727753303964758</v>
      </c>
      <c r="AV112" s="52">
        <f t="shared" si="56"/>
        <v>191.72687224669602</v>
      </c>
      <c r="AW112" s="52">
        <f t="shared" si="57"/>
        <v>38.345374449339204</v>
      </c>
      <c r="AX112" s="15">
        <f t="shared" si="58"/>
        <v>0.19172687224669602</v>
      </c>
      <c r="AY112" s="15">
        <f t="shared" si="59"/>
        <v>3.8345374449339206E-2</v>
      </c>
      <c r="AZ112" s="15">
        <f t="shared" si="60"/>
        <v>0.23007224669603521</v>
      </c>
      <c r="BA112" s="61">
        <f t="shared" si="64"/>
        <v>16.483769633507851</v>
      </c>
      <c r="BB112" s="61">
        <v>4</v>
      </c>
      <c r="BC112" s="61">
        <f t="shared" si="65"/>
        <v>5.817801047120418</v>
      </c>
      <c r="BD112" s="61">
        <v>13</v>
      </c>
      <c r="BE112" s="61">
        <f t="shared" si="66"/>
        <v>0</v>
      </c>
      <c r="BF112" s="61"/>
      <c r="BG112" s="61">
        <v>0</v>
      </c>
      <c r="BH112" s="61"/>
      <c r="BI112" s="56">
        <f t="shared" si="67"/>
        <v>39.301570680628274</v>
      </c>
      <c r="BJ112" s="57">
        <f t="shared" si="68"/>
        <v>0.1571023155356874</v>
      </c>
      <c r="BK112" s="58">
        <f t="shared" si="69"/>
        <v>0.10724486719114058</v>
      </c>
    </row>
    <row r="113" spans="1:63" ht="17.25" customHeight="1" x14ac:dyDescent="0.3">
      <c r="A113" s="41">
        <v>112</v>
      </c>
      <c r="B113" s="42">
        <v>46246</v>
      </c>
      <c r="C113" s="43" t="str">
        <f t="shared" si="39"/>
        <v>Aug-26</v>
      </c>
      <c r="D113" s="43" t="s">
        <v>68</v>
      </c>
      <c r="E113" s="43" t="s">
        <v>35</v>
      </c>
      <c r="F113" s="43" t="s">
        <v>41</v>
      </c>
      <c r="G113" s="14" t="s">
        <v>231</v>
      </c>
      <c r="H113" s="14" t="s">
        <v>60</v>
      </c>
      <c r="I113" s="14" t="s">
        <v>60</v>
      </c>
      <c r="J113" s="44" t="s">
        <v>60</v>
      </c>
      <c r="K113" s="44">
        <v>2026</v>
      </c>
      <c r="L113" s="44">
        <v>127</v>
      </c>
      <c r="M113" s="45">
        <v>1000</v>
      </c>
      <c r="N113" s="45">
        <v>173</v>
      </c>
      <c r="O113" s="45">
        <v>8</v>
      </c>
      <c r="P113" s="46">
        <f t="shared" si="41"/>
        <v>284</v>
      </c>
      <c r="Q113" s="45">
        <v>7.4</v>
      </c>
      <c r="R113" s="46">
        <v>231</v>
      </c>
      <c r="S113" s="46">
        <v>20</v>
      </c>
      <c r="T113" s="46">
        <v>6</v>
      </c>
      <c r="U113" s="46">
        <v>27</v>
      </c>
      <c r="V113" s="46"/>
      <c r="W113" s="46"/>
      <c r="X113" s="46">
        <v>24</v>
      </c>
      <c r="Y113" s="46">
        <v>4</v>
      </c>
      <c r="Z113" s="46">
        <f t="shared" si="61"/>
        <v>43.033791999999998</v>
      </c>
      <c r="AA113" s="46">
        <f t="shared" si="62"/>
        <v>45.326576000000003</v>
      </c>
      <c r="AB113" s="46">
        <f t="shared" si="70"/>
        <v>50.088512000000001</v>
      </c>
      <c r="AC113" s="46">
        <f t="shared" si="71"/>
        <v>231</v>
      </c>
      <c r="AD113" s="46">
        <f>224-36</f>
        <v>188</v>
      </c>
      <c r="AE113" s="46">
        <v>36</v>
      </c>
      <c r="AF113" s="59">
        <f t="shared" si="40"/>
        <v>-7</v>
      </c>
      <c r="AG113" s="46">
        <f t="shared" si="42"/>
        <v>19</v>
      </c>
      <c r="AH113" s="47">
        <f t="shared" si="43"/>
        <v>23.101473310706574</v>
      </c>
      <c r="AI113" s="47">
        <f t="shared" si="44"/>
        <v>26</v>
      </c>
      <c r="AJ113" s="47">
        <f t="shared" si="45"/>
        <v>27</v>
      </c>
      <c r="AK113" s="47">
        <f t="shared" si="46"/>
        <v>244</v>
      </c>
      <c r="AL113" s="48">
        <f t="shared" si="47"/>
        <v>0.24399999999999999</v>
      </c>
      <c r="AM113" s="46">
        <f t="shared" si="48"/>
        <v>42.995594713656388</v>
      </c>
      <c r="AN113" s="46">
        <f t="shared" si="49"/>
        <v>16.071428571428569</v>
      </c>
      <c r="AO113" s="46">
        <f t="shared" si="50"/>
        <v>193.875</v>
      </c>
      <c r="AP113" s="46">
        <f t="shared" si="51"/>
        <v>44.482142857142861</v>
      </c>
      <c r="AQ113" s="49">
        <f t="shared" si="52"/>
        <v>0.73203706580737116</v>
      </c>
      <c r="AR113" s="50">
        <f t="shared" si="53"/>
        <v>0.26796293419262879</v>
      </c>
      <c r="AS113" s="51">
        <f t="shared" si="54"/>
        <v>0.19387499999999999</v>
      </c>
      <c r="AT113" s="51">
        <f t="shared" si="55"/>
        <v>4.4482142857142859E-2</v>
      </c>
      <c r="AU113" s="51">
        <f t="shared" si="63"/>
        <v>0.23835714285714285</v>
      </c>
      <c r="AV113" s="52">
        <f t="shared" si="56"/>
        <v>187.98769633507851</v>
      </c>
      <c r="AW113" s="52">
        <f t="shared" si="57"/>
        <v>43.131376215407634</v>
      </c>
      <c r="AX113" s="15">
        <f t="shared" si="58"/>
        <v>0.1879876963350785</v>
      </c>
      <c r="AY113" s="15">
        <f t="shared" si="59"/>
        <v>4.3131376215407635E-2</v>
      </c>
      <c r="AZ113" s="15">
        <f t="shared" si="60"/>
        <v>0.23111907255048614</v>
      </c>
      <c r="BA113" s="61">
        <f t="shared" si="64"/>
        <v>19.392670157068064</v>
      </c>
      <c r="BB113" s="61">
        <v>4</v>
      </c>
      <c r="BC113" s="61">
        <f t="shared" si="65"/>
        <v>5.817801047120418</v>
      </c>
      <c r="BD113" s="61">
        <v>15</v>
      </c>
      <c r="BE113" s="61">
        <f t="shared" si="66"/>
        <v>0</v>
      </c>
      <c r="BF113" s="61"/>
      <c r="BG113" s="61">
        <v>0</v>
      </c>
      <c r="BH113" s="61"/>
      <c r="BI113" s="56">
        <f t="shared" si="67"/>
        <v>44.21047120418848</v>
      </c>
      <c r="BJ113" s="57">
        <f t="shared" si="68"/>
        <v>0.17741257742182184</v>
      </c>
      <c r="BK113" s="58">
        <f t="shared" si="69"/>
        <v>0.12442909658014928</v>
      </c>
    </row>
    <row r="114" spans="1:63" ht="17.25" customHeight="1" x14ac:dyDescent="0.3">
      <c r="A114" s="41">
        <v>113</v>
      </c>
      <c r="B114" s="42">
        <v>46247</v>
      </c>
      <c r="C114" s="43" t="str">
        <f t="shared" si="39"/>
        <v>Aug-26</v>
      </c>
      <c r="D114" s="43" t="s">
        <v>68</v>
      </c>
      <c r="E114" s="43" t="s">
        <v>35</v>
      </c>
      <c r="F114" s="43" t="s">
        <v>41</v>
      </c>
      <c r="G114" s="14" t="s">
        <v>231</v>
      </c>
      <c r="H114" s="14" t="s">
        <v>60</v>
      </c>
      <c r="I114" s="14" t="s">
        <v>60</v>
      </c>
      <c r="J114" s="44" t="s">
        <v>60</v>
      </c>
      <c r="K114" s="44">
        <v>2026</v>
      </c>
      <c r="L114" s="44">
        <v>128</v>
      </c>
      <c r="M114" s="45">
        <v>1000</v>
      </c>
      <c r="N114" s="45">
        <v>175</v>
      </c>
      <c r="O114" s="45">
        <v>7.8</v>
      </c>
      <c r="P114" s="46">
        <f t="shared" si="41"/>
        <v>291</v>
      </c>
      <c r="Q114" s="45">
        <v>7.92</v>
      </c>
      <c r="R114" s="46">
        <v>238</v>
      </c>
      <c r="S114" s="46">
        <v>18</v>
      </c>
      <c r="T114" s="46">
        <v>8</v>
      </c>
      <c r="U114" s="46">
        <v>23</v>
      </c>
      <c r="V114" s="46"/>
      <c r="W114" s="46">
        <v>4</v>
      </c>
      <c r="X114" s="46">
        <v>23</v>
      </c>
      <c r="Y114" s="46">
        <v>3</v>
      </c>
      <c r="Z114" s="46">
        <f t="shared" si="61"/>
        <v>44.268368000000002</v>
      </c>
      <c r="AA114" s="46">
        <f t="shared" si="62"/>
        <v>46.561152</v>
      </c>
      <c r="AB114" s="46">
        <f t="shared" si="70"/>
        <v>51.323088000000006</v>
      </c>
      <c r="AC114" s="46">
        <f t="shared" si="71"/>
        <v>238</v>
      </c>
      <c r="AD114" s="46">
        <f>229-38</f>
        <v>191</v>
      </c>
      <c r="AE114" s="46">
        <v>38</v>
      </c>
      <c r="AF114" s="59">
        <f t="shared" si="40"/>
        <v>-9</v>
      </c>
      <c r="AG114" s="46">
        <f t="shared" si="42"/>
        <v>15</v>
      </c>
      <c r="AH114" s="47">
        <f t="shared" si="43"/>
        <v>18.423556125487991</v>
      </c>
      <c r="AI114" s="47">
        <f t="shared" si="44"/>
        <v>26</v>
      </c>
      <c r="AJ114" s="47">
        <f t="shared" si="45"/>
        <v>27</v>
      </c>
      <c r="AK114" s="47">
        <f t="shared" si="46"/>
        <v>251</v>
      </c>
      <c r="AL114" s="48">
        <f t="shared" si="47"/>
        <v>0.251</v>
      </c>
      <c r="AM114" s="46">
        <f t="shared" si="48"/>
        <v>44.229074889867839</v>
      </c>
      <c r="AN114" s="46">
        <f t="shared" si="49"/>
        <v>16.593886462882097</v>
      </c>
      <c r="AO114" s="46">
        <f t="shared" si="50"/>
        <v>198.50655021834061</v>
      </c>
      <c r="AP114" s="46">
        <f t="shared" si="51"/>
        <v>44.20524017467249</v>
      </c>
      <c r="AQ114" s="49">
        <f t="shared" si="52"/>
        <v>0.75455822637289349</v>
      </c>
      <c r="AR114" s="50">
        <f t="shared" si="53"/>
        <v>0.24544177362710651</v>
      </c>
      <c r="AS114" s="51">
        <f t="shared" si="54"/>
        <v>0.1985065502183406</v>
      </c>
      <c r="AT114" s="51">
        <f t="shared" si="55"/>
        <v>4.4205240174672492E-2</v>
      </c>
      <c r="AU114" s="51">
        <f t="shared" si="63"/>
        <v>0.2427117903930131</v>
      </c>
      <c r="AV114" s="52">
        <f t="shared" si="56"/>
        <v>191.39772925764194</v>
      </c>
      <c r="AW114" s="52">
        <f t="shared" si="57"/>
        <v>42.622183406113535</v>
      </c>
      <c r="AX114" s="15">
        <f t="shared" si="58"/>
        <v>0.19139772925764195</v>
      </c>
      <c r="AY114" s="15">
        <f t="shared" si="59"/>
        <v>4.2622183406113533E-2</v>
      </c>
      <c r="AZ114" s="15">
        <f t="shared" si="60"/>
        <v>0.23401991266375549</v>
      </c>
      <c r="BA114" s="61">
        <f t="shared" si="64"/>
        <v>17.35539267015707</v>
      </c>
      <c r="BB114" s="61">
        <v>3</v>
      </c>
      <c r="BC114" s="61">
        <f t="shared" si="65"/>
        <v>7.7135078534031409</v>
      </c>
      <c r="BD114" s="61">
        <v>12</v>
      </c>
      <c r="BE114" s="61">
        <f t="shared" si="66"/>
        <v>3.8567539267015705</v>
      </c>
      <c r="BF114" s="61"/>
      <c r="BG114" s="61">
        <v>0</v>
      </c>
      <c r="BH114" s="61"/>
      <c r="BI114" s="56">
        <f t="shared" si="67"/>
        <v>43.925654450261781</v>
      </c>
      <c r="BJ114" s="57">
        <f t="shared" si="68"/>
        <v>0.17256486454466474</v>
      </c>
      <c r="BK114" s="58">
        <f t="shared" si="69"/>
        <v>0.10657273649296894</v>
      </c>
    </row>
    <row r="115" spans="1:63" ht="17.25" customHeight="1" x14ac:dyDescent="0.3">
      <c r="A115" s="41">
        <v>114</v>
      </c>
      <c r="B115" s="42">
        <v>46247</v>
      </c>
      <c r="C115" s="43" t="str">
        <f t="shared" si="39"/>
        <v>Aug-26</v>
      </c>
      <c r="D115" s="43" t="s">
        <v>68</v>
      </c>
      <c r="E115" s="43" t="s">
        <v>35</v>
      </c>
      <c r="F115" s="43" t="s">
        <v>41</v>
      </c>
      <c r="G115" s="14" t="s">
        <v>231</v>
      </c>
      <c r="H115" s="14" t="s">
        <v>60</v>
      </c>
      <c r="I115" s="14" t="s">
        <v>60</v>
      </c>
      <c r="J115" s="44" t="s">
        <v>60</v>
      </c>
      <c r="K115" s="44">
        <v>2026</v>
      </c>
      <c r="L115" s="44">
        <v>128</v>
      </c>
      <c r="M115" s="45">
        <v>1000</v>
      </c>
      <c r="N115" s="45">
        <v>178</v>
      </c>
      <c r="O115" s="45">
        <v>7.8</v>
      </c>
      <c r="P115" s="46">
        <f t="shared" si="41"/>
        <v>293</v>
      </c>
      <c r="Q115" s="45">
        <v>7.9</v>
      </c>
      <c r="R115" s="46">
        <v>239</v>
      </c>
      <c r="S115" s="46">
        <v>20</v>
      </c>
      <c r="T115" s="46">
        <v>9</v>
      </c>
      <c r="U115" s="46">
        <v>21</v>
      </c>
      <c r="V115" s="46"/>
      <c r="W115" s="46">
        <v>4</v>
      </c>
      <c r="X115" s="46">
        <v>2</v>
      </c>
      <c r="Y115" s="46">
        <v>3</v>
      </c>
      <c r="Z115" s="46">
        <f t="shared" si="61"/>
        <v>44.709288000000001</v>
      </c>
      <c r="AA115" s="46">
        <f t="shared" si="62"/>
        <v>47.266624</v>
      </c>
      <c r="AB115" s="46">
        <f t="shared" si="70"/>
        <v>51.675823999999999</v>
      </c>
      <c r="AC115" s="46">
        <f t="shared" si="71"/>
        <v>239</v>
      </c>
      <c r="AD115" s="46">
        <f>230-37</f>
        <v>193</v>
      </c>
      <c r="AE115" s="46">
        <v>37</v>
      </c>
      <c r="AF115" s="59">
        <f t="shared" si="40"/>
        <v>-9</v>
      </c>
      <c r="AG115" s="46">
        <f t="shared" si="42"/>
        <v>16</v>
      </c>
      <c r="AH115" s="47">
        <f t="shared" si="43"/>
        <v>19.562101685313696</v>
      </c>
      <c r="AI115" s="47">
        <f t="shared" si="44"/>
        <v>29</v>
      </c>
      <c r="AJ115" s="47">
        <f t="shared" si="45"/>
        <v>25</v>
      </c>
      <c r="AK115" s="47">
        <f t="shared" si="46"/>
        <v>253.5</v>
      </c>
      <c r="AL115" s="48">
        <f t="shared" si="47"/>
        <v>0.2535</v>
      </c>
      <c r="AM115" s="46">
        <f t="shared" si="48"/>
        <v>44.669603524229075</v>
      </c>
      <c r="AN115" s="46">
        <f t="shared" si="49"/>
        <v>16.086956521739133</v>
      </c>
      <c r="AO115" s="46">
        <f t="shared" si="50"/>
        <v>200.55217391304348</v>
      </c>
      <c r="AP115" s="46">
        <f t="shared" si="51"/>
        <v>45.313043478260873</v>
      </c>
      <c r="AQ115" s="49">
        <f t="shared" si="52"/>
        <v>0.74893480653476552</v>
      </c>
      <c r="AR115" s="50">
        <f t="shared" si="53"/>
        <v>0.25106519346523443</v>
      </c>
      <c r="AS115" s="51">
        <f t="shared" si="54"/>
        <v>0.20055217391304347</v>
      </c>
      <c r="AT115" s="51">
        <f t="shared" si="55"/>
        <v>4.5313043478260873E-2</v>
      </c>
      <c r="AU115" s="51">
        <f t="shared" si="63"/>
        <v>0.24586521739130435</v>
      </c>
      <c r="AV115" s="52">
        <f t="shared" si="56"/>
        <v>193.4120965171864</v>
      </c>
      <c r="AW115" s="52">
        <f t="shared" si="57"/>
        <v>43.699804234008653</v>
      </c>
      <c r="AX115" s="15">
        <f t="shared" si="58"/>
        <v>0.19341209651718641</v>
      </c>
      <c r="AY115" s="15">
        <f t="shared" si="59"/>
        <v>4.3699804234008655E-2</v>
      </c>
      <c r="AZ115" s="15">
        <f t="shared" si="60"/>
        <v>0.23711190075119506</v>
      </c>
      <c r="BA115" s="61">
        <f t="shared" si="64"/>
        <v>19.287958115183248</v>
      </c>
      <c r="BB115" s="61">
        <v>4</v>
      </c>
      <c r="BC115" s="61">
        <f t="shared" si="65"/>
        <v>8.6795811518324602</v>
      </c>
      <c r="BD115" s="61">
        <v>12</v>
      </c>
      <c r="BE115" s="61">
        <f t="shared" si="66"/>
        <v>3.8575916230366492</v>
      </c>
      <c r="BF115" s="61"/>
      <c r="BG115" s="61">
        <v>0</v>
      </c>
      <c r="BH115" s="61"/>
      <c r="BI115" s="56">
        <f t="shared" si="67"/>
        <v>47.825130890052357</v>
      </c>
      <c r="BJ115" s="57">
        <f t="shared" si="68"/>
        <v>0.18503978478940802</v>
      </c>
      <c r="BK115" s="58">
        <f t="shared" si="69"/>
        <v>0.12066299541545725</v>
      </c>
    </row>
    <row r="116" spans="1:63" ht="17.25" customHeight="1" x14ac:dyDescent="0.3">
      <c r="A116" s="41">
        <v>115</v>
      </c>
      <c r="B116" s="42">
        <v>46248</v>
      </c>
      <c r="C116" s="43" t="str">
        <f t="shared" si="39"/>
        <v>Aug-26</v>
      </c>
      <c r="D116" s="43" t="s">
        <v>68</v>
      </c>
      <c r="E116" s="43" t="s">
        <v>35</v>
      </c>
      <c r="F116" s="43" t="s">
        <v>41</v>
      </c>
      <c r="G116" s="14" t="s">
        <v>231</v>
      </c>
      <c r="H116" s="14" t="s">
        <v>60</v>
      </c>
      <c r="I116" s="14" t="s">
        <v>60</v>
      </c>
      <c r="J116" s="44" t="s">
        <v>60</v>
      </c>
      <c r="K116" s="44">
        <v>2026</v>
      </c>
      <c r="L116" s="44">
        <v>129</v>
      </c>
      <c r="M116" s="45">
        <v>1000</v>
      </c>
      <c r="N116" s="45">
        <v>179</v>
      </c>
      <c r="O116" s="45">
        <v>7.7</v>
      </c>
      <c r="P116" s="46">
        <f t="shared" si="41"/>
        <v>294</v>
      </c>
      <c r="Q116" s="45">
        <v>7.59</v>
      </c>
      <c r="R116" s="46">
        <v>247</v>
      </c>
      <c r="S116" s="46">
        <v>8</v>
      </c>
      <c r="T116" s="46">
        <v>7</v>
      </c>
      <c r="U116" s="46">
        <v>30</v>
      </c>
      <c r="V116" s="46"/>
      <c r="W116" s="46">
        <v>2</v>
      </c>
      <c r="X116" s="46">
        <v>3</v>
      </c>
      <c r="Y116" s="46">
        <v>6</v>
      </c>
      <c r="Z116" s="46">
        <f t="shared" si="61"/>
        <v>44.885656000000004</v>
      </c>
      <c r="AA116" s="46">
        <f t="shared" si="62"/>
        <v>46.208416000000007</v>
      </c>
      <c r="AB116" s="46">
        <f t="shared" si="70"/>
        <v>51.852192000000002</v>
      </c>
      <c r="AC116" s="46">
        <f t="shared" si="71"/>
        <v>247</v>
      </c>
      <c r="AD116" s="46">
        <f>237-33</f>
        <v>204</v>
      </c>
      <c r="AE116" s="46">
        <v>33</v>
      </c>
      <c r="AF116" s="59">
        <f t="shared" si="40"/>
        <v>-10</v>
      </c>
      <c r="AG116" s="46">
        <f t="shared" si="42"/>
        <v>19</v>
      </c>
      <c r="AH116" s="47">
        <f t="shared" si="43"/>
        <v>22.720703962391049</v>
      </c>
      <c r="AI116" s="47">
        <f t="shared" si="44"/>
        <v>15</v>
      </c>
      <c r="AJ116" s="47">
        <f t="shared" si="45"/>
        <v>32</v>
      </c>
      <c r="AK116" s="47">
        <f t="shared" si="46"/>
        <v>254.5</v>
      </c>
      <c r="AL116" s="48">
        <f t="shared" si="47"/>
        <v>0.2545</v>
      </c>
      <c r="AM116" s="46">
        <f t="shared" si="48"/>
        <v>44.845814977973568</v>
      </c>
      <c r="AN116" s="46">
        <f t="shared" si="49"/>
        <v>13.924050632911392</v>
      </c>
      <c r="AO116" s="46">
        <f t="shared" si="50"/>
        <v>212.60759493670886</v>
      </c>
      <c r="AP116" s="46">
        <f t="shared" si="51"/>
        <v>40.455696202531648</v>
      </c>
      <c r="AQ116" s="49">
        <f t="shared" si="52"/>
        <v>0.76285474842724132</v>
      </c>
      <c r="AR116" s="50">
        <f t="shared" si="53"/>
        <v>0.23714525157275865</v>
      </c>
      <c r="AS116" s="51">
        <f t="shared" si="54"/>
        <v>0.21260759493670886</v>
      </c>
      <c r="AT116" s="51">
        <f t="shared" si="55"/>
        <v>4.045569620253165E-2</v>
      </c>
      <c r="AU116" s="51">
        <f t="shared" si="63"/>
        <v>0.25306329113924053</v>
      </c>
      <c r="AV116" s="52">
        <f t="shared" si="56"/>
        <v>205.72845914242163</v>
      </c>
      <c r="AW116" s="52">
        <f t="shared" si="57"/>
        <v>39.146710848962826</v>
      </c>
      <c r="AX116" s="15">
        <f t="shared" si="58"/>
        <v>0.20572845914242163</v>
      </c>
      <c r="AY116" s="15">
        <f t="shared" si="59"/>
        <v>3.9146710848962825E-2</v>
      </c>
      <c r="AZ116" s="15">
        <f t="shared" si="60"/>
        <v>0.24487516999138445</v>
      </c>
      <c r="BA116" s="61">
        <f t="shared" si="64"/>
        <v>7.7411518324607327</v>
      </c>
      <c r="BB116" s="61">
        <v>3</v>
      </c>
      <c r="BC116" s="61">
        <f t="shared" si="65"/>
        <v>6.7735078534031414</v>
      </c>
      <c r="BD116" s="61">
        <v>16</v>
      </c>
      <c r="BE116" s="61">
        <f t="shared" si="66"/>
        <v>1.9352879581151832</v>
      </c>
      <c r="BF116" s="61"/>
      <c r="BG116" s="61">
        <v>0</v>
      </c>
      <c r="BH116" s="61"/>
      <c r="BI116" s="56">
        <f t="shared" si="67"/>
        <v>35.449947643979058</v>
      </c>
      <c r="BJ116" s="57">
        <f t="shared" si="68"/>
        <v>0.13982946890351744</v>
      </c>
      <c r="BK116" s="58">
        <f t="shared" si="69"/>
        <v>5.2652705061082029E-2</v>
      </c>
    </row>
    <row r="117" spans="1:63" ht="17.25" customHeight="1" x14ac:dyDescent="0.3">
      <c r="A117" s="41">
        <v>116</v>
      </c>
      <c r="B117" s="42">
        <v>46248</v>
      </c>
      <c r="C117" s="43" t="str">
        <f t="shared" si="39"/>
        <v>Aug-26</v>
      </c>
      <c r="D117" s="43" t="s">
        <v>68</v>
      </c>
      <c r="E117" s="43" t="s">
        <v>35</v>
      </c>
      <c r="F117" s="43" t="s">
        <v>41</v>
      </c>
      <c r="G117" s="14" t="s">
        <v>231</v>
      </c>
      <c r="H117" s="14" t="s">
        <v>60</v>
      </c>
      <c r="I117" s="14" t="s">
        <v>60</v>
      </c>
      <c r="J117" s="44" t="s">
        <v>60</v>
      </c>
      <c r="K117" s="44">
        <v>2026</v>
      </c>
      <c r="L117" s="44">
        <v>129</v>
      </c>
      <c r="M117" s="45">
        <v>1000</v>
      </c>
      <c r="N117" s="45">
        <v>178</v>
      </c>
      <c r="O117" s="45">
        <v>7.7</v>
      </c>
      <c r="P117" s="46">
        <f t="shared" si="41"/>
        <v>282</v>
      </c>
      <c r="Q117" s="45">
        <v>7.59</v>
      </c>
      <c r="R117" s="46">
        <v>247</v>
      </c>
      <c r="S117" s="46">
        <v>8</v>
      </c>
      <c r="T117" s="46">
        <v>5</v>
      </c>
      <c r="U117" s="46">
        <v>22</v>
      </c>
      <c r="V117" s="46"/>
      <c r="W117" s="46">
        <v>0</v>
      </c>
      <c r="X117" s="46">
        <v>17</v>
      </c>
      <c r="Y117" s="46">
        <v>8</v>
      </c>
      <c r="Z117" s="46">
        <f t="shared" si="61"/>
        <v>44.709288000000001</v>
      </c>
      <c r="AA117" s="46">
        <f t="shared" si="62"/>
        <v>45.85568</v>
      </c>
      <c r="AB117" s="46">
        <f t="shared" si="70"/>
        <v>49.735776000000008</v>
      </c>
      <c r="AC117" s="46">
        <f t="shared" si="71"/>
        <v>247</v>
      </c>
      <c r="AD117" s="46">
        <f>240-36</f>
        <v>204</v>
      </c>
      <c r="AE117" s="46">
        <v>36</v>
      </c>
      <c r="AF117" s="59">
        <f t="shared" si="40"/>
        <v>-7</v>
      </c>
      <c r="AG117" s="46">
        <f t="shared" si="42"/>
        <v>15</v>
      </c>
      <c r="AH117" s="47">
        <f t="shared" si="43"/>
        <v>18.106806622659885</v>
      </c>
      <c r="AI117" s="47">
        <f t="shared" si="44"/>
        <v>13</v>
      </c>
      <c r="AJ117" s="47">
        <f t="shared" si="45"/>
        <v>22</v>
      </c>
      <c r="AK117" s="47">
        <f t="shared" si="46"/>
        <v>253.5</v>
      </c>
      <c r="AL117" s="48">
        <f t="shared" si="47"/>
        <v>0.2535</v>
      </c>
      <c r="AM117" s="46">
        <f t="shared" si="48"/>
        <v>44.669603524229075</v>
      </c>
      <c r="AN117" s="46">
        <f t="shared" si="49"/>
        <v>15</v>
      </c>
      <c r="AO117" s="46">
        <f t="shared" si="50"/>
        <v>209.95</v>
      </c>
      <c r="AP117" s="46">
        <f t="shared" si="51"/>
        <v>29.75</v>
      </c>
      <c r="AQ117" s="49">
        <f t="shared" si="52"/>
        <v>0.81167799069978763</v>
      </c>
      <c r="AR117" s="50">
        <f t="shared" si="53"/>
        <v>0.18832200930021237</v>
      </c>
      <c r="AS117" s="51">
        <f t="shared" si="54"/>
        <v>0.20995</v>
      </c>
      <c r="AT117" s="51">
        <f t="shared" si="55"/>
        <v>2.9749999999999999E-2</v>
      </c>
      <c r="AU117" s="51">
        <f t="shared" si="63"/>
        <v>0.2397</v>
      </c>
      <c r="AV117" s="52">
        <f t="shared" si="56"/>
        <v>203.15685340314133</v>
      </c>
      <c r="AW117" s="52">
        <f t="shared" si="57"/>
        <v>28.787408376963349</v>
      </c>
      <c r="AX117" s="15">
        <f t="shared" si="58"/>
        <v>0.20315685340314132</v>
      </c>
      <c r="AY117" s="15">
        <f t="shared" si="59"/>
        <v>2.878740837696335E-2</v>
      </c>
      <c r="AZ117" s="15">
        <f t="shared" si="60"/>
        <v>0.23194426178010469</v>
      </c>
      <c r="BA117" s="61">
        <f t="shared" si="64"/>
        <v>7.7411518324607327</v>
      </c>
      <c r="BB117" s="61">
        <v>2</v>
      </c>
      <c r="BC117" s="61">
        <f t="shared" si="65"/>
        <v>4.838219895287958</v>
      </c>
      <c r="BD117" s="61">
        <v>13</v>
      </c>
      <c r="BE117" s="61">
        <f t="shared" si="66"/>
        <v>0</v>
      </c>
      <c r="BF117" s="61"/>
      <c r="BG117" s="61">
        <v>0</v>
      </c>
      <c r="BH117" s="61"/>
      <c r="BI117" s="56">
        <f t="shared" si="67"/>
        <v>27.579371727748693</v>
      </c>
      <c r="BJ117" s="57">
        <f t="shared" si="68"/>
        <v>0.10962141959328413</v>
      </c>
      <c r="BK117" s="58">
        <f t="shared" si="69"/>
        <v>4.77507442767683E-2</v>
      </c>
    </row>
    <row r="118" spans="1:63" ht="17.25" customHeight="1" x14ac:dyDescent="0.3">
      <c r="A118" s="41">
        <v>117</v>
      </c>
      <c r="B118" s="42">
        <v>46251</v>
      </c>
      <c r="C118" s="43" t="str">
        <f t="shared" si="39"/>
        <v>Aug-26</v>
      </c>
      <c r="D118" s="43" t="s">
        <v>68</v>
      </c>
      <c r="E118" s="43" t="s">
        <v>35</v>
      </c>
      <c r="F118" s="43" t="s">
        <v>41</v>
      </c>
      <c r="G118" s="14" t="s">
        <v>231</v>
      </c>
      <c r="H118" s="14" t="s">
        <v>60</v>
      </c>
      <c r="I118" s="14" t="s">
        <v>60</v>
      </c>
      <c r="J118" s="44" t="s">
        <v>60</v>
      </c>
      <c r="K118" s="44">
        <v>2026</v>
      </c>
      <c r="L118" s="44">
        <v>130</v>
      </c>
      <c r="M118" s="45">
        <v>1000</v>
      </c>
      <c r="N118" s="45">
        <v>181</v>
      </c>
      <c r="O118" s="45">
        <v>8.1</v>
      </c>
      <c r="P118" s="46">
        <f t="shared" si="41"/>
        <v>282</v>
      </c>
      <c r="Q118" s="45">
        <v>7.55</v>
      </c>
      <c r="R118" s="46">
        <v>236</v>
      </c>
      <c r="S118" s="46">
        <v>12</v>
      </c>
      <c r="T118" s="46">
        <v>7</v>
      </c>
      <c r="U118" s="46">
        <v>27</v>
      </c>
      <c r="V118" s="46"/>
      <c r="W118" s="46"/>
      <c r="X118" s="46">
        <v>24</v>
      </c>
      <c r="Y118" s="46">
        <v>3</v>
      </c>
      <c r="Z118" s="46">
        <f t="shared" si="61"/>
        <v>43.298344000000007</v>
      </c>
      <c r="AA118" s="46">
        <f t="shared" si="62"/>
        <v>44.973840000000003</v>
      </c>
      <c r="AB118" s="46">
        <f t="shared" si="70"/>
        <v>49.735776000000008</v>
      </c>
      <c r="AC118" s="46">
        <f t="shared" si="71"/>
        <v>236</v>
      </c>
      <c r="AD118" s="46">
        <f>228-35</f>
        <v>193</v>
      </c>
      <c r="AE118" s="46">
        <v>35</v>
      </c>
      <c r="AF118" s="59">
        <f t="shared" si="40"/>
        <v>-8</v>
      </c>
      <c r="AG118" s="46">
        <f t="shared" si="42"/>
        <v>13</v>
      </c>
      <c r="AH118" s="47">
        <f t="shared" si="43"/>
        <v>15.733635061152068</v>
      </c>
      <c r="AI118" s="47">
        <f t="shared" si="44"/>
        <v>19</v>
      </c>
      <c r="AJ118" s="47">
        <f t="shared" si="45"/>
        <v>27</v>
      </c>
      <c r="AK118" s="47">
        <f t="shared" si="46"/>
        <v>245.5</v>
      </c>
      <c r="AL118" s="48">
        <f t="shared" si="47"/>
        <v>0.2455</v>
      </c>
      <c r="AM118" s="46">
        <f t="shared" si="48"/>
        <v>43.259911894273131</v>
      </c>
      <c r="AN118" s="46">
        <f t="shared" si="49"/>
        <v>15.350877192982457</v>
      </c>
      <c r="AO118" s="46">
        <f t="shared" si="50"/>
        <v>199.77192982456143</v>
      </c>
      <c r="AP118" s="46">
        <f t="shared" si="51"/>
        <v>38.938596491228076</v>
      </c>
      <c r="AQ118" s="49">
        <f t="shared" si="52"/>
        <v>0.78108640049236855</v>
      </c>
      <c r="AR118" s="50">
        <f t="shared" si="53"/>
        <v>0.21891359950763145</v>
      </c>
      <c r="AS118" s="51">
        <f t="shared" si="54"/>
        <v>0.19977192982456143</v>
      </c>
      <c r="AT118" s="51">
        <f t="shared" si="55"/>
        <v>3.8938596491228078E-2</v>
      </c>
      <c r="AU118" s="51">
        <f t="shared" si="63"/>
        <v>0.23871052631578951</v>
      </c>
      <c r="AV118" s="52">
        <f t="shared" si="56"/>
        <v>193.39177918618537</v>
      </c>
      <c r="AW118" s="52">
        <f t="shared" si="57"/>
        <v>37.695007807476813</v>
      </c>
      <c r="AX118" s="15">
        <f t="shared" si="58"/>
        <v>0.19339177918618539</v>
      </c>
      <c r="AY118" s="15">
        <f t="shared" si="59"/>
        <v>3.769500780747681E-2</v>
      </c>
      <c r="AZ118" s="15">
        <f t="shared" si="60"/>
        <v>0.2310867869936622</v>
      </c>
      <c r="BA118" s="61">
        <f t="shared" si="64"/>
        <v>11.616753926701572</v>
      </c>
      <c r="BB118" s="61">
        <v>4</v>
      </c>
      <c r="BC118" s="61">
        <f t="shared" si="65"/>
        <v>6.7764397905759157</v>
      </c>
      <c r="BD118" s="61">
        <v>9</v>
      </c>
      <c r="BE118" s="61">
        <f t="shared" si="66"/>
        <v>0</v>
      </c>
      <c r="BF118" s="61"/>
      <c r="BG118" s="61">
        <v>0</v>
      </c>
      <c r="BH118" s="61"/>
      <c r="BI118" s="56">
        <f t="shared" si="67"/>
        <v>31.393193717277487</v>
      </c>
      <c r="BJ118" s="57">
        <f t="shared" si="68"/>
        <v>0.12717208029777621</v>
      </c>
      <c r="BK118" s="58">
        <f t="shared" si="69"/>
        <v>8.0915823454412283E-2</v>
      </c>
    </row>
    <row r="119" spans="1:63" ht="17.25" customHeight="1" x14ac:dyDescent="0.3">
      <c r="A119" s="41">
        <v>118</v>
      </c>
      <c r="B119" s="42">
        <v>46251</v>
      </c>
      <c r="C119" s="43" t="str">
        <f t="shared" si="39"/>
        <v>Aug-26</v>
      </c>
      <c r="D119" s="43" t="s">
        <v>68</v>
      </c>
      <c r="E119" s="43" t="s">
        <v>35</v>
      </c>
      <c r="F119" s="43" t="s">
        <v>41</v>
      </c>
      <c r="G119" s="14" t="s">
        <v>231</v>
      </c>
      <c r="H119" s="14" t="s">
        <v>60</v>
      </c>
      <c r="I119" s="14" t="s">
        <v>60</v>
      </c>
      <c r="J119" s="44" t="s">
        <v>60</v>
      </c>
      <c r="K119" s="44">
        <v>2026</v>
      </c>
      <c r="L119" s="44">
        <v>130</v>
      </c>
      <c r="M119" s="45">
        <v>1000</v>
      </c>
      <c r="N119" s="45">
        <v>185</v>
      </c>
      <c r="O119" s="45">
        <v>8.1</v>
      </c>
      <c r="P119" s="46">
        <f t="shared" si="41"/>
        <v>278</v>
      </c>
      <c r="Q119" s="45">
        <v>7.55</v>
      </c>
      <c r="R119" s="46">
        <v>234</v>
      </c>
      <c r="S119" s="46">
        <v>14</v>
      </c>
      <c r="T119" s="46">
        <v>5</v>
      </c>
      <c r="U119" s="46">
        <v>25</v>
      </c>
      <c r="V119" s="46"/>
      <c r="W119" s="46"/>
      <c r="X119" s="46">
        <v>38</v>
      </c>
      <c r="Y119" s="46">
        <v>10</v>
      </c>
      <c r="Z119" s="46">
        <f t="shared" si="61"/>
        <v>42.945608</v>
      </c>
      <c r="AA119" s="46">
        <f t="shared" si="62"/>
        <v>44.621104000000003</v>
      </c>
      <c r="AB119" s="46">
        <f t="shared" si="70"/>
        <v>49.030304000000001</v>
      </c>
      <c r="AC119" s="46">
        <f t="shared" si="71"/>
        <v>234</v>
      </c>
      <c r="AD119" s="46">
        <f>228-32</f>
        <v>196</v>
      </c>
      <c r="AE119" s="46">
        <v>32</v>
      </c>
      <c r="AF119" s="59">
        <f t="shared" si="40"/>
        <v>-6</v>
      </c>
      <c r="AG119" s="46">
        <f t="shared" si="42"/>
        <v>17</v>
      </c>
      <c r="AH119" s="47">
        <f t="shared" si="43"/>
        <v>20.34006053532967</v>
      </c>
      <c r="AI119" s="47">
        <f t="shared" si="44"/>
        <v>19</v>
      </c>
      <c r="AJ119" s="47">
        <f t="shared" si="45"/>
        <v>25</v>
      </c>
      <c r="AK119" s="47">
        <f t="shared" si="46"/>
        <v>243.5</v>
      </c>
      <c r="AL119" s="48">
        <f t="shared" si="47"/>
        <v>0.24349999999999999</v>
      </c>
      <c r="AM119" s="46">
        <f t="shared" si="48"/>
        <v>42.907488986784138</v>
      </c>
      <c r="AN119" s="46">
        <f t="shared" si="49"/>
        <v>14.035087719298247</v>
      </c>
      <c r="AO119" s="46">
        <f t="shared" si="50"/>
        <v>201.15789473684211</v>
      </c>
      <c r="AP119" s="46">
        <f t="shared" si="51"/>
        <v>37.824561403508774</v>
      </c>
      <c r="AQ119" s="49">
        <f t="shared" si="52"/>
        <v>0.76856093332615227</v>
      </c>
      <c r="AR119" s="50">
        <f t="shared" si="53"/>
        <v>0.23143906667384773</v>
      </c>
      <c r="AS119" s="51">
        <f t="shared" si="54"/>
        <v>0.20115789473684212</v>
      </c>
      <c r="AT119" s="51">
        <f t="shared" si="55"/>
        <v>3.7824561403508775E-2</v>
      </c>
      <c r="AU119" s="51">
        <f t="shared" si="63"/>
        <v>0.23898245614035091</v>
      </c>
      <c r="AV119" s="52">
        <f t="shared" si="56"/>
        <v>194.73348029760263</v>
      </c>
      <c r="AW119" s="52">
        <f t="shared" si="57"/>
        <v>36.616551850831272</v>
      </c>
      <c r="AX119" s="15">
        <f t="shared" si="58"/>
        <v>0.19473348029760262</v>
      </c>
      <c r="AY119" s="15">
        <f t="shared" si="59"/>
        <v>3.6616551850831271E-2</v>
      </c>
      <c r="AZ119" s="15">
        <f t="shared" si="60"/>
        <v>0.23135003214843389</v>
      </c>
      <c r="BA119" s="61">
        <f t="shared" si="64"/>
        <v>13.552879581151831</v>
      </c>
      <c r="BB119" s="61">
        <v>5</v>
      </c>
      <c r="BC119" s="61">
        <f t="shared" si="65"/>
        <v>4.8403141361256541</v>
      </c>
      <c r="BD119" s="61">
        <v>12</v>
      </c>
      <c r="BE119" s="61">
        <f t="shared" si="66"/>
        <v>0</v>
      </c>
      <c r="BF119" s="61"/>
      <c r="BG119" s="61">
        <v>0</v>
      </c>
      <c r="BH119" s="61"/>
      <c r="BI119" s="56">
        <f t="shared" si="67"/>
        <v>35.393193717277484</v>
      </c>
      <c r="BJ119" s="57">
        <f t="shared" si="68"/>
        <v>0.14450926363358463</v>
      </c>
      <c r="BK119" s="58">
        <f t="shared" si="69"/>
        <v>9.4657548883427714E-2</v>
      </c>
    </row>
    <row r="120" spans="1:63" ht="17.25" customHeight="1" x14ac:dyDescent="0.3">
      <c r="A120" s="41">
        <v>119</v>
      </c>
      <c r="B120" s="42">
        <v>46252</v>
      </c>
      <c r="C120" s="43" t="str">
        <f t="shared" si="39"/>
        <v>Aug-26</v>
      </c>
      <c r="D120" s="43" t="s">
        <v>68</v>
      </c>
      <c r="E120" s="43" t="s">
        <v>35</v>
      </c>
      <c r="F120" s="43" t="s">
        <v>41</v>
      </c>
      <c r="G120" s="14" t="s">
        <v>231</v>
      </c>
      <c r="H120" s="14" t="s">
        <v>60</v>
      </c>
      <c r="I120" s="14" t="s">
        <v>60</v>
      </c>
      <c r="J120" s="44" t="s">
        <v>60</v>
      </c>
      <c r="K120" s="44">
        <v>2026</v>
      </c>
      <c r="L120" s="44">
        <v>131</v>
      </c>
      <c r="M120" s="45">
        <v>1000</v>
      </c>
      <c r="N120" s="45">
        <v>180</v>
      </c>
      <c r="O120" s="45">
        <v>7.8</v>
      </c>
      <c r="P120" s="46">
        <f t="shared" si="41"/>
        <v>285</v>
      </c>
      <c r="Q120" s="45">
        <v>7.3</v>
      </c>
      <c r="R120" s="46">
        <v>241</v>
      </c>
      <c r="S120" s="46">
        <v>15</v>
      </c>
      <c r="T120" s="46">
        <v>4</v>
      </c>
      <c r="U120" s="46">
        <v>25</v>
      </c>
      <c r="V120" s="46"/>
      <c r="W120" s="46"/>
      <c r="X120" s="46">
        <v>42</v>
      </c>
      <c r="Y120" s="46">
        <v>5</v>
      </c>
      <c r="Z120" s="46">
        <f t="shared" si="61"/>
        <v>44.180184000000004</v>
      </c>
      <c r="AA120" s="46">
        <f t="shared" si="62"/>
        <v>45.85568</v>
      </c>
      <c r="AB120" s="46">
        <f t="shared" si="70"/>
        <v>50.264880000000005</v>
      </c>
      <c r="AC120" s="46">
        <f t="shared" si="71"/>
        <v>241</v>
      </c>
      <c r="AD120" s="46">
        <f>233-35</f>
        <v>198</v>
      </c>
      <c r="AE120" s="46">
        <v>35</v>
      </c>
      <c r="AF120" s="59">
        <f t="shared" si="40"/>
        <v>-8</v>
      </c>
      <c r="AG120" s="46">
        <f t="shared" si="42"/>
        <v>19</v>
      </c>
      <c r="AH120" s="47">
        <f t="shared" si="43"/>
        <v>22.867804677046731</v>
      </c>
      <c r="AI120" s="47">
        <f t="shared" si="44"/>
        <v>19</v>
      </c>
      <c r="AJ120" s="47">
        <f t="shared" si="45"/>
        <v>25</v>
      </c>
      <c r="AK120" s="47">
        <f t="shared" si="46"/>
        <v>250.5</v>
      </c>
      <c r="AL120" s="48">
        <f t="shared" si="47"/>
        <v>0.2505</v>
      </c>
      <c r="AM120" s="46">
        <f t="shared" si="48"/>
        <v>44.140969162995596</v>
      </c>
      <c r="AN120" s="46">
        <f t="shared" si="49"/>
        <v>15.02145922746781</v>
      </c>
      <c r="AO120" s="46">
        <f t="shared" si="50"/>
        <v>204.79828326180257</v>
      </c>
      <c r="AP120" s="46">
        <f t="shared" si="51"/>
        <v>37.39055793991416</v>
      </c>
      <c r="AQ120" s="49">
        <f t="shared" si="52"/>
        <v>0.76537612394018695</v>
      </c>
      <c r="AR120" s="50">
        <f t="shared" si="53"/>
        <v>0.23462387605981311</v>
      </c>
      <c r="AS120" s="51">
        <f t="shared" si="54"/>
        <v>0.20479828326180258</v>
      </c>
      <c r="AT120" s="51">
        <f t="shared" si="55"/>
        <v>3.7390557939914158E-2</v>
      </c>
      <c r="AU120" s="51">
        <f t="shared" si="63"/>
        <v>0.24218884120171674</v>
      </c>
      <c r="AV120" s="52">
        <f t="shared" si="56"/>
        <v>198.79372626564501</v>
      </c>
      <c r="AW120" s="52">
        <f t="shared" si="57"/>
        <v>36.294290272565888</v>
      </c>
      <c r="AX120" s="15">
        <f t="shared" si="58"/>
        <v>0.19879372626564501</v>
      </c>
      <c r="AY120" s="15">
        <f t="shared" si="59"/>
        <v>3.6294290272565886E-2</v>
      </c>
      <c r="AZ120" s="15">
        <f t="shared" si="60"/>
        <v>0.2350880165382109</v>
      </c>
      <c r="BA120" s="61">
        <f t="shared" si="64"/>
        <v>14.560209424083769</v>
      </c>
      <c r="BB120" s="61">
        <v>3</v>
      </c>
      <c r="BC120" s="61">
        <f t="shared" si="65"/>
        <v>3.8827225130890053</v>
      </c>
      <c r="BD120" s="61">
        <v>16</v>
      </c>
      <c r="BE120" s="61">
        <f t="shared" si="66"/>
        <v>0</v>
      </c>
      <c r="BF120" s="61"/>
      <c r="BG120" s="61">
        <v>0</v>
      </c>
      <c r="BH120" s="61"/>
      <c r="BI120" s="56">
        <f t="shared" si="67"/>
        <v>37.442931937172773</v>
      </c>
      <c r="BJ120" s="57">
        <f t="shared" si="68"/>
        <v>0.14836113185627747</v>
      </c>
      <c r="BK120" s="58">
        <f t="shared" si="69"/>
        <v>8.8687926384261456E-2</v>
      </c>
    </row>
    <row r="121" spans="1:63" ht="17.25" customHeight="1" x14ac:dyDescent="0.3">
      <c r="A121" s="41">
        <v>120</v>
      </c>
      <c r="B121" s="42">
        <v>46252</v>
      </c>
      <c r="C121" s="43" t="str">
        <f t="shared" si="39"/>
        <v>Aug-26</v>
      </c>
      <c r="D121" s="43" t="s">
        <v>68</v>
      </c>
      <c r="E121" s="43" t="s">
        <v>35</v>
      </c>
      <c r="F121" s="43" t="s">
        <v>41</v>
      </c>
      <c r="G121" s="14" t="s">
        <v>231</v>
      </c>
      <c r="H121" s="14" t="s">
        <v>60</v>
      </c>
      <c r="I121" s="14" t="s">
        <v>60</v>
      </c>
      <c r="J121" s="44" t="s">
        <v>60</v>
      </c>
      <c r="K121" s="44">
        <v>2026</v>
      </c>
      <c r="L121" s="44">
        <v>131</v>
      </c>
      <c r="M121" s="45">
        <v>1000</v>
      </c>
      <c r="N121" s="45">
        <v>180</v>
      </c>
      <c r="O121" s="45">
        <v>7.8</v>
      </c>
      <c r="P121" s="46">
        <f t="shared" si="41"/>
        <v>289</v>
      </c>
      <c r="Q121" s="45">
        <v>7.3</v>
      </c>
      <c r="R121" s="46">
        <v>231</v>
      </c>
      <c r="S121" s="46">
        <v>21</v>
      </c>
      <c r="T121" s="46">
        <v>8</v>
      </c>
      <c r="U121" s="46">
        <v>26</v>
      </c>
      <c r="V121" s="46"/>
      <c r="W121" s="46">
        <v>3</v>
      </c>
      <c r="X121" s="46">
        <v>19</v>
      </c>
      <c r="Y121" s="46">
        <v>6</v>
      </c>
      <c r="Z121" s="46">
        <f t="shared" si="61"/>
        <v>43.298344000000007</v>
      </c>
      <c r="AA121" s="46">
        <f t="shared" si="62"/>
        <v>45.85568</v>
      </c>
      <c r="AB121" s="46">
        <f t="shared" si="70"/>
        <v>50.970352000000005</v>
      </c>
      <c r="AC121" s="46">
        <f t="shared" si="71"/>
        <v>231</v>
      </c>
      <c r="AD121" s="46">
        <f>224-33</f>
        <v>191</v>
      </c>
      <c r="AE121" s="46">
        <v>33</v>
      </c>
      <c r="AF121" s="59">
        <f t="shared" si="40"/>
        <v>-7</v>
      </c>
      <c r="AG121" s="46">
        <f t="shared" si="42"/>
        <v>17</v>
      </c>
      <c r="AH121" s="47">
        <f t="shared" si="43"/>
        <v>20.409202111265216</v>
      </c>
      <c r="AI121" s="47">
        <f t="shared" si="44"/>
        <v>29</v>
      </c>
      <c r="AJ121" s="47">
        <f t="shared" si="45"/>
        <v>29</v>
      </c>
      <c r="AK121" s="47">
        <f t="shared" si="46"/>
        <v>245.5</v>
      </c>
      <c r="AL121" s="48">
        <f t="shared" si="47"/>
        <v>0.2455</v>
      </c>
      <c r="AM121" s="46">
        <f t="shared" si="48"/>
        <v>43.259911894273131</v>
      </c>
      <c r="AN121" s="46">
        <f t="shared" si="49"/>
        <v>14.732142857142856</v>
      </c>
      <c r="AO121" s="46">
        <f t="shared" si="50"/>
        <v>196.96875</v>
      </c>
      <c r="AP121" s="46">
        <f t="shared" si="51"/>
        <v>49.455357142857139</v>
      </c>
      <c r="AQ121" s="49">
        <f t="shared" si="52"/>
        <v>0.72868788196794043</v>
      </c>
      <c r="AR121" s="50">
        <f t="shared" si="53"/>
        <v>0.27131211803205957</v>
      </c>
      <c r="AS121" s="51">
        <f t="shared" si="54"/>
        <v>0.19696875</v>
      </c>
      <c r="AT121" s="51">
        <f t="shared" si="55"/>
        <v>4.9455357142857141E-2</v>
      </c>
      <c r="AU121" s="51">
        <f t="shared" si="63"/>
        <v>0.24642410714285715</v>
      </c>
      <c r="AV121" s="52">
        <f t="shared" si="56"/>
        <v>191.19374999999999</v>
      </c>
      <c r="AW121" s="52">
        <f t="shared" si="57"/>
        <v>48.005357142857136</v>
      </c>
      <c r="AX121" s="15">
        <f t="shared" si="58"/>
        <v>0.19119375</v>
      </c>
      <c r="AY121" s="15">
        <f t="shared" si="59"/>
        <v>4.8005357142857134E-2</v>
      </c>
      <c r="AZ121" s="15">
        <f t="shared" si="60"/>
        <v>0.23919910714285714</v>
      </c>
      <c r="BA121" s="61">
        <f t="shared" si="64"/>
        <v>20.384293193717276</v>
      </c>
      <c r="BB121" s="61">
        <v>3</v>
      </c>
      <c r="BC121" s="61">
        <f t="shared" si="65"/>
        <v>7.7654450261780106</v>
      </c>
      <c r="BD121" s="61">
        <v>14</v>
      </c>
      <c r="BE121" s="61">
        <f t="shared" si="66"/>
        <v>2.912041884816754</v>
      </c>
      <c r="BF121" s="61"/>
      <c r="BG121" s="61">
        <v>0</v>
      </c>
      <c r="BH121" s="61"/>
      <c r="BI121" s="56">
        <f t="shared" si="67"/>
        <v>48.061780104712035</v>
      </c>
      <c r="BJ121" s="57">
        <f t="shared" si="68"/>
        <v>0.19043647830055596</v>
      </c>
      <c r="BK121" s="58">
        <f t="shared" si="69"/>
        <v>0.12243085441736794</v>
      </c>
    </row>
    <row r="122" spans="1:63" ht="17.25" customHeight="1" x14ac:dyDescent="0.3">
      <c r="A122" s="41">
        <v>121</v>
      </c>
      <c r="B122" s="42">
        <v>46253</v>
      </c>
      <c r="C122" s="43" t="str">
        <f t="shared" si="39"/>
        <v>Aug-26</v>
      </c>
      <c r="D122" s="43" t="s">
        <v>68</v>
      </c>
      <c r="E122" s="43" t="s">
        <v>35</v>
      </c>
      <c r="F122" s="43" t="s">
        <v>41</v>
      </c>
      <c r="G122" s="14" t="s">
        <v>105</v>
      </c>
      <c r="H122" s="14" t="s">
        <v>60</v>
      </c>
      <c r="I122" s="14" t="s">
        <v>60</v>
      </c>
      <c r="J122" s="44" t="s">
        <v>60</v>
      </c>
      <c r="K122" s="44">
        <v>2026</v>
      </c>
      <c r="L122" s="44">
        <v>132</v>
      </c>
      <c r="M122" s="45">
        <v>1000</v>
      </c>
      <c r="N122" s="45">
        <v>177</v>
      </c>
      <c r="O122" s="45">
        <v>7.5</v>
      </c>
      <c r="P122" s="46">
        <f t="shared" si="41"/>
        <v>290</v>
      </c>
      <c r="Q122" s="45">
        <v>7.4</v>
      </c>
      <c r="R122" s="46">
        <v>240</v>
      </c>
      <c r="S122" s="46">
        <v>15</v>
      </c>
      <c r="T122" s="46">
        <v>6</v>
      </c>
      <c r="U122" s="46">
        <v>29</v>
      </c>
      <c r="V122" s="46"/>
      <c r="W122" s="46"/>
      <c r="X122" s="46">
        <v>9</v>
      </c>
      <c r="Y122" s="46">
        <v>2</v>
      </c>
      <c r="Z122" s="46">
        <f t="shared" si="61"/>
        <v>44.180184000000004</v>
      </c>
      <c r="AA122" s="46">
        <f t="shared" si="62"/>
        <v>46.032048000000003</v>
      </c>
      <c r="AB122" s="46">
        <f t="shared" si="70"/>
        <v>51.146720000000002</v>
      </c>
      <c r="AC122" s="46">
        <f t="shared" si="71"/>
        <v>240</v>
      </c>
      <c r="AD122" s="46">
        <f>232-30</f>
        <v>202</v>
      </c>
      <c r="AE122" s="46">
        <v>30</v>
      </c>
      <c r="AF122" s="59">
        <f t="shared" si="40"/>
        <v>-8</v>
      </c>
      <c r="AG122" s="46">
        <f t="shared" si="42"/>
        <v>21</v>
      </c>
      <c r="AH122" s="47">
        <f t="shared" si="43"/>
        <v>24.842388470991292</v>
      </c>
      <c r="AI122" s="47">
        <f t="shared" si="44"/>
        <v>21</v>
      </c>
      <c r="AJ122" s="47">
        <f t="shared" si="45"/>
        <v>29</v>
      </c>
      <c r="AK122" s="47">
        <f t="shared" si="46"/>
        <v>250.5</v>
      </c>
      <c r="AL122" s="48">
        <f t="shared" si="47"/>
        <v>0.2505</v>
      </c>
      <c r="AM122" s="46">
        <f t="shared" si="48"/>
        <v>44.140969162995596</v>
      </c>
      <c r="AN122" s="46">
        <f t="shared" si="49"/>
        <v>12.931034482758621</v>
      </c>
      <c r="AO122" s="46">
        <f t="shared" si="50"/>
        <v>208.9655172413793</v>
      </c>
      <c r="AP122" s="46">
        <f t="shared" si="51"/>
        <v>43.53448275862069</v>
      </c>
      <c r="AQ122" s="49">
        <f t="shared" si="52"/>
        <v>0.74192279837589203</v>
      </c>
      <c r="AR122" s="50">
        <f t="shared" si="53"/>
        <v>0.25807720162410791</v>
      </c>
      <c r="AS122" s="51">
        <f t="shared" si="54"/>
        <v>0.20896551724137929</v>
      </c>
      <c r="AT122" s="51">
        <f t="shared" si="55"/>
        <v>4.3534482758620693E-2</v>
      </c>
      <c r="AU122" s="51">
        <f t="shared" si="63"/>
        <v>0.2525</v>
      </c>
      <c r="AV122" s="52">
        <f t="shared" si="56"/>
        <v>202.61996750315939</v>
      </c>
      <c r="AW122" s="52">
        <f t="shared" si="57"/>
        <v>42.212493229824879</v>
      </c>
      <c r="AX122" s="15">
        <f t="shared" si="58"/>
        <v>0.20261996750315939</v>
      </c>
      <c r="AY122" s="15">
        <f t="shared" si="59"/>
        <v>4.2212493229824878E-2</v>
      </c>
      <c r="AZ122" s="15">
        <f t="shared" si="60"/>
        <v>0.24483246073298426</v>
      </c>
      <c r="BA122" s="61">
        <f t="shared" si="64"/>
        <v>14.544502617801047</v>
      </c>
      <c r="BB122" s="61">
        <v>6</v>
      </c>
      <c r="BC122" s="61">
        <f t="shared" si="65"/>
        <v>5.817801047120418</v>
      </c>
      <c r="BD122" s="61">
        <v>15</v>
      </c>
      <c r="BE122" s="61">
        <f t="shared" si="66"/>
        <v>0</v>
      </c>
      <c r="BF122" s="61"/>
      <c r="BG122" s="61">
        <v>0</v>
      </c>
      <c r="BH122" s="61"/>
      <c r="BI122" s="56">
        <f t="shared" si="67"/>
        <v>41.36230366492147</v>
      </c>
      <c r="BJ122" s="57">
        <f t="shared" si="68"/>
        <v>0.16343933864601179</v>
      </c>
      <c r="BK122" s="58">
        <f t="shared" si="69"/>
        <v>0.10170545850396558</v>
      </c>
    </row>
    <row r="123" spans="1:63" ht="17.25" customHeight="1" x14ac:dyDescent="0.3">
      <c r="A123" s="41">
        <v>122</v>
      </c>
      <c r="B123" s="42">
        <v>46253</v>
      </c>
      <c r="C123" s="43" t="str">
        <f t="shared" si="39"/>
        <v>Aug-26</v>
      </c>
      <c r="D123" s="43" t="s">
        <v>68</v>
      </c>
      <c r="E123" s="43" t="s">
        <v>35</v>
      </c>
      <c r="F123" s="43" t="s">
        <v>41</v>
      </c>
      <c r="G123" s="14" t="s">
        <v>105</v>
      </c>
      <c r="H123" s="14" t="s">
        <v>60</v>
      </c>
      <c r="I123" s="14" t="s">
        <v>60</v>
      </c>
      <c r="J123" s="44" t="s">
        <v>60</v>
      </c>
      <c r="K123" s="44">
        <v>2026</v>
      </c>
      <c r="L123" s="44">
        <v>132</v>
      </c>
      <c r="M123" s="45">
        <v>1000</v>
      </c>
      <c r="N123" s="45">
        <v>179</v>
      </c>
      <c r="O123" s="45">
        <v>7.5</v>
      </c>
      <c r="P123" s="46">
        <f t="shared" si="41"/>
        <v>290</v>
      </c>
      <c r="Q123" s="45">
        <v>7.4</v>
      </c>
      <c r="R123" s="46">
        <v>231</v>
      </c>
      <c r="S123" s="46">
        <v>25</v>
      </c>
      <c r="T123" s="46">
        <v>6</v>
      </c>
      <c r="U123" s="46">
        <v>28</v>
      </c>
      <c r="V123" s="46"/>
      <c r="W123" s="46"/>
      <c r="X123" s="46">
        <v>17</v>
      </c>
      <c r="Y123" s="46">
        <v>2</v>
      </c>
      <c r="Z123" s="46">
        <f t="shared" si="61"/>
        <v>43.474711999999997</v>
      </c>
      <c r="AA123" s="46">
        <f t="shared" si="62"/>
        <v>46.208416000000007</v>
      </c>
      <c r="AB123" s="46">
        <f t="shared" si="70"/>
        <v>51.146720000000002</v>
      </c>
      <c r="AC123" s="46">
        <f t="shared" si="71"/>
        <v>231</v>
      </c>
      <c r="AD123" s="46">
        <f>220-31</f>
        <v>189</v>
      </c>
      <c r="AE123" s="46">
        <v>31</v>
      </c>
      <c r="AF123" s="59">
        <f t="shared" si="40"/>
        <v>-11</v>
      </c>
      <c r="AG123" s="46">
        <f t="shared" si="42"/>
        <v>19</v>
      </c>
      <c r="AH123" s="47">
        <f t="shared" si="43"/>
        <v>22.707294325544868</v>
      </c>
      <c r="AI123" s="47">
        <f t="shared" si="44"/>
        <v>31</v>
      </c>
      <c r="AJ123" s="47">
        <f t="shared" si="45"/>
        <v>28</v>
      </c>
      <c r="AK123" s="47">
        <f t="shared" si="46"/>
        <v>246.5</v>
      </c>
      <c r="AL123" s="48">
        <f t="shared" si="47"/>
        <v>0.2465</v>
      </c>
      <c r="AM123" s="46">
        <f t="shared" si="48"/>
        <v>43.436123348017624</v>
      </c>
      <c r="AN123" s="46">
        <f t="shared" si="49"/>
        <v>14.09090909090909</v>
      </c>
      <c r="AO123" s="46">
        <f t="shared" si="50"/>
        <v>198.45</v>
      </c>
      <c r="AP123" s="46">
        <f t="shared" si="51"/>
        <v>50.68636363636363</v>
      </c>
      <c r="AQ123" s="49">
        <f t="shared" si="52"/>
        <v>0.71825070922225909</v>
      </c>
      <c r="AR123" s="50">
        <f t="shared" si="53"/>
        <v>0.28174929077774091</v>
      </c>
      <c r="AS123" s="51">
        <f t="shared" si="54"/>
        <v>0.19844999999999999</v>
      </c>
      <c r="AT123" s="51">
        <f t="shared" si="55"/>
        <v>5.0686363636363634E-2</v>
      </c>
      <c r="AU123" s="51">
        <f t="shared" si="63"/>
        <v>0.24913636363636363</v>
      </c>
      <c r="AV123" s="52">
        <f t="shared" si="56"/>
        <v>192.42376963350782</v>
      </c>
      <c r="AW123" s="52">
        <f t="shared" si="57"/>
        <v>49.147196573060441</v>
      </c>
      <c r="AX123" s="15">
        <f t="shared" si="58"/>
        <v>0.19242376963350782</v>
      </c>
      <c r="AY123" s="15">
        <f t="shared" si="59"/>
        <v>4.9147196573060443E-2</v>
      </c>
      <c r="AZ123" s="15">
        <f t="shared" si="60"/>
        <v>0.24157096620656826</v>
      </c>
      <c r="BA123" s="61">
        <f t="shared" si="64"/>
        <v>24.240837696335078</v>
      </c>
      <c r="BB123" s="61">
        <v>5</v>
      </c>
      <c r="BC123" s="61">
        <f t="shared" si="65"/>
        <v>5.817801047120418</v>
      </c>
      <c r="BD123" s="61">
        <v>14</v>
      </c>
      <c r="BE123" s="61">
        <f t="shared" si="66"/>
        <v>0</v>
      </c>
      <c r="BF123" s="61"/>
      <c r="BG123" s="61">
        <v>0</v>
      </c>
      <c r="BH123" s="61"/>
      <c r="BI123" s="56">
        <f t="shared" si="67"/>
        <v>49.058638743455496</v>
      </c>
      <c r="BJ123" s="57">
        <f t="shared" si="68"/>
        <v>0.19311081067713057</v>
      </c>
      <c r="BK123" s="58">
        <f t="shared" si="69"/>
        <v>0.15471342696473586</v>
      </c>
    </row>
    <row r="124" spans="1:63" ht="17.25" customHeight="1" x14ac:dyDescent="0.3">
      <c r="A124" s="41">
        <v>123</v>
      </c>
      <c r="B124" s="42">
        <v>46253</v>
      </c>
      <c r="C124" s="43" t="str">
        <f t="shared" si="39"/>
        <v>Aug-26</v>
      </c>
      <c r="D124" s="43" t="s">
        <v>68</v>
      </c>
      <c r="E124" s="43" t="s">
        <v>35</v>
      </c>
      <c r="F124" s="43" t="s">
        <v>41</v>
      </c>
      <c r="G124" s="14" t="s">
        <v>105</v>
      </c>
      <c r="H124" s="14" t="s">
        <v>60</v>
      </c>
      <c r="I124" s="14" t="s">
        <v>60</v>
      </c>
      <c r="J124" s="44" t="s">
        <v>60</v>
      </c>
      <c r="K124" s="44">
        <v>2026</v>
      </c>
      <c r="L124" s="44">
        <v>133</v>
      </c>
      <c r="M124" s="45">
        <v>1000</v>
      </c>
      <c r="N124" s="45">
        <v>178</v>
      </c>
      <c r="O124" s="45">
        <v>7.7</v>
      </c>
      <c r="P124" s="46">
        <f t="shared" si="41"/>
        <v>281</v>
      </c>
      <c r="Q124" s="45">
        <v>7.4</v>
      </c>
      <c r="R124" s="46">
        <v>241</v>
      </c>
      <c r="S124" s="46">
        <v>14</v>
      </c>
      <c r="T124" s="46">
        <v>6</v>
      </c>
      <c r="U124" s="46">
        <v>18</v>
      </c>
      <c r="V124" s="46"/>
      <c r="W124" s="46">
        <v>2</v>
      </c>
      <c r="X124" s="46">
        <v>29</v>
      </c>
      <c r="Y124" s="46">
        <v>4</v>
      </c>
      <c r="Z124" s="46">
        <f t="shared" si="61"/>
        <v>44.268368000000002</v>
      </c>
      <c r="AA124" s="46">
        <f t="shared" si="62"/>
        <v>46.032048000000003</v>
      </c>
      <c r="AB124" s="46">
        <f t="shared" si="70"/>
        <v>49.559408000000005</v>
      </c>
      <c r="AC124" s="46">
        <f t="shared" si="71"/>
        <v>241</v>
      </c>
      <c r="AD124" s="46">
        <f>235-36</f>
        <v>199</v>
      </c>
      <c r="AE124" s="46">
        <v>36</v>
      </c>
      <c r="AF124" s="59">
        <f t="shared" si="40"/>
        <v>-6</v>
      </c>
      <c r="AG124" s="46">
        <f t="shared" si="42"/>
        <v>15</v>
      </c>
      <c r="AH124" s="47">
        <f t="shared" si="43"/>
        <v>18.119801479711413</v>
      </c>
      <c r="AI124" s="47">
        <f t="shared" si="44"/>
        <v>20</v>
      </c>
      <c r="AJ124" s="47">
        <f t="shared" si="45"/>
        <v>20</v>
      </c>
      <c r="AK124" s="47">
        <f t="shared" si="46"/>
        <v>251</v>
      </c>
      <c r="AL124" s="48">
        <f t="shared" si="47"/>
        <v>0.251</v>
      </c>
      <c r="AM124" s="46">
        <f t="shared" si="48"/>
        <v>44.229074889867839</v>
      </c>
      <c r="AN124" s="46">
        <f t="shared" si="49"/>
        <v>15.319148936170212</v>
      </c>
      <c r="AO124" s="46">
        <f t="shared" si="50"/>
        <v>204.08085106382978</v>
      </c>
      <c r="AP124" s="46">
        <f t="shared" si="51"/>
        <v>33.872340425531917</v>
      </c>
      <c r="AQ124" s="49">
        <f t="shared" si="52"/>
        <v>0.79316796626437225</v>
      </c>
      <c r="AR124" s="50">
        <f t="shared" si="53"/>
        <v>0.20683203373562781</v>
      </c>
      <c r="AS124" s="51">
        <f t="shared" si="54"/>
        <v>0.20408085106382978</v>
      </c>
      <c r="AT124" s="51">
        <f t="shared" si="55"/>
        <v>3.3872340425531916E-2</v>
      </c>
      <c r="AU124" s="51">
        <f t="shared" si="63"/>
        <v>0.2379531914893617</v>
      </c>
      <c r="AV124" s="52">
        <f t="shared" si="56"/>
        <v>197.88363150272917</v>
      </c>
      <c r="AW124" s="52">
        <f t="shared" si="57"/>
        <v>32.843756266013145</v>
      </c>
      <c r="AX124" s="15">
        <f t="shared" si="58"/>
        <v>0.19788363150272917</v>
      </c>
      <c r="AY124" s="15">
        <f t="shared" si="59"/>
        <v>3.2843756266013144E-2</v>
      </c>
      <c r="AZ124" s="15">
        <f t="shared" si="60"/>
        <v>0.2307273877687423</v>
      </c>
      <c r="BA124" s="61">
        <f t="shared" si="64"/>
        <v>13.574869109947642</v>
      </c>
      <c r="BB124" s="61">
        <v>6</v>
      </c>
      <c r="BC124" s="61">
        <f t="shared" si="65"/>
        <v>5.817801047120418</v>
      </c>
      <c r="BD124" s="61">
        <v>9</v>
      </c>
      <c r="BE124" s="61">
        <f t="shared" si="66"/>
        <v>1.9392670157068062</v>
      </c>
      <c r="BF124" s="61"/>
      <c r="BG124" s="61">
        <v>0</v>
      </c>
      <c r="BH124" s="61"/>
      <c r="BI124" s="56">
        <f t="shared" si="67"/>
        <v>36.331937172774865</v>
      </c>
      <c r="BJ124" s="57">
        <f t="shared" si="68"/>
        <v>0.14356230811879875</v>
      </c>
      <c r="BK124" s="58">
        <f t="shared" si="69"/>
        <v>9.8366176431897698E-2</v>
      </c>
    </row>
    <row r="125" spans="1:63" ht="17.25" customHeight="1" x14ac:dyDescent="0.3">
      <c r="A125" s="41">
        <v>124</v>
      </c>
      <c r="B125" s="42">
        <v>46253</v>
      </c>
      <c r="C125" s="43" t="str">
        <f t="shared" si="39"/>
        <v>Aug-26</v>
      </c>
      <c r="D125" s="43" t="s">
        <v>68</v>
      </c>
      <c r="E125" s="43" t="s">
        <v>35</v>
      </c>
      <c r="F125" s="43" t="s">
        <v>41</v>
      </c>
      <c r="G125" s="14" t="s">
        <v>105</v>
      </c>
      <c r="H125" s="14" t="s">
        <v>60</v>
      </c>
      <c r="I125" s="14" t="s">
        <v>60</v>
      </c>
      <c r="J125" s="44" t="s">
        <v>60</v>
      </c>
      <c r="K125" s="44">
        <v>2026</v>
      </c>
      <c r="L125" s="44">
        <v>133</v>
      </c>
      <c r="M125" s="45">
        <v>1000</v>
      </c>
      <c r="N125" s="45">
        <v>175</v>
      </c>
      <c r="O125" s="45">
        <v>7.7</v>
      </c>
      <c r="P125" s="46">
        <f t="shared" si="41"/>
        <v>296</v>
      </c>
      <c r="Q125" s="45">
        <v>7.4</v>
      </c>
      <c r="R125" s="46">
        <v>244</v>
      </c>
      <c r="S125" s="46">
        <v>6</v>
      </c>
      <c r="T125" s="46">
        <v>7</v>
      </c>
      <c r="U125" s="46">
        <v>37</v>
      </c>
      <c r="V125" s="46"/>
      <c r="W125" s="46">
        <v>2</v>
      </c>
      <c r="X125" s="46">
        <v>13</v>
      </c>
      <c r="Y125" s="46">
        <v>3</v>
      </c>
      <c r="Z125" s="46">
        <f t="shared" si="61"/>
        <v>44.180184000000004</v>
      </c>
      <c r="AA125" s="46">
        <f t="shared" si="62"/>
        <v>45.326576000000003</v>
      </c>
      <c r="AB125" s="46">
        <f t="shared" si="70"/>
        <v>52.204928000000002</v>
      </c>
      <c r="AC125" s="46">
        <f t="shared" si="71"/>
        <v>244</v>
      </c>
      <c r="AD125" s="46">
        <f>239-41</f>
        <v>198</v>
      </c>
      <c r="AE125" s="46">
        <v>41</v>
      </c>
      <c r="AF125" s="59">
        <f t="shared" si="40"/>
        <v>-5</v>
      </c>
      <c r="AG125" s="46">
        <f t="shared" si="42"/>
        <v>15</v>
      </c>
      <c r="AH125" s="47">
        <f t="shared" si="43"/>
        <v>18.408234454214373</v>
      </c>
      <c r="AI125" s="47">
        <f t="shared" si="44"/>
        <v>13</v>
      </c>
      <c r="AJ125" s="47">
        <f t="shared" si="45"/>
        <v>39</v>
      </c>
      <c r="AK125" s="47">
        <f t="shared" si="46"/>
        <v>250.5</v>
      </c>
      <c r="AL125" s="48">
        <f t="shared" si="47"/>
        <v>0.2505</v>
      </c>
      <c r="AM125" s="46">
        <f t="shared" si="48"/>
        <v>44.140969162995596</v>
      </c>
      <c r="AN125" s="46">
        <f t="shared" si="49"/>
        <v>17.15481171548117</v>
      </c>
      <c r="AO125" s="46">
        <f t="shared" si="50"/>
        <v>202.14225941422592</v>
      </c>
      <c r="AP125" s="46">
        <f t="shared" si="51"/>
        <v>43.079497907949786</v>
      </c>
      <c r="AQ125" s="49">
        <f t="shared" si="52"/>
        <v>0.76213434306008654</v>
      </c>
      <c r="AR125" s="50">
        <f t="shared" si="53"/>
        <v>0.23786565693991343</v>
      </c>
      <c r="AS125" s="51">
        <f t="shared" si="54"/>
        <v>0.20214225941422592</v>
      </c>
      <c r="AT125" s="51">
        <f t="shared" si="55"/>
        <v>4.3079497907949786E-2</v>
      </c>
      <c r="AU125" s="51">
        <f t="shared" si="63"/>
        <v>0.24522175732217572</v>
      </c>
      <c r="AV125" s="52">
        <f t="shared" si="56"/>
        <v>196.00390808122847</v>
      </c>
      <c r="AW125" s="52">
        <f t="shared" si="57"/>
        <v>41.771324673048689</v>
      </c>
      <c r="AX125" s="15">
        <f t="shared" si="58"/>
        <v>0.19600390808122847</v>
      </c>
      <c r="AY125" s="15">
        <f t="shared" si="59"/>
        <v>4.1771324673048692E-2</v>
      </c>
      <c r="AZ125" s="15">
        <f t="shared" si="60"/>
        <v>0.23777523275427717</v>
      </c>
      <c r="BA125" s="61">
        <f t="shared" si="64"/>
        <v>5.817801047120418</v>
      </c>
      <c r="BB125" s="61">
        <v>7</v>
      </c>
      <c r="BC125" s="61">
        <f t="shared" si="65"/>
        <v>6.7874345549738209</v>
      </c>
      <c r="BD125" s="61">
        <v>8</v>
      </c>
      <c r="BE125" s="61">
        <f t="shared" si="66"/>
        <v>1.9392670157068062</v>
      </c>
      <c r="BF125" s="61"/>
      <c r="BG125" s="61">
        <v>0</v>
      </c>
      <c r="BH125" s="61"/>
      <c r="BI125" s="56">
        <f t="shared" si="67"/>
        <v>29.544502617801047</v>
      </c>
      <c r="BJ125" s="57">
        <f t="shared" si="68"/>
        <v>0.1185593868443832</v>
      </c>
      <c r="BK125" s="58">
        <f t="shared" si="69"/>
        <v>6.4736368924850601E-2</v>
      </c>
    </row>
    <row r="126" spans="1:63" ht="17.25" customHeight="1" x14ac:dyDescent="0.3">
      <c r="A126" s="41">
        <v>125</v>
      </c>
      <c r="B126" s="42">
        <v>46254</v>
      </c>
      <c r="C126" s="43" t="str">
        <f t="shared" si="39"/>
        <v>Aug-26</v>
      </c>
      <c r="D126" s="43" t="s">
        <v>68</v>
      </c>
      <c r="E126" s="43" t="s">
        <v>35</v>
      </c>
      <c r="F126" s="43" t="s">
        <v>41</v>
      </c>
      <c r="G126" s="14" t="s">
        <v>105</v>
      </c>
      <c r="H126" s="14" t="s">
        <v>60</v>
      </c>
      <c r="I126" s="14" t="s">
        <v>60</v>
      </c>
      <c r="J126" s="44" t="s">
        <v>60</v>
      </c>
      <c r="K126" s="44">
        <v>2026</v>
      </c>
      <c r="L126" s="44">
        <v>134</v>
      </c>
      <c r="M126" s="45">
        <v>1000</v>
      </c>
      <c r="N126" s="45">
        <v>173</v>
      </c>
      <c r="O126" s="45">
        <v>7.9</v>
      </c>
      <c r="P126" s="46">
        <f t="shared" si="41"/>
        <v>292</v>
      </c>
      <c r="Q126" s="45">
        <v>7.87</v>
      </c>
      <c r="R126" s="46">
        <v>243</v>
      </c>
      <c r="S126" s="46">
        <v>15</v>
      </c>
      <c r="T126" s="46">
        <v>6</v>
      </c>
      <c r="U126" s="46">
        <v>28</v>
      </c>
      <c r="V126" s="46"/>
      <c r="W126" s="46">
        <v>0</v>
      </c>
      <c r="X126" s="46">
        <v>5</v>
      </c>
      <c r="Y126" s="46">
        <v>4</v>
      </c>
      <c r="Z126" s="46">
        <f t="shared" si="61"/>
        <v>44.709288000000001</v>
      </c>
      <c r="AA126" s="46">
        <f t="shared" si="62"/>
        <v>46.561152</v>
      </c>
      <c r="AB126" s="46">
        <f t="shared" si="70"/>
        <v>51.499456000000002</v>
      </c>
      <c r="AC126" s="46">
        <f t="shared" si="71"/>
        <v>243</v>
      </c>
      <c r="AD126" s="46">
        <f>238-36</f>
        <v>202</v>
      </c>
      <c r="AE126" s="46">
        <v>36</v>
      </c>
      <c r="AF126" s="59">
        <f t="shared" si="40"/>
        <v>-5</v>
      </c>
      <c r="AG126" s="46">
        <f t="shared" si="42"/>
        <v>17</v>
      </c>
      <c r="AH126" s="47">
        <f t="shared" si="43"/>
        <v>20.605976027662777</v>
      </c>
      <c r="AI126" s="47">
        <f t="shared" si="44"/>
        <v>21</v>
      </c>
      <c r="AJ126" s="47">
        <f t="shared" si="45"/>
        <v>28</v>
      </c>
      <c r="AK126" s="47">
        <f t="shared" si="46"/>
        <v>253.5</v>
      </c>
      <c r="AL126" s="48">
        <f t="shared" si="47"/>
        <v>0.2535</v>
      </c>
      <c r="AM126" s="46">
        <f t="shared" si="48"/>
        <v>44.669603524229075</v>
      </c>
      <c r="AN126" s="46">
        <f t="shared" si="49"/>
        <v>15.126050420168069</v>
      </c>
      <c r="AO126" s="46">
        <f t="shared" si="50"/>
        <v>206.24369747899161</v>
      </c>
      <c r="AP126" s="46">
        <f t="shared" si="51"/>
        <v>41.588235294117645</v>
      </c>
      <c r="AQ126" s="49">
        <f t="shared" si="52"/>
        <v>0.76162336976827816</v>
      </c>
      <c r="AR126" s="50">
        <f t="shared" si="53"/>
        <v>0.23837663023172184</v>
      </c>
      <c r="AS126" s="51">
        <f t="shared" si="54"/>
        <v>0.2062436974789916</v>
      </c>
      <c r="AT126" s="51">
        <f t="shared" si="55"/>
        <v>4.1588235294117648E-2</v>
      </c>
      <c r="AU126" s="51">
        <f t="shared" si="63"/>
        <v>0.24783193277310925</v>
      </c>
      <c r="AV126" s="52">
        <f t="shared" si="56"/>
        <v>198.9657785208324</v>
      </c>
      <c r="AW126" s="52">
        <f t="shared" si="57"/>
        <v>40.120671388974436</v>
      </c>
      <c r="AX126" s="15">
        <f t="shared" si="58"/>
        <v>0.19896577852083241</v>
      </c>
      <c r="AY126" s="15">
        <f t="shared" si="59"/>
        <v>4.012067138897444E-2</v>
      </c>
      <c r="AZ126" s="15">
        <f t="shared" si="60"/>
        <v>0.23908644990980685</v>
      </c>
      <c r="BA126" s="61">
        <f t="shared" si="64"/>
        <v>14.47068062827225</v>
      </c>
      <c r="BB126" s="61">
        <v>7</v>
      </c>
      <c r="BC126" s="61">
        <f t="shared" si="65"/>
        <v>5.7882722513089</v>
      </c>
      <c r="BD126" s="61">
        <v>10</v>
      </c>
      <c r="BE126" s="61">
        <f t="shared" si="66"/>
        <v>0</v>
      </c>
      <c r="BF126" s="61"/>
      <c r="BG126" s="61">
        <v>0</v>
      </c>
      <c r="BH126" s="61"/>
      <c r="BI126" s="56">
        <f t="shared" si="67"/>
        <v>37.258952879581145</v>
      </c>
      <c r="BJ126" s="57">
        <f t="shared" si="68"/>
        <v>0.14629484358400019</v>
      </c>
      <c r="BK126" s="58">
        <f t="shared" si="69"/>
        <v>0.1062904981597636</v>
      </c>
    </row>
    <row r="127" spans="1:63" ht="17.25" customHeight="1" x14ac:dyDescent="0.3">
      <c r="A127" s="41">
        <v>126</v>
      </c>
      <c r="B127" s="42">
        <v>46254</v>
      </c>
      <c r="C127" s="43" t="str">
        <f t="shared" si="39"/>
        <v>Aug-26</v>
      </c>
      <c r="D127" s="43" t="s">
        <v>68</v>
      </c>
      <c r="E127" s="43" t="s">
        <v>35</v>
      </c>
      <c r="F127" s="43" t="s">
        <v>41</v>
      </c>
      <c r="G127" s="14" t="s">
        <v>105</v>
      </c>
      <c r="H127" s="14" t="s">
        <v>60</v>
      </c>
      <c r="I127" s="14" t="s">
        <v>60</v>
      </c>
      <c r="J127" s="44" t="s">
        <v>60</v>
      </c>
      <c r="K127" s="44">
        <v>2026</v>
      </c>
      <c r="L127" s="44">
        <v>134</v>
      </c>
      <c r="M127" s="45">
        <v>1000</v>
      </c>
      <c r="N127" s="45">
        <v>176</v>
      </c>
      <c r="O127" s="45">
        <v>7.9</v>
      </c>
      <c r="P127" s="46">
        <f t="shared" si="41"/>
        <v>286</v>
      </c>
      <c r="Q127" s="45">
        <v>7.87</v>
      </c>
      <c r="R127" s="46">
        <v>230</v>
      </c>
      <c r="S127" s="46">
        <v>14</v>
      </c>
      <c r="T127" s="46">
        <v>6</v>
      </c>
      <c r="U127" s="46">
        <v>36</v>
      </c>
      <c r="V127" s="46"/>
      <c r="W127" s="46"/>
      <c r="X127" s="46">
        <v>24</v>
      </c>
      <c r="Y127" s="46">
        <v>2</v>
      </c>
      <c r="Z127" s="46">
        <f t="shared" si="61"/>
        <v>42.328319999999998</v>
      </c>
      <c r="AA127" s="46">
        <f t="shared" si="62"/>
        <v>44.091999999999999</v>
      </c>
      <c r="AB127" s="46">
        <f t="shared" si="70"/>
        <v>50.441248000000002</v>
      </c>
      <c r="AC127" s="46">
        <f t="shared" si="71"/>
        <v>230</v>
      </c>
      <c r="AD127" s="46">
        <f>224-36</f>
        <v>188</v>
      </c>
      <c r="AE127" s="46">
        <v>36</v>
      </c>
      <c r="AF127" s="59">
        <f t="shared" si="40"/>
        <v>-6</v>
      </c>
      <c r="AG127" s="46">
        <f t="shared" si="42"/>
        <v>16</v>
      </c>
      <c r="AH127" s="47">
        <f t="shared" si="43"/>
        <v>19.553115938658106</v>
      </c>
      <c r="AI127" s="47">
        <f t="shared" si="44"/>
        <v>20</v>
      </c>
      <c r="AJ127" s="47">
        <f t="shared" si="45"/>
        <v>36</v>
      </c>
      <c r="AK127" s="47">
        <f t="shared" si="46"/>
        <v>240</v>
      </c>
      <c r="AL127" s="48">
        <f t="shared" si="47"/>
        <v>0.24</v>
      </c>
      <c r="AM127" s="46">
        <f t="shared" si="48"/>
        <v>42.290748898678416</v>
      </c>
      <c r="AN127" s="46">
        <f t="shared" si="49"/>
        <v>16.071428571428569</v>
      </c>
      <c r="AO127" s="46">
        <f t="shared" si="50"/>
        <v>193.03571428571428</v>
      </c>
      <c r="AP127" s="46">
        <f t="shared" si="51"/>
        <v>47</v>
      </c>
      <c r="AQ127" s="49">
        <f t="shared" si="52"/>
        <v>0.73582826594874795</v>
      </c>
      <c r="AR127" s="50">
        <f t="shared" si="53"/>
        <v>0.26417173405125211</v>
      </c>
      <c r="AS127" s="51">
        <f t="shared" si="54"/>
        <v>0.19303571428571428</v>
      </c>
      <c r="AT127" s="51">
        <f t="shared" si="55"/>
        <v>4.7E-2</v>
      </c>
      <c r="AU127" s="51">
        <f t="shared" si="63"/>
        <v>0.2400357142857143</v>
      </c>
      <c r="AV127" s="52">
        <f t="shared" si="56"/>
        <v>186.22387808526548</v>
      </c>
      <c r="AW127" s="52">
        <f t="shared" si="57"/>
        <v>45.341465968586384</v>
      </c>
      <c r="AX127" s="15">
        <f t="shared" si="58"/>
        <v>0.18622387808526547</v>
      </c>
      <c r="AY127" s="15">
        <f t="shared" si="59"/>
        <v>4.5341465968586382E-2</v>
      </c>
      <c r="AZ127" s="15">
        <f t="shared" si="60"/>
        <v>0.23156534405385185</v>
      </c>
      <c r="BA127" s="61">
        <f t="shared" si="64"/>
        <v>13.505968586387434</v>
      </c>
      <c r="BB127" s="61">
        <v>6</v>
      </c>
      <c r="BC127" s="61">
        <f t="shared" si="65"/>
        <v>5.7882722513089</v>
      </c>
      <c r="BD127" s="61">
        <v>10</v>
      </c>
      <c r="BE127" s="61">
        <f t="shared" si="66"/>
        <v>0</v>
      </c>
      <c r="BF127" s="61"/>
      <c r="BG127" s="61">
        <v>0</v>
      </c>
      <c r="BH127" s="61"/>
      <c r="BI127" s="56">
        <f t="shared" si="67"/>
        <v>35.294240837696336</v>
      </c>
      <c r="BJ127" s="57">
        <f t="shared" si="68"/>
        <v>0.14634103983501576</v>
      </c>
      <c r="BK127" s="58">
        <f t="shared" si="69"/>
        <v>0.10375515205525229</v>
      </c>
    </row>
    <row r="128" spans="1:63" ht="17.25" customHeight="1" x14ac:dyDescent="0.3">
      <c r="A128" s="41">
        <v>127</v>
      </c>
      <c r="B128" s="42">
        <v>46255</v>
      </c>
      <c r="C128" s="43" t="str">
        <f t="shared" si="39"/>
        <v>Aug-26</v>
      </c>
      <c r="D128" s="43" t="s">
        <v>68</v>
      </c>
      <c r="E128" s="43" t="s">
        <v>35</v>
      </c>
      <c r="F128" s="43" t="s">
        <v>41</v>
      </c>
      <c r="G128" s="14" t="s">
        <v>105</v>
      </c>
      <c r="H128" s="14" t="s">
        <v>60</v>
      </c>
      <c r="I128" s="14" t="s">
        <v>60</v>
      </c>
      <c r="J128" s="44" t="s">
        <v>60</v>
      </c>
      <c r="K128" s="44">
        <v>2026</v>
      </c>
      <c r="L128" s="44">
        <v>135</v>
      </c>
      <c r="M128" s="45">
        <v>1000</v>
      </c>
      <c r="N128" s="45">
        <v>174</v>
      </c>
      <c r="O128" s="45">
        <v>8</v>
      </c>
      <c r="P128" s="46">
        <f t="shared" si="41"/>
        <v>285</v>
      </c>
      <c r="Q128" s="45">
        <v>7.61</v>
      </c>
      <c r="R128" s="46">
        <v>230</v>
      </c>
      <c r="S128" s="46">
        <v>21</v>
      </c>
      <c r="T128" s="46">
        <v>4</v>
      </c>
      <c r="U128" s="46">
        <v>28</v>
      </c>
      <c r="V128" s="46"/>
      <c r="W128" s="46">
        <v>2</v>
      </c>
      <c r="X128" s="46">
        <v>19</v>
      </c>
      <c r="Y128" s="46">
        <v>3</v>
      </c>
      <c r="Z128" s="46">
        <f t="shared" si="61"/>
        <v>42.769240000000003</v>
      </c>
      <c r="AA128" s="46">
        <f t="shared" si="62"/>
        <v>44.973840000000003</v>
      </c>
      <c r="AB128" s="46">
        <f t="shared" si="70"/>
        <v>50.264880000000005</v>
      </c>
      <c r="AC128" s="46">
        <f t="shared" si="71"/>
        <v>230</v>
      </c>
      <c r="AD128" s="46">
        <f>223-35</f>
        <v>188</v>
      </c>
      <c r="AE128" s="46">
        <v>35</v>
      </c>
      <c r="AF128" s="59">
        <f t="shared" si="40"/>
        <v>-7</v>
      </c>
      <c r="AG128" s="46">
        <f t="shared" si="42"/>
        <v>19</v>
      </c>
      <c r="AH128" s="47">
        <f t="shared" si="43"/>
        <v>23.0789056140935</v>
      </c>
      <c r="AI128" s="47">
        <f t="shared" si="44"/>
        <v>25</v>
      </c>
      <c r="AJ128" s="47">
        <f t="shared" si="45"/>
        <v>30</v>
      </c>
      <c r="AK128" s="47">
        <f t="shared" si="46"/>
        <v>242.5</v>
      </c>
      <c r="AL128" s="48">
        <f t="shared" si="47"/>
        <v>0.24249999999999999</v>
      </c>
      <c r="AM128" s="46">
        <f t="shared" si="48"/>
        <v>42.731277533039645</v>
      </c>
      <c r="AN128" s="46">
        <f t="shared" si="49"/>
        <v>15.695067264573991</v>
      </c>
      <c r="AO128" s="46">
        <f t="shared" si="50"/>
        <v>193.90134529147983</v>
      </c>
      <c r="AP128" s="46">
        <f t="shared" si="51"/>
        <v>46.367713004484301</v>
      </c>
      <c r="AQ128" s="49">
        <f t="shared" si="52"/>
        <v>0.72603892766984734</v>
      </c>
      <c r="AR128" s="50">
        <f t="shared" si="53"/>
        <v>0.27396107233015266</v>
      </c>
      <c r="AS128" s="51">
        <f t="shared" si="54"/>
        <v>0.19390134529147982</v>
      </c>
      <c r="AT128" s="51">
        <f t="shared" si="55"/>
        <v>4.63677130044843E-2</v>
      </c>
      <c r="AU128" s="51">
        <f t="shared" si="63"/>
        <v>0.24026905829596412</v>
      </c>
      <c r="AV128" s="52">
        <f t="shared" si="56"/>
        <v>187.58686169088818</v>
      </c>
      <c r="AW128" s="52">
        <f t="shared" si="57"/>
        <v>44.857727795647172</v>
      </c>
      <c r="AX128" s="15">
        <f t="shared" si="58"/>
        <v>0.18758686169088817</v>
      </c>
      <c r="AY128" s="15">
        <f t="shared" si="59"/>
        <v>4.4857727795647173E-2</v>
      </c>
      <c r="AZ128" s="15">
        <f t="shared" si="60"/>
        <v>0.23244458948653535</v>
      </c>
      <c r="BA128" s="61">
        <f t="shared" si="64"/>
        <v>20.316125654450261</v>
      </c>
      <c r="BB128" s="61">
        <v>4</v>
      </c>
      <c r="BC128" s="61">
        <f t="shared" si="65"/>
        <v>3.8697382198952881</v>
      </c>
      <c r="BD128" s="61">
        <v>15</v>
      </c>
      <c r="BE128" s="61">
        <f t="shared" si="66"/>
        <v>1.9348691099476441</v>
      </c>
      <c r="BF128" s="61"/>
      <c r="BG128" s="61">
        <v>0</v>
      </c>
      <c r="BH128" s="61"/>
      <c r="BI128" s="56">
        <f t="shared" si="67"/>
        <v>45.120732984293191</v>
      </c>
      <c r="BJ128" s="57">
        <f t="shared" si="68"/>
        <v>0.18290027993013419</v>
      </c>
      <c r="BK128" s="58">
        <f t="shared" si="69"/>
        <v>0.12934109390665033</v>
      </c>
    </row>
    <row r="129" spans="1:63" ht="17.25" customHeight="1" x14ac:dyDescent="0.3">
      <c r="A129" s="41">
        <v>128</v>
      </c>
      <c r="B129" s="42">
        <v>46255</v>
      </c>
      <c r="C129" s="43" t="str">
        <f t="shared" si="39"/>
        <v>Aug-26</v>
      </c>
      <c r="D129" s="43" t="s">
        <v>68</v>
      </c>
      <c r="E129" s="43" t="s">
        <v>35</v>
      </c>
      <c r="F129" s="43" t="s">
        <v>41</v>
      </c>
      <c r="G129" s="14" t="s">
        <v>105</v>
      </c>
      <c r="H129" s="14" t="s">
        <v>60</v>
      </c>
      <c r="I129" s="14" t="s">
        <v>60</v>
      </c>
      <c r="J129" s="44" t="s">
        <v>60</v>
      </c>
      <c r="K129" s="44">
        <v>2026</v>
      </c>
      <c r="L129" s="44">
        <v>135</v>
      </c>
      <c r="M129" s="45">
        <v>1000</v>
      </c>
      <c r="N129" s="45">
        <v>174</v>
      </c>
      <c r="O129" s="45">
        <v>8</v>
      </c>
      <c r="P129" s="46">
        <f t="shared" si="41"/>
        <v>295</v>
      </c>
      <c r="Q129" s="45">
        <v>7.61</v>
      </c>
      <c r="R129" s="46">
        <v>237</v>
      </c>
      <c r="S129" s="46">
        <v>16</v>
      </c>
      <c r="T129" s="46">
        <v>7</v>
      </c>
      <c r="U129" s="46">
        <v>32</v>
      </c>
      <c r="V129" s="46"/>
      <c r="W129" s="46">
        <v>3</v>
      </c>
      <c r="X129" s="46">
        <v>13</v>
      </c>
      <c r="Y129" s="46">
        <v>2</v>
      </c>
      <c r="Z129" s="46">
        <f t="shared" si="61"/>
        <v>43.827448000000004</v>
      </c>
      <c r="AA129" s="46">
        <f t="shared" si="62"/>
        <v>45.85568</v>
      </c>
      <c r="AB129" s="46">
        <f t="shared" si="70"/>
        <v>52.028560000000006</v>
      </c>
      <c r="AC129" s="46">
        <f t="shared" si="71"/>
        <v>237</v>
      </c>
      <c r="AD129" s="46">
        <f>230-35</f>
        <v>195</v>
      </c>
      <c r="AE129" s="46">
        <v>35</v>
      </c>
      <c r="AF129" s="59">
        <f t="shared" si="40"/>
        <v>-7</v>
      </c>
      <c r="AG129" s="46">
        <f t="shared" si="42"/>
        <v>19</v>
      </c>
      <c r="AH129" s="47">
        <f t="shared" si="43"/>
        <v>22.983618592262477</v>
      </c>
      <c r="AI129" s="47">
        <f t="shared" si="44"/>
        <v>23</v>
      </c>
      <c r="AJ129" s="47">
        <f t="shared" si="45"/>
        <v>35</v>
      </c>
      <c r="AK129" s="47">
        <f t="shared" si="46"/>
        <v>248.5</v>
      </c>
      <c r="AL129" s="48">
        <f t="shared" si="47"/>
        <v>0.2485</v>
      </c>
      <c r="AM129" s="46">
        <f t="shared" si="48"/>
        <v>43.78854625550661</v>
      </c>
      <c r="AN129" s="46">
        <f t="shared" si="49"/>
        <v>15.217391304347828</v>
      </c>
      <c r="AO129" s="46">
        <f t="shared" si="50"/>
        <v>200.93478260869566</v>
      </c>
      <c r="AP129" s="46">
        <f t="shared" si="51"/>
        <v>49.173913043478258</v>
      </c>
      <c r="AQ129" s="49">
        <f t="shared" si="52"/>
        <v>0.72547925900927979</v>
      </c>
      <c r="AR129" s="50">
        <f t="shared" si="53"/>
        <v>0.27452074099072027</v>
      </c>
      <c r="AS129" s="51">
        <f t="shared" si="54"/>
        <v>0.20093478260869566</v>
      </c>
      <c r="AT129" s="51">
        <f t="shared" si="55"/>
        <v>4.9173913043478255E-2</v>
      </c>
      <c r="AU129" s="51">
        <f t="shared" si="63"/>
        <v>0.25010869565217392</v>
      </c>
      <c r="AV129" s="52">
        <f t="shared" si="56"/>
        <v>194.39125199180515</v>
      </c>
      <c r="AW129" s="52">
        <f t="shared" si="57"/>
        <v>47.572542681538806</v>
      </c>
      <c r="AX129" s="15">
        <f t="shared" si="58"/>
        <v>0.19439125199180515</v>
      </c>
      <c r="AY129" s="15">
        <f t="shared" si="59"/>
        <v>4.7572542681538807E-2</v>
      </c>
      <c r="AZ129" s="15">
        <f t="shared" si="60"/>
        <v>0.24196379467334395</v>
      </c>
      <c r="BA129" s="61">
        <f t="shared" si="64"/>
        <v>15.478952879581152</v>
      </c>
      <c r="BB129" s="61">
        <v>3</v>
      </c>
      <c r="BC129" s="61">
        <f t="shared" si="65"/>
        <v>6.7720418848167538</v>
      </c>
      <c r="BD129" s="61">
        <v>16</v>
      </c>
      <c r="BE129" s="61">
        <f t="shared" si="66"/>
        <v>2.9023036649214662</v>
      </c>
      <c r="BF129" s="61"/>
      <c r="BG129" s="61">
        <v>0</v>
      </c>
      <c r="BH129" s="61"/>
      <c r="BI129" s="56">
        <f t="shared" si="67"/>
        <v>44.153298429319371</v>
      </c>
      <c r="BJ129" s="57">
        <f t="shared" si="68"/>
        <v>0.17553681300840085</v>
      </c>
      <c r="BK129" s="58">
        <f t="shared" si="69"/>
        <v>9.4763860920928977E-2</v>
      </c>
    </row>
    <row r="130" spans="1:63" ht="17.25" customHeight="1" x14ac:dyDescent="0.3">
      <c r="A130" s="41">
        <v>129</v>
      </c>
      <c r="B130" s="42">
        <v>46256</v>
      </c>
      <c r="C130" s="43" t="str">
        <f t="shared" ref="C130:C193" si="72">IF(ISBLANK(B130),"",TEXT(B130,"mmm-YY"))</f>
        <v>Aug-26</v>
      </c>
      <c r="D130" s="43" t="s">
        <v>68</v>
      </c>
      <c r="E130" s="43" t="s">
        <v>35</v>
      </c>
      <c r="F130" s="43" t="s">
        <v>41</v>
      </c>
      <c r="G130" s="14" t="s">
        <v>240</v>
      </c>
      <c r="H130" s="14" t="s">
        <v>60</v>
      </c>
      <c r="I130" s="14" t="s">
        <v>60</v>
      </c>
      <c r="J130" s="44" t="s">
        <v>60</v>
      </c>
      <c r="K130" s="44">
        <v>2026</v>
      </c>
      <c r="L130" s="44">
        <v>136</v>
      </c>
      <c r="M130" s="45">
        <v>1000</v>
      </c>
      <c r="N130" s="45">
        <v>170</v>
      </c>
      <c r="O130" s="45">
        <v>8.4</v>
      </c>
      <c r="P130" s="46">
        <f t="shared" si="41"/>
        <v>279</v>
      </c>
      <c r="Q130" s="45">
        <v>7.76</v>
      </c>
      <c r="R130" s="46">
        <v>231</v>
      </c>
      <c r="S130" s="46">
        <v>15</v>
      </c>
      <c r="T130" s="46">
        <v>2</v>
      </c>
      <c r="U130" s="46">
        <v>31</v>
      </c>
      <c r="V130" s="46"/>
      <c r="W130" s="46"/>
      <c r="X130" s="46">
        <v>17</v>
      </c>
      <c r="Y130" s="46">
        <v>1</v>
      </c>
      <c r="Z130" s="46">
        <f t="shared" si="61"/>
        <v>42.240136</v>
      </c>
      <c r="AA130" s="46">
        <f t="shared" si="62"/>
        <v>43.739264000000006</v>
      </c>
      <c r="AB130" s="46">
        <f t="shared" si="70"/>
        <v>49.206672000000005</v>
      </c>
      <c r="AC130" s="46">
        <f t="shared" si="71"/>
        <v>231</v>
      </c>
      <c r="AD130" s="46">
        <f>223-38</f>
        <v>185</v>
      </c>
      <c r="AE130" s="46">
        <v>38</v>
      </c>
      <c r="AF130" s="59">
        <f t="shared" ref="AF130:AF193" si="73">AD130+AE130-AC130</f>
        <v>-8</v>
      </c>
      <c r="AG130" s="46">
        <f t="shared" si="42"/>
        <v>13</v>
      </c>
      <c r="AH130" s="47">
        <f t="shared" si="43"/>
        <v>16.000421983595146</v>
      </c>
      <c r="AI130" s="47">
        <f t="shared" si="44"/>
        <v>17</v>
      </c>
      <c r="AJ130" s="47">
        <f t="shared" si="45"/>
        <v>31</v>
      </c>
      <c r="AK130" s="47">
        <f t="shared" si="46"/>
        <v>239.5</v>
      </c>
      <c r="AL130" s="48">
        <f t="shared" si="47"/>
        <v>0.23949999999999999</v>
      </c>
      <c r="AM130" s="46">
        <f t="shared" si="48"/>
        <v>42.202643171806166</v>
      </c>
      <c r="AN130" s="46">
        <f t="shared" si="49"/>
        <v>17.04035874439462</v>
      </c>
      <c r="AO130" s="46">
        <f t="shared" si="50"/>
        <v>191.63677130044843</v>
      </c>
      <c r="AP130" s="46">
        <f t="shared" si="51"/>
        <v>39.820627802690581</v>
      </c>
      <c r="AQ130" s="49">
        <f t="shared" si="52"/>
        <v>0.77060780651041161</v>
      </c>
      <c r="AR130" s="50">
        <f t="shared" si="53"/>
        <v>0.22939219348958834</v>
      </c>
      <c r="AS130" s="51">
        <f t="shared" si="54"/>
        <v>0.19163677130044843</v>
      </c>
      <c r="AT130" s="51">
        <f t="shared" si="55"/>
        <v>3.9820627802690578E-2</v>
      </c>
      <c r="AU130" s="51">
        <f t="shared" si="63"/>
        <v>0.23145739910313901</v>
      </c>
      <c r="AV130" s="52">
        <f t="shared" si="56"/>
        <v>185.09503439532315</v>
      </c>
      <c r="AW130" s="52">
        <f t="shared" si="57"/>
        <v>38.461305848378835</v>
      </c>
      <c r="AX130" s="15">
        <f t="shared" si="58"/>
        <v>0.18509503439532315</v>
      </c>
      <c r="AY130" s="15">
        <f t="shared" si="59"/>
        <v>3.8461305848378834E-2</v>
      </c>
      <c r="AZ130" s="15">
        <f t="shared" si="60"/>
        <v>0.223556340243702</v>
      </c>
      <c r="BA130" s="61">
        <f t="shared" si="64"/>
        <v>14.487958115183245</v>
      </c>
      <c r="BB130" s="61">
        <v>4</v>
      </c>
      <c r="BC130" s="61">
        <f t="shared" si="65"/>
        <v>1.9317277486910993</v>
      </c>
      <c r="BD130" s="61">
        <v>9</v>
      </c>
      <c r="BE130" s="61">
        <f t="shared" si="66"/>
        <v>0</v>
      </c>
      <c r="BF130" s="61"/>
      <c r="BG130" s="61">
        <v>0</v>
      </c>
      <c r="BH130" s="61"/>
      <c r="BI130" s="56">
        <f t="shared" si="67"/>
        <v>29.419685863874346</v>
      </c>
      <c r="BJ130" s="57">
        <f t="shared" si="68"/>
        <v>0.12282037741655709</v>
      </c>
      <c r="BK130" s="58">
        <f t="shared" si="69"/>
        <v>9.9934908730720251E-2</v>
      </c>
    </row>
    <row r="131" spans="1:63" ht="17.25" customHeight="1" x14ac:dyDescent="0.3">
      <c r="A131" s="41">
        <v>130</v>
      </c>
      <c r="B131" s="42">
        <v>46256</v>
      </c>
      <c r="C131" s="43" t="str">
        <f t="shared" si="72"/>
        <v>Aug-26</v>
      </c>
      <c r="D131" s="43" t="s">
        <v>68</v>
      </c>
      <c r="E131" s="43" t="s">
        <v>35</v>
      </c>
      <c r="F131" s="43" t="s">
        <v>41</v>
      </c>
      <c r="G131" s="14" t="s">
        <v>240</v>
      </c>
      <c r="H131" s="14" t="s">
        <v>60</v>
      </c>
      <c r="I131" s="14" t="s">
        <v>60</v>
      </c>
      <c r="J131" s="44" t="s">
        <v>60</v>
      </c>
      <c r="K131" s="44">
        <v>2026</v>
      </c>
      <c r="L131" s="44">
        <v>136</v>
      </c>
      <c r="M131" s="45">
        <v>1000</v>
      </c>
      <c r="N131" s="45">
        <v>170</v>
      </c>
      <c r="O131" s="45">
        <v>8.4</v>
      </c>
      <c r="P131" s="46">
        <f t="shared" ref="P131:P194" si="74">SUM(R131:W131)</f>
        <v>287</v>
      </c>
      <c r="Q131" s="45">
        <v>7.76</v>
      </c>
      <c r="R131" s="46">
        <v>234</v>
      </c>
      <c r="S131" s="46">
        <v>14</v>
      </c>
      <c r="T131" s="46">
        <v>6</v>
      </c>
      <c r="U131" s="46">
        <v>33</v>
      </c>
      <c r="V131" s="46"/>
      <c r="W131" s="46"/>
      <c r="X131" s="46">
        <v>0</v>
      </c>
      <c r="Y131" s="46">
        <v>2</v>
      </c>
      <c r="Z131" s="46">
        <f t="shared" si="61"/>
        <v>43.033791999999998</v>
      </c>
      <c r="AA131" s="46">
        <f t="shared" si="62"/>
        <v>44.797471999999999</v>
      </c>
      <c r="AB131" s="46">
        <f t="shared" si="70"/>
        <v>50.617616000000005</v>
      </c>
      <c r="AC131" s="46">
        <f t="shared" si="71"/>
        <v>234</v>
      </c>
      <c r="AD131" s="46">
        <f>226-31</f>
        <v>195</v>
      </c>
      <c r="AE131" s="46">
        <v>31</v>
      </c>
      <c r="AF131" s="59">
        <f t="shared" si="73"/>
        <v>-8</v>
      </c>
      <c r="AG131" s="46">
        <f t="shared" ref="AG131:AG194" si="75">SUM(BB131,BD131,BF131,BH131)</f>
        <v>16</v>
      </c>
      <c r="AH131" s="47">
        <f t="shared" ref="AH131:AH194" si="76">IFERROR(AG131*(100-3)/(100-Q131)*(100+AN131)%,"")</f>
        <v>19.133618340765533</v>
      </c>
      <c r="AI131" s="47">
        <f t="shared" ref="AI131:AI194" si="77">S131+T131</f>
        <v>20</v>
      </c>
      <c r="AJ131" s="47">
        <f t="shared" ref="AJ131:AJ194" si="78">U131+V131+W131</f>
        <v>33</v>
      </c>
      <c r="AK131" s="47">
        <f t="shared" ref="AK131:AK194" si="79">R131+(AI131/2)</f>
        <v>244</v>
      </c>
      <c r="AL131" s="48">
        <f t="shared" ref="AL131:AL194" si="80">IFERROR(AK131/M131,"")</f>
        <v>0.24399999999999999</v>
      </c>
      <c r="AM131" s="46">
        <f t="shared" ref="AM131:AM194" si="81">IFERROR(((AK131*80/454)*1000)/M131,"")</f>
        <v>42.995594713656388</v>
      </c>
      <c r="AN131" s="46">
        <f t="shared" ref="AN131:AN194" si="82">IFERROR(AE131/(AE131+AD131)%,"")</f>
        <v>13.716814159292037</v>
      </c>
      <c r="AO131" s="46">
        <f t="shared" ref="AO131:AO194" si="83">IFERROR((P131-AI131-AJ131)*(100-AN131)%,"")</f>
        <v>201.90265486725662</v>
      </c>
      <c r="AP131" s="46">
        <f t="shared" ref="AP131:AP194" si="84">IFERROR((AJ131+AI131)*(100-AN131)%,"")</f>
        <v>45.730088495575217</v>
      </c>
      <c r="AQ131" s="49">
        <f t="shared" ref="AQ131:AQ194" si="85">IFERROR((R131-AH131)/P131,"")</f>
        <v>0.74866335072903989</v>
      </c>
      <c r="AR131" s="50">
        <f t="shared" ref="AR131:AR194" si="86">IFERROR((AH131+AI131+AJ131)/P131,"")</f>
        <v>0.25133664927096006</v>
      </c>
      <c r="AS131" s="51">
        <f t="shared" ref="AS131:AS194" si="87">IFERROR(AO131/M131,"")</f>
        <v>0.20190265486725661</v>
      </c>
      <c r="AT131" s="51">
        <f t="shared" ref="AT131:AT194" si="88">IFERROR(AP131/M131,"")</f>
        <v>4.5730088495575215E-2</v>
      </c>
      <c r="AU131" s="51">
        <f t="shared" si="63"/>
        <v>0.24763274336283184</v>
      </c>
      <c r="AV131" s="52">
        <f t="shared" ref="AV131:AV194" si="89">IFERROR(AO131*(100-Q131)/(100-4.5),"")</f>
        <v>195.01048047074082</v>
      </c>
      <c r="AW131" s="52">
        <f t="shared" ref="AW131:AW194" si="90">IFERROR(AP131*(100-Q131)/(100-4.5),"")</f>
        <v>44.169040448501121</v>
      </c>
      <c r="AX131" s="15">
        <f t="shared" ref="AX131:AX194" si="91">IFERROR(AV131/M131,"")</f>
        <v>0.19501048047074082</v>
      </c>
      <c r="AY131" s="15">
        <f t="shared" ref="AY131:AY194" si="92">IFERROR(AW131/M131,"")</f>
        <v>4.4169040448501125E-2</v>
      </c>
      <c r="AZ131" s="15">
        <f t="shared" ref="AZ131:AZ194" si="93">IFERROR(AX131+AY131,"")</f>
        <v>0.23917952091924194</v>
      </c>
      <c r="BA131" s="61">
        <f t="shared" si="64"/>
        <v>13.522094240837696</v>
      </c>
      <c r="BB131" s="61">
        <v>3</v>
      </c>
      <c r="BC131" s="61">
        <f t="shared" si="65"/>
        <v>5.7951832460732975</v>
      </c>
      <c r="BD131" s="61">
        <v>13</v>
      </c>
      <c r="BE131" s="61">
        <f t="shared" si="66"/>
        <v>0</v>
      </c>
      <c r="BF131" s="61"/>
      <c r="BG131" s="61">
        <v>0</v>
      </c>
      <c r="BH131" s="61"/>
      <c r="BI131" s="56">
        <f t="shared" si="67"/>
        <v>35.317277486910996</v>
      </c>
      <c r="BJ131" s="57">
        <f t="shared" si="68"/>
        <v>0.14395858800390629</v>
      </c>
      <c r="BK131" s="58">
        <f t="shared" si="69"/>
        <v>8.4728688414552292E-2</v>
      </c>
    </row>
    <row r="132" spans="1:63" ht="17.25" customHeight="1" x14ac:dyDescent="0.3">
      <c r="A132" s="41">
        <v>131</v>
      </c>
      <c r="B132" s="42">
        <v>46258</v>
      </c>
      <c r="C132" s="43" t="str">
        <f t="shared" si="72"/>
        <v>Aug-26</v>
      </c>
      <c r="D132" s="43" t="s">
        <v>68</v>
      </c>
      <c r="E132" s="43" t="s">
        <v>35</v>
      </c>
      <c r="F132" s="43" t="s">
        <v>41</v>
      </c>
      <c r="G132" s="14" t="s">
        <v>105</v>
      </c>
      <c r="H132" s="14" t="s">
        <v>60</v>
      </c>
      <c r="I132" s="14" t="s">
        <v>60</v>
      </c>
      <c r="J132" s="44" t="s">
        <v>60</v>
      </c>
      <c r="K132" s="44">
        <v>2026</v>
      </c>
      <c r="L132" s="44">
        <v>137</v>
      </c>
      <c r="M132" s="45">
        <v>1000</v>
      </c>
      <c r="N132" s="45">
        <v>188</v>
      </c>
      <c r="O132" s="45">
        <v>7</v>
      </c>
      <c r="P132" s="46">
        <f t="shared" si="74"/>
        <v>290</v>
      </c>
      <c r="Q132" s="45">
        <v>6.44</v>
      </c>
      <c r="R132" s="46">
        <v>241</v>
      </c>
      <c r="S132" s="46">
        <v>12</v>
      </c>
      <c r="T132" s="46">
        <v>9</v>
      </c>
      <c r="U132" s="46">
        <v>28</v>
      </c>
      <c r="V132" s="46"/>
      <c r="W132" s="46"/>
      <c r="X132" s="46">
        <v>22</v>
      </c>
      <c r="Y132" s="46">
        <v>4</v>
      </c>
      <c r="Z132" s="46">
        <f t="shared" ref="Z132:Z195" si="94">IFERROR(SUM($R132,0.5*$S132,$T132*0.5)*80*2.2046/$M132,"")</f>
        <v>44.356552000000001</v>
      </c>
      <c r="AA132" s="46">
        <f t="shared" ref="AA132:AA195" si="95">IFERROR(SUM($R132,$S132,$T132)*80*2.2046/$M132,"")</f>
        <v>46.208416000000007</v>
      </c>
      <c r="AB132" s="46">
        <f t="shared" si="70"/>
        <v>51.146720000000002</v>
      </c>
      <c r="AC132" s="46">
        <f t="shared" si="71"/>
        <v>241</v>
      </c>
      <c r="AD132" s="46">
        <f>235-36</f>
        <v>199</v>
      </c>
      <c r="AE132" s="46">
        <v>36</v>
      </c>
      <c r="AF132" s="59">
        <f t="shared" si="73"/>
        <v>-6</v>
      </c>
      <c r="AG132" s="46">
        <f t="shared" si="75"/>
        <v>17</v>
      </c>
      <c r="AH132" s="47">
        <f t="shared" si="76"/>
        <v>20.325061628446417</v>
      </c>
      <c r="AI132" s="47">
        <f t="shared" si="77"/>
        <v>21</v>
      </c>
      <c r="AJ132" s="47">
        <f t="shared" si="78"/>
        <v>28</v>
      </c>
      <c r="AK132" s="47">
        <f t="shared" si="79"/>
        <v>251.5</v>
      </c>
      <c r="AL132" s="48">
        <f t="shared" si="80"/>
        <v>0.2515</v>
      </c>
      <c r="AM132" s="46">
        <f t="shared" si="81"/>
        <v>44.317180616740089</v>
      </c>
      <c r="AN132" s="46">
        <f t="shared" si="82"/>
        <v>15.319148936170212</v>
      </c>
      <c r="AO132" s="46">
        <f t="shared" si="83"/>
        <v>204.08085106382978</v>
      </c>
      <c r="AP132" s="46">
        <f t="shared" si="84"/>
        <v>41.493617021276599</v>
      </c>
      <c r="AQ132" s="49">
        <f t="shared" si="85"/>
        <v>0.76094806335018483</v>
      </c>
      <c r="AR132" s="50">
        <f t="shared" si="86"/>
        <v>0.23905193664981525</v>
      </c>
      <c r="AS132" s="51">
        <f t="shared" si="87"/>
        <v>0.20408085106382978</v>
      </c>
      <c r="AT132" s="51">
        <f t="shared" si="88"/>
        <v>4.1493617021276602E-2</v>
      </c>
      <c r="AU132" s="51">
        <f t="shared" ref="AU132:AU195" si="96">IFERROR(AS132+AT132,"")</f>
        <v>0.24557446808510638</v>
      </c>
      <c r="AV132" s="52">
        <f t="shared" si="89"/>
        <v>199.93512487467973</v>
      </c>
      <c r="AW132" s="52">
        <f t="shared" si="90"/>
        <v>40.650710036760614</v>
      </c>
      <c r="AX132" s="15">
        <f t="shared" si="91"/>
        <v>0.19993512487467974</v>
      </c>
      <c r="AY132" s="15">
        <f t="shared" si="92"/>
        <v>4.0650710036760615E-2</v>
      </c>
      <c r="AZ132" s="15">
        <f t="shared" si="93"/>
        <v>0.24058583491144037</v>
      </c>
      <c r="BA132" s="61">
        <f t="shared" ref="BA132:BA195" si="97">IFERROR(S132*(100-Q132)/(100-4.5),"")</f>
        <v>11.756230366492147</v>
      </c>
      <c r="BB132" s="61">
        <v>6</v>
      </c>
      <c r="BC132" s="61">
        <f t="shared" ref="BC132:BC195" si="98">IFERROR(T132*(100-Q132)/(100-4.5),"")</f>
        <v>8.8171727748691104</v>
      </c>
      <c r="BD132" s="61">
        <v>11</v>
      </c>
      <c r="BE132" s="61">
        <f t="shared" ref="BE132:BE195" si="99">IFERROR(W132*(100-Q132)/(100-4.5),"")</f>
        <v>0</v>
      </c>
      <c r="BF132" s="61"/>
      <c r="BG132" s="61">
        <v>0</v>
      </c>
      <c r="BH132" s="61"/>
      <c r="BI132" s="56">
        <f t="shared" ref="BI132:BI195" si="100">SUM(BA132:BH132)</f>
        <v>37.573403141361254</v>
      </c>
      <c r="BJ132" s="57">
        <f t="shared" ref="BJ132:BJ195" si="101">IFERROR(BI132/(SUM(R132:T132)*(100-Q132)/(100-4.5)),"")</f>
        <v>0.14638359186577415</v>
      </c>
      <c r="BK132" s="58">
        <f t="shared" ref="BK132:BK195" si="102">IFERROR(SUM(BA132:BB132)/AD132,"")</f>
        <v>8.9227288273829891E-2</v>
      </c>
    </row>
    <row r="133" spans="1:63" ht="17.25" customHeight="1" x14ac:dyDescent="0.3">
      <c r="A133" s="41">
        <v>132</v>
      </c>
      <c r="B133" s="42">
        <v>46258</v>
      </c>
      <c r="C133" s="43" t="str">
        <f t="shared" si="72"/>
        <v>Aug-26</v>
      </c>
      <c r="D133" s="43" t="s">
        <v>68</v>
      </c>
      <c r="E133" s="43" t="s">
        <v>35</v>
      </c>
      <c r="F133" s="43" t="s">
        <v>41</v>
      </c>
      <c r="G133" s="14" t="s">
        <v>105</v>
      </c>
      <c r="H133" s="14" t="s">
        <v>60</v>
      </c>
      <c r="I133" s="14" t="s">
        <v>60</v>
      </c>
      <c r="J133" s="44" t="s">
        <v>60</v>
      </c>
      <c r="K133" s="44">
        <v>2026</v>
      </c>
      <c r="L133" s="44">
        <v>137</v>
      </c>
      <c r="M133" s="45">
        <v>1000</v>
      </c>
      <c r="N133" s="45">
        <v>188</v>
      </c>
      <c r="O133" s="45">
        <v>7</v>
      </c>
      <c r="P133" s="46">
        <f t="shared" si="74"/>
        <v>284</v>
      </c>
      <c r="Q133" s="45">
        <v>6.44</v>
      </c>
      <c r="R133" s="46">
        <v>215</v>
      </c>
      <c r="S133" s="46">
        <v>11</v>
      </c>
      <c r="T133" s="46">
        <v>13</v>
      </c>
      <c r="U133" s="46">
        <v>45</v>
      </c>
      <c r="V133" s="46"/>
      <c r="W133" s="46"/>
      <c r="X133" s="46">
        <v>13</v>
      </c>
      <c r="Y133" s="46">
        <v>4</v>
      </c>
      <c r="Z133" s="46">
        <f t="shared" si="94"/>
        <v>40.035536</v>
      </c>
      <c r="AA133" s="46">
        <f t="shared" si="95"/>
        <v>42.151952000000001</v>
      </c>
      <c r="AB133" s="46">
        <f t="shared" ref="AB133:AB196" si="103">IFERROR(SUM($R133,$S133,$T133,$U133,$W133)*80*2.2046/$M133,"")</f>
        <v>50.088512000000001</v>
      </c>
      <c r="AC133" s="46">
        <f t="shared" si="71"/>
        <v>215</v>
      </c>
      <c r="AD133" s="46">
        <f>210-31</f>
        <v>179</v>
      </c>
      <c r="AE133" s="46">
        <v>31</v>
      </c>
      <c r="AF133" s="59">
        <f t="shared" si="73"/>
        <v>-5</v>
      </c>
      <c r="AG133" s="46">
        <f t="shared" si="75"/>
        <v>12</v>
      </c>
      <c r="AH133" s="47">
        <f t="shared" si="76"/>
        <v>14.277774384657668</v>
      </c>
      <c r="AI133" s="47">
        <f t="shared" si="77"/>
        <v>24</v>
      </c>
      <c r="AJ133" s="47">
        <f t="shared" si="78"/>
        <v>45</v>
      </c>
      <c r="AK133" s="47">
        <f t="shared" si="79"/>
        <v>227</v>
      </c>
      <c r="AL133" s="48">
        <f t="shared" si="80"/>
        <v>0.22700000000000001</v>
      </c>
      <c r="AM133" s="46">
        <f t="shared" si="81"/>
        <v>40</v>
      </c>
      <c r="AN133" s="46">
        <f t="shared" si="82"/>
        <v>14.761904761904761</v>
      </c>
      <c r="AO133" s="46">
        <f t="shared" si="83"/>
        <v>183.26190476190479</v>
      </c>
      <c r="AP133" s="46">
        <f t="shared" si="84"/>
        <v>58.814285714285717</v>
      </c>
      <c r="AQ133" s="49">
        <f t="shared" si="85"/>
        <v>0.70676840005402231</v>
      </c>
      <c r="AR133" s="50">
        <f t="shared" si="86"/>
        <v>0.29323159994597775</v>
      </c>
      <c r="AS133" s="51">
        <f t="shared" si="87"/>
        <v>0.18326190476190479</v>
      </c>
      <c r="AT133" s="51">
        <f t="shared" si="88"/>
        <v>5.8814285714285715E-2</v>
      </c>
      <c r="AU133" s="51">
        <f t="shared" si="96"/>
        <v>0.2420761904761905</v>
      </c>
      <c r="AV133" s="52">
        <f t="shared" si="89"/>
        <v>179.53909748192473</v>
      </c>
      <c r="AW133" s="52">
        <f t="shared" si="90"/>
        <v>57.619524308152577</v>
      </c>
      <c r="AX133" s="15">
        <f t="shared" si="91"/>
        <v>0.17953909748192473</v>
      </c>
      <c r="AY133" s="15">
        <f t="shared" si="92"/>
        <v>5.7619524308152578E-2</v>
      </c>
      <c r="AZ133" s="15">
        <f t="shared" si="93"/>
        <v>0.2371586217900773</v>
      </c>
      <c r="BA133" s="61">
        <f t="shared" si="97"/>
        <v>10.776544502617801</v>
      </c>
      <c r="BB133" s="61">
        <v>5</v>
      </c>
      <c r="BC133" s="61">
        <f t="shared" si="98"/>
        <v>12.735916230366492</v>
      </c>
      <c r="BD133" s="61">
        <v>7</v>
      </c>
      <c r="BE133" s="61">
        <f t="shared" si="99"/>
        <v>0</v>
      </c>
      <c r="BF133" s="61"/>
      <c r="BG133" s="61">
        <v>0</v>
      </c>
      <c r="BH133" s="61"/>
      <c r="BI133" s="56">
        <f t="shared" si="100"/>
        <v>35.512460732984295</v>
      </c>
      <c r="BJ133" s="57">
        <f t="shared" si="101"/>
        <v>0.15166872085306277</v>
      </c>
      <c r="BK133" s="58">
        <f t="shared" si="102"/>
        <v>8.8137120126356425E-2</v>
      </c>
    </row>
    <row r="134" spans="1:63" ht="17.25" customHeight="1" x14ac:dyDescent="0.3">
      <c r="A134" s="41">
        <v>133</v>
      </c>
      <c r="B134" s="42">
        <v>46261</v>
      </c>
      <c r="C134" s="43" t="str">
        <f t="shared" si="72"/>
        <v>Aug-26</v>
      </c>
      <c r="D134" s="43" t="s">
        <v>68</v>
      </c>
      <c r="E134" s="43" t="s">
        <v>35</v>
      </c>
      <c r="F134" s="43" t="s">
        <v>41</v>
      </c>
      <c r="G134" s="14" t="s">
        <v>241</v>
      </c>
      <c r="H134" s="14" t="s">
        <v>60</v>
      </c>
      <c r="I134" s="14" t="s">
        <v>60</v>
      </c>
      <c r="J134" s="44" t="s">
        <v>60</v>
      </c>
      <c r="K134" s="44">
        <v>2026</v>
      </c>
      <c r="L134" s="44">
        <v>138</v>
      </c>
      <c r="M134" s="45">
        <v>1000</v>
      </c>
      <c r="N134" s="45">
        <v>189</v>
      </c>
      <c r="O134" s="45">
        <v>7.8</v>
      </c>
      <c r="P134" s="46">
        <f t="shared" si="74"/>
        <v>304</v>
      </c>
      <c r="Q134" s="45">
        <v>6.41</v>
      </c>
      <c r="R134" s="46">
        <v>233</v>
      </c>
      <c r="S134" s="46">
        <v>14</v>
      </c>
      <c r="T134" s="46">
        <v>4</v>
      </c>
      <c r="U134" s="46">
        <v>51</v>
      </c>
      <c r="V134" s="46"/>
      <c r="W134" s="46">
        <v>2</v>
      </c>
      <c r="X134" s="46">
        <v>13</v>
      </c>
      <c r="Y134" s="46">
        <v>2</v>
      </c>
      <c r="Z134" s="46">
        <f t="shared" si="94"/>
        <v>42.681056000000005</v>
      </c>
      <c r="AA134" s="46">
        <f t="shared" si="95"/>
        <v>44.268368000000002</v>
      </c>
      <c r="AB134" s="46">
        <f t="shared" si="103"/>
        <v>53.615872000000003</v>
      </c>
      <c r="AC134" s="46">
        <f t="shared" si="71"/>
        <v>233</v>
      </c>
      <c r="AD134" s="46">
        <f>228-36</f>
        <v>192</v>
      </c>
      <c r="AE134" s="46">
        <v>36</v>
      </c>
      <c r="AF134" s="59">
        <f t="shared" si="73"/>
        <v>-5</v>
      </c>
      <c r="AG134" s="46">
        <f t="shared" si="75"/>
        <v>20</v>
      </c>
      <c r="AH134" s="47">
        <f t="shared" si="76"/>
        <v>24.001664595295267</v>
      </c>
      <c r="AI134" s="47">
        <f t="shared" si="77"/>
        <v>18</v>
      </c>
      <c r="AJ134" s="47">
        <f t="shared" si="78"/>
        <v>53</v>
      </c>
      <c r="AK134" s="47">
        <f t="shared" si="79"/>
        <v>242</v>
      </c>
      <c r="AL134" s="48">
        <f t="shared" si="80"/>
        <v>0.24199999999999999</v>
      </c>
      <c r="AM134" s="46">
        <f t="shared" si="81"/>
        <v>42.643171806167402</v>
      </c>
      <c r="AN134" s="46">
        <f t="shared" si="82"/>
        <v>15.789473684210527</v>
      </c>
      <c r="AO134" s="46">
        <f t="shared" si="83"/>
        <v>196.21052631578948</v>
      </c>
      <c r="AP134" s="46">
        <f t="shared" si="84"/>
        <v>59.789473684210527</v>
      </c>
      <c r="AQ134" s="49">
        <f t="shared" si="85"/>
        <v>0.6874945243575814</v>
      </c>
      <c r="AR134" s="50">
        <f t="shared" si="86"/>
        <v>0.31250547564241865</v>
      </c>
      <c r="AS134" s="51">
        <f t="shared" si="87"/>
        <v>0.19621052631578947</v>
      </c>
      <c r="AT134" s="51">
        <f t="shared" si="88"/>
        <v>5.9789473684210524E-2</v>
      </c>
      <c r="AU134" s="51">
        <f t="shared" si="96"/>
        <v>0.25600000000000001</v>
      </c>
      <c r="AV134" s="52">
        <f t="shared" si="89"/>
        <v>192.28631578947369</v>
      </c>
      <c r="AW134" s="52">
        <f t="shared" si="90"/>
        <v>58.59368421052632</v>
      </c>
      <c r="AX134" s="15">
        <f t="shared" si="91"/>
        <v>0.19228631578947369</v>
      </c>
      <c r="AY134" s="15">
        <f t="shared" si="92"/>
        <v>5.8593684210526319E-2</v>
      </c>
      <c r="AZ134" s="15">
        <f t="shared" si="93"/>
        <v>0.25087999999999999</v>
      </c>
      <c r="BA134" s="61">
        <f t="shared" si="97"/>
        <v>13.72</v>
      </c>
      <c r="BB134" s="61">
        <v>6</v>
      </c>
      <c r="BC134" s="61">
        <f t="shared" si="98"/>
        <v>3.92</v>
      </c>
      <c r="BD134" s="61">
        <v>14</v>
      </c>
      <c r="BE134" s="61">
        <f t="shared" si="99"/>
        <v>1.96</v>
      </c>
      <c r="BF134" s="61"/>
      <c r="BG134" s="61">
        <v>0</v>
      </c>
      <c r="BH134" s="61"/>
      <c r="BI134" s="56">
        <f t="shared" si="100"/>
        <v>39.6</v>
      </c>
      <c r="BJ134" s="57">
        <f t="shared" si="101"/>
        <v>0.1609886982681519</v>
      </c>
      <c r="BK134" s="58">
        <f t="shared" si="102"/>
        <v>0.10270833333333333</v>
      </c>
    </row>
    <row r="135" spans="1:63" ht="17.25" customHeight="1" x14ac:dyDescent="0.3">
      <c r="A135" s="41">
        <v>134</v>
      </c>
      <c r="B135" s="42">
        <v>46261</v>
      </c>
      <c r="C135" s="43" t="str">
        <f t="shared" si="72"/>
        <v>Aug-26</v>
      </c>
      <c r="D135" s="43" t="s">
        <v>68</v>
      </c>
      <c r="E135" s="43" t="s">
        <v>35</v>
      </c>
      <c r="F135" s="43" t="s">
        <v>41</v>
      </c>
      <c r="G135" s="14" t="s">
        <v>241</v>
      </c>
      <c r="H135" s="14" t="s">
        <v>60</v>
      </c>
      <c r="I135" s="14" t="s">
        <v>60</v>
      </c>
      <c r="J135" s="44" t="s">
        <v>60</v>
      </c>
      <c r="K135" s="44">
        <v>2026</v>
      </c>
      <c r="L135" s="44">
        <v>138</v>
      </c>
      <c r="M135" s="45">
        <v>1000</v>
      </c>
      <c r="N135" s="45">
        <v>191</v>
      </c>
      <c r="O135" s="45">
        <v>7.8</v>
      </c>
      <c r="P135" s="46">
        <f t="shared" si="74"/>
        <v>297</v>
      </c>
      <c r="Q135" s="45">
        <v>6.41</v>
      </c>
      <c r="R135" s="46">
        <v>238</v>
      </c>
      <c r="S135" s="46">
        <v>15</v>
      </c>
      <c r="T135" s="46">
        <v>4</v>
      </c>
      <c r="U135" s="46">
        <v>40</v>
      </c>
      <c r="V135" s="46"/>
      <c r="W135" s="46">
        <v>0</v>
      </c>
      <c r="X135" s="46">
        <v>14</v>
      </c>
      <c r="Y135" s="46">
        <v>2</v>
      </c>
      <c r="Z135" s="46">
        <f t="shared" si="94"/>
        <v>43.65108</v>
      </c>
      <c r="AA135" s="46">
        <f t="shared" si="95"/>
        <v>45.326576000000003</v>
      </c>
      <c r="AB135" s="46">
        <f t="shared" si="103"/>
        <v>52.381295999999999</v>
      </c>
      <c r="AC135" s="46">
        <f t="shared" si="71"/>
        <v>238</v>
      </c>
      <c r="AD135" s="46">
        <f>233-37</f>
        <v>196</v>
      </c>
      <c r="AE135" s="46">
        <v>37</v>
      </c>
      <c r="AF135" s="59">
        <f t="shared" si="73"/>
        <v>-5</v>
      </c>
      <c r="AG135" s="46">
        <f t="shared" si="75"/>
        <v>15</v>
      </c>
      <c r="AH135" s="47">
        <f t="shared" si="76"/>
        <v>18.015295460475723</v>
      </c>
      <c r="AI135" s="47">
        <f t="shared" si="77"/>
        <v>19</v>
      </c>
      <c r="AJ135" s="47">
        <f t="shared" si="78"/>
        <v>40</v>
      </c>
      <c r="AK135" s="47">
        <f t="shared" si="79"/>
        <v>247.5</v>
      </c>
      <c r="AL135" s="48">
        <f t="shared" si="80"/>
        <v>0.2475</v>
      </c>
      <c r="AM135" s="46">
        <f t="shared" si="81"/>
        <v>43.612334801762117</v>
      </c>
      <c r="AN135" s="46">
        <f t="shared" si="82"/>
        <v>15.879828326180258</v>
      </c>
      <c r="AO135" s="46">
        <f t="shared" si="83"/>
        <v>200.20600858369099</v>
      </c>
      <c r="AP135" s="46">
        <f t="shared" si="84"/>
        <v>49.630901287553648</v>
      </c>
      <c r="AQ135" s="49">
        <f t="shared" si="85"/>
        <v>0.74068924087381915</v>
      </c>
      <c r="AR135" s="50">
        <f t="shared" si="86"/>
        <v>0.2593107591261809</v>
      </c>
      <c r="AS135" s="51">
        <f t="shared" si="87"/>
        <v>0.20020600858369098</v>
      </c>
      <c r="AT135" s="51">
        <f t="shared" si="88"/>
        <v>4.9630901287553646E-2</v>
      </c>
      <c r="AU135" s="51">
        <f t="shared" si="96"/>
        <v>0.24983690987124463</v>
      </c>
      <c r="AV135" s="52">
        <f t="shared" si="89"/>
        <v>196.20188841201718</v>
      </c>
      <c r="AW135" s="52">
        <f t="shared" si="90"/>
        <v>48.63828326180257</v>
      </c>
      <c r="AX135" s="15">
        <f t="shared" si="91"/>
        <v>0.19620188841201719</v>
      </c>
      <c r="AY135" s="15">
        <f t="shared" si="92"/>
        <v>4.863828326180257E-2</v>
      </c>
      <c r="AZ135" s="15">
        <f t="shared" si="93"/>
        <v>0.24484017167381977</v>
      </c>
      <c r="BA135" s="61">
        <f t="shared" si="97"/>
        <v>14.700000000000001</v>
      </c>
      <c r="BB135" s="61">
        <v>5</v>
      </c>
      <c r="BC135" s="61">
        <f t="shared" si="98"/>
        <v>3.92</v>
      </c>
      <c r="BD135" s="61">
        <v>10</v>
      </c>
      <c r="BE135" s="61">
        <f t="shared" si="99"/>
        <v>0</v>
      </c>
      <c r="BF135" s="61"/>
      <c r="BG135" s="61">
        <v>0</v>
      </c>
      <c r="BH135" s="61"/>
      <c r="BI135" s="56">
        <f t="shared" si="100"/>
        <v>33.620000000000005</v>
      </c>
      <c r="BJ135" s="57">
        <f t="shared" si="101"/>
        <v>0.13348685777813071</v>
      </c>
      <c r="BK135" s="58">
        <f t="shared" si="102"/>
        <v>0.10051020408163266</v>
      </c>
    </row>
    <row r="136" spans="1:63" ht="17.25" customHeight="1" x14ac:dyDescent="0.3">
      <c r="A136" s="41">
        <v>135</v>
      </c>
      <c r="B136" s="42">
        <v>46262</v>
      </c>
      <c r="C136" s="43" t="str">
        <f t="shared" si="72"/>
        <v>Aug-26</v>
      </c>
      <c r="D136" s="43" t="s">
        <v>68</v>
      </c>
      <c r="E136" s="43" t="s">
        <v>35</v>
      </c>
      <c r="F136" s="43" t="s">
        <v>41</v>
      </c>
      <c r="G136" s="14" t="s">
        <v>233</v>
      </c>
      <c r="H136" s="14" t="s">
        <v>60</v>
      </c>
      <c r="I136" s="14" t="s">
        <v>60</v>
      </c>
      <c r="J136" s="44" t="s">
        <v>60</v>
      </c>
      <c r="K136" s="44">
        <v>2026</v>
      </c>
      <c r="L136" s="44">
        <v>140</v>
      </c>
      <c r="M136" s="45">
        <v>1000</v>
      </c>
      <c r="N136" s="45">
        <v>183</v>
      </c>
      <c r="O136" s="45">
        <v>8</v>
      </c>
      <c r="P136" s="46">
        <f t="shared" si="74"/>
        <v>292</v>
      </c>
      <c r="Q136" s="45">
        <v>7.57</v>
      </c>
      <c r="R136" s="46">
        <v>236</v>
      </c>
      <c r="S136" s="46">
        <v>20</v>
      </c>
      <c r="T136" s="46">
        <v>5</v>
      </c>
      <c r="U136" s="46">
        <v>31</v>
      </c>
      <c r="V136" s="46"/>
      <c r="W136" s="46"/>
      <c r="X136" s="46">
        <v>15</v>
      </c>
      <c r="Y136" s="46">
        <v>2</v>
      </c>
      <c r="Z136" s="46">
        <f t="shared" si="94"/>
        <v>43.827448000000004</v>
      </c>
      <c r="AA136" s="46">
        <f t="shared" si="95"/>
        <v>46.032048000000003</v>
      </c>
      <c r="AB136" s="46">
        <f t="shared" si="103"/>
        <v>51.499456000000002</v>
      </c>
      <c r="AC136" s="46">
        <f t="shared" si="71"/>
        <v>236</v>
      </c>
      <c r="AD136" s="46">
        <f>230-37</f>
        <v>193</v>
      </c>
      <c r="AE136" s="46">
        <v>37</v>
      </c>
      <c r="AF136" s="59">
        <f t="shared" si="73"/>
        <v>-6</v>
      </c>
      <c r="AG136" s="46">
        <f t="shared" si="75"/>
        <v>15</v>
      </c>
      <c r="AH136" s="47">
        <f t="shared" si="76"/>
        <v>18.273993480377626</v>
      </c>
      <c r="AI136" s="47">
        <f t="shared" si="77"/>
        <v>25</v>
      </c>
      <c r="AJ136" s="47">
        <f t="shared" si="78"/>
        <v>31</v>
      </c>
      <c r="AK136" s="47">
        <f t="shared" si="79"/>
        <v>248.5</v>
      </c>
      <c r="AL136" s="48">
        <f t="shared" si="80"/>
        <v>0.2485</v>
      </c>
      <c r="AM136" s="46">
        <f t="shared" si="81"/>
        <v>43.78854625550661</v>
      </c>
      <c r="AN136" s="46">
        <f t="shared" si="82"/>
        <v>16.086956521739133</v>
      </c>
      <c r="AO136" s="46">
        <f t="shared" si="83"/>
        <v>198.03478260869565</v>
      </c>
      <c r="AP136" s="46">
        <f t="shared" si="84"/>
        <v>46.991304347826087</v>
      </c>
      <c r="AQ136" s="49">
        <f t="shared" si="85"/>
        <v>0.74563700862884374</v>
      </c>
      <c r="AR136" s="50">
        <f t="shared" si="86"/>
        <v>0.25436299137115626</v>
      </c>
      <c r="AS136" s="51">
        <f t="shared" si="87"/>
        <v>0.19803478260869564</v>
      </c>
      <c r="AT136" s="51">
        <f t="shared" si="88"/>
        <v>4.6991304347826085E-2</v>
      </c>
      <c r="AU136" s="51">
        <f t="shared" si="96"/>
        <v>0.24502608695652173</v>
      </c>
      <c r="AV136" s="52">
        <f t="shared" si="89"/>
        <v>191.66863828818575</v>
      </c>
      <c r="AW136" s="52">
        <f t="shared" si="90"/>
        <v>45.480693831094932</v>
      </c>
      <c r="AX136" s="15">
        <f t="shared" si="91"/>
        <v>0.19166863828818576</v>
      </c>
      <c r="AY136" s="15">
        <f t="shared" si="92"/>
        <v>4.5480693831094932E-2</v>
      </c>
      <c r="AZ136" s="15">
        <f t="shared" si="93"/>
        <v>0.23714933211928069</v>
      </c>
      <c r="BA136" s="61">
        <f t="shared" si="97"/>
        <v>19.357068062827228</v>
      </c>
      <c r="BB136" s="61">
        <v>3</v>
      </c>
      <c r="BC136" s="61">
        <f t="shared" si="98"/>
        <v>4.839267015706807</v>
      </c>
      <c r="BD136" s="61">
        <v>12</v>
      </c>
      <c r="BE136" s="61">
        <f t="shared" si="99"/>
        <v>0</v>
      </c>
      <c r="BF136" s="61"/>
      <c r="BG136" s="61">
        <v>0</v>
      </c>
      <c r="BH136" s="61"/>
      <c r="BI136" s="56">
        <f t="shared" si="100"/>
        <v>39.196335078534034</v>
      </c>
      <c r="BJ136" s="57">
        <f t="shared" si="101"/>
        <v>0.15516557419656501</v>
      </c>
      <c r="BK136" s="58">
        <f t="shared" si="102"/>
        <v>0.11583973089547786</v>
      </c>
    </row>
    <row r="137" spans="1:63" ht="17.25" customHeight="1" x14ac:dyDescent="0.3">
      <c r="A137" s="41">
        <v>136</v>
      </c>
      <c r="B137" s="42">
        <v>46262</v>
      </c>
      <c r="C137" s="43" t="str">
        <f t="shared" si="72"/>
        <v>Aug-26</v>
      </c>
      <c r="D137" s="43" t="s">
        <v>68</v>
      </c>
      <c r="E137" s="43" t="s">
        <v>35</v>
      </c>
      <c r="F137" s="43" t="s">
        <v>41</v>
      </c>
      <c r="G137" s="14" t="s">
        <v>233</v>
      </c>
      <c r="H137" s="14" t="s">
        <v>60</v>
      </c>
      <c r="I137" s="14" t="s">
        <v>60</v>
      </c>
      <c r="J137" s="44" t="s">
        <v>60</v>
      </c>
      <c r="K137" s="44">
        <v>2026</v>
      </c>
      <c r="L137" s="44">
        <v>140</v>
      </c>
      <c r="M137" s="45">
        <v>1000</v>
      </c>
      <c r="N137" s="45">
        <v>186</v>
      </c>
      <c r="O137" s="45">
        <v>8</v>
      </c>
      <c r="P137" s="46">
        <f t="shared" si="74"/>
        <v>292</v>
      </c>
      <c r="Q137" s="45">
        <v>7.57</v>
      </c>
      <c r="R137" s="46">
        <v>243</v>
      </c>
      <c r="S137" s="46">
        <v>15</v>
      </c>
      <c r="T137" s="46">
        <v>7</v>
      </c>
      <c r="U137" s="46">
        <v>25</v>
      </c>
      <c r="V137" s="46"/>
      <c r="W137" s="46">
        <v>2</v>
      </c>
      <c r="X137" s="46">
        <v>22</v>
      </c>
      <c r="Y137" s="46">
        <v>3</v>
      </c>
      <c r="Z137" s="46">
        <f t="shared" si="94"/>
        <v>44.797471999999999</v>
      </c>
      <c r="AA137" s="46">
        <f t="shared" si="95"/>
        <v>46.737520000000004</v>
      </c>
      <c r="AB137" s="46">
        <f t="shared" si="103"/>
        <v>51.499456000000002</v>
      </c>
      <c r="AC137" s="46">
        <f t="shared" si="71"/>
        <v>243</v>
      </c>
      <c r="AD137" s="46">
        <f>236-38</f>
        <v>198</v>
      </c>
      <c r="AE137" s="46">
        <v>38</v>
      </c>
      <c r="AF137" s="59">
        <f t="shared" si="73"/>
        <v>-7</v>
      </c>
      <c r="AG137" s="46">
        <f t="shared" si="75"/>
        <v>13</v>
      </c>
      <c r="AH137" s="47">
        <f t="shared" si="76"/>
        <v>15.839471739493193</v>
      </c>
      <c r="AI137" s="47">
        <f t="shared" si="77"/>
        <v>22</v>
      </c>
      <c r="AJ137" s="47">
        <f t="shared" si="78"/>
        <v>27</v>
      </c>
      <c r="AK137" s="47">
        <f t="shared" si="79"/>
        <v>254</v>
      </c>
      <c r="AL137" s="48">
        <f t="shared" si="80"/>
        <v>0.254</v>
      </c>
      <c r="AM137" s="46">
        <f t="shared" si="81"/>
        <v>44.757709251101325</v>
      </c>
      <c r="AN137" s="46">
        <f t="shared" si="82"/>
        <v>16.101694915254239</v>
      </c>
      <c r="AO137" s="46">
        <f t="shared" si="83"/>
        <v>203.87288135593221</v>
      </c>
      <c r="AP137" s="46">
        <f t="shared" si="84"/>
        <v>41.110169491525426</v>
      </c>
      <c r="AQ137" s="49">
        <f t="shared" si="85"/>
        <v>0.77794701459077664</v>
      </c>
      <c r="AR137" s="50">
        <f t="shared" si="86"/>
        <v>0.22205298540922325</v>
      </c>
      <c r="AS137" s="51">
        <f t="shared" si="87"/>
        <v>0.20387288135593221</v>
      </c>
      <c r="AT137" s="51">
        <f t="shared" si="88"/>
        <v>4.1110169491525426E-2</v>
      </c>
      <c r="AU137" s="51">
        <f t="shared" si="96"/>
        <v>0.24498305084745764</v>
      </c>
      <c r="AV137" s="52">
        <f t="shared" si="89"/>
        <v>197.319062028574</v>
      </c>
      <c r="AW137" s="52">
        <f t="shared" si="90"/>
        <v>39.788617446091052</v>
      </c>
      <c r="AX137" s="15">
        <f t="shared" si="91"/>
        <v>0.19731906202857399</v>
      </c>
      <c r="AY137" s="15">
        <f t="shared" si="92"/>
        <v>3.9788617446091051E-2</v>
      </c>
      <c r="AZ137" s="15">
        <f t="shared" si="93"/>
        <v>0.23710767947466505</v>
      </c>
      <c r="BA137" s="61">
        <f t="shared" si="97"/>
        <v>14.51780104712042</v>
      </c>
      <c r="BB137" s="61">
        <v>4</v>
      </c>
      <c r="BC137" s="61">
        <f t="shared" si="98"/>
        <v>6.774973821989529</v>
      </c>
      <c r="BD137" s="61">
        <v>9</v>
      </c>
      <c r="BE137" s="61">
        <f t="shared" si="99"/>
        <v>1.9357068062827227</v>
      </c>
      <c r="BF137" s="61"/>
      <c r="BG137" s="61">
        <v>0</v>
      </c>
      <c r="BH137" s="61"/>
      <c r="BI137" s="56">
        <f t="shared" si="100"/>
        <v>36.228481675392672</v>
      </c>
      <c r="BJ137" s="57">
        <f t="shared" si="101"/>
        <v>0.14125202345885413</v>
      </c>
      <c r="BK137" s="58">
        <f t="shared" si="102"/>
        <v>9.3524247712729408E-2</v>
      </c>
    </row>
    <row r="138" spans="1:63" ht="17.25" customHeight="1" x14ac:dyDescent="0.3">
      <c r="A138" s="41">
        <v>137</v>
      </c>
      <c r="B138" s="42">
        <v>46263</v>
      </c>
      <c r="C138" s="43" t="str">
        <f t="shared" si="72"/>
        <v>Aug-26</v>
      </c>
      <c r="D138" s="43" t="s">
        <v>68</v>
      </c>
      <c r="E138" s="43" t="s">
        <v>35</v>
      </c>
      <c r="F138" s="43" t="s">
        <v>41</v>
      </c>
      <c r="G138" s="14" t="s">
        <v>233</v>
      </c>
      <c r="H138" s="14" t="s">
        <v>60</v>
      </c>
      <c r="I138" s="14" t="s">
        <v>60</v>
      </c>
      <c r="J138" s="44" t="s">
        <v>60</v>
      </c>
      <c r="K138" s="44">
        <v>2026</v>
      </c>
      <c r="L138" s="44">
        <v>141</v>
      </c>
      <c r="M138" s="45">
        <v>1000</v>
      </c>
      <c r="N138" s="45">
        <v>180</v>
      </c>
      <c r="O138" s="45">
        <v>8.3000000000000007</v>
      </c>
      <c r="P138" s="46">
        <f t="shared" si="74"/>
        <v>288</v>
      </c>
      <c r="Q138" s="45">
        <v>7.2</v>
      </c>
      <c r="R138" s="46">
        <v>240</v>
      </c>
      <c r="S138" s="46">
        <v>10</v>
      </c>
      <c r="T138" s="46">
        <v>4</v>
      </c>
      <c r="U138" s="46">
        <v>34</v>
      </c>
      <c r="V138" s="46"/>
      <c r="W138" s="46"/>
      <c r="X138" s="46">
        <v>9</v>
      </c>
      <c r="Y138" s="46">
        <v>4</v>
      </c>
      <c r="Z138" s="46">
        <f t="shared" si="94"/>
        <v>43.562896000000002</v>
      </c>
      <c r="AA138" s="46">
        <f t="shared" si="95"/>
        <v>44.797471999999999</v>
      </c>
      <c r="AB138" s="46">
        <f t="shared" si="103"/>
        <v>50.793984000000002</v>
      </c>
      <c r="AC138" s="46">
        <f t="shared" si="71"/>
        <v>240</v>
      </c>
      <c r="AD138" s="46">
        <f>234-36</f>
        <v>198</v>
      </c>
      <c r="AE138" s="46">
        <v>36</v>
      </c>
      <c r="AF138" s="59">
        <f t="shared" si="73"/>
        <v>-6</v>
      </c>
      <c r="AG138" s="46">
        <f t="shared" si="75"/>
        <v>8</v>
      </c>
      <c r="AH138" s="47">
        <f t="shared" si="76"/>
        <v>9.6485411140583572</v>
      </c>
      <c r="AI138" s="47">
        <f t="shared" si="77"/>
        <v>14</v>
      </c>
      <c r="AJ138" s="47">
        <f t="shared" si="78"/>
        <v>34</v>
      </c>
      <c r="AK138" s="47">
        <f t="shared" si="79"/>
        <v>247</v>
      </c>
      <c r="AL138" s="48">
        <f t="shared" si="80"/>
        <v>0.247</v>
      </c>
      <c r="AM138" s="46">
        <f t="shared" si="81"/>
        <v>43.524229074889867</v>
      </c>
      <c r="AN138" s="46">
        <f t="shared" si="82"/>
        <v>15.384615384615385</v>
      </c>
      <c r="AO138" s="46">
        <f t="shared" si="83"/>
        <v>203.07692307692307</v>
      </c>
      <c r="AP138" s="46">
        <f t="shared" si="84"/>
        <v>40.615384615384613</v>
      </c>
      <c r="AQ138" s="49">
        <f t="shared" si="85"/>
        <v>0.79983145446507509</v>
      </c>
      <c r="AR138" s="50">
        <f t="shared" si="86"/>
        <v>0.20016854553492486</v>
      </c>
      <c r="AS138" s="51">
        <f t="shared" si="87"/>
        <v>0.20307692307692307</v>
      </c>
      <c r="AT138" s="51">
        <f t="shared" si="88"/>
        <v>4.0615384615384616E-2</v>
      </c>
      <c r="AU138" s="51">
        <f t="shared" si="96"/>
        <v>0.24369230769230768</v>
      </c>
      <c r="AV138" s="52">
        <f t="shared" si="89"/>
        <v>197.33548127265405</v>
      </c>
      <c r="AW138" s="52">
        <f t="shared" si="90"/>
        <v>39.467096254530809</v>
      </c>
      <c r="AX138" s="15">
        <f t="shared" si="91"/>
        <v>0.19733548127265405</v>
      </c>
      <c r="AY138" s="15">
        <f t="shared" si="92"/>
        <v>3.9467096254530806E-2</v>
      </c>
      <c r="AZ138" s="15">
        <f t="shared" si="93"/>
        <v>0.23680257752718487</v>
      </c>
      <c r="BA138" s="61">
        <f t="shared" si="97"/>
        <v>9.7172774869109944</v>
      </c>
      <c r="BB138" s="61">
        <v>2</v>
      </c>
      <c r="BC138" s="61">
        <f t="shared" si="98"/>
        <v>3.8869109947643978</v>
      </c>
      <c r="BD138" s="61">
        <v>6</v>
      </c>
      <c r="BE138" s="61">
        <f t="shared" si="99"/>
        <v>0</v>
      </c>
      <c r="BF138" s="61"/>
      <c r="BG138" s="61">
        <v>0</v>
      </c>
      <c r="BH138" s="61"/>
      <c r="BI138" s="56">
        <f t="shared" si="100"/>
        <v>21.604188481675394</v>
      </c>
      <c r="BJ138" s="57">
        <f t="shared" si="101"/>
        <v>8.7530545750746674E-2</v>
      </c>
      <c r="BK138" s="58">
        <f t="shared" si="102"/>
        <v>5.9178169125813106E-2</v>
      </c>
    </row>
    <row r="139" spans="1:63" ht="17.25" customHeight="1" x14ac:dyDescent="0.3">
      <c r="A139" s="41">
        <v>138</v>
      </c>
      <c r="B139" s="42">
        <v>46263</v>
      </c>
      <c r="C139" s="43" t="str">
        <f t="shared" si="72"/>
        <v>Aug-26</v>
      </c>
      <c r="D139" s="43" t="s">
        <v>68</v>
      </c>
      <c r="E139" s="43" t="s">
        <v>35</v>
      </c>
      <c r="F139" s="43" t="s">
        <v>41</v>
      </c>
      <c r="G139" s="14" t="s">
        <v>233</v>
      </c>
      <c r="H139" s="14" t="s">
        <v>60</v>
      </c>
      <c r="I139" s="14" t="s">
        <v>60</v>
      </c>
      <c r="J139" s="44" t="s">
        <v>60</v>
      </c>
      <c r="K139" s="44">
        <v>2026</v>
      </c>
      <c r="L139" s="44">
        <v>141</v>
      </c>
      <c r="M139" s="45">
        <v>1000</v>
      </c>
      <c r="N139" s="45">
        <v>180</v>
      </c>
      <c r="O139" s="45">
        <v>8.3000000000000007</v>
      </c>
      <c r="P139" s="46">
        <f t="shared" si="74"/>
        <v>301</v>
      </c>
      <c r="Q139" s="45">
        <v>7.2</v>
      </c>
      <c r="R139" s="46">
        <v>234</v>
      </c>
      <c r="S139" s="46">
        <v>13</v>
      </c>
      <c r="T139" s="46">
        <v>8</v>
      </c>
      <c r="U139" s="46">
        <v>46</v>
      </c>
      <c r="V139" s="46"/>
      <c r="W139" s="46"/>
      <c r="X139" s="46">
        <v>14</v>
      </c>
      <c r="Y139" s="46">
        <v>4</v>
      </c>
      <c r="Z139" s="46">
        <f t="shared" si="94"/>
        <v>43.121976000000004</v>
      </c>
      <c r="AA139" s="46">
        <f t="shared" si="95"/>
        <v>44.973840000000003</v>
      </c>
      <c r="AB139" s="46">
        <f t="shared" si="103"/>
        <v>53.086768000000006</v>
      </c>
      <c r="AC139" s="46">
        <f t="shared" si="71"/>
        <v>234</v>
      </c>
      <c r="AD139" s="46">
        <f>227-34</f>
        <v>193</v>
      </c>
      <c r="AE139" s="46">
        <v>34</v>
      </c>
      <c r="AF139" s="59">
        <f t="shared" si="73"/>
        <v>-7</v>
      </c>
      <c r="AG139" s="46">
        <f t="shared" si="75"/>
        <v>15</v>
      </c>
      <c r="AH139" s="47">
        <f t="shared" si="76"/>
        <v>18.027257709251103</v>
      </c>
      <c r="AI139" s="47">
        <f t="shared" si="77"/>
        <v>21</v>
      </c>
      <c r="AJ139" s="47">
        <f t="shared" si="78"/>
        <v>46</v>
      </c>
      <c r="AK139" s="47">
        <f t="shared" si="79"/>
        <v>244.5</v>
      </c>
      <c r="AL139" s="48">
        <f t="shared" si="80"/>
        <v>0.2445</v>
      </c>
      <c r="AM139" s="46">
        <f t="shared" si="81"/>
        <v>43.083700440528638</v>
      </c>
      <c r="AN139" s="46">
        <f t="shared" si="82"/>
        <v>14.977973568281937</v>
      </c>
      <c r="AO139" s="46">
        <f t="shared" si="83"/>
        <v>198.95154185022025</v>
      </c>
      <c r="AP139" s="46">
        <f t="shared" si="84"/>
        <v>56.964757709251096</v>
      </c>
      <c r="AQ139" s="49">
        <f t="shared" si="85"/>
        <v>0.7175174162483352</v>
      </c>
      <c r="AR139" s="50">
        <f t="shared" si="86"/>
        <v>0.2824825837516648</v>
      </c>
      <c r="AS139" s="51">
        <f t="shared" si="87"/>
        <v>0.19895154185022026</v>
      </c>
      <c r="AT139" s="51">
        <f t="shared" si="88"/>
        <v>5.6964757709251093E-2</v>
      </c>
      <c r="AU139" s="51">
        <f t="shared" si="96"/>
        <v>0.25591629955947137</v>
      </c>
      <c r="AV139" s="52">
        <f t="shared" si="89"/>
        <v>193.32673386073759</v>
      </c>
      <c r="AW139" s="52">
        <f t="shared" si="90"/>
        <v>55.354235763544523</v>
      </c>
      <c r="AX139" s="15">
        <f t="shared" si="91"/>
        <v>0.19332673386073759</v>
      </c>
      <c r="AY139" s="15">
        <f t="shared" si="92"/>
        <v>5.5354235763544521E-2</v>
      </c>
      <c r="AZ139" s="15">
        <f t="shared" si="93"/>
        <v>0.2486809696242821</v>
      </c>
      <c r="BA139" s="61">
        <f t="shared" si="97"/>
        <v>12.632460732984292</v>
      </c>
      <c r="BB139" s="61">
        <v>3</v>
      </c>
      <c r="BC139" s="61">
        <f t="shared" si="98"/>
        <v>7.7738219895287957</v>
      </c>
      <c r="BD139" s="61">
        <v>12</v>
      </c>
      <c r="BE139" s="61">
        <f t="shared" si="99"/>
        <v>0</v>
      </c>
      <c r="BF139" s="61"/>
      <c r="BG139" s="61">
        <v>0</v>
      </c>
      <c r="BH139" s="61"/>
      <c r="BI139" s="56">
        <f t="shared" si="100"/>
        <v>35.406282722513083</v>
      </c>
      <c r="BJ139" s="57">
        <f t="shared" si="101"/>
        <v>0.14288793103448275</v>
      </c>
      <c r="BK139" s="58">
        <f t="shared" si="102"/>
        <v>8.0997205870384933E-2</v>
      </c>
    </row>
    <row r="140" spans="1:63" ht="17.25" customHeight="1" x14ac:dyDescent="0.3">
      <c r="A140" s="41">
        <v>139</v>
      </c>
      <c r="B140" s="42">
        <v>46265</v>
      </c>
      <c r="C140" s="43" t="str">
        <f t="shared" si="72"/>
        <v>Aug-26</v>
      </c>
      <c r="D140" s="43" t="s">
        <v>68</v>
      </c>
      <c r="E140" s="43" t="s">
        <v>35</v>
      </c>
      <c r="F140" s="43" t="s">
        <v>41</v>
      </c>
      <c r="G140" s="14" t="s">
        <v>242</v>
      </c>
      <c r="H140" s="14" t="s">
        <v>60</v>
      </c>
      <c r="I140" s="14" t="s">
        <v>60</v>
      </c>
      <c r="J140" s="44" t="s">
        <v>60</v>
      </c>
      <c r="K140" s="44">
        <v>2026</v>
      </c>
      <c r="L140" s="44">
        <v>142</v>
      </c>
      <c r="M140" s="45">
        <v>1000</v>
      </c>
      <c r="N140" s="45">
        <v>180</v>
      </c>
      <c r="O140" s="45">
        <v>7.8</v>
      </c>
      <c r="P140" s="46">
        <f t="shared" si="74"/>
        <v>287</v>
      </c>
      <c r="Q140" s="45">
        <v>7.41</v>
      </c>
      <c r="R140" s="46">
        <v>239</v>
      </c>
      <c r="S140" s="46">
        <v>15</v>
      </c>
      <c r="T140" s="46">
        <v>6</v>
      </c>
      <c r="U140" s="46">
        <v>27</v>
      </c>
      <c r="V140" s="46"/>
      <c r="W140" s="46"/>
      <c r="X140" s="46">
        <v>22</v>
      </c>
      <c r="Y140" s="46">
        <v>6</v>
      </c>
      <c r="Z140" s="46">
        <f t="shared" si="94"/>
        <v>44.003816</v>
      </c>
      <c r="AA140" s="46">
        <f t="shared" si="95"/>
        <v>45.85568</v>
      </c>
      <c r="AB140" s="46">
        <f t="shared" si="103"/>
        <v>50.617616000000005</v>
      </c>
      <c r="AC140" s="46">
        <f t="shared" si="71"/>
        <v>239</v>
      </c>
      <c r="AD140" s="46">
        <f>232-35</f>
        <v>197</v>
      </c>
      <c r="AE140" s="46">
        <v>35</v>
      </c>
      <c r="AF140" s="59">
        <f t="shared" si="73"/>
        <v>-7</v>
      </c>
      <c r="AG140" s="46">
        <f t="shared" si="75"/>
        <v>14</v>
      </c>
      <c r="AH140" s="47">
        <f t="shared" si="76"/>
        <v>16.879476073605922</v>
      </c>
      <c r="AI140" s="47">
        <f t="shared" si="77"/>
        <v>21</v>
      </c>
      <c r="AJ140" s="47">
        <f t="shared" si="78"/>
        <v>27</v>
      </c>
      <c r="AK140" s="47">
        <f t="shared" si="79"/>
        <v>249.5</v>
      </c>
      <c r="AL140" s="48">
        <f t="shared" si="80"/>
        <v>0.2495</v>
      </c>
      <c r="AM140" s="46">
        <f t="shared" si="81"/>
        <v>43.964757709251103</v>
      </c>
      <c r="AN140" s="46">
        <f t="shared" si="82"/>
        <v>15.086206896551726</v>
      </c>
      <c r="AO140" s="46">
        <f t="shared" si="83"/>
        <v>202.94396551724137</v>
      </c>
      <c r="AP140" s="46">
        <f t="shared" si="84"/>
        <v>40.758620689655167</v>
      </c>
      <c r="AQ140" s="49">
        <f t="shared" si="85"/>
        <v>0.77393910775747066</v>
      </c>
      <c r="AR140" s="50">
        <f t="shared" si="86"/>
        <v>0.22606089224252937</v>
      </c>
      <c r="AS140" s="51">
        <f t="shared" si="87"/>
        <v>0.20294396551724136</v>
      </c>
      <c r="AT140" s="51">
        <f t="shared" si="88"/>
        <v>4.0758620689655169E-2</v>
      </c>
      <c r="AU140" s="51">
        <f t="shared" si="96"/>
        <v>0.24370258620689653</v>
      </c>
      <c r="AV140" s="52">
        <f t="shared" si="89"/>
        <v>196.76001850514533</v>
      </c>
      <c r="AW140" s="52">
        <f t="shared" si="90"/>
        <v>39.516656436179808</v>
      </c>
      <c r="AX140" s="15">
        <f t="shared" si="91"/>
        <v>0.19676001850514532</v>
      </c>
      <c r="AY140" s="15">
        <f t="shared" si="92"/>
        <v>3.9516656436179805E-2</v>
      </c>
      <c r="AZ140" s="15">
        <f t="shared" si="93"/>
        <v>0.23627667494132512</v>
      </c>
      <c r="BA140" s="61">
        <f t="shared" si="97"/>
        <v>14.542931937172776</v>
      </c>
      <c r="BB140" s="61">
        <v>4</v>
      </c>
      <c r="BC140" s="61">
        <f t="shared" si="98"/>
        <v>5.8171727748691096</v>
      </c>
      <c r="BD140" s="61">
        <v>10</v>
      </c>
      <c r="BE140" s="61">
        <f t="shared" si="99"/>
        <v>0</v>
      </c>
      <c r="BF140" s="61"/>
      <c r="BG140" s="61">
        <v>0</v>
      </c>
      <c r="BH140" s="61"/>
      <c r="BI140" s="56">
        <f t="shared" si="100"/>
        <v>34.360104712041888</v>
      </c>
      <c r="BJ140" s="57">
        <f t="shared" si="101"/>
        <v>0.13630770892354216</v>
      </c>
      <c r="BK140" s="58">
        <f t="shared" si="102"/>
        <v>9.412655805671459E-2</v>
      </c>
    </row>
    <row r="141" spans="1:63" ht="17.25" customHeight="1" x14ac:dyDescent="0.3">
      <c r="A141" s="41">
        <v>140</v>
      </c>
      <c r="B141" s="42">
        <v>46265</v>
      </c>
      <c r="C141" s="43" t="str">
        <f t="shared" si="72"/>
        <v>Aug-26</v>
      </c>
      <c r="D141" s="43" t="s">
        <v>68</v>
      </c>
      <c r="E141" s="43" t="s">
        <v>35</v>
      </c>
      <c r="F141" s="43" t="s">
        <v>41</v>
      </c>
      <c r="G141" s="14" t="s">
        <v>242</v>
      </c>
      <c r="H141" s="14" t="s">
        <v>60</v>
      </c>
      <c r="I141" s="14" t="s">
        <v>60</v>
      </c>
      <c r="J141" s="44" t="s">
        <v>60</v>
      </c>
      <c r="K141" s="44">
        <v>2026</v>
      </c>
      <c r="L141" s="44">
        <v>142</v>
      </c>
      <c r="M141" s="45">
        <v>1000</v>
      </c>
      <c r="N141" s="45">
        <v>184</v>
      </c>
      <c r="O141" s="45">
        <v>7.8</v>
      </c>
      <c r="P141" s="46">
        <f t="shared" si="74"/>
        <v>282</v>
      </c>
      <c r="Q141" s="45">
        <v>7.41</v>
      </c>
      <c r="R141" s="46">
        <v>229</v>
      </c>
      <c r="S141" s="46">
        <v>12</v>
      </c>
      <c r="T141" s="46">
        <v>8</v>
      </c>
      <c r="U141" s="46">
        <v>33</v>
      </c>
      <c r="V141" s="46"/>
      <c r="W141" s="46"/>
      <c r="X141" s="46">
        <v>19</v>
      </c>
      <c r="Y141" s="46">
        <v>5</v>
      </c>
      <c r="Z141" s="46">
        <f t="shared" si="94"/>
        <v>42.151952000000001</v>
      </c>
      <c r="AA141" s="46">
        <f t="shared" si="95"/>
        <v>43.915632000000002</v>
      </c>
      <c r="AB141" s="46">
        <f t="shared" si="103"/>
        <v>49.735776000000008</v>
      </c>
      <c r="AC141" s="46">
        <f t="shared" si="71"/>
        <v>229</v>
      </c>
      <c r="AD141" s="46">
        <f>223-33</f>
        <v>190</v>
      </c>
      <c r="AE141" s="46">
        <v>33</v>
      </c>
      <c r="AF141" s="59">
        <f t="shared" si="73"/>
        <v>-6</v>
      </c>
      <c r="AG141" s="46">
        <f t="shared" si="75"/>
        <v>12</v>
      </c>
      <c r="AH141" s="47">
        <f t="shared" si="76"/>
        <v>14.431916201276954</v>
      </c>
      <c r="AI141" s="47">
        <f t="shared" si="77"/>
        <v>20</v>
      </c>
      <c r="AJ141" s="47">
        <f t="shared" si="78"/>
        <v>33</v>
      </c>
      <c r="AK141" s="47">
        <f t="shared" si="79"/>
        <v>239</v>
      </c>
      <c r="AL141" s="48">
        <f t="shared" si="80"/>
        <v>0.23899999999999999</v>
      </c>
      <c r="AM141" s="46">
        <f t="shared" si="81"/>
        <v>42.114537444933923</v>
      </c>
      <c r="AN141" s="46">
        <f t="shared" si="82"/>
        <v>14.798206278026907</v>
      </c>
      <c r="AO141" s="46">
        <f t="shared" si="83"/>
        <v>195.11210762331837</v>
      </c>
      <c r="AP141" s="46">
        <f t="shared" si="84"/>
        <v>45.156950672645735</v>
      </c>
      <c r="AQ141" s="49">
        <f t="shared" si="85"/>
        <v>0.7608797297827059</v>
      </c>
      <c r="AR141" s="50">
        <f t="shared" si="86"/>
        <v>0.23912027021729415</v>
      </c>
      <c r="AS141" s="51">
        <f t="shared" si="87"/>
        <v>0.19511210762331838</v>
      </c>
      <c r="AT141" s="51">
        <f t="shared" si="88"/>
        <v>4.5156950672645732E-2</v>
      </c>
      <c r="AU141" s="51">
        <f t="shared" si="96"/>
        <v>0.24026905829596412</v>
      </c>
      <c r="AV141" s="52">
        <f t="shared" si="89"/>
        <v>189.16680675228321</v>
      </c>
      <c r="AW141" s="52">
        <f t="shared" si="90"/>
        <v>43.780964008170351</v>
      </c>
      <c r="AX141" s="15">
        <f t="shared" si="91"/>
        <v>0.1891668067522832</v>
      </c>
      <c r="AY141" s="15">
        <f t="shared" si="92"/>
        <v>4.3780964008170352E-2</v>
      </c>
      <c r="AZ141" s="15">
        <f t="shared" si="93"/>
        <v>0.23294777076045356</v>
      </c>
      <c r="BA141" s="61">
        <f t="shared" si="97"/>
        <v>11.634345549738219</v>
      </c>
      <c r="BB141" s="61">
        <v>2</v>
      </c>
      <c r="BC141" s="61">
        <f t="shared" si="98"/>
        <v>7.7562303664921473</v>
      </c>
      <c r="BD141" s="61">
        <v>10</v>
      </c>
      <c r="BE141" s="61">
        <f t="shared" si="99"/>
        <v>0</v>
      </c>
      <c r="BF141" s="61"/>
      <c r="BG141" s="61">
        <v>0</v>
      </c>
      <c r="BH141" s="61"/>
      <c r="BI141" s="56">
        <f t="shared" si="100"/>
        <v>31.390575916230368</v>
      </c>
      <c r="BJ141" s="57">
        <f t="shared" si="101"/>
        <v>0.13002870104459313</v>
      </c>
      <c r="BK141" s="58">
        <f t="shared" si="102"/>
        <v>7.1759713419674839E-2</v>
      </c>
    </row>
    <row r="142" spans="1:63" ht="17.25" customHeight="1" x14ac:dyDescent="0.3">
      <c r="A142" s="41">
        <v>141</v>
      </c>
      <c r="B142" s="42">
        <v>46266</v>
      </c>
      <c r="C142" s="43" t="str">
        <f t="shared" si="72"/>
        <v>Sep-26</v>
      </c>
      <c r="D142" s="43" t="s">
        <v>68</v>
      </c>
      <c r="E142" s="43" t="s">
        <v>35</v>
      </c>
      <c r="F142" s="43" t="s">
        <v>41</v>
      </c>
      <c r="G142" s="14" t="s">
        <v>242</v>
      </c>
      <c r="H142" s="14" t="s">
        <v>60</v>
      </c>
      <c r="I142" s="14" t="s">
        <v>60</v>
      </c>
      <c r="J142" s="44" t="s">
        <v>60</v>
      </c>
      <c r="K142" s="44">
        <v>2026</v>
      </c>
      <c r="L142" s="44">
        <v>143</v>
      </c>
      <c r="M142" s="45">
        <v>1000</v>
      </c>
      <c r="N142" s="45">
        <v>176</v>
      </c>
      <c r="O142" s="45">
        <v>7.3</v>
      </c>
      <c r="P142" s="46">
        <f t="shared" si="74"/>
        <v>284</v>
      </c>
      <c r="Q142" s="45">
        <v>7.26</v>
      </c>
      <c r="R142" s="46">
        <v>234</v>
      </c>
      <c r="S142" s="46">
        <v>14</v>
      </c>
      <c r="T142" s="46">
        <v>7</v>
      </c>
      <c r="U142" s="46">
        <v>29</v>
      </c>
      <c r="V142" s="46"/>
      <c r="W142" s="46"/>
      <c r="X142" s="46">
        <v>14</v>
      </c>
      <c r="Y142" s="46">
        <v>4</v>
      </c>
      <c r="Z142" s="46">
        <f t="shared" si="94"/>
        <v>43.121976000000004</v>
      </c>
      <c r="AA142" s="46">
        <f t="shared" si="95"/>
        <v>44.973840000000003</v>
      </c>
      <c r="AB142" s="46">
        <f t="shared" si="103"/>
        <v>50.088512000000001</v>
      </c>
      <c r="AC142" s="46">
        <f t="shared" si="71"/>
        <v>234</v>
      </c>
      <c r="AD142" s="46">
        <f>228-32</f>
        <v>196</v>
      </c>
      <c r="AE142" s="46">
        <v>32</v>
      </c>
      <c r="AF142" s="59">
        <f t="shared" si="73"/>
        <v>-6</v>
      </c>
      <c r="AG142" s="46">
        <f t="shared" si="75"/>
        <v>15</v>
      </c>
      <c r="AH142" s="47">
        <f t="shared" si="76"/>
        <v>17.89099122617845</v>
      </c>
      <c r="AI142" s="47">
        <f t="shared" si="77"/>
        <v>21</v>
      </c>
      <c r="AJ142" s="47">
        <f t="shared" si="78"/>
        <v>29</v>
      </c>
      <c r="AK142" s="47">
        <f t="shared" si="79"/>
        <v>244.5</v>
      </c>
      <c r="AL142" s="48">
        <f t="shared" si="80"/>
        <v>0.2445</v>
      </c>
      <c r="AM142" s="46">
        <f t="shared" si="81"/>
        <v>43.083700440528638</v>
      </c>
      <c r="AN142" s="46">
        <f t="shared" si="82"/>
        <v>14.035087719298247</v>
      </c>
      <c r="AO142" s="46">
        <f t="shared" si="83"/>
        <v>201.15789473684211</v>
      </c>
      <c r="AP142" s="46">
        <f t="shared" si="84"/>
        <v>42.982456140350877</v>
      </c>
      <c r="AQ142" s="49">
        <f t="shared" si="85"/>
        <v>0.76094721399232945</v>
      </c>
      <c r="AR142" s="50">
        <f t="shared" si="86"/>
        <v>0.23905278600767058</v>
      </c>
      <c r="AS142" s="51">
        <f t="shared" si="87"/>
        <v>0.20115789473684212</v>
      </c>
      <c r="AT142" s="51">
        <f t="shared" si="88"/>
        <v>4.2982456140350879E-2</v>
      </c>
      <c r="AU142" s="51">
        <f t="shared" si="96"/>
        <v>0.24414035087719299</v>
      </c>
      <c r="AV142" s="52">
        <f t="shared" si="89"/>
        <v>195.34432626067786</v>
      </c>
      <c r="AW142" s="52">
        <f t="shared" si="90"/>
        <v>41.740240653990995</v>
      </c>
      <c r="AX142" s="15">
        <f t="shared" si="91"/>
        <v>0.19534432626067785</v>
      </c>
      <c r="AY142" s="15">
        <f t="shared" si="92"/>
        <v>4.1740240653990998E-2</v>
      </c>
      <c r="AZ142" s="15">
        <f t="shared" si="93"/>
        <v>0.23708456691466884</v>
      </c>
      <c r="BA142" s="61">
        <f t="shared" si="97"/>
        <v>13.595392670157066</v>
      </c>
      <c r="BB142" s="61">
        <v>4</v>
      </c>
      <c r="BC142" s="61">
        <f t="shared" si="98"/>
        <v>6.7976963350785331</v>
      </c>
      <c r="BD142" s="61">
        <v>11</v>
      </c>
      <c r="BE142" s="61">
        <f t="shared" si="99"/>
        <v>0</v>
      </c>
      <c r="BF142" s="61"/>
      <c r="BG142" s="61">
        <v>0</v>
      </c>
      <c r="BH142" s="61"/>
      <c r="BI142" s="56">
        <f t="shared" si="100"/>
        <v>35.393089005235602</v>
      </c>
      <c r="BJ142" s="57">
        <f t="shared" si="101"/>
        <v>0.14292709535830722</v>
      </c>
      <c r="BK142" s="58">
        <f t="shared" si="102"/>
        <v>8.9772411582434014E-2</v>
      </c>
    </row>
    <row r="143" spans="1:63" ht="17.25" customHeight="1" x14ac:dyDescent="0.3">
      <c r="A143" s="41">
        <v>142</v>
      </c>
      <c r="B143" s="42">
        <v>46266</v>
      </c>
      <c r="C143" s="43" t="str">
        <f t="shared" si="72"/>
        <v>Sep-26</v>
      </c>
      <c r="D143" s="43" t="s">
        <v>68</v>
      </c>
      <c r="E143" s="43" t="s">
        <v>35</v>
      </c>
      <c r="F143" s="43" t="s">
        <v>41</v>
      </c>
      <c r="G143" s="14" t="s">
        <v>242</v>
      </c>
      <c r="H143" s="14" t="s">
        <v>60</v>
      </c>
      <c r="I143" s="14" t="s">
        <v>60</v>
      </c>
      <c r="J143" s="44" t="s">
        <v>60</v>
      </c>
      <c r="K143" s="44">
        <v>2026</v>
      </c>
      <c r="L143" s="44">
        <v>143</v>
      </c>
      <c r="M143" s="45">
        <v>1000</v>
      </c>
      <c r="N143" s="45">
        <v>177</v>
      </c>
      <c r="O143" s="45">
        <v>7.3</v>
      </c>
      <c r="P143" s="46">
        <f t="shared" si="74"/>
        <v>286</v>
      </c>
      <c r="Q143" s="45">
        <v>7.26</v>
      </c>
      <c r="R143" s="46">
        <v>235</v>
      </c>
      <c r="S143" s="46">
        <v>15</v>
      </c>
      <c r="T143" s="46">
        <v>5</v>
      </c>
      <c r="U143" s="46">
        <v>31</v>
      </c>
      <c r="V143" s="46"/>
      <c r="W143" s="46"/>
      <c r="X143" s="46">
        <v>13</v>
      </c>
      <c r="Y143" s="46">
        <v>4</v>
      </c>
      <c r="Z143" s="46">
        <f t="shared" si="94"/>
        <v>43.210160000000002</v>
      </c>
      <c r="AA143" s="46">
        <f t="shared" si="95"/>
        <v>44.973840000000003</v>
      </c>
      <c r="AB143" s="46">
        <f t="shared" si="103"/>
        <v>50.441248000000002</v>
      </c>
      <c r="AC143" s="46">
        <f t="shared" si="71"/>
        <v>235</v>
      </c>
      <c r="AD143" s="46">
        <f>229-35</f>
        <v>194</v>
      </c>
      <c r="AE143" s="46">
        <v>35</v>
      </c>
      <c r="AF143" s="59">
        <f t="shared" si="73"/>
        <v>-6</v>
      </c>
      <c r="AG143" s="46">
        <f t="shared" si="75"/>
        <v>12</v>
      </c>
      <c r="AH143" s="47">
        <f t="shared" si="76"/>
        <v>14.469526958496923</v>
      </c>
      <c r="AI143" s="47">
        <f t="shared" si="77"/>
        <v>20</v>
      </c>
      <c r="AJ143" s="47">
        <f t="shared" si="78"/>
        <v>31</v>
      </c>
      <c r="AK143" s="47">
        <f t="shared" si="79"/>
        <v>245</v>
      </c>
      <c r="AL143" s="48">
        <f t="shared" si="80"/>
        <v>0.245</v>
      </c>
      <c r="AM143" s="46">
        <f t="shared" si="81"/>
        <v>43.171806167400881</v>
      </c>
      <c r="AN143" s="46">
        <f t="shared" si="82"/>
        <v>15.283842794759826</v>
      </c>
      <c r="AO143" s="46">
        <f t="shared" si="83"/>
        <v>199.08296943231443</v>
      </c>
      <c r="AP143" s="46">
        <f t="shared" si="84"/>
        <v>43.205240174672497</v>
      </c>
      <c r="AQ143" s="49">
        <f t="shared" si="85"/>
        <v>0.77108557007518563</v>
      </c>
      <c r="AR143" s="50">
        <f t="shared" si="86"/>
        <v>0.22891442992481439</v>
      </c>
      <c r="AS143" s="51">
        <f t="shared" si="87"/>
        <v>0.19908296943231443</v>
      </c>
      <c r="AT143" s="51">
        <f t="shared" si="88"/>
        <v>4.3205240174672498E-2</v>
      </c>
      <c r="AU143" s="51">
        <f t="shared" si="96"/>
        <v>0.24228820960698694</v>
      </c>
      <c r="AV143" s="52">
        <f t="shared" si="89"/>
        <v>193.32936738379937</v>
      </c>
      <c r="AW143" s="52">
        <f t="shared" si="90"/>
        <v>41.956586113079865</v>
      </c>
      <c r="AX143" s="15">
        <f t="shared" si="91"/>
        <v>0.19332936738379936</v>
      </c>
      <c r="AY143" s="15">
        <f t="shared" si="92"/>
        <v>4.1956586113079862E-2</v>
      </c>
      <c r="AZ143" s="15">
        <f t="shared" si="93"/>
        <v>0.23528595349687922</v>
      </c>
      <c r="BA143" s="61">
        <f t="shared" si="97"/>
        <v>14.566492146596858</v>
      </c>
      <c r="BB143" s="61">
        <v>4</v>
      </c>
      <c r="BC143" s="61">
        <f t="shared" si="98"/>
        <v>4.8554973821989531</v>
      </c>
      <c r="BD143" s="61">
        <v>8</v>
      </c>
      <c r="BE143" s="61">
        <f t="shared" si="99"/>
        <v>0</v>
      </c>
      <c r="BF143" s="61"/>
      <c r="BG143" s="61">
        <v>0</v>
      </c>
      <c r="BH143" s="61"/>
      <c r="BI143" s="56">
        <f t="shared" si="100"/>
        <v>31.421989528795812</v>
      </c>
      <c r="BJ143" s="57">
        <f t="shared" si="101"/>
        <v>0.12689069589448893</v>
      </c>
      <c r="BK143" s="58">
        <f t="shared" si="102"/>
        <v>9.5703567765963185E-2</v>
      </c>
    </row>
    <row r="144" spans="1:63" ht="17.25" customHeight="1" x14ac:dyDescent="0.3">
      <c r="A144" s="41">
        <v>143</v>
      </c>
      <c r="B144" s="42">
        <v>46267</v>
      </c>
      <c r="C144" s="43" t="str">
        <f t="shared" si="72"/>
        <v>Sep-26</v>
      </c>
      <c r="D144" s="43" t="s">
        <v>68</v>
      </c>
      <c r="E144" s="43" t="s">
        <v>35</v>
      </c>
      <c r="F144" s="43" t="s">
        <v>41</v>
      </c>
      <c r="G144" s="14" t="s">
        <v>242</v>
      </c>
      <c r="H144" s="14" t="s">
        <v>60</v>
      </c>
      <c r="I144" s="14" t="s">
        <v>60</v>
      </c>
      <c r="J144" s="44" t="s">
        <v>60</v>
      </c>
      <c r="K144" s="44">
        <v>2026</v>
      </c>
      <c r="L144" s="44">
        <v>144</v>
      </c>
      <c r="M144" s="45">
        <v>1000</v>
      </c>
      <c r="N144" s="45">
        <v>182</v>
      </c>
      <c r="O144" s="45">
        <v>7.5</v>
      </c>
      <c r="P144" s="46">
        <f t="shared" si="74"/>
        <v>293</v>
      </c>
      <c r="Q144" s="45">
        <v>7.05</v>
      </c>
      <c r="R144" s="46">
        <v>233</v>
      </c>
      <c r="S144" s="46">
        <v>12</v>
      </c>
      <c r="T144" s="46">
        <v>6</v>
      </c>
      <c r="U144" s="46">
        <v>42</v>
      </c>
      <c r="V144" s="46"/>
      <c r="W144" s="46"/>
      <c r="X144" s="46">
        <v>18</v>
      </c>
      <c r="Y144" s="46">
        <v>5</v>
      </c>
      <c r="Z144" s="46">
        <f t="shared" si="94"/>
        <v>42.681056000000005</v>
      </c>
      <c r="AA144" s="46">
        <f t="shared" si="95"/>
        <v>44.268368000000002</v>
      </c>
      <c r="AB144" s="46">
        <f t="shared" si="103"/>
        <v>51.675823999999999</v>
      </c>
      <c r="AC144" s="46">
        <f t="shared" si="71"/>
        <v>233</v>
      </c>
      <c r="AD144" s="46">
        <f>224-39</f>
        <v>185</v>
      </c>
      <c r="AE144" s="46">
        <v>39</v>
      </c>
      <c r="AF144" s="59">
        <f t="shared" si="73"/>
        <v>-9</v>
      </c>
      <c r="AG144" s="46">
        <f t="shared" si="75"/>
        <v>14</v>
      </c>
      <c r="AH144" s="47">
        <f t="shared" si="76"/>
        <v>17.153711672942439</v>
      </c>
      <c r="AI144" s="47">
        <f t="shared" si="77"/>
        <v>18</v>
      </c>
      <c r="AJ144" s="47">
        <f t="shared" si="78"/>
        <v>42</v>
      </c>
      <c r="AK144" s="47">
        <f t="shared" si="79"/>
        <v>242</v>
      </c>
      <c r="AL144" s="48">
        <f t="shared" si="80"/>
        <v>0.24199999999999999</v>
      </c>
      <c r="AM144" s="46">
        <f t="shared" si="81"/>
        <v>42.643171806167402</v>
      </c>
      <c r="AN144" s="46">
        <f t="shared" si="82"/>
        <v>17.410714285714285</v>
      </c>
      <c r="AO144" s="46">
        <f t="shared" si="83"/>
        <v>192.43303571428572</v>
      </c>
      <c r="AP144" s="46">
        <f t="shared" si="84"/>
        <v>49.553571428571431</v>
      </c>
      <c r="AQ144" s="49">
        <f t="shared" si="85"/>
        <v>0.73667675196947968</v>
      </c>
      <c r="AR144" s="50">
        <f t="shared" si="86"/>
        <v>0.26332324803052026</v>
      </c>
      <c r="AS144" s="51">
        <f t="shared" si="87"/>
        <v>0.19243303571428572</v>
      </c>
      <c r="AT144" s="51">
        <f t="shared" si="88"/>
        <v>4.9553571428571433E-2</v>
      </c>
      <c r="AU144" s="51">
        <f t="shared" si="96"/>
        <v>0.24198660714285714</v>
      </c>
      <c r="AV144" s="52">
        <f t="shared" si="89"/>
        <v>187.29477140987288</v>
      </c>
      <c r="AW144" s="52">
        <f t="shared" si="90"/>
        <v>48.230413238593869</v>
      </c>
      <c r="AX144" s="15">
        <f t="shared" si="91"/>
        <v>0.18729477140987288</v>
      </c>
      <c r="AY144" s="15">
        <f t="shared" si="92"/>
        <v>4.8230413238593867E-2</v>
      </c>
      <c r="AZ144" s="15">
        <f t="shared" si="93"/>
        <v>0.23552518464846675</v>
      </c>
      <c r="BA144" s="61">
        <f t="shared" si="97"/>
        <v>11.679581151832462</v>
      </c>
      <c r="BB144" s="61">
        <v>2</v>
      </c>
      <c r="BC144" s="61">
        <f t="shared" si="98"/>
        <v>5.839790575916231</v>
      </c>
      <c r="BD144" s="61">
        <v>12</v>
      </c>
      <c r="BE144" s="61">
        <f t="shared" si="99"/>
        <v>0</v>
      </c>
      <c r="BF144" s="61"/>
      <c r="BG144" s="61">
        <v>0</v>
      </c>
      <c r="BH144" s="61"/>
      <c r="BI144" s="56">
        <f t="shared" si="100"/>
        <v>31.519371727748691</v>
      </c>
      <c r="BJ144" s="57">
        <f t="shared" si="101"/>
        <v>0.12902022892828899</v>
      </c>
      <c r="BK144" s="58">
        <f t="shared" si="102"/>
        <v>7.3943681901797093E-2</v>
      </c>
    </row>
    <row r="145" spans="1:63" ht="17.25" customHeight="1" x14ac:dyDescent="0.3">
      <c r="A145" s="41">
        <v>144</v>
      </c>
      <c r="B145" s="42">
        <v>46267</v>
      </c>
      <c r="C145" s="43" t="str">
        <f t="shared" si="72"/>
        <v>Sep-26</v>
      </c>
      <c r="D145" s="43" t="s">
        <v>68</v>
      </c>
      <c r="E145" s="43" t="s">
        <v>35</v>
      </c>
      <c r="F145" s="43" t="s">
        <v>41</v>
      </c>
      <c r="G145" s="14" t="s">
        <v>242</v>
      </c>
      <c r="H145" s="14" t="s">
        <v>60</v>
      </c>
      <c r="I145" s="14" t="s">
        <v>60</v>
      </c>
      <c r="J145" s="44" t="s">
        <v>60</v>
      </c>
      <c r="K145" s="44">
        <v>2026</v>
      </c>
      <c r="L145" s="44">
        <v>144</v>
      </c>
      <c r="M145" s="45">
        <v>1000</v>
      </c>
      <c r="N145" s="45">
        <v>182</v>
      </c>
      <c r="O145" s="45">
        <v>7.5</v>
      </c>
      <c r="P145" s="46">
        <f t="shared" si="74"/>
        <v>286</v>
      </c>
      <c r="Q145" s="45">
        <v>7.05</v>
      </c>
      <c r="R145" s="46">
        <v>237</v>
      </c>
      <c r="S145" s="46">
        <v>9</v>
      </c>
      <c r="T145" s="46">
        <v>7</v>
      </c>
      <c r="U145" s="46">
        <v>33</v>
      </c>
      <c r="V145" s="46"/>
      <c r="W145" s="46"/>
      <c r="X145" s="46">
        <v>19</v>
      </c>
      <c r="Y145" s="46">
        <v>7</v>
      </c>
      <c r="Z145" s="46">
        <f t="shared" si="94"/>
        <v>43.210160000000002</v>
      </c>
      <c r="AA145" s="46">
        <f t="shared" si="95"/>
        <v>44.621104000000003</v>
      </c>
      <c r="AB145" s="46">
        <f t="shared" si="103"/>
        <v>50.441248000000002</v>
      </c>
      <c r="AC145" s="46">
        <f t="shared" si="71"/>
        <v>237</v>
      </c>
      <c r="AD145" s="46">
        <f>228-40</f>
        <v>188</v>
      </c>
      <c r="AE145" s="46">
        <v>40</v>
      </c>
      <c r="AF145" s="59">
        <f t="shared" si="73"/>
        <v>-9</v>
      </c>
      <c r="AG145" s="46">
        <f t="shared" si="75"/>
        <v>11</v>
      </c>
      <c r="AH145" s="47">
        <f t="shared" si="76"/>
        <v>13.49320045676321</v>
      </c>
      <c r="AI145" s="47">
        <f t="shared" si="77"/>
        <v>16</v>
      </c>
      <c r="AJ145" s="47">
        <f t="shared" si="78"/>
        <v>33</v>
      </c>
      <c r="AK145" s="47">
        <f t="shared" si="79"/>
        <v>245</v>
      </c>
      <c r="AL145" s="48">
        <f t="shared" si="80"/>
        <v>0.245</v>
      </c>
      <c r="AM145" s="46">
        <f t="shared" si="81"/>
        <v>43.171806167400881</v>
      </c>
      <c r="AN145" s="46">
        <f t="shared" si="82"/>
        <v>17.543859649122808</v>
      </c>
      <c r="AO145" s="46">
        <f t="shared" si="83"/>
        <v>195.42105263157896</v>
      </c>
      <c r="AP145" s="46">
        <f t="shared" si="84"/>
        <v>40.403508771929822</v>
      </c>
      <c r="AQ145" s="49">
        <f t="shared" si="85"/>
        <v>0.78149230609523346</v>
      </c>
      <c r="AR145" s="50">
        <f t="shared" si="86"/>
        <v>0.21850769390476649</v>
      </c>
      <c r="AS145" s="51">
        <f t="shared" si="87"/>
        <v>0.19542105263157897</v>
      </c>
      <c r="AT145" s="51">
        <f t="shared" si="88"/>
        <v>4.0403508771929823E-2</v>
      </c>
      <c r="AU145" s="51">
        <f t="shared" si="96"/>
        <v>0.2358245614035088</v>
      </c>
      <c r="AV145" s="52">
        <f t="shared" si="89"/>
        <v>190.20300358225407</v>
      </c>
      <c r="AW145" s="52">
        <f t="shared" si="90"/>
        <v>39.324671626710753</v>
      </c>
      <c r="AX145" s="15">
        <f t="shared" si="91"/>
        <v>0.19020300358225406</v>
      </c>
      <c r="AY145" s="15">
        <f t="shared" si="92"/>
        <v>3.9324671626710751E-2</v>
      </c>
      <c r="AZ145" s="15">
        <f t="shared" si="93"/>
        <v>0.2295276752089648</v>
      </c>
      <c r="BA145" s="61">
        <f t="shared" si="97"/>
        <v>8.7596858638743456</v>
      </c>
      <c r="BB145" s="61">
        <v>2</v>
      </c>
      <c r="BC145" s="61">
        <f t="shared" si="98"/>
        <v>6.8130890052356019</v>
      </c>
      <c r="BD145" s="61">
        <v>9</v>
      </c>
      <c r="BE145" s="61">
        <f t="shared" si="99"/>
        <v>0</v>
      </c>
      <c r="BF145" s="61"/>
      <c r="BG145" s="61">
        <v>0</v>
      </c>
      <c r="BH145" s="61"/>
      <c r="BI145" s="56">
        <f t="shared" si="100"/>
        <v>26.572774869109949</v>
      </c>
      <c r="BJ145" s="57">
        <f t="shared" si="101"/>
        <v>0.10791215473489721</v>
      </c>
      <c r="BK145" s="58">
        <f t="shared" si="102"/>
        <v>5.7232371616352903E-2</v>
      </c>
    </row>
    <row r="146" spans="1:63" ht="17.25" customHeight="1" x14ac:dyDescent="0.3">
      <c r="A146" s="41">
        <v>145</v>
      </c>
      <c r="B146" s="42">
        <v>46268</v>
      </c>
      <c r="C146" s="43" t="str">
        <f t="shared" si="72"/>
        <v>Sep-26</v>
      </c>
      <c r="D146" s="43" t="s">
        <v>68</v>
      </c>
      <c r="E146" s="43" t="s">
        <v>35</v>
      </c>
      <c r="F146" s="43" t="s">
        <v>41</v>
      </c>
      <c r="G146" s="14" t="s">
        <v>242</v>
      </c>
      <c r="H146" s="14" t="s">
        <v>60</v>
      </c>
      <c r="I146" s="14" t="s">
        <v>60</v>
      </c>
      <c r="J146" s="44" t="s">
        <v>60</v>
      </c>
      <c r="K146" s="44">
        <v>2026</v>
      </c>
      <c r="L146" s="44">
        <v>145</v>
      </c>
      <c r="M146" s="45">
        <v>1000</v>
      </c>
      <c r="N146" s="45">
        <v>182</v>
      </c>
      <c r="O146" s="45">
        <v>7.4</v>
      </c>
      <c r="P146" s="46">
        <f t="shared" si="74"/>
        <v>291</v>
      </c>
      <c r="Q146" s="45">
        <v>7.36</v>
      </c>
      <c r="R146" s="46">
        <v>230</v>
      </c>
      <c r="S146" s="46">
        <v>19</v>
      </c>
      <c r="T146" s="46">
        <v>5</v>
      </c>
      <c r="U146" s="46">
        <v>37</v>
      </c>
      <c r="V146" s="46"/>
      <c r="W146" s="46"/>
      <c r="X146" s="46">
        <v>28</v>
      </c>
      <c r="Y146" s="46">
        <v>6</v>
      </c>
      <c r="Z146" s="46">
        <f t="shared" si="94"/>
        <v>42.681056000000005</v>
      </c>
      <c r="AA146" s="46">
        <f t="shared" si="95"/>
        <v>44.797471999999999</v>
      </c>
      <c r="AB146" s="46">
        <f t="shared" si="103"/>
        <v>51.323088000000006</v>
      </c>
      <c r="AC146" s="46">
        <f t="shared" si="71"/>
        <v>230</v>
      </c>
      <c r="AD146" s="46">
        <f>224-41</f>
        <v>183</v>
      </c>
      <c r="AE146" s="46">
        <v>41</v>
      </c>
      <c r="AF146" s="59">
        <f t="shared" si="73"/>
        <v>-6</v>
      </c>
      <c r="AG146" s="46">
        <f t="shared" si="75"/>
        <v>13</v>
      </c>
      <c r="AH146" s="47">
        <f t="shared" si="76"/>
        <v>16.103281905378733</v>
      </c>
      <c r="AI146" s="47">
        <f t="shared" si="77"/>
        <v>24</v>
      </c>
      <c r="AJ146" s="47">
        <f t="shared" si="78"/>
        <v>37</v>
      </c>
      <c r="AK146" s="47">
        <f t="shared" si="79"/>
        <v>242</v>
      </c>
      <c r="AL146" s="48">
        <f t="shared" si="80"/>
        <v>0.24199999999999999</v>
      </c>
      <c r="AM146" s="46">
        <f t="shared" si="81"/>
        <v>42.643171806167402</v>
      </c>
      <c r="AN146" s="46">
        <f t="shared" si="82"/>
        <v>18.303571428571427</v>
      </c>
      <c r="AO146" s="46">
        <f t="shared" si="83"/>
        <v>187.90178571428572</v>
      </c>
      <c r="AP146" s="46">
        <f t="shared" si="84"/>
        <v>49.834821428571431</v>
      </c>
      <c r="AQ146" s="49">
        <f t="shared" si="85"/>
        <v>0.73504026836639613</v>
      </c>
      <c r="AR146" s="50">
        <f t="shared" si="86"/>
        <v>0.26495973163360392</v>
      </c>
      <c r="AS146" s="51">
        <f t="shared" si="87"/>
        <v>0.18790178571428573</v>
      </c>
      <c r="AT146" s="51">
        <f t="shared" si="88"/>
        <v>4.983482142857143E-2</v>
      </c>
      <c r="AU146" s="51">
        <f t="shared" si="96"/>
        <v>0.23773660714285716</v>
      </c>
      <c r="AV146" s="52">
        <f t="shared" si="89"/>
        <v>182.27456993268513</v>
      </c>
      <c r="AW146" s="52">
        <f t="shared" si="90"/>
        <v>48.342385938668663</v>
      </c>
      <c r="AX146" s="15">
        <f t="shared" si="91"/>
        <v>0.18227456993268512</v>
      </c>
      <c r="AY146" s="15">
        <f t="shared" si="92"/>
        <v>4.8342385938668665E-2</v>
      </c>
      <c r="AZ146" s="15">
        <f t="shared" si="93"/>
        <v>0.23061695587135378</v>
      </c>
      <c r="BA146" s="61">
        <f t="shared" si="97"/>
        <v>18.430994764397905</v>
      </c>
      <c r="BB146" s="61">
        <v>3</v>
      </c>
      <c r="BC146" s="61">
        <f t="shared" si="98"/>
        <v>4.8502617801047121</v>
      </c>
      <c r="BD146" s="61">
        <v>10</v>
      </c>
      <c r="BE146" s="61">
        <f t="shared" si="99"/>
        <v>0</v>
      </c>
      <c r="BF146" s="61"/>
      <c r="BG146" s="61">
        <v>0</v>
      </c>
      <c r="BH146" s="61"/>
      <c r="BI146" s="56">
        <f t="shared" si="100"/>
        <v>36.281256544502618</v>
      </c>
      <c r="BJ146" s="57">
        <f t="shared" si="101"/>
        <v>0.14724936423102553</v>
      </c>
      <c r="BK146" s="58">
        <f t="shared" si="102"/>
        <v>0.11710926100763883</v>
      </c>
    </row>
    <row r="147" spans="1:63" ht="17.25" customHeight="1" x14ac:dyDescent="0.3">
      <c r="A147" s="41">
        <v>146</v>
      </c>
      <c r="B147" s="42">
        <v>46268</v>
      </c>
      <c r="C147" s="43" t="str">
        <f t="shared" si="72"/>
        <v>Sep-26</v>
      </c>
      <c r="D147" s="43" t="s">
        <v>68</v>
      </c>
      <c r="E147" s="43" t="s">
        <v>35</v>
      </c>
      <c r="F147" s="43" t="s">
        <v>41</v>
      </c>
      <c r="G147" s="14" t="s">
        <v>242</v>
      </c>
      <c r="H147" s="14" t="s">
        <v>60</v>
      </c>
      <c r="I147" s="14" t="s">
        <v>60</v>
      </c>
      <c r="J147" s="44" t="s">
        <v>60</v>
      </c>
      <c r="K147" s="44">
        <v>2026</v>
      </c>
      <c r="L147" s="44">
        <v>145</v>
      </c>
      <c r="M147" s="45">
        <v>1000</v>
      </c>
      <c r="N147" s="45">
        <v>182</v>
      </c>
      <c r="O147" s="45">
        <v>7.4</v>
      </c>
      <c r="P147" s="46">
        <f t="shared" si="74"/>
        <v>290</v>
      </c>
      <c r="Q147" s="45">
        <v>7.36</v>
      </c>
      <c r="R147" s="46">
        <v>235</v>
      </c>
      <c r="S147" s="46">
        <v>18</v>
      </c>
      <c r="T147" s="46">
        <v>9</v>
      </c>
      <c r="U147" s="46">
        <v>28</v>
      </c>
      <c r="V147" s="46"/>
      <c r="W147" s="46"/>
      <c r="X147" s="46">
        <v>13</v>
      </c>
      <c r="Y147" s="46">
        <v>4</v>
      </c>
      <c r="Z147" s="46">
        <f t="shared" si="94"/>
        <v>43.827448000000004</v>
      </c>
      <c r="AA147" s="46">
        <f t="shared" si="95"/>
        <v>46.208416000000007</v>
      </c>
      <c r="AB147" s="46">
        <f t="shared" si="103"/>
        <v>51.146720000000002</v>
      </c>
      <c r="AC147" s="46">
        <f t="shared" si="71"/>
        <v>235</v>
      </c>
      <c r="AD147" s="46">
        <f>228-39</f>
        <v>189</v>
      </c>
      <c r="AE147" s="46">
        <v>39</v>
      </c>
      <c r="AF147" s="59">
        <f t="shared" si="73"/>
        <v>-7</v>
      </c>
      <c r="AG147" s="46">
        <f t="shared" si="75"/>
        <v>17</v>
      </c>
      <c r="AH147" s="47">
        <f t="shared" si="76"/>
        <v>20.84483796927552</v>
      </c>
      <c r="AI147" s="47">
        <f t="shared" si="77"/>
        <v>27</v>
      </c>
      <c r="AJ147" s="47">
        <f t="shared" si="78"/>
        <v>28</v>
      </c>
      <c r="AK147" s="47">
        <f t="shared" si="79"/>
        <v>248.5</v>
      </c>
      <c r="AL147" s="48">
        <f t="shared" si="80"/>
        <v>0.2485</v>
      </c>
      <c r="AM147" s="46">
        <f t="shared" si="81"/>
        <v>43.78854625550661</v>
      </c>
      <c r="AN147" s="46">
        <f t="shared" si="82"/>
        <v>17.10526315789474</v>
      </c>
      <c r="AO147" s="46">
        <f t="shared" si="83"/>
        <v>194.80263157894737</v>
      </c>
      <c r="AP147" s="46">
        <f t="shared" si="84"/>
        <v>45.592105263157897</v>
      </c>
      <c r="AQ147" s="49">
        <f t="shared" si="85"/>
        <v>0.7384660759680155</v>
      </c>
      <c r="AR147" s="50">
        <f t="shared" si="86"/>
        <v>0.26153392403198455</v>
      </c>
      <c r="AS147" s="51">
        <f t="shared" si="87"/>
        <v>0.19480263157894737</v>
      </c>
      <c r="AT147" s="51">
        <f t="shared" si="88"/>
        <v>4.5592105263157899E-2</v>
      </c>
      <c r="AU147" s="51">
        <f t="shared" si="96"/>
        <v>0.24039473684210527</v>
      </c>
      <c r="AV147" s="52">
        <f t="shared" si="89"/>
        <v>188.96875172223753</v>
      </c>
      <c r="AW147" s="52">
        <f t="shared" si="90"/>
        <v>44.226729126481132</v>
      </c>
      <c r="AX147" s="15">
        <f t="shared" si="91"/>
        <v>0.18896875172223754</v>
      </c>
      <c r="AY147" s="15">
        <f t="shared" si="92"/>
        <v>4.422672912648113E-2</v>
      </c>
      <c r="AZ147" s="15">
        <f t="shared" si="93"/>
        <v>0.23319548084871866</v>
      </c>
      <c r="BA147" s="61">
        <f t="shared" si="97"/>
        <v>17.460942408376962</v>
      </c>
      <c r="BB147" s="61">
        <v>3</v>
      </c>
      <c r="BC147" s="61">
        <f t="shared" si="98"/>
        <v>8.7304712041884809</v>
      </c>
      <c r="BD147" s="61">
        <v>14</v>
      </c>
      <c r="BE147" s="61">
        <f t="shared" si="99"/>
        <v>0</v>
      </c>
      <c r="BF147" s="61"/>
      <c r="BG147" s="61">
        <v>0</v>
      </c>
      <c r="BH147" s="61"/>
      <c r="BI147" s="56">
        <f t="shared" si="100"/>
        <v>43.191413612565441</v>
      </c>
      <c r="BJ147" s="57">
        <f t="shared" si="101"/>
        <v>0.169942088887131</v>
      </c>
      <c r="BK147" s="58">
        <f t="shared" si="102"/>
        <v>0.10825895454167704</v>
      </c>
    </row>
    <row r="148" spans="1:63" ht="17.25" customHeight="1" x14ac:dyDescent="0.3">
      <c r="A148" s="41">
        <v>147</v>
      </c>
      <c r="B148" s="42">
        <v>46269</v>
      </c>
      <c r="C148" s="43" t="str">
        <f t="shared" si="72"/>
        <v>Sep-26</v>
      </c>
      <c r="D148" s="43" t="s">
        <v>68</v>
      </c>
      <c r="E148" s="43" t="s">
        <v>35</v>
      </c>
      <c r="F148" s="43" t="s">
        <v>41</v>
      </c>
      <c r="G148" s="14" t="s">
        <v>242</v>
      </c>
      <c r="H148" s="14" t="s">
        <v>60</v>
      </c>
      <c r="I148" s="14" t="s">
        <v>60</v>
      </c>
      <c r="J148" s="44" t="s">
        <v>60</v>
      </c>
      <c r="K148" s="44">
        <v>2026</v>
      </c>
      <c r="L148" s="44">
        <v>146</v>
      </c>
      <c r="M148" s="45">
        <v>1000</v>
      </c>
      <c r="N148" s="45">
        <v>184</v>
      </c>
      <c r="O148" s="45">
        <v>7.7</v>
      </c>
      <c r="P148" s="46">
        <f t="shared" si="74"/>
        <v>284</v>
      </c>
      <c r="Q148" s="45">
        <v>7.41</v>
      </c>
      <c r="R148" s="46">
        <v>232</v>
      </c>
      <c r="S148" s="46">
        <v>12</v>
      </c>
      <c r="T148" s="46">
        <v>6</v>
      </c>
      <c r="U148" s="46">
        <v>34</v>
      </c>
      <c r="V148" s="46"/>
      <c r="W148" s="46"/>
      <c r="X148" s="46">
        <v>36</v>
      </c>
      <c r="Y148" s="46">
        <v>4</v>
      </c>
      <c r="Z148" s="46">
        <f t="shared" si="94"/>
        <v>42.504688000000002</v>
      </c>
      <c r="AA148" s="46">
        <f t="shared" si="95"/>
        <v>44.091999999999999</v>
      </c>
      <c r="AB148" s="46">
        <f t="shared" si="103"/>
        <v>50.088512000000001</v>
      </c>
      <c r="AC148" s="46">
        <f t="shared" si="71"/>
        <v>232</v>
      </c>
      <c r="AD148" s="46">
        <f>225-38</f>
        <v>187</v>
      </c>
      <c r="AE148" s="46">
        <v>38</v>
      </c>
      <c r="AF148" s="59">
        <f t="shared" si="73"/>
        <v>-7</v>
      </c>
      <c r="AG148" s="46">
        <f t="shared" si="75"/>
        <v>13</v>
      </c>
      <c r="AH148" s="47">
        <f t="shared" si="76"/>
        <v>15.919309740672738</v>
      </c>
      <c r="AI148" s="47">
        <f t="shared" si="77"/>
        <v>18</v>
      </c>
      <c r="AJ148" s="47">
        <f t="shared" si="78"/>
        <v>34</v>
      </c>
      <c r="AK148" s="47">
        <f t="shared" si="79"/>
        <v>241</v>
      </c>
      <c r="AL148" s="48">
        <f t="shared" si="80"/>
        <v>0.24099999999999999</v>
      </c>
      <c r="AM148" s="46">
        <f t="shared" si="81"/>
        <v>42.466960352422909</v>
      </c>
      <c r="AN148" s="46">
        <f t="shared" si="82"/>
        <v>16.888888888888889</v>
      </c>
      <c r="AO148" s="46">
        <f t="shared" si="83"/>
        <v>192.81777777777779</v>
      </c>
      <c r="AP148" s="46">
        <f t="shared" si="84"/>
        <v>43.217777777777776</v>
      </c>
      <c r="AQ148" s="49">
        <f t="shared" si="85"/>
        <v>0.76084750091312414</v>
      </c>
      <c r="AR148" s="50">
        <f t="shared" si="86"/>
        <v>0.2391524990868758</v>
      </c>
      <c r="AS148" s="51">
        <f t="shared" si="87"/>
        <v>0.19281777777777778</v>
      </c>
      <c r="AT148" s="51">
        <f t="shared" si="88"/>
        <v>4.3217777777777779E-2</v>
      </c>
      <c r="AU148" s="51">
        <f t="shared" si="96"/>
        <v>0.23603555555555555</v>
      </c>
      <c r="AV148" s="52">
        <f t="shared" si="89"/>
        <v>186.94238789994188</v>
      </c>
      <c r="AW148" s="52">
        <f t="shared" si="90"/>
        <v>41.900880046538688</v>
      </c>
      <c r="AX148" s="15">
        <f t="shared" si="91"/>
        <v>0.18694238789994189</v>
      </c>
      <c r="AY148" s="15">
        <f t="shared" si="92"/>
        <v>4.1900880046538691E-2</v>
      </c>
      <c r="AZ148" s="15">
        <f t="shared" si="93"/>
        <v>0.22884326794648058</v>
      </c>
      <c r="BA148" s="61">
        <f t="shared" si="97"/>
        <v>11.634345549738219</v>
      </c>
      <c r="BB148" s="61">
        <v>3</v>
      </c>
      <c r="BC148" s="61">
        <f t="shared" si="98"/>
        <v>5.8171727748691096</v>
      </c>
      <c r="BD148" s="61">
        <v>10</v>
      </c>
      <c r="BE148" s="61">
        <f t="shared" si="99"/>
        <v>0</v>
      </c>
      <c r="BF148" s="61"/>
      <c r="BG148" s="61">
        <v>0</v>
      </c>
      <c r="BH148" s="61"/>
      <c r="BI148" s="56">
        <f t="shared" si="100"/>
        <v>30.451518324607328</v>
      </c>
      <c r="BJ148" s="57">
        <f t="shared" si="101"/>
        <v>0.12563430176044929</v>
      </c>
      <c r="BK148" s="58">
        <f t="shared" si="102"/>
        <v>7.8258532351541274E-2</v>
      </c>
    </row>
    <row r="149" spans="1:63" ht="17.25" customHeight="1" x14ac:dyDescent="0.3">
      <c r="A149" s="41">
        <v>148</v>
      </c>
      <c r="B149" s="42">
        <v>46269</v>
      </c>
      <c r="C149" s="43" t="str">
        <f t="shared" si="72"/>
        <v>Sep-26</v>
      </c>
      <c r="D149" s="43" t="s">
        <v>68</v>
      </c>
      <c r="E149" s="43" t="s">
        <v>35</v>
      </c>
      <c r="F149" s="43" t="s">
        <v>41</v>
      </c>
      <c r="G149" s="14" t="s">
        <v>242</v>
      </c>
      <c r="H149" s="14" t="s">
        <v>60</v>
      </c>
      <c r="I149" s="14" t="s">
        <v>60</v>
      </c>
      <c r="J149" s="44" t="s">
        <v>60</v>
      </c>
      <c r="K149" s="44">
        <v>2026</v>
      </c>
      <c r="L149" s="44">
        <v>146</v>
      </c>
      <c r="M149" s="45">
        <v>1000</v>
      </c>
      <c r="N149" s="45">
        <v>181</v>
      </c>
      <c r="O149" s="45">
        <v>7.7</v>
      </c>
      <c r="P149" s="46">
        <f t="shared" si="74"/>
        <v>286</v>
      </c>
      <c r="Q149" s="45">
        <v>7.41</v>
      </c>
      <c r="R149" s="46">
        <v>237</v>
      </c>
      <c r="S149" s="46">
        <v>15</v>
      </c>
      <c r="T149" s="46">
        <v>6</v>
      </c>
      <c r="U149" s="46">
        <v>28</v>
      </c>
      <c r="V149" s="46"/>
      <c r="W149" s="46"/>
      <c r="X149" s="46">
        <v>31</v>
      </c>
      <c r="Y149" s="46">
        <v>2</v>
      </c>
      <c r="Z149" s="46">
        <f t="shared" si="94"/>
        <v>43.65108</v>
      </c>
      <c r="AA149" s="46">
        <f t="shared" si="95"/>
        <v>45.502944000000006</v>
      </c>
      <c r="AB149" s="46">
        <f t="shared" si="103"/>
        <v>50.441248000000002</v>
      </c>
      <c r="AC149" s="46">
        <f t="shared" si="71"/>
        <v>237</v>
      </c>
      <c r="AD149" s="46">
        <f>231-35</f>
        <v>196</v>
      </c>
      <c r="AE149" s="46">
        <v>35</v>
      </c>
      <c r="AF149" s="59">
        <f t="shared" si="73"/>
        <v>-6</v>
      </c>
      <c r="AG149" s="46">
        <f t="shared" si="75"/>
        <v>12</v>
      </c>
      <c r="AH149" s="47">
        <f t="shared" si="76"/>
        <v>14.476332610040355</v>
      </c>
      <c r="AI149" s="47">
        <f t="shared" si="77"/>
        <v>21</v>
      </c>
      <c r="AJ149" s="47">
        <f t="shared" si="78"/>
        <v>28</v>
      </c>
      <c r="AK149" s="47">
        <f t="shared" si="79"/>
        <v>247.5</v>
      </c>
      <c r="AL149" s="48">
        <f t="shared" si="80"/>
        <v>0.2475</v>
      </c>
      <c r="AM149" s="46">
        <f t="shared" si="81"/>
        <v>43.612334801762117</v>
      </c>
      <c r="AN149" s="46">
        <f t="shared" si="82"/>
        <v>15.15151515151515</v>
      </c>
      <c r="AO149" s="46">
        <f t="shared" si="83"/>
        <v>201.09090909090907</v>
      </c>
      <c r="AP149" s="46">
        <f t="shared" si="84"/>
        <v>41.575757575757571</v>
      </c>
      <c r="AQ149" s="49">
        <f t="shared" si="85"/>
        <v>0.77805478108377502</v>
      </c>
      <c r="AR149" s="50">
        <f t="shared" si="86"/>
        <v>0.22194521891622504</v>
      </c>
      <c r="AS149" s="51">
        <f t="shared" si="87"/>
        <v>0.20109090909090907</v>
      </c>
      <c r="AT149" s="51">
        <f t="shared" si="88"/>
        <v>4.1575757575757571E-2</v>
      </c>
      <c r="AU149" s="51">
        <f t="shared" si="96"/>
        <v>0.24266666666666664</v>
      </c>
      <c r="AV149" s="52">
        <f t="shared" si="89"/>
        <v>194.96342693955256</v>
      </c>
      <c r="AW149" s="52">
        <f t="shared" si="90"/>
        <v>40.308894177375848</v>
      </c>
      <c r="AX149" s="15">
        <f t="shared" si="91"/>
        <v>0.19496342693955257</v>
      </c>
      <c r="AY149" s="15">
        <f t="shared" si="92"/>
        <v>4.0308894177375848E-2</v>
      </c>
      <c r="AZ149" s="15">
        <f t="shared" si="93"/>
        <v>0.23527232111692842</v>
      </c>
      <c r="BA149" s="61">
        <f t="shared" si="97"/>
        <v>14.542931937172776</v>
      </c>
      <c r="BB149" s="61">
        <v>3</v>
      </c>
      <c r="BC149" s="61">
        <f t="shared" si="98"/>
        <v>5.8171727748691096</v>
      </c>
      <c r="BD149" s="61">
        <v>9</v>
      </c>
      <c r="BE149" s="61">
        <f t="shared" si="99"/>
        <v>0</v>
      </c>
      <c r="BF149" s="61"/>
      <c r="BG149" s="61">
        <v>0</v>
      </c>
      <c r="BH149" s="61"/>
      <c r="BI149" s="56">
        <f t="shared" si="100"/>
        <v>32.360104712041888</v>
      </c>
      <c r="BJ149" s="57">
        <f t="shared" si="101"/>
        <v>0.12936878511668096</v>
      </c>
      <c r="BK149" s="58">
        <f t="shared" si="102"/>
        <v>8.9504754781493751E-2</v>
      </c>
    </row>
    <row r="150" spans="1:63" ht="17.25" customHeight="1" x14ac:dyDescent="0.3">
      <c r="A150" s="41">
        <v>149</v>
      </c>
      <c r="B150" s="42">
        <v>46270</v>
      </c>
      <c r="C150" s="43" t="str">
        <f t="shared" si="72"/>
        <v>Sep-26</v>
      </c>
      <c r="D150" s="43" t="s">
        <v>68</v>
      </c>
      <c r="E150" s="43" t="s">
        <v>35</v>
      </c>
      <c r="F150" s="43" t="s">
        <v>41</v>
      </c>
      <c r="G150" s="14" t="s">
        <v>242</v>
      </c>
      <c r="H150" s="14" t="s">
        <v>60</v>
      </c>
      <c r="I150" s="14" t="s">
        <v>60</v>
      </c>
      <c r="J150" s="44" t="s">
        <v>60</v>
      </c>
      <c r="K150" s="44">
        <v>2026</v>
      </c>
      <c r="L150" s="44">
        <v>147</v>
      </c>
      <c r="M150" s="45">
        <v>1000</v>
      </c>
      <c r="N150" s="45">
        <v>175</v>
      </c>
      <c r="O150" s="45">
        <v>7.5</v>
      </c>
      <c r="P150" s="46">
        <f t="shared" si="74"/>
        <v>287</v>
      </c>
      <c r="Q150" s="45">
        <v>7.29</v>
      </c>
      <c r="R150" s="46">
        <v>236</v>
      </c>
      <c r="S150" s="46">
        <v>12</v>
      </c>
      <c r="T150" s="46">
        <v>3</v>
      </c>
      <c r="U150" s="46">
        <v>36</v>
      </c>
      <c r="V150" s="46"/>
      <c r="W150" s="46"/>
      <c r="X150" s="46">
        <v>12</v>
      </c>
      <c r="Y150" s="46">
        <v>4</v>
      </c>
      <c r="Z150" s="46">
        <f t="shared" si="94"/>
        <v>42.945608</v>
      </c>
      <c r="AA150" s="46">
        <f t="shared" si="95"/>
        <v>44.268368000000002</v>
      </c>
      <c r="AB150" s="46">
        <f t="shared" si="103"/>
        <v>50.617616000000005</v>
      </c>
      <c r="AC150" s="46">
        <f t="shared" si="71"/>
        <v>236</v>
      </c>
      <c r="AD150" s="46">
        <f>228-36</f>
        <v>192</v>
      </c>
      <c r="AE150" s="46">
        <v>36</v>
      </c>
      <c r="AF150" s="59">
        <f t="shared" si="73"/>
        <v>-8</v>
      </c>
      <c r="AG150" s="46">
        <f t="shared" si="75"/>
        <v>11</v>
      </c>
      <c r="AH150" s="47">
        <f t="shared" si="76"/>
        <v>13.326218144865996</v>
      </c>
      <c r="AI150" s="47">
        <f t="shared" si="77"/>
        <v>15</v>
      </c>
      <c r="AJ150" s="47">
        <f t="shared" si="78"/>
        <v>36</v>
      </c>
      <c r="AK150" s="47">
        <f t="shared" si="79"/>
        <v>243.5</v>
      </c>
      <c r="AL150" s="48">
        <f t="shared" si="80"/>
        <v>0.24349999999999999</v>
      </c>
      <c r="AM150" s="46">
        <f t="shared" si="81"/>
        <v>42.907488986784138</v>
      </c>
      <c r="AN150" s="46">
        <f t="shared" si="82"/>
        <v>15.789473684210527</v>
      </c>
      <c r="AO150" s="46">
        <f t="shared" si="83"/>
        <v>198.73684210526318</v>
      </c>
      <c r="AP150" s="46">
        <f t="shared" si="84"/>
        <v>42.947368421052637</v>
      </c>
      <c r="AQ150" s="49">
        <f t="shared" si="85"/>
        <v>0.77586683573217419</v>
      </c>
      <c r="AR150" s="50">
        <f t="shared" si="86"/>
        <v>0.22413316426782581</v>
      </c>
      <c r="AS150" s="51">
        <f t="shared" si="87"/>
        <v>0.19873684210526318</v>
      </c>
      <c r="AT150" s="51">
        <f t="shared" si="88"/>
        <v>4.2947368421052637E-2</v>
      </c>
      <c r="AU150" s="51">
        <f t="shared" si="96"/>
        <v>0.24168421052631583</v>
      </c>
      <c r="AV150" s="52">
        <f t="shared" si="89"/>
        <v>192.93081289611462</v>
      </c>
      <c r="AW150" s="52">
        <f t="shared" si="90"/>
        <v>41.692675668228162</v>
      </c>
      <c r="AX150" s="15">
        <f t="shared" si="91"/>
        <v>0.19293081289611461</v>
      </c>
      <c r="AY150" s="15">
        <f t="shared" si="92"/>
        <v>4.1692675668228159E-2</v>
      </c>
      <c r="AZ150" s="15">
        <f t="shared" si="93"/>
        <v>0.23462348856434276</v>
      </c>
      <c r="BA150" s="61">
        <f t="shared" si="97"/>
        <v>11.649424083769633</v>
      </c>
      <c r="BB150" s="61">
        <v>3</v>
      </c>
      <c r="BC150" s="61">
        <f t="shared" si="98"/>
        <v>2.9123560209424082</v>
      </c>
      <c r="BD150" s="61">
        <v>8</v>
      </c>
      <c r="BE150" s="61">
        <f t="shared" si="99"/>
        <v>0</v>
      </c>
      <c r="BF150" s="61"/>
      <c r="BG150" s="61">
        <v>0</v>
      </c>
      <c r="BH150" s="61"/>
      <c r="BI150" s="56">
        <f t="shared" si="100"/>
        <v>25.561780104712042</v>
      </c>
      <c r="BJ150" s="57">
        <f t="shared" si="101"/>
        <v>0.10490451096058008</v>
      </c>
      <c r="BK150" s="58">
        <f t="shared" si="102"/>
        <v>7.6299083769633499E-2</v>
      </c>
    </row>
    <row r="151" spans="1:63" ht="17.25" customHeight="1" x14ac:dyDescent="0.3">
      <c r="A151" s="41">
        <v>150</v>
      </c>
      <c r="B151" s="42">
        <v>46270</v>
      </c>
      <c r="C151" s="43" t="str">
        <f t="shared" si="72"/>
        <v>Sep-26</v>
      </c>
      <c r="D151" s="43" t="s">
        <v>68</v>
      </c>
      <c r="E151" s="43" t="s">
        <v>35</v>
      </c>
      <c r="F151" s="43" t="s">
        <v>41</v>
      </c>
      <c r="G151" s="14" t="s">
        <v>242</v>
      </c>
      <c r="H151" s="14" t="s">
        <v>60</v>
      </c>
      <c r="I151" s="14" t="s">
        <v>60</v>
      </c>
      <c r="J151" s="44" t="s">
        <v>60</v>
      </c>
      <c r="K151" s="44">
        <v>2026</v>
      </c>
      <c r="L151" s="44">
        <v>147</v>
      </c>
      <c r="M151" s="45">
        <v>1000</v>
      </c>
      <c r="N151" s="45">
        <v>175</v>
      </c>
      <c r="O151" s="45">
        <v>7.5</v>
      </c>
      <c r="P151" s="46">
        <f t="shared" si="74"/>
        <v>288</v>
      </c>
      <c r="Q151" s="45">
        <v>7.29</v>
      </c>
      <c r="R151" s="46">
        <v>229</v>
      </c>
      <c r="S151" s="46">
        <v>12</v>
      </c>
      <c r="T151" s="46">
        <v>8</v>
      </c>
      <c r="U151" s="46">
        <v>39</v>
      </c>
      <c r="V151" s="46"/>
      <c r="W151" s="46"/>
      <c r="X151" s="46">
        <v>25</v>
      </c>
      <c r="Y151" s="46">
        <v>6</v>
      </c>
      <c r="Z151" s="46">
        <f t="shared" si="94"/>
        <v>42.151952000000001</v>
      </c>
      <c r="AA151" s="46">
        <f t="shared" si="95"/>
        <v>43.915632000000002</v>
      </c>
      <c r="AB151" s="46">
        <f t="shared" si="103"/>
        <v>50.793984000000002</v>
      </c>
      <c r="AC151" s="46">
        <f t="shared" si="71"/>
        <v>229</v>
      </c>
      <c r="AD151" s="46">
        <f>221-36</f>
        <v>185</v>
      </c>
      <c r="AE151" s="46">
        <v>36</v>
      </c>
      <c r="AF151" s="59">
        <f t="shared" si="73"/>
        <v>-8</v>
      </c>
      <c r="AG151" s="46">
        <f t="shared" si="75"/>
        <v>14</v>
      </c>
      <c r="AH151" s="47">
        <f t="shared" si="76"/>
        <v>17.033897850105255</v>
      </c>
      <c r="AI151" s="47">
        <f t="shared" si="77"/>
        <v>20</v>
      </c>
      <c r="AJ151" s="47">
        <f t="shared" si="78"/>
        <v>39</v>
      </c>
      <c r="AK151" s="47">
        <f t="shared" si="79"/>
        <v>239</v>
      </c>
      <c r="AL151" s="48">
        <f t="shared" si="80"/>
        <v>0.23899999999999999</v>
      </c>
      <c r="AM151" s="46">
        <f t="shared" si="81"/>
        <v>42.114537444933923</v>
      </c>
      <c r="AN151" s="46">
        <f t="shared" si="82"/>
        <v>16.289592760180994</v>
      </c>
      <c r="AO151" s="46">
        <f t="shared" si="83"/>
        <v>191.69683257918552</v>
      </c>
      <c r="AP151" s="46">
        <f t="shared" si="84"/>
        <v>49.389140271493211</v>
      </c>
      <c r="AQ151" s="49">
        <f t="shared" si="85"/>
        <v>0.73599341024269005</v>
      </c>
      <c r="AR151" s="50">
        <f t="shared" si="86"/>
        <v>0.26400658975730995</v>
      </c>
      <c r="AS151" s="51">
        <f t="shared" si="87"/>
        <v>0.19169683257918552</v>
      </c>
      <c r="AT151" s="51">
        <f t="shared" si="88"/>
        <v>4.9389140271493208E-2</v>
      </c>
      <c r="AU151" s="51">
        <f t="shared" si="96"/>
        <v>0.24108597285067873</v>
      </c>
      <c r="AV151" s="52">
        <f t="shared" si="89"/>
        <v>186.09647485252657</v>
      </c>
      <c r="AW151" s="52">
        <f t="shared" si="90"/>
        <v>47.946253346284138</v>
      </c>
      <c r="AX151" s="15">
        <f t="shared" si="91"/>
        <v>0.18609647485252656</v>
      </c>
      <c r="AY151" s="15">
        <f t="shared" si="92"/>
        <v>4.7946253346284134E-2</v>
      </c>
      <c r="AZ151" s="15">
        <f t="shared" si="93"/>
        <v>0.2340427281988107</v>
      </c>
      <c r="BA151" s="61">
        <f t="shared" si="97"/>
        <v>11.649424083769633</v>
      </c>
      <c r="BB151" s="61">
        <v>2</v>
      </c>
      <c r="BC151" s="61">
        <f t="shared" si="98"/>
        <v>7.7662827225130888</v>
      </c>
      <c r="BD151" s="61">
        <v>12</v>
      </c>
      <c r="BE151" s="61">
        <f t="shared" si="99"/>
        <v>0</v>
      </c>
      <c r="BF151" s="61"/>
      <c r="BG151" s="61">
        <v>0</v>
      </c>
      <c r="BH151" s="61"/>
      <c r="BI151" s="56">
        <f t="shared" si="100"/>
        <v>33.415706806282721</v>
      </c>
      <c r="BJ151" s="57">
        <f t="shared" si="101"/>
        <v>0.13823820792825062</v>
      </c>
      <c r="BK151" s="58">
        <f t="shared" si="102"/>
        <v>7.3780670723079089E-2</v>
      </c>
    </row>
    <row r="152" spans="1:63" ht="17.25" customHeight="1" x14ac:dyDescent="0.3">
      <c r="A152" s="41">
        <v>151</v>
      </c>
      <c r="B152" s="42">
        <v>46272</v>
      </c>
      <c r="C152" s="43" t="str">
        <f t="shared" si="72"/>
        <v>Sep-26</v>
      </c>
      <c r="D152" s="43" t="s">
        <v>68</v>
      </c>
      <c r="E152" s="43" t="s">
        <v>35</v>
      </c>
      <c r="F152" s="43" t="s">
        <v>41</v>
      </c>
      <c r="G152" s="14" t="s">
        <v>242</v>
      </c>
      <c r="H152" s="14" t="s">
        <v>60</v>
      </c>
      <c r="I152" s="14" t="s">
        <v>60</v>
      </c>
      <c r="J152" s="44" t="s">
        <v>60</v>
      </c>
      <c r="K152" s="44">
        <v>2026</v>
      </c>
      <c r="L152" s="44">
        <v>148</v>
      </c>
      <c r="M152" s="45">
        <v>1000</v>
      </c>
      <c r="N152" s="45">
        <v>187</v>
      </c>
      <c r="O152" s="45">
        <v>7.6</v>
      </c>
      <c r="P152" s="46">
        <f t="shared" si="74"/>
        <v>290</v>
      </c>
      <c r="Q152" s="45">
        <v>6.61</v>
      </c>
      <c r="R152" s="46">
        <v>240</v>
      </c>
      <c r="S152" s="46">
        <v>15</v>
      </c>
      <c r="T152" s="46">
        <v>7</v>
      </c>
      <c r="U152" s="46">
        <v>28</v>
      </c>
      <c r="V152" s="46"/>
      <c r="W152" s="46"/>
      <c r="X152" s="46">
        <v>27</v>
      </c>
      <c r="Y152" s="46">
        <v>2</v>
      </c>
      <c r="Z152" s="46">
        <f t="shared" si="94"/>
        <v>44.268368000000002</v>
      </c>
      <c r="AA152" s="46">
        <f t="shared" si="95"/>
        <v>46.208416000000007</v>
      </c>
      <c r="AB152" s="46">
        <f t="shared" si="103"/>
        <v>51.146720000000002</v>
      </c>
      <c r="AC152" s="46">
        <f t="shared" si="71"/>
        <v>240</v>
      </c>
      <c r="AD152" s="46">
        <f>232-40</f>
        <v>192</v>
      </c>
      <c r="AE152" s="46">
        <v>40</v>
      </c>
      <c r="AF152" s="59">
        <f t="shared" si="73"/>
        <v>-8</v>
      </c>
      <c r="AG152" s="46">
        <f t="shared" si="75"/>
        <v>11</v>
      </c>
      <c r="AH152" s="47">
        <f t="shared" si="76"/>
        <v>13.395069249827381</v>
      </c>
      <c r="AI152" s="47">
        <f t="shared" si="77"/>
        <v>22</v>
      </c>
      <c r="AJ152" s="47">
        <f t="shared" si="78"/>
        <v>28</v>
      </c>
      <c r="AK152" s="47">
        <f t="shared" si="79"/>
        <v>251</v>
      </c>
      <c r="AL152" s="48">
        <f t="shared" si="80"/>
        <v>0.251</v>
      </c>
      <c r="AM152" s="46">
        <f t="shared" si="81"/>
        <v>44.229074889867839</v>
      </c>
      <c r="AN152" s="46">
        <f t="shared" si="82"/>
        <v>17.241379310344829</v>
      </c>
      <c r="AO152" s="46">
        <f t="shared" si="83"/>
        <v>198.62068965517241</v>
      </c>
      <c r="AP152" s="46">
        <f t="shared" si="84"/>
        <v>41.379310344827587</v>
      </c>
      <c r="AQ152" s="49">
        <f t="shared" si="85"/>
        <v>0.7813963129316297</v>
      </c>
      <c r="AR152" s="50">
        <f t="shared" si="86"/>
        <v>0.21860368706837027</v>
      </c>
      <c r="AS152" s="51">
        <f t="shared" si="87"/>
        <v>0.19862068965517241</v>
      </c>
      <c r="AT152" s="51">
        <f t="shared" si="88"/>
        <v>4.1379310344827586E-2</v>
      </c>
      <c r="AU152" s="51">
        <f t="shared" si="96"/>
        <v>0.24</v>
      </c>
      <c r="AV152" s="52">
        <f t="shared" si="89"/>
        <v>194.23231630258169</v>
      </c>
      <c r="AW152" s="52">
        <f t="shared" si="90"/>
        <v>40.465065896371186</v>
      </c>
      <c r="AX152" s="15">
        <f t="shared" si="91"/>
        <v>0.1942323163025817</v>
      </c>
      <c r="AY152" s="15">
        <f t="shared" si="92"/>
        <v>4.0465065896371187E-2</v>
      </c>
      <c r="AZ152" s="15">
        <f t="shared" si="93"/>
        <v>0.23469738219895289</v>
      </c>
      <c r="BA152" s="61">
        <f t="shared" si="97"/>
        <v>14.668586387434553</v>
      </c>
      <c r="BB152" s="61">
        <v>3</v>
      </c>
      <c r="BC152" s="61">
        <f t="shared" si="98"/>
        <v>6.8453403141361262</v>
      </c>
      <c r="BD152" s="61">
        <v>8</v>
      </c>
      <c r="BE152" s="61">
        <f t="shared" si="99"/>
        <v>0</v>
      </c>
      <c r="BF152" s="61"/>
      <c r="BG152" s="61">
        <v>0</v>
      </c>
      <c r="BH152" s="61"/>
      <c r="BI152" s="56">
        <f t="shared" si="100"/>
        <v>32.513926701570682</v>
      </c>
      <c r="BJ152" s="57">
        <f t="shared" si="101"/>
        <v>0.12690277740314154</v>
      </c>
      <c r="BK152" s="58">
        <f t="shared" si="102"/>
        <v>9.202388743455496E-2</v>
      </c>
    </row>
    <row r="153" spans="1:63" ht="17.25" customHeight="1" x14ac:dyDescent="0.3">
      <c r="A153" s="41">
        <v>152</v>
      </c>
      <c r="B153" s="42">
        <v>46272</v>
      </c>
      <c r="C153" s="43" t="str">
        <f t="shared" si="72"/>
        <v>Sep-26</v>
      </c>
      <c r="D153" s="43" t="s">
        <v>68</v>
      </c>
      <c r="E153" s="43" t="s">
        <v>35</v>
      </c>
      <c r="F153" s="43" t="s">
        <v>41</v>
      </c>
      <c r="G153" s="14" t="s">
        <v>242</v>
      </c>
      <c r="H153" s="14" t="s">
        <v>60</v>
      </c>
      <c r="I153" s="14" t="s">
        <v>60</v>
      </c>
      <c r="J153" s="44" t="s">
        <v>60</v>
      </c>
      <c r="K153" s="44">
        <v>2026</v>
      </c>
      <c r="L153" s="44">
        <v>148</v>
      </c>
      <c r="M153" s="45">
        <v>1000</v>
      </c>
      <c r="N153" s="45">
        <v>183</v>
      </c>
      <c r="O153" s="45">
        <v>7.6</v>
      </c>
      <c r="P153" s="46">
        <f t="shared" si="74"/>
        <v>288</v>
      </c>
      <c r="Q153" s="45">
        <v>6.61</v>
      </c>
      <c r="R153" s="46">
        <v>238</v>
      </c>
      <c r="S153" s="46">
        <v>9</v>
      </c>
      <c r="T153" s="46">
        <v>5</v>
      </c>
      <c r="U153" s="46">
        <v>36</v>
      </c>
      <c r="V153" s="46"/>
      <c r="W153" s="46"/>
      <c r="X153" s="46">
        <v>24</v>
      </c>
      <c r="Y153" s="46">
        <v>2</v>
      </c>
      <c r="Z153" s="46">
        <f t="shared" si="94"/>
        <v>43.210160000000002</v>
      </c>
      <c r="AA153" s="46">
        <f t="shared" si="95"/>
        <v>44.444736000000006</v>
      </c>
      <c r="AB153" s="46">
        <f t="shared" si="103"/>
        <v>50.793984000000002</v>
      </c>
      <c r="AC153" s="46">
        <f t="shared" si="71"/>
        <v>238</v>
      </c>
      <c r="AD153" s="46">
        <f>225-38</f>
        <v>187</v>
      </c>
      <c r="AE153" s="46">
        <v>38</v>
      </c>
      <c r="AF153" s="59">
        <f t="shared" si="73"/>
        <v>-13</v>
      </c>
      <c r="AG153" s="46">
        <f t="shared" si="75"/>
        <v>12</v>
      </c>
      <c r="AH153" s="47">
        <f t="shared" si="76"/>
        <v>14.568868901024377</v>
      </c>
      <c r="AI153" s="47">
        <f t="shared" si="77"/>
        <v>14</v>
      </c>
      <c r="AJ153" s="47">
        <f t="shared" si="78"/>
        <v>36</v>
      </c>
      <c r="AK153" s="47">
        <f t="shared" si="79"/>
        <v>245</v>
      </c>
      <c r="AL153" s="48">
        <f t="shared" si="80"/>
        <v>0.245</v>
      </c>
      <c r="AM153" s="46">
        <f t="shared" si="81"/>
        <v>43.171806167400881</v>
      </c>
      <c r="AN153" s="46">
        <f t="shared" si="82"/>
        <v>16.888888888888889</v>
      </c>
      <c r="AO153" s="46">
        <f t="shared" si="83"/>
        <v>197.80444444444444</v>
      </c>
      <c r="AP153" s="46">
        <f t="shared" si="84"/>
        <v>41.555555555555557</v>
      </c>
      <c r="AQ153" s="49">
        <f t="shared" si="85"/>
        <v>0.77580253853810976</v>
      </c>
      <c r="AR153" s="50">
        <f t="shared" si="86"/>
        <v>0.22419746146189018</v>
      </c>
      <c r="AS153" s="51">
        <f t="shared" si="87"/>
        <v>0.19780444444444445</v>
      </c>
      <c r="AT153" s="51">
        <f t="shared" si="88"/>
        <v>4.1555555555555554E-2</v>
      </c>
      <c r="AU153" s="51">
        <f t="shared" si="96"/>
        <v>0.23936000000000002</v>
      </c>
      <c r="AV153" s="52">
        <f t="shared" si="89"/>
        <v>193.43410541012216</v>
      </c>
      <c r="AW153" s="52">
        <f t="shared" si="90"/>
        <v>40.637417102966843</v>
      </c>
      <c r="AX153" s="15">
        <f t="shared" si="91"/>
        <v>0.19343410541012215</v>
      </c>
      <c r="AY153" s="15">
        <f t="shared" si="92"/>
        <v>4.0637417102966845E-2</v>
      </c>
      <c r="AZ153" s="15">
        <f t="shared" si="93"/>
        <v>0.23407152251308899</v>
      </c>
      <c r="BA153" s="61">
        <f t="shared" si="97"/>
        <v>8.8011518324607323</v>
      </c>
      <c r="BB153" s="61">
        <v>2</v>
      </c>
      <c r="BC153" s="61">
        <f t="shared" si="98"/>
        <v>4.8895287958115183</v>
      </c>
      <c r="BD153" s="61">
        <v>10</v>
      </c>
      <c r="BE153" s="61">
        <f t="shared" si="99"/>
        <v>0</v>
      </c>
      <c r="BF153" s="61"/>
      <c r="BG153" s="61">
        <v>0</v>
      </c>
      <c r="BH153" s="61"/>
      <c r="BI153" s="56">
        <f t="shared" si="100"/>
        <v>25.690680628272251</v>
      </c>
      <c r="BJ153" s="57">
        <f t="shared" si="101"/>
        <v>0.10425048057556892</v>
      </c>
      <c r="BK153" s="58">
        <f t="shared" si="102"/>
        <v>5.7760170227062736E-2</v>
      </c>
    </row>
    <row r="154" spans="1:63" ht="17.25" customHeight="1" x14ac:dyDescent="0.3">
      <c r="A154" s="41">
        <v>153</v>
      </c>
      <c r="B154" s="42">
        <v>46273</v>
      </c>
      <c r="C154" s="43" t="str">
        <f t="shared" si="72"/>
        <v>Sep-26</v>
      </c>
      <c r="D154" s="43" t="s">
        <v>68</v>
      </c>
      <c r="E154" s="43" t="s">
        <v>35</v>
      </c>
      <c r="F154" s="43" t="s">
        <v>41</v>
      </c>
      <c r="G154" s="14" t="s">
        <v>110</v>
      </c>
      <c r="H154" s="14" t="s">
        <v>60</v>
      </c>
      <c r="I154" s="14" t="s">
        <v>60</v>
      </c>
      <c r="J154" s="44" t="s">
        <v>60</v>
      </c>
      <c r="K154" s="44">
        <v>2026</v>
      </c>
      <c r="L154" s="44">
        <v>149</v>
      </c>
      <c r="M154" s="45">
        <v>1000</v>
      </c>
      <c r="N154" s="45">
        <v>180</v>
      </c>
      <c r="O154" s="45">
        <v>7.4</v>
      </c>
      <c r="P154" s="46">
        <f t="shared" si="74"/>
        <v>291</v>
      </c>
      <c r="Q154" s="45">
        <v>6.64</v>
      </c>
      <c r="R154" s="46">
        <v>252</v>
      </c>
      <c r="S154" s="46">
        <v>12</v>
      </c>
      <c r="T154" s="46">
        <v>5</v>
      </c>
      <c r="U154" s="46">
        <v>20</v>
      </c>
      <c r="V154" s="46"/>
      <c r="W154" s="46">
        <v>2</v>
      </c>
      <c r="X154" s="46">
        <v>18</v>
      </c>
      <c r="Y154" s="46">
        <v>2</v>
      </c>
      <c r="Z154" s="46">
        <f t="shared" si="94"/>
        <v>45.943864000000005</v>
      </c>
      <c r="AA154" s="46">
        <f t="shared" si="95"/>
        <v>47.442992000000004</v>
      </c>
      <c r="AB154" s="46">
        <f t="shared" si="103"/>
        <v>51.323088000000006</v>
      </c>
      <c r="AC154" s="46">
        <f t="shared" si="71"/>
        <v>252</v>
      </c>
      <c r="AD154" s="46">
        <f>244-36</f>
        <v>208</v>
      </c>
      <c r="AE154" s="46">
        <v>36</v>
      </c>
      <c r="AF154" s="59">
        <f t="shared" si="73"/>
        <v>-8</v>
      </c>
      <c r="AG154" s="46">
        <f t="shared" si="75"/>
        <v>16</v>
      </c>
      <c r="AH154" s="47">
        <f t="shared" si="76"/>
        <v>19.07651677974911</v>
      </c>
      <c r="AI154" s="47">
        <f t="shared" si="77"/>
        <v>17</v>
      </c>
      <c r="AJ154" s="47">
        <f t="shared" si="78"/>
        <v>22</v>
      </c>
      <c r="AK154" s="47">
        <f t="shared" si="79"/>
        <v>260.5</v>
      </c>
      <c r="AL154" s="48">
        <f t="shared" si="80"/>
        <v>0.26050000000000001</v>
      </c>
      <c r="AM154" s="46">
        <f t="shared" si="81"/>
        <v>45.903083700440526</v>
      </c>
      <c r="AN154" s="46">
        <f t="shared" si="82"/>
        <v>14.754098360655737</v>
      </c>
      <c r="AO154" s="46">
        <f t="shared" si="83"/>
        <v>214.81967213114757</v>
      </c>
      <c r="AP154" s="46">
        <f t="shared" si="84"/>
        <v>33.245901639344268</v>
      </c>
      <c r="AQ154" s="49">
        <f t="shared" si="85"/>
        <v>0.80042434096306148</v>
      </c>
      <c r="AR154" s="50">
        <f t="shared" si="86"/>
        <v>0.19957565903693852</v>
      </c>
      <c r="AS154" s="51">
        <f t="shared" si="87"/>
        <v>0.21481967213114758</v>
      </c>
      <c r="AT154" s="51">
        <f t="shared" si="88"/>
        <v>3.3245901639344266E-2</v>
      </c>
      <c r="AU154" s="51">
        <f t="shared" si="96"/>
        <v>0.24806557377049185</v>
      </c>
      <c r="AV154" s="52">
        <f t="shared" si="89"/>
        <v>210.0059119388894</v>
      </c>
      <c r="AW154" s="52">
        <f t="shared" si="90"/>
        <v>32.500914942923359</v>
      </c>
      <c r="AX154" s="15">
        <f t="shared" si="91"/>
        <v>0.2100059119388894</v>
      </c>
      <c r="AY154" s="15">
        <f t="shared" si="92"/>
        <v>3.2500914942923356E-2</v>
      </c>
      <c r="AZ154" s="15">
        <f t="shared" si="93"/>
        <v>0.24250682688181274</v>
      </c>
      <c r="BA154" s="61">
        <f t="shared" si="97"/>
        <v>11.731099476439789</v>
      </c>
      <c r="BB154" s="61">
        <v>4</v>
      </c>
      <c r="BC154" s="61">
        <f t="shared" si="98"/>
        <v>4.8879581151832463</v>
      </c>
      <c r="BD154" s="61">
        <v>12</v>
      </c>
      <c r="BE154" s="61">
        <f t="shared" si="99"/>
        <v>1.9551832460732985</v>
      </c>
      <c r="BF154" s="61"/>
      <c r="BG154" s="61">
        <v>0</v>
      </c>
      <c r="BH154" s="61"/>
      <c r="BI154" s="56">
        <f t="shared" si="100"/>
        <v>34.57424083769633</v>
      </c>
      <c r="BJ154" s="57">
        <f t="shared" si="101"/>
        <v>0.13147491582330698</v>
      </c>
      <c r="BK154" s="58">
        <f t="shared" si="102"/>
        <v>7.563028594442206E-2</v>
      </c>
    </row>
    <row r="155" spans="1:63" ht="17.25" customHeight="1" x14ac:dyDescent="0.3">
      <c r="A155" s="41">
        <v>154</v>
      </c>
      <c r="B155" s="42">
        <v>46273</v>
      </c>
      <c r="C155" s="43" t="str">
        <f t="shared" si="72"/>
        <v>Sep-26</v>
      </c>
      <c r="D155" s="43" t="s">
        <v>68</v>
      </c>
      <c r="E155" s="43" t="s">
        <v>35</v>
      </c>
      <c r="F155" s="43" t="s">
        <v>41</v>
      </c>
      <c r="G155" s="14" t="s">
        <v>110</v>
      </c>
      <c r="H155" s="14" t="s">
        <v>60</v>
      </c>
      <c r="I155" s="14" t="s">
        <v>60</v>
      </c>
      <c r="J155" s="44" t="s">
        <v>60</v>
      </c>
      <c r="K155" s="44">
        <v>2026</v>
      </c>
      <c r="L155" s="44">
        <v>149</v>
      </c>
      <c r="M155" s="45">
        <v>1000</v>
      </c>
      <c r="N155" s="45">
        <v>182</v>
      </c>
      <c r="O155" s="45">
        <v>7.4</v>
      </c>
      <c r="P155" s="46">
        <f t="shared" si="74"/>
        <v>298</v>
      </c>
      <c r="Q155" s="45">
        <v>6.64</v>
      </c>
      <c r="R155" s="46">
        <v>248</v>
      </c>
      <c r="S155" s="46">
        <v>11</v>
      </c>
      <c r="T155" s="46">
        <v>10</v>
      </c>
      <c r="U155" s="46">
        <v>29</v>
      </c>
      <c r="V155" s="46"/>
      <c r="W155" s="46"/>
      <c r="X155" s="46">
        <v>24</v>
      </c>
      <c r="Y155" s="46">
        <v>4</v>
      </c>
      <c r="Z155" s="46">
        <f t="shared" si="94"/>
        <v>45.591128000000005</v>
      </c>
      <c r="AA155" s="46">
        <f t="shared" si="95"/>
        <v>47.442992000000004</v>
      </c>
      <c r="AB155" s="46">
        <f t="shared" si="103"/>
        <v>52.557664000000003</v>
      </c>
      <c r="AC155" s="46">
        <f t="shared" si="71"/>
        <v>248</v>
      </c>
      <c r="AD155" s="46">
        <f>242-40</f>
        <v>202</v>
      </c>
      <c r="AE155" s="46">
        <v>40</v>
      </c>
      <c r="AF155" s="59">
        <f t="shared" si="73"/>
        <v>-6</v>
      </c>
      <c r="AG155" s="46">
        <f t="shared" si="75"/>
        <v>9</v>
      </c>
      <c r="AH155" s="47">
        <f t="shared" si="76"/>
        <v>10.896503006224904</v>
      </c>
      <c r="AI155" s="47">
        <f t="shared" si="77"/>
        <v>21</v>
      </c>
      <c r="AJ155" s="47">
        <f t="shared" si="78"/>
        <v>29</v>
      </c>
      <c r="AK155" s="47">
        <f t="shared" si="79"/>
        <v>258.5</v>
      </c>
      <c r="AL155" s="48">
        <f t="shared" si="80"/>
        <v>0.25850000000000001</v>
      </c>
      <c r="AM155" s="46">
        <f t="shared" si="81"/>
        <v>45.55066079295154</v>
      </c>
      <c r="AN155" s="46">
        <f t="shared" si="82"/>
        <v>16.528925619834713</v>
      </c>
      <c r="AO155" s="46">
        <f t="shared" si="83"/>
        <v>207.0082644628099</v>
      </c>
      <c r="AP155" s="46">
        <f t="shared" si="84"/>
        <v>41.735537190082646</v>
      </c>
      <c r="AQ155" s="49">
        <f t="shared" si="85"/>
        <v>0.79564931877105727</v>
      </c>
      <c r="AR155" s="50">
        <f t="shared" si="86"/>
        <v>0.20435068122894262</v>
      </c>
      <c r="AS155" s="51">
        <f t="shared" si="87"/>
        <v>0.2070082644628099</v>
      </c>
      <c r="AT155" s="51">
        <f t="shared" si="88"/>
        <v>4.1735537190082647E-2</v>
      </c>
      <c r="AU155" s="51">
        <f t="shared" si="96"/>
        <v>0.24874380165289256</v>
      </c>
      <c r="AV155" s="52">
        <f t="shared" si="89"/>
        <v>202.36954523819824</v>
      </c>
      <c r="AW155" s="52">
        <f t="shared" si="90"/>
        <v>40.800311539959324</v>
      </c>
      <c r="AX155" s="15">
        <f t="shared" si="91"/>
        <v>0.20236954523819825</v>
      </c>
      <c r="AY155" s="15">
        <f t="shared" si="92"/>
        <v>4.0800311539959326E-2</v>
      </c>
      <c r="AZ155" s="15">
        <f t="shared" si="93"/>
        <v>0.24316985677815758</v>
      </c>
      <c r="BA155" s="61">
        <f t="shared" si="97"/>
        <v>10.753507853403141</v>
      </c>
      <c r="BB155" s="61">
        <v>2</v>
      </c>
      <c r="BC155" s="61">
        <f t="shared" si="98"/>
        <v>9.7759162303664926</v>
      </c>
      <c r="BD155" s="61">
        <v>7</v>
      </c>
      <c r="BE155" s="61">
        <f t="shared" si="99"/>
        <v>0</v>
      </c>
      <c r="BF155" s="61"/>
      <c r="BG155" s="61">
        <v>0</v>
      </c>
      <c r="BH155" s="61"/>
      <c r="BI155" s="56">
        <f t="shared" si="100"/>
        <v>29.529424083769634</v>
      </c>
      <c r="BJ155" s="57">
        <f t="shared" si="101"/>
        <v>0.11229107137737598</v>
      </c>
      <c r="BK155" s="58">
        <f t="shared" si="102"/>
        <v>6.3136177492094755E-2</v>
      </c>
    </row>
    <row r="156" spans="1:63" ht="17.25" customHeight="1" x14ac:dyDescent="0.3">
      <c r="A156" s="41">
        <v>155</v>
      </c>
      <c r="B156" s="42">
        <v>46274</v>
      </c>
      <c r="C156" s="43" t="str">
        <f t="shared" si="72"/>
        <v>Sep-26</v>
      </c>
      <c r="D156" s="43" t="s">
        <v>68</v>
      </c>
      <c r="E156" s="43" t="s">
        <v>35</v>
      </c>
      <c r="F156" s="43" t="s">
        <v>41</v>
      </c>
      <c r="G156" s="14" t="s">
        <v>110</v>
      </c>
      <c r="H156" s="14" t="s">
        <v>60</v>
      </c>
      <c r="I156" s="14" t="s">
        <v>60</v>
      </c>
      <c r="J156" s="44" t="s">
        <v>60</v>
      </c>
      <c r="K156" s="44">
        <v>2026</v>
      </c>
      <c r="L156" s="44">
        <v>150</v>
      </c>
      <c r="M156" s="45">
        <v>1000</v>
      </c>
      <c r="N156" s="45">
        <v>177</v>
      </c>
      <c r="O156" s="45">
        <v>7.3</v>
      </c>
      <c r="P156" s="46">
        <f t="shared" si="74"/>
        <v>283</v>
      </c>
      <c r="Q156" s="45">
        <v>6.63</v>
      </c>
      <c r="R156" s="46">
        <v>238</v>
      </c>
      <c r="S156" s="46">
        <v>14</v>
      </c>
      <c r="T156" s="46">
        <v>7</v>
      </c>
      <c r="U156" s="46">
        <v>24</v>
      </c>
      <c r="V156" s="46"/>
      <c r="W156" s="46"/>
      <c r="X156" s="46">
        <v>29</v>
      </c>
      <c r="Y156" s="46">
        <v>2</v>
      </c>
      <c r="Z156" s="46">
        <f t="shared" si="94"/>
        <v>43.827448000000004</v>
      </c>
      <c r="AA156" s="46">
        <f t="shared" si="95"/>
        <v>45.679312000000003</v>
      </c>
      <c r="AB156" s="46">
        <f t="shared" si="103"/>
        <v>49.912143999999998</v>
      </c>
      <c r="AC156" s="46">
        <f t="shared" si="71"/>
        <v>238</v>
      </c>
      <c r="AD156" s="46">
        <f>232-41</f>
        <v>191</v>
      </c>
      <c r="AE156" s="46">
        <v>41</v>
      </c>
      <c r="AF156" s="59">
        <f t="shared" si="73"/>
        <v>-6</v>
      </c>
      <c r="AG156" s="46">
        <f t="shared" si="75"/>
        <v>10</v>
      </c>
      <c r="AH156" s="47">
        <f t="shared" si="76"/>
        <v>12.224723292204171</v>
      </c>
      <c r="AI156" s="47">
        <f t="shared" si="77"/>
        <v>21</v>
      </c>
      <c r="AJ156" s="47">
        <f t="shared" si="78"/>
        <v>24</v>
      </c>
      <c r="AK156" s="47">
        <f t="shared" si="79"/>
        <v>248.5</v>
      </c>
      <c r="AL156" s="48">
        <f t="shared" si="80"/>
        <v>0.2485</v>
      </c>
      <c r="AM156" s="46">
        <f t="shared" si="81"/>
        <v>43.78854625550661</v>
      </c>
      <c r="AN156" s="46">
        <f t="shared" si="82"/>
        <v>17.672413793103448</v>
      </c>
      <c r="AO156" s="46">
        <f t="shared" si="83"/>
        <v>195.93965517241381</v>
      </c>
      <c r="AP156" s="46">
        <f t="shared" si="84"/>
        <v>37.047413793103452</v>
      </c>
      <c r="AQ156" s="49">
        <f t="shared" si="85"/>
        <v>0.79779249720069201</v>
      </c>
      <c r="AR156" s="50">
        <f t="shared" si="86"/>
        <v>0.20220750279930805</v>
      </c>
      <c r="AS156" s="51">
        <f t="shared" si="87"/>
        <v>0.1959396551724138</v>
      </c>
      <c r="AT156" s="51">
        <f t="shared" si="88"/>
        <v>3.7047413793103452E-2</v>
      </c>
      <c r="AU156" s="51">
        <f t="shared" si="96"/>
        <v>0.23298706896551724</v>
      </c>
      <c r="AV156" s="52">
        <f t="shared" si="89"/>
        <v>191.56948275862072</v>
      </c>
      <c r="AW156" s="52">
        <f t="shared" si="90"/>
        <v>36.22112068965518</v>
      </c>
      <c r="AX156" s="15">
        <f t="shared" si="91"/>
        <v>0.19156948275862073</v>
      </c>
      <c r="AY156" s="15">
        <f t="shared" si="92"/>
        <v>3.6221120689655183E-2</v>
      </c>
      <c r="AZ156" s="15">
        <f t="shared" si="93"/>
        <v>0.22779060344827592</v>
      </c>
      <c r="BA156" s="61">
        <f t="shared" si="97"/>
        <v>13.687748691099477</v>
      </c>
      <c r="BB156" s="61">
        <v>2</v>
      </c>
      <c r="BC156" s="61">
        <f t="shared" si="98"/>
        <v>6.8438743455497386</v>
      </c>
      <c r="BD156" s="61">
        <v>8</v>
      </c>
      <c r="BE156" s="61">
        <f t="shared" si="99"/>
        <v>0</v>
      </c>
      <c r="BF156" s="61"/>
      <c r="BG156" s="61">
        <v>0</v>
      </c>
      <c r="BH156" s="61"/>
      <c r="BI156" s="56">
        <f t="shared" si="100"/>
        <v>30.531623036649215</v>
      </c>
      <c r="BJ156" s="57">
        <f t="shared" si="101"/>
        <v>0.12057190990467202</v>
      </c>
      <c r="BK156" s="58">
        <f t="shared" si="102"/>
        <v>8.2134809901044381E-2</v>
      </c>
    </row>
    <row r="157" spans="1:63" ht="17.25" customHeight="1" x14ac:dyDescent="0.3">
      <c r="A157" s="41">
        <v>156</v>
      </c>
      <c r="B157" s="42">
        <v>46274</v>
      </c>
      <c r="C157" s="43" t="str">
        <f t="shared" si="72"/>
        <v>Sep-26</v>
      </c>
      <c r="D157" s="43" t="s">
        <v>68</v>
      </c>
      <c r="E157" s="43" t="s">
        <v>35</v>
      </c>
      <c r="F157" s="43" t="s">
        <v>41</v>
      </c>
      <c r="G157" s="14" t="s">
        <v>110</v>
      </c>
      <c r="H157" s="14" t="s">
        <v>60</v>
      </c>
      <c r="I157" s="14" t="s">
        <v>60</v>
      </c>
      <c r="J157" s="44" t="s">
        <v>60</v>
      </c>
      <c r="K157" s="44">
        <v>2026</v>
      </c>
      <c r="L157" s="44">
        <v>150</v>
      </c>
      <c r="M157" s="45">
        <v>1000</v>
      </c>
      <c r="N157" s="45">
        <v>181</v>
      </c>
      <c r="O157" s="45">
        <v>7.3</v>
      </c>
      <c r="P157" s="46">
        <f t="shared" si="74"/>
        <v>289</v>
      </c>
      <c r="Q157" s="45">
        <v>6.63</v>
      </c>
      <c r="R157" s="46">
        <v>241</v>
      </c>
      <c r="S157" s="46">
        <v>8</v>
      </c>
      <c r="T157" s="46">
        <v>7</v>
      </c>
      <c r="U157" s="46">
        <v>31</v>
      </c>
      <c r="V157" s="46"/>
      <c r="W157" s="46">
        <v>2</v>
      </c>
      <c r="X157" s="46">
        <v>15</v>
      </c>
      <c r="Y157" s="46">
        <v>5</v>
      </c>
      <c r="Z157" s="46">
        <f t="shared" si="94"/>
        <v>43.827448000000004</v>
      </c>
      <c r="AA157" s="46">
        <f t="shared" si="95"/>
        <v>45.150207999999999</v>
      </c>
      <c r="AB157" s="46">
        <f t="shared" si="103"/>
        <v>50.970352000000005</v>
      </c>
      <c r="AC157" s="46">
        <f t="shared" si="71"/>
        <v>241</v>
      </c>
      <c r="AD157" s="46">
        <f>235-39</f>
        <v>196</v>
      </c>
      <c r="AE157" s="46">
        <v>39</v>
      </c>
      <c r="AF157" s="59">
        <f t="shared" si="73"/>
        <v>-6</v>
      </c>
      <c r="AG157" s="46">
        <f t="shared" si="75"/>
        <v>11</v>
      </c>
      <c r="AH157" s="47">
        <f t="shared" si="76"/>
        <v>13.324157606776058</v>
      </c>
      <c r="AI157" s="47">
        <f t="shared" si="77"/>
        <v>15</v>
      </c>
      <c r="AJ157" s="47">
        <f t="shared" si="78"/>
        <v>33</v>
      </c>
      <c r="AK157" s="47">
        <f t="shared" si="79"/>
        <v>248.5</v>
      </c>
      <c r="AL157" s="48">
        <f t="shared" si="80"/>
        <v>0.2485</v>
      </c>
      <c r="AM157" s="46">
        <f t="shared" si="81"/>
        <v>43.78854625550661</v>
      </c>
      <c r="AN157" s="46">
        <f t="shared" si="82"/>
        <v>16.595744680851062</v>
      </c>
      <c r="AO157" s="46">
        <f t="shared" si="83"/>
        <v>201.00425531914897</v>
      </c>
      <c r="AP157" s="46">
        <f t="shared" si="84"/>
        <v>40.034042553191497</v>
      </c>
      <c r="AQ157" s="49">
        <f t="shared" si="85"/>
        <v>0.7878056830215362</v>
      </c>
      <c r="AR157" s="50">
        <f t="shared" si="86"/>
        <v>0.21219431697846386</v>
      </c>
      <c r="AS157" s="51">
        <f t="shared" si="87"/>
        <v>0.20100425531914898</v>
      </c>
      <c r="AT157" s="51">
        <f t="shared" si="88"/>
        <v>4.0034042553191498E-2</v>
      </c>
      <c r="AU157" s="51">
        <f t="shared" si="96"/>
        <v>0.24103829787234049</v>
      </c>
      <c r="AV157" s="52">
        <f t="shared" si="89"/>
        <v>196.52112376072191</v>
      </c>
      <c r="AW157" s="52">
        <f t="shared" si="90"/>
        <v>39.141136682633409</v>
      </c>
      <c r="AX157" s="15">
        <f t="shared" si="91"/>
        <v>0.19652112376072189</v>
      </c>
      <c r="AY157" s="15">
        <f t="shared" si="92"/>
        <v>3.9141136682633408E-2</v>
      </c>
      <c r="AZ157" s="15">
        <f t="shared" si="93"/>
        <v>0.23566226044335531</v>
      </c>
      <c r="BA157" s="61">
        <f t="shared" si="97"/>
        <v>7.8215706806282723</v>
      </c>
      <c r="BB157" s="61">
        <v>2</v>
      </c>
      <c r="BC157" s="61">
        <f t="shared" si="98"/>
        <v>6.8438743455497386</v>
      </c>
      <c r="BD157" s="61">
        <v>9</v>
      </c>
      <c r="BE157" s="61">
        <f t="shared" si="99"/>
        <v>1.9553926701570681</v>
      </c>
      <c r="BF157" s="61"/>
      <c r="BG157" s="61">
        <v>0</v>
      </c>
      <c r="BH157" s="61"/>
      <c r="BI157" s="56">
        <f t="shared" si="100"/>
        <v>27.62083769633508</v>
      </c>
      <c r="BJ157" s="57">
        <f t="shared" si="101"/>
        <v>0.11035522317125415</v>
      </c>
      <c r="BK157" s="58">
        <f t="shared" si="102"/>
        <v>5.0110054493001391E-2</v>
      </c>
    </row>
    <row r="158" spans="1:63" ht="17.25" customHeight="1" x14ac:dyDescent="0.3">
      <c r="A158" s="41">
        <v>157</v>
      </c>
      <c r="B158" s="42">
        <v>46275</v>
      </c>
      <c r="C158" s="43" t="str">
        <f t="shared" si="72"/>
        <v>Sep-26</v>
      </c>
      <c r="D158" s="43" t="s">
        <v>68</v>
      </c>
      <c r="E158" s="43" t="s">
        <v>35</v>
      </c>
      <c r="F158" s="43" t="s">
        <v>41</v>
      </c>
      <c r="G158" s="14" t="s">
        <v>110</v>
      </c>
      <c r="H158" s="14" t="s">
        <v>60</v>
      </c>
      <c r="I158" s="14" t="s">
        <v>60</v>
      </c>
      <c r="J158" s="44" t="s">
        <v>60</v>
      </c>
      <c r="K158" s="44">
        <v>2026</v>
      </c>
      <c r="L158" s="44">
        <v>151</v>
      </c>
      <c r="M158" s="45">
        <v>1000</v>
      </c>
      <c r="N158" s="45">
        <v>184</v>
      </c>
      <c r="O158" s="45">
        <v>7.3</v>
      </c>
      <c r="P158" s="46">
        <f t="shared" si="74"/>
        <v>289</v>
      </c>
      <c r="Q158" s="45">
        <v>6.95</v>
      </c>
      <c r="R158" s="46">
        <v>250</v>
      </c>
      <c r="S158" s="46">
        <v>8</v>
      </c>
      <c r="T158" s="46">
        <v>4</v>
      </c>
      <c r="U158" s="46">
        <v>25</v>
      </c>
      <c r="V158" s="46"/>
      <c r="W158" s="46">
        <v>2</v>
      </c>
      <c r="X158" s="46">
        <v>12</v>
      </c>
      <c r="Y158" s="46">
        <v>3</v>
      </c>
      <c r="Z158" s="46">
        <f t="shared" si="94"/>
        <v>45.150207999999999</v>
      </c>
      <c r="AA158" s="46">
        <f t="shared" si="95"/>
        <v>46.208416000000007</v>
      </c>
      <c r="AB158" s="46">
        <f t="shared" si="103"/>
        <v>50.970352000000005</v>
      </c>
      <c r="AC158" s="46">
        <f t="shared" si="71"/>
        <v>250</v>
      </c>
      <c r="AD158" s="46">
        <f>244-39</f>
        <v>205</v>
      </c>
      <c r="AE158" s="46">
        <v>39</v>
      </c>
      <c r="AF158" s="59">
        <f t="shared" si="73"/>
        <v>-6</v>
      </c>
      <c r="AG158" s="46">
        <f t="shared" si="75"/>
        <v>11</v>
      </c>
      <c r="AH158" s="47">
        <f t="shared" si="76"/>
        <v>13.299785942689018</v>
      </c>
      <c r="AI158" s="47">
        <f t="shared" si="77"/>
        <v>12</v>
      </c>
      <c r="AJ158" s="47">
        <f t="shared" si="78"/>
        <v>27</v>
      </c>
      <c r="AK158" s="47">
        <f t="shared" si="79"/>
        <v>256</v>
      </c>
      <c r="AL158" s="48">
        <f t="shared" si="80"/>
        <v>0.25600000000000001</v>
      </c>
      <c r="AM158" s="46">
        <f t="shared" si="81"/>
        <v>45.110132158590311</v>
      </c>
      <c r="AN158" s="46">
        <f t="shared" si="82"/>
        <v>15.983606557377049</v>
      </c>
      <c r="AO158" s="46">
        <f t="shared" si="83"/>
        <v>210.0409836065574</v>
      </c>
      <c r="AP158" s="46">
        <f t="shared" si="84"/>
        <v>32.766393442622956</v>
      </c>
      <c r="AQ158" s="49">
        <f t="shared" si="85"/>
        <v>0.81903188255124904</v>
      </c>
      <c r="AR158" s="50">
        <f t="shared" si="86"/>
        <v>0.18096811744875094</v>
      </c>
      <c r="AS158" s="51">
        <f t="shared" si="87"/>
        <v>0.2100409836065574</v>
      </c>
      <c r="AT158" s="51">
        <f t="shared" si="88"/>
        <v>3.2766393442622957E-2</v>
      </c>
      <c r="AU158" s="51">
        <f t="shared" si="96"/>
        <v>0.24280737704918037</v>
      </c>
      <c r="AV158" s="52">
        <f t="shared" si="89"/>
        <v>204.6524976396876</v>
      </c>
      <c r="AW158" s="52">
        <f t="shared" si="90"/>
        <v>31.925789631791265</v>
      </c>
      <c r="AX158" s="15">
        <f t="shared" si="91"/>
        <v>0.2046524976396876</v>
      </c>
      <c r="AY158" s="15">
        <f t="shared" si="92"/>
        <v>3.1925789631791261E-2</v>
      </c>
      <c r="AZ158" s="15">
        <f t="shared" si="93"/>
        <v>0.23657828727147887</v>
      </c>
      <c r="BA158" s="61">
        <f t="shared" si="97"/>
        <v>7.7947643979057588</v>
      </c>
      <c r="BB158" s="61">
        <v>2</v>
      </c>
      <c r="BC158" s="61">
        <f t="shared" si="98"/>
        <v>3.8973821989528794</v>
      </c>
      <c r="BD158" s="61">
        <v>9</v>
      </c>
      <c r="BE158" s="61">
        <f t="shared" si="99"/>
        <v>1.9486910994764397</v>
      </c>
      <c r="BF158" s="61"/>
      <c r="BG158" s="61">
        <v>0</v>
      </c>
      <c r="BH158" s="61"/>
      <c r="BI158" s="56">
        <f t="shared" si="100"/>
        <v>24.640837696335076</v>
      </c>
      <c r="BJ158" s="57">
        <f t="shared" si="101"/>
        <v>9.6525302410671435E-2</v>
      </c>
      <c r="BK158" s="58">
        <f t="shared" si="102"/>
        <v>4.7779338526369557E-2</v>
      </c>
    </row>
    <row r="159" spans="1:63" ht="17.25" customHeight="1" x14ac:dyDescent="0.3">
      <c r="A159" s="41">
        <v>158</v>
      </c>
      <c r="B159" s="42">
        <v>46275</v>
      </c>
      <c r="C159" s="43" t="str">
        <f t="shared" si="72"/>
        <v>Sep-26</v>
      </c>
      <c r="D159" s="43" t="s">
        <v>68</v>
      </c>
      <c r="E159" s="43" t="s">
        <v>35</v>
      </c>
      <c r="F159" s="43" t="s">
        <v>41</v>
      </c>
      <c r="G159" s="14" t="s">
        <v>110</v>
      </c>
      <c r="H159" s="14" t="s">
        <v>60</v>
      </c>
      <c r="I159" s="14" t="s">
        <v>60</v>
      </c>
      <c r="J159" s="44" t="s">
        <v>60</v>
      </c>
      <c r="K159" s="44">
        <v>2026</v>
      </c>
      <c r="L159" s="44">
        <v>151</v>
      </c>
      <c r="M159" s="45">
        <v>1000</v>
      </c>
      <c r="N159" s="45">
        <v>181</v>
      </c>
      <c r="O159" s="45">
        <v>7.3</v>
      </c>
      <c r="P159" s="46">
        <f t="shared" si="74"/>
        <v>291</v>
      </c>
      <c r="Q159" s="45">
        <v>6.95</v>
      </c>
      <c r="R159" s="46">
        <v>242</v>
      </c>
      <c r="S159" s="46">
        <v>11</v>
      </c>
      <c r="T159" s="46">
        <v>7</v>
      </c>
      <c r="U159" s="46">
        <v>28</v>
      </c>
      <c r="V159" s="46"/>
      <c r="W159" s="46">
        <v>3</v>
      </c>
      <c r="X159" s="46">
        <v>12</v>
      </c>
      <c r="Y159" s="46">
        <v>3</v>
      </c>
      <c r="Z159" s="46">
        <f t="shared" si="94"/>
        <v>44.268368000000002</v>
      </c>
      <c r="AA159" s="46">
        <f t="shared" si="95"/>
        <v>45.85568</v>
      </c>
      <c r="AB159" s="46">
        <f t="shared" si="103"/>
        <v>51.323088000000006</v>
      </c>
      <c r="AC159" s="46">
        <f t="shared" si="71"/>
        <v>242</v>
      </c>
      <c r="AD159" s="46">
        <f>235-37</f>
        <v>198</v>
      </c>
      <c r="AE159" s="46">
        <v>37</v>
      </c>
      <c r="AF159" s="59">
        <f t="shared" si="73"/>
        <v>-7</v>
      </c>
      <c r="AG159" s="46">
        <f t="shared" si="75"/>
        <v>10</v>
      </c>
      <c r="AH159" s="47">
        <f t="shared" si="76"/>
        <v>12.065807676037821</v>
      </c>
      <c r="AI159" s="47">
        <f t="shared" si="77"/>
        <v>18</v>
      </c>
      <c r="AJ159" s="47">
        <f t="shared" si="78"/>
        <v>31</v>
      </c>
      <c r="AK159" s="47">
        <f t="shared" si="79"/>
        <v>251</v>
      </c>
      <c r="AL159" s="48">
        <f t="shared" si="80"/>
        <v>0.251</v>
      </c>
      <c r="AM159" s="46">
        <f t="shared" si="81"/>
        <v>44.229074889867839</v>
      </c>
      <c r="AN159" s="46">
        <f t="shared" si="82"/>
        <v>15.74468085106383</v>
      </c>
      <c r="AO159" s="46">
        <f t="shared" si="83"/>
        <v>203.89787234042552</v>
      </c>
      <c r="AP159" s="46">
        <f t="shared" si="84"/>
        <v>41.285106382978725</v>
      </c>
      <c r="AQ159" s="49">
        <f t="shared" si="85"/>
        <v>0.79015186365622747</v>
      </c>
      <c r="AR159" s="50">
        <f t="shared" si="86"/>
        <v>0.20984813634377258</v>
      </c>
      <c r="AS159" s="51">
        <f t="shared" si="87"/>
        <v>0.20389787234042553</v>
      </c>
      <c r="AT159" s="51">
        <f t="shared" si="88"/>
        <v>4.1285106382978727E-2</v>
      </c>
      <c r="AU159" s="51">
        <f t="shared" si="96"/>
        <v>0.24518297872340425</v>
      </c>
      <c r="AV159" s="52">
        <f t="shared" si="89"/>
        <v>198.66698451598529</v>
      </c>
      <c r="AW159" s="52">
        <f t="shared" si="90"/>
        <v>40.225959674724301</v>
      </c>
      <c r="AX159" s="15">
        <f t="shared" si="91"/>
        <v>0.1986669845159853</v>
      </c>
      <c r="AY159" s="15">
        <f t="shared" si="92"/>
        <v>4.0225959674724303E-2</v>
      </c>
      <c r="AZ159" s="15">
        <f t="shared" si="93"/>
        <v>0.23889294419070961</v>
      </c>
      <c r="BA159" s="61">
        <f t="shared" si="97"/>
        <v>10.717801047120419</v>
      </c>
      <c r="BB159" s="61">
        <v>3</v>
      </c>
      <c r="BC159" s="61">
        <f t="shared" si="98"/>
        <v>6.8204188481675398</v>
      </c>
      <c r="BD159" s="61">
        <v>7</v>
      </c>
      <c r="BE159" s="61">
        <f t="shared" si="99"/>
        <v>2.9230366492146596</v>
      </c>
      <c r="BF159" s="61"/>
      <c r="BG159" s="61">
        <v>0</v>
      </c>
      <c r="BH159" s="61"/>
      <c r="BI159" s="56">
        <f t="shared" si="100"/>
        <v>30.461256544502618</v>
      </c>
      <c r="BJ159" s="57">
        <f t="shared" si="101"/>
        <v>0.12024345885173397</v>
      </c>
      <c r="BK159" s="58">
        <f t="shared" si="102"/>
        <v>6.9281823470305148E-2</v>
      </c>
    </row>
    <row r="160" spans="1:63" ht="17.25" customHeight="1" x14ac:dyDescent="0.3">
      <c r="A160" s="41">
        <v>159</v>
      </c>
      <c r="B160" s="42">
        <v>46276</v>
      </c>
      <c r="C160" s="43" t="str">
        <f t="shared" si="72"/>
        <v>Sep-26</v>
      </c>
      <c r="D160" s="43" t="s">
        <v>68</v>
      </c>
      <c r="E160" s="43" t="s">
        <v>35</v>
      </c>
      <c r="F160" s="43" t="s">
        <v>41</v>
      </c>
      <c r="G160" s="14" t="s">
        <v>110</v>
      </c>
      <c r="H160" s="14" t="s">
        <v>60</v>
      </c>
      <c r="I160" s="14" t="s">
        <v>60</v>
      </c>
      <c r="J160" s="44" t="s">
        <v>60</v>
      </c>
      <c r="K160" s="44">
        <v>2026</v>
      </c>
      <c r="L160" s="44">
        <v>152</v>
      </c>
      <c r="M160" s="45">
        <v>1000</v>
      </c>
      <c r="N160" s="45">
        <v>184</v>
      </c>
      <c r="O160" s="45">
        <v>7.5</v>
      </c>
      <c r="P160" s="46">
        <f t="shared" si="74"/>
        <v>288</v>
      </c>
      <c r="Q160" s="45">
        <v>6.53</v>
      </c>
      <c r="R160" s="46">
        <v>246</v>
      </c>
      <c r="S160" s="46">
        <v>14</v>
      </c>
      <c r="T160" s="46">
        <v>7</v>
      </c>
      <c r="U160" s="46">
        <v>21</v>
      </c>
      <c r="V160" s="46"/>
      <c r="W160" s="46"/>
      <c r="X160" s="46">
        <v>19</v>
      </c>
      <c r="Y160" s="46">
        <v>4</v>
      </c>
      <c r="Z160" s="46">
        <f t="shared" si="94"/>
        <v>45.238391999999997</v>
      </c>
      <c r="AA160" s="46">
        <f t="shared" si="95"/>
        <v>47.090256000000004</v>
      </c>
      <c r="AB160" s="46">
        <f t="shared" si="103"/>
        <v>50.793984000000002</v>
      </c>
      <c r="AC160" s="46">
        <f t="shared" si="71"/>
        <v>246</v>
      </c>
      <c r="AD160" s="46">
        <f>241-36</f>
        <v>205</v>
      </c>
      <c r="AE160" s="46">
        <v>36</v>
      </c>
      <c r="AF160" s="59">
        <f t="shared" si="73"/>
        <v>-5</v>
      </c>
      <c r="AG160" s="46">
        <f t="shared" si="75"/>
        <v>10</v>
      </c>
      <c r="AH160" s="47">
        <f t="shared" si="76"/>
        <v>11.927851348669799</v>
      </c>
      <c r="AI160" s="47">
        <f t="shared" si="77"/>
        <v>21</v>
      </c>
      <c r="AJ160" s="47">
        <f t="shared" si="78"/>
        <v>21</v>
      </c>
      <c r="AK160" s="47">
        <f t="shared" si="79"/>
        <v>256.5</v>
      </c>
      <c r="AL160" s="48">
        <f t="shared" si="80"/>
        <v>0.25650000000000001</v>
      </c>
      <c r="AM160" s="46">
        <f t="shared" si="81"/>
        <v>45.198237885462554</v>
      </c>
      <c r="AN160" s="46">
        <f t="shared" si="82"/>
        <v>14.937759336099584</v>
      </c>
      <c r="AO160" s="46">
        <f t="shared" si="83"/>
        <v>209.25311203319501</v>
      </c>
      <c r="AP160" s="46">
        <f t="shared" si="84"/>
        <v>35.726141078838175</v>
      </c>
      <c r="AQ160" s="49">
        <f t="shared" si="85"/>
        <v>0.81275051615045202</v>
      </c>
      <c r="AR160" s="50">
        <f t="shared" si="86"/>
        <v>0.1872494838495479</v>
      </c>
      <c r="AS160" s="51">
        <f t="shared" si="87"/>
        <v>0.20925311203319502</v>
      </c>
      <c r="AT160" s="51">
        <f t="shared" si="88"/>
        <v>3.5726141078838175E-2</v>
      </c>
      <c r="AU160" s="51">
        <f t="shared" si="96"/>
        <v>0.2449792531120332</v>
      </c>
      <c r="AV160" s="52">
        <f t="shared" si="89"/>
        <v>204.80511394495014</v>
      </c>
      <c r="AW160" s="52">
        <f t="shared" si="90"/>
        <v>34.96672677108905</v>
      </c>
      <c r="AX160" s="15">
        <f t="shared" si="91"/>
        <v>0.20480511394495013</v>
      </c>
      <c r="AY160" s="15">
        <f t="shared" si="92"/>
        <v>3.496672677108905E-2</v>
      </c>
      <c r="AZ160" s="15">
        <f t="shared" si="93"/>
        <v>0.23977184071603919</v>
      </c>
      <c r="BA160" s="61">
        <f t="shared" si="97"/>
        <v>13.70240837696335</v>
      </c>
      <c r="BB160" s="61">
        <v>3</v>
      </c>
      <c r="BC160" s="61">
        <f t="shared" si="98"/>
        <v>6.8512041884816748</v>
      </c>
      <c r="BD160" s="61">
        <v>7</v>
      </c>
      <c r="BE160" s="61">
        <f t="shared" si="99"/>
        <v>0</v>
      </c>
      <c r="BF160" s="61"/>
      <c r="BG160" s="61">
        <v>0</v>
      </c>
      <c r="BH160" s="61"/>
      <c r="BI160" s="56">
        <f t="shared" si="100"/>
        <v>30.553612565445022</v>
      </c>
      <c r="BJ160" s="57">
        <f t="shared" si="101"/>
        <v>0.11691828458248735</v>
      </c>
      <c r="BK160" s="58">
        <f t="shared" si="102"/>
        <v>8.1475162814455354E-2</v>
      </c>
    </row>
    <row r="161" spans="1:63" ht="17.25" customHeight="1" x14ac:dyDescent="0.3">
      <c r="A161" s="41">
        <v>160</v>
      </c>
      <c r="B161" s="42">
        <v>46276</v>
      </c>
      <c r="C161" s="43" t="str">
        <f t="shared" si="72"/>
        <v>Sep-26</v>
      </c>
      <c r="D161" s="43" t="s">
        <v>68</v>
      </c>
      <c r="E161" s="43" t="s">
        <v>35</v>
      </c>
      <c r="F161" s="43" t="s">
        <v>41</v>
      </c>
      <c r="G161" s="14" t="s">
        <v>110</v>
      </c>
      <c r="H161" s="14" t="s">
        <v>60</v>
      </c>
      <c r="I161" s="14" t="s">
        <v>60</v>
      </c>
      <c r="J161" s="44" t="s">
        <v>60</v>
      </c>
      <c r="K161" s="44">
        <v>2026</v>
      </c>
      <c r="L161" s="44">
        <v>152</v>
      </c>
      <c r="M161" s="45">
        <v>1000</v>
      </c>
      <c r="N161" s="45">
        <v>184</v>
      </c>
      <c r="O161" s="45">
        <v>7.5</v>
      </c>
      <c r="P161" s="46">
        <f t="shared" si="74"/>
        <v>291</v>
      </c>
      <c r="Q161" s="45">
        <v>6.53</v>
      </c>
      <c r="R161" s="46">
        <v>252</v>
      </c>
      <c r="S161" s="46">
        <v>8</v>
      </c>
      <c r="T161" s="46">
        <v>7</v>
      </c>
      <c r="U161" s="46">
        <v>24</v>
      </c>
      <c r="V161" s="46"/>
      <c r="W161" s="46"/>
      <c r="X161" s="46">
        <v>23</v>
      </c>
      <c r="Y161" s="46">
        <v>4</v>
      </c>
      <c r="Z161" s="46">
        <f t="shared" si="94"/>
        <v>45.767496000000001</v>
      </c>
      <c r="AA161" s="46">
        <f t="shared" si="95"/>
        <v>47.090256000000004</v>
      </c>
      <c r="AB161" s="46">
        <f t="shared" si="103"/>
        <v>51.323088000000006</v>
      </c>
      <c r="AC161" s="46">
        <f t="shared" si="71"/>
        <v>252</v>
      </c>
      <c r="AD161" s="46">
        <f>240-32</f>
        <v>208</v>
      </c>
      <c r="AE161" s="46">
        <v>32</v>
      </c>
      <c r="AF161" s="59">
        <f t="shared" si="73"/>
        <v>-12</v>
      </c>
      <c r="AG161" s="46">
        <f t="shared" si="75"/>
        <v>11</v>
      </c>
      <c r="AH161" s="47">
        <f t="shared" si="76"/>
        <v>12.937484397846012</v>
      </c>
      <c r="AI161" s="47">
        <f t="shared" si="77"/>
        <v>15</v>
      </c>
      <c r="AJ161" s="47">
        <f t="shared" si="78"/>
        <v>24</v>
      </c>
      <c r="AK161" s="47">
        <f t="shared" si="79"/>
        <v>259.5</v>
      </c>
      <c r="AL161" s="48">
        <f t="shared" si="80"/>
        <v>0.25950000000000001</v>
      </c>
      <c r="AM161" s="46">
        <f t="shared" si="81"/>
        <v>45.726872246696033</v>
      </c>
      <c r="AN161" s="46">
        <f t="shared" si="82"/>
        <v>13.333333333333334</v>
      </c>
      <c r="AO161" s="46">
        <f t="shared" si="83"/>
        <v>218.4</v>
      </c>
      <c r="AP161" s="46">
        <f t="shared" si="84"/>
        <v>33.800000000000004</v>
      </c>
      <c r="AQ161" s="49">
        <f t="shared" si="85"/>
        <v>0.82152067217235047</v>
      </c>
      <c r="AR161" s="50">
        <f t="shared" si="86"/>
        <v>0.17847932782764953</v>
      </c>
      <c r="AS161" s="51">
        <f t="shared" si="87"/>
        <v>0.21840000000000001</v>
      </c>
      <c r="AT161" s="51">
        <f t="shared" si="88"/>
        <v>3.3800000000000004E-2</v>
      </c>
      <c r="AU161" s="51">
        <f t="shared" si="96"/>
        <v>0.25220000000000004</v>
      </c>
      <c r="AV161" s="52">
        <f t="shared" si="89"/>
        <v>213.75757068062828</v>
      </c>
      <c r="AW161" s="52">
        <f t="shared" si="90"/>
        <v>33.081528795811522</v>
      </c>
      <c r="AX161" s="15">
        <f t="shared" si="91"/>
        <v>0.21375757068062828</v>
      </c>
      <c r="AY161" s="15">
        <f t="shared" si="92"/>
        <v>3.308152879581152E-2</v>
      </c>
      <c r="AZ161" s="15">
        <f t="shared" si="93"/>
        <v>0.24683909947643981</v>
      </c>
      <c r="BA161" s="61">
        <f t="shared" si="97"/>
        <v>7.8299476439790574</v>
      </c>
      <c r="BB161" s="61">
        <v>3</v>
      </c>
      <c r="BC161" s="61">
        <f t="shared" si="98"/>
        <v>6.8512041884816748</v>
      </c>
      <c r="BD161" s="61">
        <v>8</v>
      </c>
      <c r="BE161" s="61">
        <f t="shared" si="99"/>
        <v>0</v>
      </c>
      <c r="BF161" s="61"/>
      <c r="BG161" s="61">
        <v>0</v>
      </c>
      <c r="BH161" s="61"/>
      <c r="BI161" s="56">
        <f t="shared" si="100"/>
        <v>25.681151832460731</v>
      </c>
      <c r="BJ161" s="57">
        <f t="shared" si="101"/>
        <v>9.8273034389050704E-2</v>
      </c>
      <c r="BK161" s="58">
        <f t="shared" si="102"/>
        <v>5.2067055980668547E-2</v>
      </c>
    </row>
    <row r="162" spans="1:63" ht="17.25" customHeight="1" x14ac:dyDescent="0.3">
      <c r="A162" s="41">
        <v>161</v>
      </c>
      <c r="B162" s="42">
        <v>46277</v>
      </c>
      <c r="C162" s="43" t="str">
        <f t="shared" si="72"/>
        <v>Sep-26</v>
      </c>
      <c r="D162" s="43" t="s">
        <v>68</v>
      </c>
      <c r="E162" s="43" t="s">
        <v>35</v>
      </c>
      <c r="F162" s="43" t="s">
        <v>41</v>
      </c>
      <c r="G162" s="14" t="s">
        <v>110</v>
      </c>
      <c r="H162" s="14" t="s">
        <v>60</v>
      </c>
      <c r="I162" s="14" t="s">
        <v>60</v>
      </c>
      <c r="J162" s="44" t="s">
        <v>60</v>
      </c>
      <c r="K162" s="44">
        <v>2026</v>
      </c>
      <c r="L162" s="44">
        <v>153</v>
      </c>
      <c r="M162" s="45">
        <v>1000</v>
      </c>
      <c r="N162" s="45">
        <v>182</v>
      </c>
      <c r="O162" s="45">
        <v>7.6</v>
      </c>
      <c r="P162" s="46">
        <f t="shared" si="74"/>
        <v>285</v>
      </c>
      <c r="Q162" s="45">
        <v>6.95</v>
      </c>
      <c r="R162" s="46">
        <v>250</v>
      </c>
      <c r="S162" s="46">
        <v>12</v>
      </c>
      <c r="T162" s="46">
        <v>7</v>
      </c>
      <c r="U162" s="46">
        <v>16</v>
      </c>
      <c r="V162" s="46"/>
      <c r="W162" s="46"/>
      <c r="X162" s="46">
        <v>10</v>
      </c>
      <c r="Y162" s="46">
        <v>2</v>
      </c>
      <c r="Z162" s="46">
        <f t="shared" si="94"/>
        <v>45.767496000000001</v>
      </c>
      <c r="AA162" s="46">
        <f t="shared" si="95"/>
        <v>47.442992000000004</v>
      </c>
      <c r="AB162" s="46">
        <f t="shared" si="103"/>
        <v>50.264880000000005</v>
      </c>
      <c r="AC162" s="46">
        <f t="shared" si="71"/>
        <v>250</v>
      </c>
      <c r="AD162" s="46">
        <f>243-37</f>
        <v>206</v>
      </c>
      <c r="AE162" s="46">
        <v>37</v>
      </c>
      <c r="AF162" s="59">
        <f t="shared" si="73"/>
        <v>-7</v>
      </c>
      <c r="AG162" s="46">
        <f t="shared" si="75"/>
        <v>9</v>
      </c>
      <c r="AH162" s="47">
        <f t="shared" si="76"/>
        <v>10.810595657452188</v>
      </c>
      <c r="AI162" s="47">
        <f t="shared" si="77"/>
        <v>19</v>
      </c>
      <c r="AJ162" s="47">
        <f t="shared" si="78"/>
        <v>16</v>
      </c>
      <c r="AK162" s="47">
        <f t="shared" si="79"/>
        <v>259.5</v>
      </c>
      <c r="AL162" s="48">
        <f t="shared" si="80"/>
        <v>0.25950000000000001</v>
      </c>
      <c r="AM162" s="46">
        <f t="shared" si="81"/>
        <v>45.726872246696033</v>
      </c>
      <c r="AN162" s="46">
        <f t="shared" si="82"/>
        <v>15.22633744855967</v>
      </c>
      <c r="AO162" s="46">
        <f t="shared" si="83"/>
        <v>211.93415637860079</v>
      </c>
      <c r="AP162" s="46">
        <f t="shared" si="84"/>
        <v>29.670781893004111</v>
      </c>
      <c r="AQ162" s="49">
        <f t="shared" si="85"/>
        <v>0.83926106786858878</v>
      </c>
      <c r="AR162" s="50">
        <f t="shared" si="86"/>
        <v>0.16073893213141119</v>
      </c>
      <c r="AS162" s="51">
        <f t="shared" si="87"/>
        <v>0.2119341563786008</v>
      </c>
      <c r="AT162" s="51">
        <f t="shared" si="88"/>
        <v>2.9670781893004112E-2</v>
      </c>
      <c r="AU162" s="51">
        <f t="shared" si="96"/>
        <v>0.24160493827160492</v>
      </c>
      <c r="AV162" s="52">
        <f t="shared" si="89"/>
        <v>206.49710210501362</v>
      </c>
      <c r="AW162" s="52">
        <f t="shared" si="90"/>
        <v>28.909594294701911</v>
      </c>
      <c r="AX162" s="15">
        <f t="shared" si="91"/>
        <v>0.20649710210501362</v>
      </c>
      <c r="AY162" s="15">
        <f t="shared" si="92"/>
        <v>2.8909594294701912E-2</v>
      </c>
      <c r="AZ162" s="15">
        <f t="shared" si="93"/>
        <v>0.23540669639971554</v>
      </c>
      <c r="BA162" s="61">
        <f t="shared" si="97"/>
        <v>11.692146596858638</v>
      </c>
      <c r="BB162" s="61">
        <v>2</v>
      </c>
      <c r="BC162" s="61">
        <f t="shared" si="98"/>
        <v>6.8204188481675398</v>
      </c>
      <c r="BD162" s="61">
        <v>7</v>
      </c>
      <c r="BE162" s="61">
        <f t="shared" si="99"/>
        <v>0</v>
      </c>
      <c r="BF162" s="61"/>
      <c r="BG162" s="61">
        <v>0</v>
      </c>
      <c r="BH162" s="61"/>
      <c r="BI162" s="56">
        <f t="shared" si="100"/>
        <v>27.512565445026176</v>
      </c>
      <c r="BJ162" s="57">
        <f t="shared" si="101"/>
        <v>0.10497014636173141</v>
      </c>
      <c r="BK162" s="58">
        <f t="shared" si="102"/>
        <v>6.6466731052711836E-2</v>
      </c>
    </row>
    <row r="163" spans="1:63" ht="17.25" customHeight="1" x14ac:dyDescent="0.3">
      <c r="A163" s="41">
        <v>162</v>
      </c>
      <c r="B163" s="42">
        <v>46277</v>
      </c>
      <c r="C163" s="43" t="str">
        <f t="shared" si="72"/>
        <v>Sep-26</v>
      </c>
      <c r="D163" s="43" t="s">
        <v>68</v>
      </c>
      <c r="E163" s="43" t="s">
        <v>35</v>
      </c>
      <c r="F163" s="43" t="s">
        <v>41</v>
      </c>
      <c r="G163" s="14" t="s">
        <v>110</v>
      </c>
      <c r="H163" s="14" t="s">
        <v>60</v>
      </c>
      <c r="I163" s="14" t="s">
        <v>60</v>
      </c>
      <c r="J163" s="44" t="s">
        <v>60</v>
      </c>
      <c r="K163" s="44">
        <v>2026</v>
      </c>
      <c r="L163" s="44">
        <v>153</v>
      </c>
      <c r="M163" s="45">
        <v>1000</v>
      </c>
      <c r="N163" s="45">
        <v>186</v>
      </c>
      <c r="O163" s="45">
        <v>7.6</v>
      </c>
      <c r="P163" s="46">
        <f t="shared" si="74"/>
        <v>287</v>
      </c>
      <c r="Q163" s="45">
        <v>6.95</v>
      </c>
      <c r="R163" s="46">
        <v>252</v>
      </c>
      <c r="S163" s="46">
        <v>10</v>
      </c>
      <c r="T163" s="46">
        <v>7</v>
      </c>
      <c r="U163" s="46">
        <v>18</v>
      </c>
      <c r="V163" s="46"/>
      <c r="W163" s="46"/>
      <c r="X163" s="46">
        <v>19</v>
      </c>
      <c r="Y163" s="46">
        <v>2</v>
      </c>
      <c r="Z163" s="46">
        <f t="shared" si="94"/>
        <v>45.943864000000005</v>
      </c>
      <c r="AA163" s="46">
        <f t="shared" si="95"/>
        <v>47.442992000000004</v>
      </c>
      <c r="AB163" s="46">
        <f t="shared" si="103"/>
        <v>50.617616000000005</v>
      </c>
      <c r="AC163" s="46">
        <f t="shared" si="71"/>
        <v>252</v>
      </c>
      <c r="AD163" s="46">
        <f>246-36</f>
        <v>210</v>
      </c>
      <c r="AE163" s="46">
        <v>36</v>
      </c>
      <c r="AF163" s="59">
        <f t="shared" si="73"/>
        <v>-6</v>
      </c>
      <c r="AG163" s="46">
        <f t="shared" si="75"/>
        <v>12</v>
      </c>
      <c r="AH163" s="47">
        <f t="shared" si="76"/>
        <v>14.340047967916544</v>
      </c>
      <c r="AI163" s="47">
        <f t="shared" si="77"/>
        <v>17</v>
      </c>
      <c r="AJ163" s="47">
        <f t="shared" si="78"/>
        <v>18</v>
      </c>
      <c r="AK163" s="47">
        <f t="shared" si="79"/>
        <v>260.5</v>
      </c>
      <c r="AL163" s="48">
        <f t="shared" si="80"/>
        <v>0.26050000000000001</v>
      </c>
      <c r="AM163" s="46">
        <f t="shared" si="81"/>
        <v>45.903083700440526</v>
      </c>
      <c r="AN163" s="46">
        <f t="shared" si="82"/>
        <v>14.634146341463415</v>
      </c>
      <c r="AO163" s="46">
        <f t="shared" si="83"/>
        <v>215.1219512195122</v>
      </c>
      <c r="AP163" s="46">
        <f t="shared" si="84"/>
        <v>29.878048780487806</v>
      </c>
      <c r="AQ163" s="49">
        <f t="shared" si="85"/>
        <v>0.82808345655778204</v>
      </c>
      <c r="AR163" s="50">
        <f t="shared" si="86"/>
        <v>0.17191654344221793</v>
      </c>
      <c r="AS163" s="51">
        <f t="shared" si="87"/>
        <v>0.21512195121951219</v>
      </c>
      <c r="AT163" s="51">
        <f t="shared" si="88"/>
        <v>2.9878048780487807E-2</v>
      </c>
      <c r="AU163" s="51">
        <f t="shared" si="96"/>
        <v>0.245</v>
      </c>
      <c r="AV163" s="52">
        <f t="shared" si="89"/>
        <v>209.60311582173412</v>
      </c>
      <c r="AW163" s="52">
        <f t="shared" si="90"/>
        <v>29.111543864129743</v>
      </c>
      <c r="AX163" s="15">
        <f t="shared" si="91"/>
        <v>0.20960311582173413</v>
      </c>
      <c r="AY163" s="15">
        <f t="shared" si="92"/>
        <v>2.9111543864129744E-2</v>
      </c>
      <c r="AZ163" s="15">
        <f t="shared" si="93"/>
        <v>0.23871465968586386</v>
      </c>
      <c r="BA163" s="61">
        <f t="shared" si="97"/>
        <v>9.7434554973821985</v>
      </c>
      <c r="BB163" s="61">
        <v>3</v>
      </c>
      <c r="BC163" s="61">
        <f t="shared" si="98"/>
        <v>6.8204188481675398</v>
      </c>
      <c r="BD163" s="61">
        <v>9</v>
      </c>
      <c r="BE163" s="61">
        <f t="shared" si="99"/>
        <v>0</v>
      </c>
      <c r="BF163" s="61"/>
      <c r="BG163" s="61">
        <v>0</v>
      </c>
      <c r="BH163" s="61"/>
      <c r="BI163" s="56">
        <f t="shared" si="100"/>
        <v>28.563874345549738</v>
      </c>
      <c r="BJ163" s="57">
        <f t="shared" si="101"/>
        <v>0.10898126082431599</v>
      </c>
      <c r="BK163" s="58">
        <f t="shared" si="102"/>
        <v>6.0683121416105705E-2</v>
      </c>
    </row>
    <row r="164" spans="1:63" ht="17.25" customHeight="1" x14ac:dyDescent="0.3">
      <c r="A164" s="41">
        <v>163</v>
      </c>
      <c r="B164" s="42">
        <v>46281</v>
      </c>
      <c r="C164" s="43" t="str">
        <f t="shared" si="72"/>
        <v>Sep-26</v>
      </c>
      <c r="D164" s="43" t="s">
        <v>68</v>
      </c>
      <c r="E164" s="43" t="s">
        <v>35</v>
      </c>
      <c r="F164" s="43" t="s">
        <v>41</v>
      </c>
      <c r="G164" s="14" t="s">
        <v>110</v>
      </c>
      <c r="H164" s="14" t="s">
        <v>60</v>
      </c>
      <c r="I164" s="14" t="s">
        <v>60</v>
      </c>
      <c r="J164" s="44" t="s">
        <v>60</v>
      </c>
      <c r="K164" s="44">
        <v>2026</v>
      </c>
      <c r="L164" s="44">
        <v>154</v>
      </c>
      <c r="M164" s="45">
        <v>1000</v>
      </c>
      <c r="N164" s="45">
        <v>187</v>
      </c>
      <c r="O164" s="45">
        <v>7.5</v>
      </c>
      <c r="P164" s="46">
        <f t="shared" si="74"/>
        <v>290.5</v>
      </c>
      <c r="Q164" s="45">
        <v>6.55</v>
      </c>
      <c r="R164" s="46">
        <v>240</v>
      </c>
      <c r="S164" s="46">
        <v>9.5</v>
      </c>
      <c r="T164" s="46">
        <v>8</v>
      </c>
      <c r="U164" s="46">
        <v>33</v>
      </c>
      <c r="V164" s="46"/>
      <c r="W164" s="46"/>
      <c r="X164" s="46">
        <v>24</v>
      </c>
      <c r="Y164" s="46">
        <v>2</v>
      </c>
      <c r="Z164" s="46">
        <f t="shared" si="94"/>
        <v>43.871540000000003</v>
      </c>
      <c r="AA164" s="46">
        <f t="shared" si="95"/>
        <v>45.414760000000001</v>
      </c>
      <c r="AB164" s="46">
        <f t="shared" si="103"/>
        <v>51.234904</v>
      </c>
      <c r="AC164" s="46">
        <f t="shared" si="71"/>
        <v>240</v>
      </c>
      <c r="AD164" s="46">
        <f>235-38</f>
        <v>197</v>
      </c>
      <c r="AE164" s="46">
        <v>38</v>
      </c>
      <c r="AF164" s="59">
        <f t="shared" si="73"/>
        <v>-5</v>
      </c>
      <c r="AG164" s="46">
        <f t="shared" si="75"/>
        <v>13</v>
      </c>
      <c r="AH164" s="47">
        <f t="shared" si="76"/>
        <v>15.675830743485538</v>
      </c>
      <c r="AI164" s="47">
        <f t="shared" si="77"/>
        <v>17.5</v>
      </c>
      <c r="AJ164" s="47">
        <f t="shared" si="78"/>
        <v>33</v>
      </c>
      <c r="AK164" s="47">
        <f t="shared" si="79"/>
        <v>248.75</v>
      </c>
      <c r="AL164" s="48">
        <f t="shared" si="80"/>
        <v>0.24875</v>
      </c>
      <c r="AM164" s="46">
        <f t="shared" si="81"/>
        <v>43.832599118942731</v>
      </c>
      <c r="AN164" s="46">
        <f t="shared" si="82"/>
        <v>16.170212765957448</v>
      </c>
      <c r="AO164" s="46">
        <f t="shared" si="83"/>
        <v>201.19148936170211</v>
      </c>
      <c r="AP164" s="46">
        <f t="shared" si="84"/>
        <v>42.334042553191487</v>
      </c>
      <c r="AQ164" s="49">
        <f t="shared" si="85"/>
        <v>0.77220023840452479</v>
      </c>
      <c r="AR164" s="50">
        <f t="shared" si="86"/>
        <v>0.22779976159547516</v>
      </c>
      <c r="AS164" s="51">
        <f t="shared" si="87"/>
        <v>0.20119148936170211</v>
      </c>
      <c r="AT164" s="51">
        <f t="shared" si="88"/>
        <v>4.2334042553191488E-2</v>
      </c>
      <c r="AU164" s="51">
        <f t="shared" si="96"/>
        <v>0.24352553191489359</v>
      </c>
      <c r="AV164" s="52">
        <f t="shared" si="89"/>
        <v>196.87271917121532</v>
      </c>
      <c r="AW164" s="52">
        <f t="shared" si="90"/>
        <v>41.425301325609894</v>
      </c>
      <c r="AX164" s="15">
        <f t="shared" si="91"/>
        <v>0.19687271917121532</v>
      </c>
      <c r="AY164" s="15">
        <f t="shared" si="92"/>
        <v>4.1425301325609891E-2</v>
      </c>
      <c r="AZ164" s="15">
        <f t="shared" si="93"/>
        <v>0.23829802049682522</v>
      </c>
      <c r="BA164" s="61">
        <f t="shared" si="97"/>
        <v>9.2960732984293184</v>
      </c>
      <c r="BB164" s="61">
        <v>2.5</v>
      </c>
      <c r="BC164" s="61">
        <f t="shared" si="98"/>
        <v>7.8282722513089009</v>
      </c>
      <c r="BD164" s="61">
        <v>10.5</v>
      </c>
      <c r="BE164" s="61">
        <f t="shared" si="99"/>
        <v>0</v>
      </c>
      <c r="BF164" s="61"/>
      <c r="BG164" s="61">
        <v>0</v>
      </c>
      <c r="BH164" s="61"/>
      <c r="BI164" s="56">
        <f t="shared" si="100"/>
        <v>30.124345549738219</v>
      </c>
      <c r="BJ164" s="57">
        <f t="shared" si="101"/>
        <v>0.11955409413683657</v>
      </c>
      <c r="BK164" s="58">
        <f t="shared" si="102"/>
        <v>5.9878544662077759E-2</v>
      </c>
    </row>
    <row r="165" spans="1:63" ht="17.25" customHeight="1" x14ac:dyDescent="0.3">
      <c r="A165" s="41">
        <v>164</v>
      </c>
      <c r="B165" s="42"/>
      <c r="C165" s="43" t="str">
        <f t="shared" si="72"/>
        <v/>
      </c>
      <c r="D165" s="43"/>
      <c r="E165" s="43"/>
      <c r="F165" s="43"/>
      <c r="G165" s="14"/>
      <c r="H165" s="14"/>
      <c r="I165" s="14"/>
      <c r="J165" s="44"/>
      <c r="K165" s="44"/>
      <c r="L165" s="44"/>
      <c r="M165" s="45"/>
      <c r="N165" s="45"/>
      <c r="O165" s="45"/>
      <c r="P165" s="46">
        <f t="shared" si="74"/>
        <v>0</v>
      </c>
      <c r="Q165" s="45"/>
      <c r="R165" s="46"/>
      <c r="S165" s="46"/>
      <c r="T165" s="46"/>
      <c r="U165" s="46"/>
      <c r="V165" s="46"/>
      <c r="W165" s="46"/>
      <c r="X165" s="46"/>
      <c r="Y165" s="46"/>
      <c r="Z165" s="46" t="str">
        <f t="shared" si="94"/>
        <v/>
      </c>
      <c r="AA165" s="46" t="str">
        <f t="shared" si="95"/>
        <v/>
      </c>
      <c r="AB165" s="46" t="str">
        <f t="shared" si="103"/>
        <v/>
      </c>
      <c r="AC165" s="46"/>
      <c r="AD165" s="46"/>
      <c r="AE165" s="46"/>
      <c r="AF165" s="59">
        <f t="shared" si="73"/>
        <v>0</v>
      </c>
      <c r="AG165" s="46">
        <f t="shared" si="75"/>
        <v>0</v>
      </c>
      <c r="AH165" s="47" t="str">
        <f t="shared" si="76"/>
        <v/>
      </c>
      <c r="AI165" s="47">
        <f t="shared" si="77"/>
        <v>0</v>
      </c>
      <c r="AJ165" s="47">
        <f t="shared" si="78"/>
        <v>0</v>
      </c>
      <c r="AK165" s="47">
        <f t="shared" si="79"/>
        <v>0</v>
      </c>
      <c r="AL165" s="48" t="str">
        <f t="shared" si="80"/>
        <v/>
      </c>
      <c r="AM165" s="46" t="str">
        <f t="shared" si="81"/>
        <v/>
      </c>
      <c r="AN165" s="46" t="str">
        <f t="shared" si="82"/>
        <v/>
      </c>
      <c r="AO165" s="46" t="str">
        <f t="shared" si="83"/>
        <v/>
      </c>
      <c r="AP165" s="46" t="str">
        <f t="shared" si="84"/>
        <v/>
      </c>
      <c r="AQ165" s="49" t="str">
        <f t="shared" si="85"/>
        <v/>
      </c>
      <c r="AR165" s="50" t="str">
        <f t="shared" si="86"/>
        <v/>
      </c>
      <c r="AS165" s="51" t="str">
        <f t="shared" si="87"/>
        <v/>
      </c>
      <c r="AT165" s="51" t="str">
        <f t="shared" si="88"/>
        <v/>
      </c>
      <c r="AU165" s="51" t="str">
        <f t="shared" si="96"/>
        <v/>
      </c>
      <c r="AV165" s="52" t="str">
        <f t="shared" si="89"/>
        <v/>
      </c>
      <c r="AW165" s="52" t="str">
        <f t="shared" si="90"/>
        <v/>
      </c>
      <c r="AX165" s="15" t="str">
        <f t="shared" si="91"/>
        <v/>
      </c>
      <c r="AY165" s="15" t="str">
        <f t="shared" si="92"/>
        <v/>
      </c>
      <c r="AZ165" s="15" t="str">
        <f t="shared" si="93"/>
        <v/>
      </c>
      <c r="BA165" s="61">
        <f t="shared" si="97"/>
        <v>0</v>
      </c>
      <c r="BB165" s="61"/>
      <c r="BC165" s="61">
        <f t="shared" si="98"/>
        <v>0</v>
      </c>
      <c r="BD165" s="61"/>
      <c r="BE165" s="61">
        <f t="shared" si="99"/>
        <v>0</v>
      </c>
      <c r="BF165" s="61"/>
      <c r="BG165" s="61">
        <v>0</v>
      </c>
      <c r="BH165" s="61"/>
      <c r="BI165" s="56">
        <f t="shared" si="100"/>
        <v>0</v>
      </c>
      <c r="BJ165" s="57" t="str">
        <f t="shared" si="101"/>
        <v/>
      </c>
      <c r="BK165" s="58" t="str">
        <f t="shared" si="102"/>
        <v/>
      </c>
    </row>
    <row r="166" spans="1:63" ht="17.25" customHeight="1" x14ac:dyDescent="0.3">
      <c r="A166" s="41">
        <v>165</v>
      </c>
      <c r="B166" s="42"/>
      <c r="C166" s="43" t="str">
        <f t="shared" si="72"/>
        <v/>
      </c>
      <c r="D166" s="43"/>
      <c r="E166" s="43"/>
      <c r="F166" s="43"/>
      <c r="G166" s="14"/>
      <c r="H166" s="14"/>
      <c r="I166" s="14"/>
      <c r="J166" s="44"/>
      <c r="K166" s="44"/>
      <c r="L166" s="44"/>
      <c r="M166" s="45"/>
      <c r="N166" s="45"/>
      <c r="O166" s="45"/>
      <c r="P166" s="46">
        <f t="shared" si="74"/>
        <v>0</v>
      </c>
      <c r="Q166" s="45"/>
      <c r="R166" s="46"/>
      <c r="S166" s="46"/>
      <c r="T166" s="46"/>
      <c r="U166" s="46"/>
      <c r="V166" s="46"/>
      <c r="W166" s="46"/>
      <c r="X166" s="46"/>
      <c r="Y166" s="46"/>
      <c r="Z166" s="46" t="str">
        <f t="shared" si="94"/>
        <v/>
      </c>
      <c r="AA166" s="46" t="str">
        <f t="shared" si="95"/>
        <v/>
      </c>
      <c r="AB166" s="46" t="str">
        <f t="shared" si="103"/>
        <v/>
      </c>
      <c r="AC166" s="46"/>
      <c r="AD166" s="46"/>
      <c r="AE166" s="46"/>
      <c r="AF166" s="59">
        <f t="shared" si="73"/>
        <v>0</v>
      </c>
      <c r="AG166" s="46">
        <f t="shared" si="75"/>
        <v>0</v>
      </c>
      <c r="AH166" s="47" t="str">
        <f t="shared" si="76"/>
        <v/>
      </c>
      <c r="AI166" s="47">
        <f t="shared" si="77"/>
        <v>0</v>
      </c>
      <c r="AJ166" s="47">
        <f t="shared" si="78"/>
        <v>0</v>
      </c>
      <c r="AK166" s="47">
        <f t="shared" si="79"/>
        <v>0</v>
      </c>
      <c r="AL166" s="48" t="str">
        <f t="shared" si="80"/>
        <v/>
      </c>
      <c r="AM166" s="46" t="str">
        <f t="shared" si="81"/>
        <v/>
      </c>
      <c r="AN166" s="46" t="str">
        <f t="shared" si="82"/>
        <v/>
      </c>
      <c r="AO166" s="46" t="str">
        <f t="shared" si="83"/>
        <v/>
      </c>
      <c r="AP166" s="46" t="str">
        <f t="shared" si="84"/>
        <v/>
      </c>
      <c r="AQ166" s="49" t="str">
        <f t="shared" si="85"/>
        <v/>
      </c>
      <c r="AR166" s="50" t="str">
        <f t="shared" si="86"/>
        <v/>
      </c>
      <c r="AS166" s="51" t="str">
        <f t="shared" si="87"/>
        <v/>
      </c>
      <c r="AT166" s="51" t="str">
        <f t="shared" si="88"/>
        <v/>
      </c>
      <c r="AU166" s="51" t="str">
        <f t="shared" si="96"/>
        <v/>
      </c>
      <c r="AV166" s="52" t="str">
        <f t="shared" si="89"/>
        <v/>
      </c>
      <c r="AW166" s="52" t="str">
        <f t="shared" si="90"/>
        <v/>
      </c>
      <c r="AX166" s="15" t="str">
        <f t="shared" si="91"/>
        <v/>
      </c>
      <c r="AY166" s="15" t="str">
        <f t="shared" si="92"/>
        <v/>
      </c>
      <c r="AZ166" s="15" t="str">
        <f t="shared" si="93"/>
        <v/>
      </c>
      <c r="BA166" s="61">
        <f t="shared" si="97"/>
        <v>0</v>
      </c>
      <c r="BB166" s="61"/>
      <c r="BC166" s="61">
        <f t="shared" si="98"/>
        <v>0</v>
      </c>
      <c r="BD166" s="61"/>
      <c r="BE166" s="61">
        <f t="shared" si="99"/>
        <v>0</v>
      </c>
      <c r="BF166" s="61"/>
      <c r="BG166" s="61">
        <v>0</v>
      </c>
      <c r="BH166" s="61"/>
      <c r="BI166" s="56">
        <f t="shared" si="100"/>
        <v>0</v>
      </c>
      <c r="BJ166" s="57" t="str">
        <f t="shared" si="101"/>
        <v/>
      </c>
      <c r="BK166" s="58" t="str">
        <f t="shared" si="102"/>
        <v/>
      </c>
    </row>
    <row r="167" spans="1:63" ht="17.25" customHeight="1" x14ac:dyDescent="0.3">
      <c r="A167" s="41">
        <v>166</v>
      </c>
      <c r="B167" s="42"/>
      <c r="C167" s="43" t="str">
        <f t="shared" si="72"/>
        <v/>
      </c>
      <c r="D167" s="43"/>
      <c r="E167" s="43"/>
      <c r="F167" s="43"/>
      <c r="G167" s="14"/>
      <c r="H167" s="14"/>
      <c r="I167" s="14"/>
      <c r="J167" s="44"/>
      <c r="K167" s="44"/>
      <c r="L167" s="44"/>
      <c r="M167" s="45"/>
      <c r="N167" s="45"/>
      <c r="O167" s="45"/>
      <c r="P167" s="46">
        <f t="shared" si="74"/>
        <v>0</v>
      </c>
      <c r="Q167" s="45"/>
      <c r="R167" s="46"/>
      <c r="S167" s="46"/>
      <c r="T167" s="46"/>
      <c r="U167" s="46"/>
      <c r="V167" s="46"/>
      <c r="W167" s="46"/>
      <c r="X167" s="46"/>
      <c r="Y167" s="46"/>
      <c r="Z167" s="46" t="str">
        <f t="shared" si="94"/>
        <v/>
      </c>
      <c r="AA167" s="46" t="str">
        <f t="shared" si="95"/>
        <v/>
      </c>
      <c r="AB167" s="46" t="str">
        <f t="shared" si="103"/>
        <v/>
      </c>
      <c r="AC167" s="46"/>
      <c r="AD167" s="46"/>
      <c r="AE167" s="46"/>
      <c r="AF167" s="59">
        <f t="shared" si="73"/>
        <v>0</v>
      </c>
      <c r="AG167" s="46">
        <f t="shared" si="75"/>
        <v>0</v>
      </c>
      <c r="AH167" s="47" t="str">
        <f t="shared" si="76"/>
        <v/>
      </c>
      <c r="AI167" s="47">
        <f t="shared" si="77"/>
        <v>0</v>
      </c>
      <c r="AJ167" s="47">
        <f t="shared" si="78"/>
        <v>0</v>
      </c>
      <c r="AK167" s="47">
        <f t="shared" si="79"/>
        <v>0</v>
      </c>
      <c r="AL167" s="48" t="str">
        <f t="shared" si="80"/>
        <v/>
      </c>
      <c r="AM167" s="46" t="str">
        <f t="shared" si="81"/>
        <v/>
      </c>
      <c r="AN167" s="46" t="str">
        <f t="shared" si="82"/>
        <v/>
      </c>
      <c r="AO167" s="46" t="str">
        <f t="shared" si="83"/>
        <v/>
      </c>
      <c r="AP167" s="46" t="str">
        <f t="shared" si="84"/>
        <v/>
      </c>
      <c r="AQ167" s="49" t="str">
        <f t="shared" si="85"/>
        <v/>
      </c>
      <c r="AR167" s="50" t="str">
        <f t="shared" si="86"/>
        <v/>
      </c>
      <c r="AS167" s="51" t="str">
        <f t="shared" si="87"/>
        <v/>
      </c>
      <c r="AT167" s="51" t="str">
        <f t="shared" si="88"/>
        <v/>
      </c>
      <c r="AU167" s="51" t="str">
        <f t="shared" si="96"/>
        <v/>
      </c>
      <c r="AV167" s="52" t="str">
        <f t="shared" si="89"/>
        <v/>
      </c>
      <c r="AW167" s="52" t="str">
        <f t="shared" si="90"/>
        <v/>
      </c>
      <c r="AX167" s="15" t="str">
        <f t="shared" si="91"/>
        <v/>
      </c>
      <c r="AY167" s="15" t="str">
        <f t="shared" si="92"/>
        <v/>
      </c>
      <c r="AZ167" s="15" t="str">
        <f t="shared" si="93"/>
        <v/>
      </c>
      <c r="BA167" s="61">
        <f t="shared" si="97"/>
        <v>0</v>
      </c>
      <c r="BB167" s="61"/>
      <c r="BC167" s="61">
        <f t="shared" si="98"/>
        <v>0</v>
      </c>
      <c r="BD167" s="61"/>
      <c r="BE167" s="61">
        <f t="shared" si="99"/>
        <v>0</v>
      </c>
      <c r="BF167" s="61"/>
      <c r="BG167" s="61">
        <v>0</v>
      </c>
      <c r="BH167" s="61"/>
      <c r="BI167" s="56">
        <f t="shared" si="100"/>
        <v>0</v>
      </c>
      <c r="BJ167" s="57" t="str">
        <f t="shared" si="101"/>
        <v/>
      </c>
      <c r="BK167" s="58" t="str">
        <f t="shared" si="102"/>
        <v/>
      </c>
    </row>
    <row r="168" spans="1:63" ht="17.25" customHeight="1" x14ac:dyDescent="0.3">
      <c r="A168" s="41">
        <v>167</v>
      </c>
      <c r="B168" s="42"/>
      <c r="C168" s="43" t="str">
        <f t="shared" si="72"/>
        <v/>
      </c>
      <c r="D168" s="43"/>
      <c r="E168" s="43"/>
      <c r="F168" s="43"/>
      <c r="G168" s="14"/>
      <c r="H168" s="14"/>
      <c r="I168" s="14"/>
      <c r="J168" s="44"/>
      <c r="K168" s="44"/>
      <c r="L168" s="44"/>
      <c r="M168" s="45"/>
      <c r="N168" s="45"/>
      <c r="O168" s="45"/>
      <c r="P168" s="46">
        <f t="shared" si="74"/>
        <v>0</v>
      </c>
      <c r="Q168" s="45"/>
      <c r="R168" s="46"/>
      <c r="S168" s="46"/>
      <c r="T168" s="46"/>
      <c r="U168" s="46"/>
      <c r="V168" s="46"/>
      <c r="W168" s="46"/>
      <c r="X168" s="46"/>
      <c r="Y168" s="46"/>
      <c r="Z168" s="46" t="str">
        <f t="shared" si="94"/>
        <v/>
      </c>
      <c r="AA168" s="46" t="str">
        <f t="shared" si="95"/>
        <v/>
      </c>
      <c r="AB168" s="46" t="str">
        <f t="shared" si="103"/>
        <v/>
      </c>
      <c r="AC168" s="46"/>
      <c r="AD168" s="46"/>
      <c r="AE168" s="46"/>
      <c r="AF168" s="59">
        <f t="shared" si="73"/>
        <v>0</v>
      </c>
      <c r="AG168" s="46">
        <f t="shared" si="75"/>
        <v>0</v>
      </c>
      <c r="AH168" s="47" t="str">
        <f t="shared" si="76"/>
        <v/>
      </c>
      <c r="AI168" s="47">
        <f t="shared" si="77"/>
        <v>0</v>
      </c>
      <c r="AJ168" s="47">
        <f t="shared" si="78"/>
        <v>0</v>
      </c>
      <c r="AK168" s="47">
        <f t="shared" si="79"/>
        <v>0</v>
      </c>
      <c r="AL168" s="48" t="str">
        <f t="shared" si="80"/>
        <v/>
      </c>
      <c r="AM168" s="46" t="str">
        <f t="shared" si="81"/>
        <v/>
      </c>
      <c r="AN168" s="46" t="str">
        <f t="shared" si="82"/>
        <v/>
      </c>
      <c r="AO168" s="46" t="str">
        <f t="shared" si="83"/>
        <v/>
      </c>
      <c r="AP168" s="46" t="str">
        <f t="shared" si="84"/>
        <v/>
      </c>
      <c r="AQ168" s="49" t="str">
        <f t="shared" si="85"/>
        <v/>
      </c>
      <c r="AR168" s="50" t="str">
        <f t="shared" si="86"/>
        <v/>
      </c>
      <c r="AS168" s="51" t="str">
        <f t="shared" si="87"/>
        <v/>
      </c>
      <c r="AT168" s="51" t="str">
        <f t="shared" si="88"/>
        <v/>
      </c>
      <c r="AU168" s="51" t="str">
        <f t="shared" si="96"/>
        <v/>
      </c>
      <c r="AV168" s="52" t="str">
        <f t="shared" si="89"/>
        <v/>
      </c>
      <c r="AW168" s="52" t="str">
        <f t="shared" si="90"/>
        <v/>
      </c>
      <c r="AX168" s="15" t="str">
        <f t="shared" si="91"/>
        <v/>
      </c>
      <c r="AY168" s="15" t="str">
        <f t="shared" si="92"/>
        <v/>
      </c>
      <c r="AZ168" s="15" t="str">
        <f t="shared" si="93"/>
        <v/>
      </c>
      <c r="BA168" s="61">
        <f t="shared" si="97"/>
        <v>0</v>
      </c>
      <c r="BB168" s="61"/>
      <c r="BC168" s="61">
        <f t="shared" si="98"/>
        <v>0</v>
      </c>
      <c r="BD168" s="61"/>
      <c r="BE168" s="61">
        <f t="shared" si="99"/>
        <v>0</v>
      </c>
      <c r="BF168" s="61"/>
      <c r="BG168" s="61">
        <v>0</v>
      </c>
      <c r="BH168" s="61"/>
      <c r="BI168" s="56">
        <f t="shared" si="100"/>
        <v>0</v>
      </c>
      <c r="BJ168" s="57" t="str">
        <f t="shared" si="101"/>
        <v/>
      </c>
      <c r="BK168" s="58" t="str">
        <f t="shared" si="102"/>
        <v/>
      </c>
    </row>
    <row r="169" spans="1:63" ht="17.25" customHeight="1" x14ac:dyDescent="0.3">
      <c r="A169" s="41">
        <v>168</v>
      </c>
      <c r="B169" s="42"/>
      <c r="C169" s="43" t="str">
        <f t="shared" si="72"/>
        <v/>
      </c>
      <c r="D169" s="43"/>
      <c r="E169" s="43"/>
      <c r="F169" s="43"/>
      <c r="G169" s="14"/>
      <c r="H169" s="14"/>
      <c r="I169" s="14"/>
      <c r="J169" s="44"/>
      <c r="K169" s="44"/>
      <c r="L169" s="44"/>
      <c r="M169" s="45"/>
      <c r="N169" s="45"/>
      <c r="O169" s="45"/>
      <c r="P169" s="46">
        <f t="shared" si="74"/>
        <v>0</v>
      </c>
      <c r="Q169" s="45"/>
      <c r="R169" s="46"/>
      <c r="S169" s="46"/>
      <c r="T169" s="46"/>
      <c r="U169" s="46"/>
      <c r="V169" s="46"/>
      <c r="W169" s="46"/>
      <c r="X169" s="46"/>
      <c r="Y169" s="46"/>
      <c r="Z169" s="46" t="str">
        <f t="shared" si="94"/>
        <v/>
      </c>
      <c r="AA169" s="46" t="str">
        <f t="shared" si="95"/>
        <v/>
      </c>
      <c r="AB169" s="46" t="str">
        <f t="shared" si="103"/>
        <v/>
      </c>
      <c r="AC169" s="46"/>
      <c r="AD169" s="46"/>
      <c r="AE169" s="46"/>
      <c r="AF169" s="59">
        <f t="shared" si="73"/>
        <v>0</v>
      </c>
      <c r="AG169" s="46">
        <f t="shared" si="75"/>
        <v>0</v>
      </c>
      <c r="AH169" s="47" t="str">
        <f t="shared" si="76"/>
        <v/>
      </c>
      <c r="AI169" s="47">
        <f t="shared" si="77"/>
        <v>0</v>
      </c>
      <c r="AJ169" s="47">
        <f t="shared" si="78"/>
        <v>0</v>
      </c>
      <c r="AK169" s="47">
        <f t="shared" si="79"/>
        <v>0</v>
      </c>
      <c r="AL169" s="48" t="str">
        <f t="shared" si="80"/>
        <v/>
      </c>
      <c r="AM169" s="46" t="str">
        <f t="shared" si="81"/>
        <v/>
      </c>
      <c r="AN169" s="46" t="str">
        <f t="shared" si="82"/>
        <v/>
      </c>
      <c r="AO169" s="46" t="str">
        <f t="shared" si="83"/>
        <v/>
      </c>
      <c r="AP169" s="46" t="str">
        <f t="shared" si="84"/>
        <v/>
      </c>
      <c r="AQ169" s="49" t="str">
        <f t="shared" si="85"/>
        <v/>
      </c>
      <c r="AR169" s="50" t="str">
        <f t="shared" si="86"/>
        <v/>
      </c>
      <c r="AS169" s="51" t="str">
        <f t="shared" si="87"/>
        <v/>
      </c>
      <c r="AT169" s="51" t="str">
        <f t="shared" si="88"/>
        <v/>
      </c>
      <c r="AU169" s="51" t="str">
        <f t="shared" si="96"/>
        <v/>
      </c>
      <c r="AV169" s="52" t="str">
        <f t="shared" si="89"/>
        <v/>
      </c>
      <c r="AW169" s="52" t="str">
        <f t="shared" si="90"/>
        <v/>
      </c>
      <c r="AX169" s="15" t="str">
        <f t="shared" si="91"/>
        <v/>
      </c>
      <c r="AY169" s="15" t="str">
        <f t="shared" si="92"/>
        <v/>
      </c>
      <c r="AZ169" s="15" t="str">
        <f t="shared" si="93"/>
        <v/>
      </c>
      <c r="BA169" s="61">
        <f t="shared" si="97"/>
        <v>0</v>
      </c>
      <c r="BB169" s="61"/>
      <c r="BC169" s="61">
        <f t="shared" si="98"/>
        <v>0</v>
      </c>
      <c r="BD169" s="61"/>
      <c r="BE169" s="61">
        <f t="shared" si="99"/>
        <v>0</v>
      </c>
      <c r="BF169" s="61"/>
      <c r="BG169" s="61">
        <v>0</v>
      </c>
      <c r="BH169" s="61"/>
      <c r="BI169" s="56">
        <f t="shared" si="100"/>
        <v>0</v>
      </c>
      <c r="BJ169" s="57" t="str">
        <f t="shared" si="101"/>
        <v/>
      </c>
      <c r="BK169" s="58" t="str">
        <f t="shared" si="102"/>
        <v/>
      </c>
    </row>
    <row r="170" spans="1:63" ht="17.25" customHeight="1" x14ac:dyDescent="0.3">
      <c r="A170" s="41">
        <v>169</v>
      </c>
      <c r="B170" s="42"/>
      <c r="C170" s="43" t="str">
        <f t="shared" si="72"/>
        <v/>
      </c>
      <c r="D170" s="43"/>
      <c r="E170" s="43"/>
      <c r="F170" s="43"/>
      <c r="G170" s="14"/>
      <c r="H170" s="14"/>
      <c r="I170" s="14"/>
      <c r="J170" s="44"/>
      <c r="K170" s="44"/>
      <c r="L170" s="44"/>
      <c r="M170" s="45"/>
      <c r="N170" s="45"/>
      <c r="O170" s="45"/>
      <c r="P170" s="46">
        <f t="shared" si="74"/>
        <v>0</v>
      </c>
      <c r="Q170" s="45"/>
      <c r="R170" s="46"/>
      <c r="S170" s="46"/>
      <c r="T170" s="46"/>
      <c r="U170" s="46"/>
      <c r="V170" s="46"/>
      <c r="W170" s="46"/>
      <c r="X170" s="46"/>
      <c r="Y170" s="46"/>
      <c r="Z170" s="46" t="str">
        <f t="shared" si="94"/>
        <v/>
      </c>
      <c r="AA170" s="46" t="str">
        <f t="shared" si="95"/>
        <v/>
      </c>
      <c r="AB170" s="46" t="str">
        <f t="shared" si="103"/>
        <v/>
      </c>
      <c r="AC170" s="46"/>
      <c r="AD170" s="46"/>
      <c r="AE170" s="46"/>
      <c r="AF170" s="59">
        <f t="shared" si="73"/>
        <v>0</v>
      </c>
      <c r="AG170" s="46">
        <f t="shared" si="75"/>
        <v>0</v>
      </c>
      <c r="AH170" s="47" t="str">
        <f t="shared" si="76"/>
        <v/>
      </c>
      <c r="AI170" s="47">
        <f t="shared" si="77"/>
        <v>0</v>
      </c>
      <c r="AJ170" s="47">
        <f t="shared" si="78"/>
        <v>0</v>
      </c>
      <c r="AK170" s="47">
        <f t="shared" si="79"/>
        <v>0</v>
      </c>
      <c r="AL170" s="48" t="str">
        <f t="shared" si="80"/>
        <v/>
      </c>
      <c r="AM170" s="46" t="str">
        <f t="shared" si="81"/>
        <v/>
      </c>
      <c r="AN170" s="46" t="str">
        <f t="shared" si="82"/>
        <v/>
      </c>
      <c r="AO170" s="46" t="str">
        <f t="shared" si="83"/>
        <v/>
      </c>
      <c r="AP170" s="46" t="str">
        <f t="shared" si="84"/>
        <v/>
      </c>
      <c r="AQ170" s="49" t="str">
        <f t="shared" si="85"/>
        <v/>
      </c>
      <c r="AR170" s="50" t="str">
        <f t="shared" si="86"/>
        <v/>
      </c>
      <c r="AS170" s="51" t="str">
        <f t="shared" si="87"/>
        <v/>
      </c>
      <c r="AT170" s="51" t="str">
        <f t="shared" si="88"/>
        <v/>
      </c>
      <c r="AU170" s="51" t="str">
        <f t="shared" si="96"/>
        <v/>
      </c>
      <c r="AV170" s="52" t="str">
        <f t="shared" si="89"/>
        <v/>
      </c>
      <c r="AW170" s="52" t="str">
        <f t="shared" si="90"/>
        <v/>
      </c>
      <c r="AX170" s="15" t="str">
        <f t="shared" si="91"/>
        <v/>
      </c>
      <c r="AY170" s="15" t="str">
        <f t="shared" si="92"/>
        <v/>
      </c>
      <c r="AZ170" s="15" t="str">
        <f t="shared" si="93"/>
        <v/>
      </c>
      <c r="BA170" s="61">
        <f t="shared" si="97"/>
        <v>0</v>
      </c>
      <c r="BB170" s="61"/>
      <c r="BC170" s="61">
        <f t="shared" si="98"/>
        <v>0</v>
      </c>
      <c r="BD170" s="61"/>
      <c r="BE170" s="61">
        <f t="shared" si="99"/>
        <v>0</v>
      </c>
      <c r="BF170" s="61"/>
      <c r="BG170" s="61">
        <v>0</v>
      </c>
      <c r="BH170" s="61"/>
      <c r="BI170" s="56">
        <f t="shared" si="100"/>
        <v>0</v>
      </c>
      <c r="BJ170" s="57" t="str">
        <f t="shared" si="101"/>
        <v/>
      </c>
      <c r="BK170" s="58" t="str">
        <f t="shared" si="102"/>
        <v/>
      </c>
    </row>
    <row r="171" spans="1:63" ht="17.25" customHeight="1" x14ac:dyDescent="0.3">
      <c r="A171" s="41">
        <v>170</v>
      </c>
      <c r="B171" s="42"/>
      <c r="C171" s="43" t="str">
        <f t="shared" si="72"/>
        <v/>
      </c>
      <c r="D171" s="43"/>
      <c r="E171" s="43"/>
      <c r="F171" s="43"/>
      <c r="G171" s="14"/>
      <c r="H171" s="14"/>
      <c r="I171" s="14"/>
      <c r="J171" s="44"/>
      <c r="K171" s="44"/>
      <c r="L171" s="44"/>
      <c r="M171" s="45"/>
      <c r="N171" s="45"/>
      <c r="O171" s="45"/>
      <c r="P171" s="46">
        <f t="shared" si="74"/>
        <v>0</v>
      </c>
      <c r="Q171" s="45"/>
      <c r="R171" s="46"/>
      <c r="S171" s="46"/>
      <c r="T171" s="46"/>
      <c r="U171" s="46"/>
      <c r="V171" s="46"/>
      <c r="W171" s="46"/>
      <c r="X171" s="46"/>
      <c r="Y171" s="46"/>
      <c r="Z171" s="46" t="str">
        <f t="shared" si="94"/>
        <v/>
      </c>
      <c r="AA171" s="46" t="str">
        <f t="shared" si="95"/>
        <v/>
      </c>
      <c r="AB171" s="46" t="str">
        <f t="shared" si="103"/>
        <v/>
      </c>
      <c r="AC171" s="46"/>
      <c r="AD171" s="46"/>
      <c r="AE171" s="46"/>
      <c r="AF171" s="59">
        <f t="shared" si="73"/>
        <v>0</v>
      </c>
      <c r="AG171" s="46">
        <f t="shared" si="75"/>
        <v>0</v>
      </c>
      <c r="AH171" s="47" t="str">
        <f t="shared" si="76"/>
        <v/>
      </c>
      <c r="AI171" s="47">
        <f t="shared" si="77"/>
        <v>0</v>
      </c>
      <c r="AJ171" s="47">
        <f t="shared" si="78"/>
        <v>0</v>
      </c>
      <c r="AK171" s="47">
        <f t="shared" si="79"/>
        <v>0</v>
      </c>
      <c r="AL171" s="48" t="str">
        <f t="shared" si="80"/>
        <v/>
      </c>
      <c r="AM171" s="46" t="str">
        <f t="shared" si="81"/>
        <v/>
      </c>
      <c r="AN171" s="46" t="str">
        <f t="shared" si="82"/>
        <v/>
      </c>
      <c r="AO171" s="46" t="str">
        <f t="shared" si="83"/>
        <v/>
      </c>
      <c r="AP171" s="46" t="str">
        <f t="shared" si="84"/>
        <v/>
      </c>
      <c r="AQ171" s="49" t="str">
        <f t="shared" si="85"/>
        <v/>
      </c>
      <c r="AR171" s="50" t="str">
        <f t="shared" si="86"/>
        <v/>
      </c>
      <c r="AS171" s="51" t="str">
        <f t="shared" si="87"/>
        <v/>
      </c>
      <c r="AT171" s="51" t="str">
        <f t="shared" si="88"/>
        <v/>
      </c>
      <c r="AU171" s="51" t="str">
        <f t="shared" si="96"/>
        <v/>
      </c>
      <c r="AV171" s="52" t="str">
        <f t="shared" si="89"/>
        <v/>
      </c>
      <c r="AW171" s="52" t="str">
        <f t="shared" si="90"/>
        <v/>
      </c>
      <c r="AX171" s="15" t="str">
        <f t="shared" si="91"/>
        <v/>
      </c>
      <c r="AY171" s="15" t="str">
        <f t="shared" si="92"/>
        <v/>
      </c>
      <c r="AZ171" s="15" t="str">
        <f t="shared" si="93"/>
        <v/>
      </c>
      <c r="BA171" s="61">
        <f t="shared" si="97"/>
        <v>0</v>
      </c>
      <c r="BB171" s="61"/>
      <c r="BC171" s="61">
        <f t="shared" si="98"/>
        <v>0</v>
      </c>
      <c r="BD171" s="61"/>
      <c r="BE171" s="61">
        <f t="shared" si="99"/>
        <v>0</v>
      </c>
      <c r="BF171" s="61"/>
      <c r="BG171" s="61">
        <v>0</v>
      </c>
      <c r="BH171" s="61"/>
      <c r="BI171" s="56">
        <f t="shared" si="100"/>
        <v>0</v>
      </c>
      <c r="BJ171" s="57" t="str">
        <f t="shared" si="101"/>
        <v/>
      </c>
      <c r="BK171" s="58" t="str">
        <f t="shared" si="102"/>
        <v/>
      </c>
    </row>
    <row r="172" spans="1:63" ht="17.25" customHeight="1" x14ac:dyDescent="0.3">
      <c r="A172" s="41">
        <v>171</v>
      </c>
      <c r="B172" s="42"/>
      <c r="C172" s="43" t="str">
        <f t="shared" si="72"/>
        <v/>
      </c>
      <c r="D172" s="43"/>
      <c r="E172" s="43"/>
      <c r="F172" s="43"/>
      <c r="G172" s="14"/>
      <c r="H172" s="14"/>
      <c r="I172" s="14"/>
      <c r="J172" s="44"/>
      <c r="K172" s="44"/>
      <c r="L172" s="44"/>
      <c r="M172" s="45"/>
      <c r="N172" s="45"/>
      <c r="O172" s="45"/>
      <c r="P172" s="46">
        <f t="shared" si="74"/>
        <v>0</v>
      </c>
      <c r="Q172" s="45"/>
      <c r="R172" s="46"/>
      <c r="S172" s="46"/>
      <c r="T172" s="46"/>
      <c r="U172" s="46"/>
      <c r="V172" s="46"/>
      <c r="W172" s="46"/>
      <c r="X172" s="46"/>
      <c r="Y172" s="46"/>
      <c r="Z172" s="46" t="str">
        <f t="shared" si="94"/>
        <v/>
      </c>
      <c r="AA172" s="46" t="str">
        <f t="shared" si="95"/>
        <v/>
      </c>
      <c r="AB172" s="46" t="str">
        <f t="shared" si="103"/>
        <v/>
      </c>
      <c r="AC172" s="46"/>
      <c r="AD172" s="46"/>
      <c r="AE172" s="46"/>
      <c r="AF172" s="59">
        <f t="shared" si="73"/>
        <v>0</v>
      </c>
      <c r="AG172" s="46">
        <f t="shared" si="75"/>
        <v>0</v>
      </c>
      <c r="AH172" s="47" t="str">
        <f t="shared" si="76"/>
        <v/>
      </c>
      <c r="AI172" s="47">
        <f t="shared" si="77"/>
        <v>0</v>
      </c>
      <c r="AJ172" s="47">
        <f t="shared" si="78"/>
        <v>0</v>
      </c>
      <c r="AK172" s="47">
        <f t="shared" si="79"/>
        <v>0</v>
      </c>
      <c r="AL172" s="48" t="str">
        <f t="shared" si="80"/>
        <v/>
      </c>
      <c r="AM172" s="46" t="str">
        <f t="shared" si="81"/>
        <v/>
      </c>
      <c r="AN172" s="46" t="str">
        <f t="shared" si="82"/>
        <v/>
      </c>
      <c r="AO172" s="46" t="str">
        <f t="shared" si="83"/>
        <v/>
      </c>
      <c r="AP172" s="46" t="str">
        <f t="shared" si="84"/>
        <v/>
      </c>
      <c r="AQ172" s="49" t="str">
        <f t="shared" si="85"/>
        <v/>
      </c>
      <c r="AR172" s="50" t="str">
        <f t="shared" si="86"/>
        <v/>
      </c>
      <c r="AS172" s="51" t="str">
        <f t="shared" si="87"/>
        <v/>
      </c>
      <c r="AT172" s="51" t="str">
        <f t="shared" si="88"/>
        <v/>
      </c>
      <c r="AU172" s="51" t="str">
        <f t="shared" si="96"/>
        <v/>
      </c>
      <c r="AV172" s="52" t="str">
        <f t="shared" si="89"/>
        <v/>
      </c>
      <c r="AW172" s="52" t="str">
        <f t="shared" si="90"/>
        <v/>
      </c>
      <c r="AX172" s="15" t="str">
        <f t="shared" si="91"/>
        <v/>
      </c>
      <c r="AY172" s="15" t="str">
        <f t="shared" si="92"/>
        <v/>
      </c>
      <c r="AZ172" s="15" t="str">
        <f t="shared" si="93"/>
        <v/>
      </c>
      <c r="BA172" s="61">
        <f t="shared" si="97"/>
        <v>0</v>
      </c>
      <c r="BB172" s="61"/>
      <c r="BC172" s="61">
        <f t="shared" si="98"/>
        <v>0</v>
      </c>
      <c r="BD172" s="61"/>
      <c r="BE172" s="61">
        <f t="shared" si="99"/>
        <v>0</v>
      </c>
      <c r="BF172" s="61"/>
      <c r="BG172" s="61">
        <v>0</v>
      </c>
      <c r="BH172" s="61"/>
      <c r="BI172" s="56">
        <f t="shared" si="100"/>
        <v>0</v>
      </c>
      <c r="BJ172" s="57" t="str">
        <f t="shared" si="101"/>
        <v/>
      </c>
      <c r="BK172" s="58" t="str">
        <f t="shared" si="102"/>
        <v/>
      </c>
    </row>
    <row r="173" spans="1:63" ht="17.25" customHeight="1" x14ac:dyDescent="0.3">
      <c r="A173" s="41">
        <v>172</v>
      </c>
      <c r="B173" s="42"/>
      <c r="C173" s="43" t="str">
        <f t="shared" si="72"/>
        <v/>
      </c>
      <c r="D173" s="43"/>
      <c r="E173" s="43"/>
      <c r="F173" s="43"/>
      <c r="G173" s="14"/>
      <c r="H173" s="14"/>
      <c r="I173" s="14"/>
      <c r="J173" s="44"/>
      <c r="K173" s="44"/>
      <c r="L173" s="44"/>
      <c r="M173" s="45"/>
      <c r="N173" s="45"/>
      <c r="O173" s="45"/>
      <c r="P173" s="46">
        <f t="shared" si="74"/>
        <v>0</v>
      </c>
      <c r="Q173" s="45"/>
      <c r="R173" s="46"/>
      <c r="S173" s="46"/>
      <c r="T173" s="46"/>
      <c r="U173" s="46"/>
      <c r="V173" s="46"/>
      <c r="W173" s="46"/>
      <c r="X173" s="46"/>
      <c r="Y173" s="46"/>
      <c r="Z173" s="46" t="str">
        <f t="shared" si="94"/>
        <v/>
      </c>
      <c r="AA173" s="46" t="str">
        <f t="shared" si="95"/>
        <v/>
      </c>
      <c r="AB173" s="46" t="str">
        <f t="shared" si="103"/>
        <v/>
      </c>
      <c r="AC173" s="46"/>
      <c r="AD173" s="46"/>
      <c r="AE173" s="46"/>
      <c r="AF173" s="59">
        <f t="shared" si="73"/>
        <v>0</v>
      </c>
      <c r="AG173" s="46">
        <f t="shared" si="75"/>
        <v>0</v>
      </c>
      <c r="AH173" s="47" t="str">
        <f t="shared" si="76"/>
        <v/>
      </c>
      <c r="AI173" s="47">
        <f t="shared" si="77"/>
        <v>0</v>
      </c>
      <c r="AJ173" s="47">
        <f t="shared" si="78"/>
        <v>0</v>
      </c>
      <c r="AK173" s="47">
        <f t="shared" si="79"/>
        <v>0</v>
      </c>
      <c r="AL173" s="48" t="str">
        <f t="shared" si="80"/>
        <v/>
      </c>
      <c r="AM173" s="46" t="str">
        <f t="shared" si="81"/>
        <v/>
      </c>
      <c r="AN173" s="46" t="str">
        <f t="shared" si="82"/>
        <v/>
      </c>
      <c r="AO173" s="46" t="str">
        <f t="shared" si="83"/>
        <v/>
      </c>
      <c r="AP173" s="46" t="str">
        <f t="shared" si="84"/>
        <v/>
      </c>
      <c r="AQ173" s="49" t="str">
        <f t="shared" si="85"/>
        <v/>
      </c>
      <c r="AR173" s="50" t="str">
        <f t="shared" si="86"/>
        <v/>
      </c>
      <c r="AS173" s="51" t="str">
        <f t="shared" si="87"/>
        <v/>
      </c>
      <c r="AT173" s="51" t="str">
        <f t="shared" si="88"/>
        <v/>
      </c>
      <c r="AU173" s="51" t="str">
        <f t="shared" si="96"/>
        <v/>
      </c>
      <c r="AV173" s="52" t="str">
        <f t="shared" si="89"/>
        <v/>
      </c>
      <c r="AW173" s="52" t="str">
        <f t="shared" si="90"/>
        <v/>
      </c>
      <c r="AX173" s="15" t="str">
        <f t="shared" si="91"/>
        <v/>
      </c>
      <c r="AY173" s="15" t="str">
        <f t="shared" si="92"/>
        <v/>
      </c>
      <c r="AZ173" s="15" t="str">
        <f t="shared" si="93"/>
        <v/>
      </c>
      <c r="BA173" s="61">
        <f t="shared" si="97"/>
        <v>0</v>
      </c>
      <c r="BB173" s="61"/>
      <c r="BC173" s="61">
        <f t="shared" si="98"/>
        <v>0</v>
      </c>
      <c r="BD173" s="61"/>
      <c r="BE173" s="61">
        <f t="shared" si="99"/>
        <v>0</v>
      </c>
      <c r="BF173" s="61"/>
      <c r="BG173" s="61">
        <v>0</v>
      </c>
      <c r="BH173" s="61"/>
      <c r="BI173" s="56">
        <f t="shared" si="100"/>
        <v>0</v>
      </c>
      <c r="BJ173" s="57" t="str">
        <f t="shared" si="101"/>
        <v/>
      </c>
      <c r="BK173" s="58" t="str">
        <f t="shared" si="102"/>
        <v/>
      </c>
    </row>
    <row r="174" spans="1:63" ht="17.25" customHeight="1" x14ac:dyDescent="0.3">
      <c r="A174" s="41">
        <v>173</v>
      </c>
      <c r="B174" s="42"/>
      <c r="C174" s="43" t="str">
        <f t="shared" si="72"/>
        <v/>
      </c>
      <c r="D174" s="43"/>
      <c r="E174" s="43"/>
      <c r="F174" s="43"/>
      <c r="G174" s="14"/>
      <c r="H174" s="14"/>
      <c r="I174" s="14"/>
      <c r="J174" s="44"/>
      <c r="K174" s="44"/>
      <c r="L174" s="44"/>
      <c r="M174" s="45"/>
      <c r="N174" s="45"/>
      <c r="O174" s="45"/>
      <c r="P174" s="46">
        <f t="shared" si="74"/>
        <v>0</v>
      </c>
      <c r="Q174" s="45"/>
      <c r="R174" s="46"/>
      <c r="S174" s="46"/>
      <c r="T174" s="46"/>
      <c r="U174" s="46"/>
      <c r="V174" s="46"/>
      <c r="W174" s="46"/>
      <c r="X174" s="46"/>
      <c r="Y174" s="46"/>
      <c r="Z174" s="46" t="str">
        <f t="shared" si="94"/>
        <v/>
      </c>
      <c r="AA174" s="46" t="str">
        <f t="shared" si="95"/>
        <v/>
      </c>
      <c r="AB174" s="46" t="str">
        <f t="shared" si="103"/>
        <v/>
      </c>
      <c r="AC174" s="46"/>
      <c r="AD174" s="46"/>
      <c r="AE174" s="46"/>
      <c r="AF174" s="59">
        <f t="shared" si="73"/>
        <v>0</v>
      </c>
      <c r="AG174" s="46">
        <f t="shared" si="75"/>
        <v>0</v>
      </c>
      <c r="AH174" s="47" t="str">
        <f t="shared" si="76"/>
        <v/>
      </c>
      <c r="AI174" s="47">
        <f t="shared" si="77"/>
        <v>0</v>
      </c>
      <c r="AJ174" s="47">
        <f t="shared" si="78"/>
        <v>0</v>
      </c>
      <c r="AK174" s="47">
        <f t="shared" si="79"/>
        <v>0</v>
      </c>
      <c r="AL174" s="48" t="str">
        <f t="shared" si="80"/>
        <v/>
      </c>
      <c r="AM174" s="46" t="str">
        <f t="shared" si="81"/>
        <v/>
      </c>
      <c r="AN174" s="46" t="str">
        <f t="shared" si="82"/>
        <v/>
      </c>
      <c r="AO174" s="46" t="str">
        <f t="shared" si="83"/>
        <v/>
      </c>
      <c r="AP174" s="46" t="str">
        <f t="shared" si="84"/>
        <v/>
      </c>
      <c r="AQ174" s="49" t="str">
        <f t="shared" si="85"/>
        <v/>
      </c>
      <c r="AR174" s="50" t="str">
        <f t="shared" si="86"/>
        <v/>
      </c>
      <c r="AS174" s="51" t="str">
        <f t="shared" si="87"/>
        <v/>
      </c>
      <c r="AT174" s="51" t="str">
        <f t="shared" si="88"/>
        <v/>
      </c>
      <c r="AU174" s="51" t="str">
        <f t="shared" si="96"/>
        <v/>
      </c>
      <c r="AV174" s="52" t="str">
        <f t="shared" si="89"/>
        <v/>
      </c>
      <c r="AW174" s="52" t="str">
        <f t="shared" si="90"/>
        <v/>
      </c>
      <c r="AX174" s="15" t="str">
        <f t="shared" si="91"/>
        <v/>
      </c>
      <c r="AY174" s="15" t="str">
        <f t="shared" si="92"/>
        <v/>
      </c>
      <c r="AZ174" s="15" t="str">
        <f t="shared" si="93"/>
        <v/>
      </c>
      <c r="BA174" s="61">
        <f t="shared" si="97"/>
        <v>0</v>
      </c>
      <c r="BB174" s="61"/>
      <c r="BC174" s="61">
        <f t="shared" si="98"/>
        <v>0</v>
      </c>
      <c r="BD174" s="61"/>
      <c r="BE174" s="61">
        <f t="shared" si="99"/>
        <v>0</v>
      </c>
      <c r="BF174" s="61"/>
      <c r="BG174" s="61">
        <v>0</v>
      </c>
      <c r="BH174" s="61"/>
      <c r="BI174" s="56">
        <f t="shared" si="100"/>
        <v>0</v>
      </c>
      <c r="BJ174" s="57" t="str">
        <f t="shared" si="101"/>
        <v/>
      </c>
      <c r="BK174" s="58" t="str">
        <f t="shared" si="102"/>
        <v/>
      </c>
    </row>
    <row r="175" spans="1:63" ht="17.25" customHeight="1" x14ac:dyDescent="0.3">
      <c r="A175" s="41">
        <v>174</v>
      </c>
      <c r="B175" s="42"/>
      <c r="C175" s="43" t="str">
        <f t="shared" si="72"/>
        <v/>
      </c>
      <c r="D175" s="43"/>
      <c r="E175" s="43"/>
      <c r="F175" s="43"/>
      <c r="G175" s="14"/>
      <c r="H175" s="14"/>
      <c r="I175" s="14"/>
      <c r="J175" s="44"/>
      <c r="K175" s="44"/>
      <c r="L175" s="44"/>
      <c r="M175" s="45"/>
      <c r="N175" s="45"/>
      <c r="O175" s="45"/>
      <c r="P175" s="46">
        <f t="shared" si="74"/>
        <v>0</v>
      </c>
      <c r="Q175" s="45"/>
      <c r="R175" s="46"/>
      <c r="S175" s="46"/>
      <c r="T175" s="46"/>
      <c r="U175" s="46"/>
      <c r="V175" s="46"/>
      <c r="W175" s="46"/>
      <c r="X175" s="46"/>
      <c r="Y175" s="46"/>
      <c r="Z175" s="46" t="str">
        <f t="shared" si="94"/>
        <v/>
      </c>
      <c r="AA175" s="46" t="str">
        <f t="shared" si="95"/>
        <v/>
      </c>
      <c r="AB175" s="46" t="str">
        <f t="shared" si="103"/>
        <v/>
      </c>
      <c r="AC175" s="46"/>
      <c r="AD175" s="46"/>
      <c r="AE175" s="46"/>
      <c r="AF175" s="59">
        <f t="shared" si="73"/>
        <v>0</v>
      </c>
      <c r="AG175" s="46">
        <f t="shared" si="75"/>
        <v>0</v>
      </c>
      <c r="AH175" s="47" t="str">
        <f t="shared" si="76"/>
        <v/>
      </c>
      <c r="AI175" s="47">
        <f t="shared" si="77"/>
        <v>0</v>
      </c>
      <c r="AJ175" s="47">
        <f t="shared" si="78"/>
        <v>0</v>
      </c>
      <c r="AK175" s="47">
        <f t="shared" si="79"/>
        <v>0</v>
      </c>
      <c r="AL175" s="48" t="str">
        <f t="shared" si="80"/>
        <v/>
      </c>
      <c r="AM175" s="46" t="str">
        <f t="shared" si="81"/>
        <v/>
      </c>
      <c r="AN175" s="46" t="str">
        <f t="shared" si="82"/>
        <v/>
      </c>
      <c r="AO175" s="46" t="str">
        <f t="shared" si="83"/>
        <v/>
      </c>
      <c r="AP175" s="46" t="str">
        <f t="shared" si="84"/>
        <v/>
      </c>
      <c r="AQ175" s="49" t="str">
        <f t="shared" si="85"/>
        <v/>
      </c>
      <c r="AR175" s="50" t="str">
        <f t="shared" si="86"/>
        <v/>
      </c>
      <c r="AS175" s="51" t="str">
        <f t="shared" si="87"/>
        <v/>
      </c>
      <c r="AT175" s="51" t="str">
        <f t="shared" si="88"/>
        <v/>
      </c>
      <c r="AU175" s="51" t="str">
        <f t="shared" si="96"/>
        <v/>
      </c>
      <c r="AV175" s="52" t="str">
        <f t="shared" si="89"/>
        <v/>
      </c>
      <c r="AW175" s="52" t="str">
        <f t="shared" si="90"/>
        <v/>
      </c>
      <c r="AX175" s="15" t="str">
        <f t="shared" si="91"/>
        <v/>
      </c>
      <c r="AY175" s="15" t="str">
        <f t="shared" si="92"/>
        <v/>
      </c>
      <c r="AZ175" s="15" t="str">
        <f t="shared" si="93"/>
        <v/>
      </c>
      <c r="BA175" s="61">
        <f t="shared" si="97"/>
        <v>0</v>
      </c>
      <c r="BB175" s="61"/>
      <c r="BC175" s="61">
        <f t="shared" si="98"/>
        <v>0</v>
      </c>
      <c r="BD175" s="61"/>
      <c r="BE175" s="61">
        <f t="shared" si="99"/>
        <v>0</v>
      </c>
      <c r="BF175" s="61"/>
      <c r="BG175" s="61">
        <v>0</v>
      </c>
      <c r="BH175" s="61"/>
      <c r="BI175" s="56">
        <f t="shared" si="100"/>
        <v>0</v>
      </c>
      <c r="BJ175" s="57" t="str">
        <f t="shared" si="101"/>
        <v/>
      </c>
      <c r="BK175" s="58" t="str">
        <f t="shared" si="102"/>
        <v/>
      </c>
    </row>
    <row r="176" spans="1:63" ht="17.25" customHeight="1" x14ac:dyDescent="0.3">
      <c r="A176" s="41">
        <v>175</v>
      </c>
      <c r="B176" s="42"/>
      <c r="C176" s="43" t="str">
        <f t="shared" si="72"/>
        <v/>
      </c>
      <c r="D176" s="43"/>
      <c r="E176" s="43"/>
      <c r="F176" s="43"/>
      <c r="G176" s="14"/>
      <c r="H176" s="14"/>
      <c r="I176" s="14"/>
      <c r="J176" s="44"/>
      <c r="K176" s="44"/>
      <c r="L176" s="44"/>
      <c r="M176" s="45"/>
      <c r="N176" s="45"/>
      <c r="O176" s="45"/>
      <c r="P176" s="46">
        <f t="shared" si="74"/>
        <v>0</v>
      </c>
      <c r="Q176" s="45"/>
      <c r="R176" s="46"/>
      <c r="S176" s="46"/>
      <c r="T176" s="46"/>
      <c r="U176" s="46"/>
      <c r="V176" s="46"/>
      <c r="W176" s="46"/>
      <c r="X176" s="46"/>
      <c r="Y176" s="46"/>
      <c r="Z176" s="46" t="str">
        <f t="shared" si="94"/>
        <v/>
      </c>
      <c r="AA176" s="46" t="str">
        <f t="shared" si="95"/>
        <v/>
      </c>
      <c r="AB176" s="46" t="str">
        <f t="shared" si="103"/>
        <v/>
      </c>
      <c r="AC176" s="46"/>
      <c r="AD176" s="46"/>
      <c r="AE176" s="46"/>
      <c r="AF176" s="59">
        <f t="shared" si="73"/>
        <v>0</v>
      </c>
      <c r="AG176" s="46">
        <f t="shared" si="75"/>
        <v>0</v>
      </c>
      <c r="AH176" s="47" t="str">
        <f t="shared" si="76"/>
        <v/>
      </c>
      <c r="AI176" s="47">
        <f t="shared" si="77"/>
        <v>0</v>
      </c>
      <c r="AJ176" s="47">
        <f t="shared" si="78"/>
        <v>0</v>
      </c>
      <c r="AK176" s="47">
        <f t="shared" si="79"/>
        <v>0</v>
      </c>
      <c r="AL176" s="48" t="str">
        <f t="shared" si="80"/>
        <v/>
      </c>
      <c r="AM176" s="46" t="str">
        <f t="shared" si="81"/>
        <v/>
      </c>
      <c r="AN176" s="46" t="str">
        <f t="shared" si="82"/>
        <v/>
      </c>
      <c r="AO176" s="46" t="str">
        <f t="shared" si="83"/>
        <v/>
      </c>
      <c r="AP176" s="46" t="str">
        <f t="shared" si="84"/>
        <v/>
      </c>
      <c r="AQ176" s="49" t="str">
        <f t="shared" si="85"/>
        <v/>
      </c>
      <c r="AR176" s="50" t="str">
        <f t="shared" si="86"/>
        <v/>
      </c>
      <c r="AS176" s="51" t="str">
        <f t="shared" si="87"/>
        <v/>
      </c>
      <c r="AT176" s="51" t="str">
        <f t="shared" si="88"/>
        <v/>
      </c>
      <c r="AU176" s="51" t="str">
        <f t="shared" si="96"/>
        <v/>
      </c>
      <c r="AV176" s="52" t="str">
        <f t="shared" si="89"/>
        <v/>
      </c>
      <c r="AW176" s="52" t="str">
        <f t="shared" si="90"/>
        <v/>
      </c>
      <c r="AX176" s="15" t="str">
        <f t="shared" si="91"/>
        <v/>
      </c>
      <c r="AY176" s="15" t="str">
        <f t="shared" si="92"/>
        <v/>
      </c>
      <c r="AZ176" s="15" t="str">
        <f t="shared" si="93"/>
        <v/>
      </c>
      <c r="BA176" s="61">
        <f t="shared" si="97"/>
        <v>0</v>
      </c>
      <c r="BB176" s="61"/>
      <c r="BC176" s="61">
        <f t="shared" si="98"/>
        <v>0</v>
      </c>
      <c r="BD176" s="61"/>
      <c r="BE176" s="61">
        <f t="shared" si="99"/>
        <v>0</v>
      </c>
      <c r="BF176" s="61"/>
      <c r="BG176" s="61">
        <v>0</v>
      </c>
      <c r="BH176" s="61"/>
      <c r="BI176" s="56">
        <f t="shared" si="100"/>
        <v>0</v>
      </c>
      <c r="BJ176" s="57" t="str">
        <f t="shared" si="101"/>
        <v/>
      </c>
      <c r="BK176" s="58" t="str">
        <f t="shared" si="102"/>
        <v/>
      </c>
    </row>
    <row r="177" spans="1:63" ht="17.25" customHeight="1" x14ac:dyDescent="0.3">
      <c r="A177" s="41">
        <v>176</v>
      </c>
      <c r="B177" s="42"/>
      <c r="C177" s="43" t="str">
        <f t="shared" si="72"/>
        <v/>
      </c>
      <c r="D177" s="43"/>
      <c r="E177" s="43"/>
      <c r="F177" s="43"/>
      <c r="G177" s="14"/>
      <c r="H177" s="14"/>
      <c r="I177" s="14"/>
      <c r="J177" s="44"/>
      <c r="K177" s="44"/>
      <c r="L177" s="44"/>
      <c r="M177" s="45"/>
      <c r="N177" s="45"/>
      <c r="O177" s="45"/>
      <c r="P177" s="46">
        <f t="shared" si="74"/>
        <v>0</v>
      </c>
      <c r="Q177" s="45"/>
      <c r="R177" s="46"/>
      <c r="S177" s="46"/>
      <c r="T177" s="46"/>
      <c r="U177" s="46"/>
      <c r="V177" s="46"/>
      <c r="W177" s="46"/>
      <c r="X177" s="46"/>
      <c r="Y177" s="46"/>
      <c r="Z177" s="46" t="str">
        <f t="shared" si="94"/>
        <v/>
      </c>
      <c r="AA177" s="46" t="str">
        <f t="shared" si="95"/>
        <v/>
      </c>
      <c r="AB177" s="46" t="str">
        <f t="shared" si="103"/>
        <v/>
      </c>
      <c r="AC177" s="46"/>
      <c r="AD177" s="46"/>
      <c r="AE177" s="46"/>
      <c r="AF177" s="59">
        <f t="shared" si="73"/>
        <v>0</v>
      </c>
      <c r="AG177" s="46">
        <f t="shared" si="75"/>
        <v>0</v>
      </c>
      <c r="AH177" s="47" t="str">
        <f t="shared" si="76"/>
        <v/>
      </c>
      <c r="AI177" s="47">
        <f t="shared" si="77"/>
        <v>0</v>
      </c>
      <c r="AJ177" s="47">
        <f t="shared" si="78"/>
        <v>0</v>
      </c>
      <c r="AK177" s="47">
        <f t="shared" si="79"/>
        <v>0</v>
      </c>
      <c r="AL177" s="48" t="str">
        <f t="shared" si="80"/>
        <v/>
      </c>
      <c r="AM177" s="46" t="str">
        <f t="shared" si="81"/>
        <v/>
      </c>
      <c r="AN177" s="46" t="str">
        <f t="shared" si="82"/>
        <v/>
      </c>
      <c r="AO177" s="46" t="str">
        <f t="shared" si="83"/>
        <v/>
      </c>
      <c r="AP177" s="46" t="str">
        <f t="shared" si="84"/>
        <v/>
      </c>
      <c r="AQ177" s="49" t="str">
        <f t="shared" si="85"/>
        <v/>
      </c>
      <c r="AR177" s="50" t="str">
        <f t="shared" si="86"/>
        <v/>
      </c>
      <c r="AS177" s="51" t="str">
        <f t="shared" si="87"/>
        <v/>
      </c>
      <c r="AT177" s="51" t="str">
        <f t="shared" si="88"/>
        <v/>
      </c>
      <c r="AU177" s="51" t="str">
        <f t="shared" si="96"/>
        <v/>
      </c>
      <c r="AV177" s="52" t="str">
        <f t="shared" si="89"/>
        <v/>
      </c>
      <c r="AW177" s="52" t="str">
        <f t="shared" si="90"/>
        <v/>
      </c>
      <c r="AX177" s="15" t="str">
        <f t="shared" si="91"/>
        <v/>
      </c>
      <c r="AY177" s="15" t="str">
        <f t="shared" si="92"/>
        <v/>
      </c>
      <c r="AZ177" s="15" t="str">
        <f t="shared" si="93"/>
        <v/>
      </c>
      <c r="BA177" s="61">
        <f t="shared" si="97"/>
        <v>0</v>
      </c>
      <c r="BB177" s="61"/>
      <c r="BC177" s="61">
        <f t="shared" si="98"/>
        <v>0</v>
      </c>
      <c r="BD177" s="61"/>
      <c r="BE177" s="61">
        <f t="shared" si="99"/>
        <v>0</v>
      </c>
      <c r="BF177" s="61"/>
      <c r="BG177" s="61">
        <v>0</v>
      </c>
      <c r="BH177" s="61"/>
      <c r="BI177" s="56">
        <f t="shared" si="100"/>
        <v>0</v>
      </c>
      <c r="BJ177" s="57" t="str">
        <f t="shared" si="101"/>
        <v/>
      </c>
      <c r="BK177" s="58" t="str">
        <f t="shared" si="102"/>
        <v/>
      </c>
    </row>
    <row r="178" spans="1:63" ht="17.25" customHeight="1" x14ac:dyDescent="0.3">
      <c r="A178" s="41">
        <v>177</v>
      </c>
      <c r="B178" s="42"/>
      <c r="C178" s="43" t="str">
        <f t="shared" si="72"/>
        <v/>
      </c>
      <c r="D178" s="43"/>
      <c r="E178" s="43"/>
      <c r="F178" s="43"/>
      <c r="G178" s="14"/>
      <c r="H178" s="14"/>
      <c r="I178" s="14"/>
      <c r="J178" s="44"/>
      <c r="K178" s="44"/>
      <c r="L178" s="44"/>
      <c r="M178" s="45"/>
      <c r="N178" s="45"/>
      <c r="O178" s="45"/>
      <c r="P178" s="46">
        <f t="shared" si="74"/>
        <v>0</v>
      </c>
      <c r="Q178" s="45"/>
      <c r="R178" s="46"/>
      <c r="S178" s="46"/>
      <c r="T178" s="46"/>
      <c r="U178" s="46"/>
      <c r="V178" s="46"/>
      <c r="W178" s="46"/>
      <c r="X178" s="46"/>
      <c r="Y178" s="46"/>
      <c r="Z178" s="46" t="str">
        <f t="shared" si="94"/>
        <v/>
      </c>
      <c r="AA178" s="46" t="str">
        <f t="shared" si="95"/>
        <v/>
      </c>
      <c r="AB178" s="46" t="str">
        <f t="shared" si="103"/>
        <v/>
      </c>
      <c r="AC178" s="46"/>
      <c r="AD178" s="46"/>
      <c r="AE178" s="46"/>
      <c r="AF178" s="59">
        <f t="shared" si="73"/>
        <v>0</v>
      </c>
      <c r="AG178" s="46">
        <f t="shared" si="75"/>
        <v>0</v>
      </c>
      <c r="AH178" s="47" t="str">
        <f t="shared" si="76"/>
        <v/>
      </c>
      <c r="AI178" s="47">
        <f t="shared" si="77"/>
        <v>0</v>
      </c>
      <c r="AJ178" s="47">
        <f t="shared" si="78"/>
        <v>0</v>
      </c>
      <c r="AK178" s="47">
        <f t="shared" si="79"/>
        <v>0</v>
      </c>
      <c r="AL178" s="48" t="str">
        <f t="shared" si="80"/>
        <v/>
      </c>
      <c r="AM178" s="46" t="str">
        <f t="shared" si="81"/>
        <v/>
      </c>
      <c r="AN178" s="46" t="str">
        <f t="shared" si="82"/>
        <v/>
      </c>
      <c r="AO178" s="46" t="str">
        <f t="shared" si="83"/>
        <v/>
      </c>
      <c r="AP178" s="46" t="str">
        <f t="shared" si="84"/>
        <v/>
      </c>
      <c r="AQ178" s="49" t="str">
        <f t="shared" si="85"/>
        <v/>
      </c>
      <c r="AR178" s="50" t="str">
        <f t="shared" si="86"/>
        <v/>
      </c>
      <c r="AS178" s="51" t="str">
        <f t="shared" si="87"/>
        <v/>
      </c>
      <c r="AT178" s="51" t="str">
        <f t="shared" si="88"/>
        <v/>
      </c>
      <c r="AU178" s="51" t="str">
        <f t="shared" si="96"/>
        <v/>
      </c>
      <c r="AV178" s="52" t="str">
        <f t="shared" si="89"/>
        <v/>
      </c>
      <c r="AW178" s="52" t="str">
        <f t="shared" si="90"/>
        <v/>
      </c>
      <c r="AX178" s="15" t="str">
        <f t="shared" si="91"/>
        <v/>
      </c>
      <c r="AY178" s="15" t="str">
        <f t="shared" si="92"/>
        <v/>
      </c>
      <c r="AZ178" s="15" t="str">
        <f t="shared" si="93"/>
        <v/>
      </c>
      <c r="BA178" s="61">
        <f t="shared" si="97"/>
        <v>0</v>
      </c>
      <c r="BB178" s="61"/>
      <c r="BC178" s="61">
        <f t="shared" si="98"/>
        <v>0</v>
      </c>
      <c r="BD178" s="61"/>
      <c r="BE178" s="61">
        <f t="shared" si="99"/>
        <v>0</v>
      </c>
      <c r="BF178" s="61"/>
      <c r="BG178" s="61">
        <v>0</v>
      </c>
      <c r="BH178" s="61"/>
      <c r="BI178" s="56">
        <f t="shared" si="100"/>
        <v>0</v>
      </c>
      <c r="BJ178" s="57" t="str">
        <f t="shared" si="101"/>
        <v/>
      </c>
      <c r="BK178" s="58" t="str">
        <f t="shared" si="102"/>
        <v/>
      </c>
    </row>
    <row r="179" spans="1:63" ht="17.25" customHeight="1" x14ac:dyDescent="0.3">
      <c r="A179" s="41">
        <v>178</v>
      </c>
      <c r="B179" s="42"/>
      <c r="C179" s="43" t="str">
        <f t="shared" si="72"/>
        <v/>
      </c>
      <c r="D179" s="43"/>
      <c r="E179" s="43"/>
      <c r="F179" s="43"/>
      <c r="G179" s="14"/>
      <c r="H179" s="14"/>
      <c r="I179" s="14"/>
      <c r="J179" s="44"/>
      <c r="K179" s="44"/>
      <c r="L179" s="44"/>
      <c r="M179" s="45"/>
      <c r="N179" s="45"/>
      <c r="O179" s="45"/>
      <c r="P179" s="46">
        <f t="shared" si="74"/>
        <v>0</v>
      </c>
      <c r="Q179" s="45"/>
      <c r="R179" s="46"/>
      <c r="S179" s="46"/>
      <c r="T179" s="46"/>
      <c r="U179" s="46"/>
      <c r="V179" s="46"/>
      <c r="W179" s="46"/>
      <c r="X179" s="46"/>
      <c r="Y179" s="46"/>
      <c r="Z179" s="46" t="str">
        <f t="shared" si="94"/>
        <v/>
      </c>
      <c r="AA179" s="46" t="str">
        <f t="shared" si="95"/>
        <v/>
      </c>
      <c r="AB179" s="46" t="str">
        <f t="shared" si="103"/>
        <v/>
      </c>
      <c r="AC179" s="46"/>
      <c r="AD179" s="46"/>
      <c r="AE179" s="46"/>
      <c r="AF179" s="59">
        <f t="shared" si="73"/>
        <v>0</v>
      </c>
      <c r="AG179" s="46">
        <f t="shared" si="75"/>
        <v>0</v>
      </c>
      <c r="AH179" s="47" t="str">
        <f t="shared" si="76"/>
        <v/>
      </c>
      <c r="AI179" s="47">
        <f t="shared" si="77"/>
        <v>0</v>
      </c>
      <c r="AJ179" s="47">
        <f t="shared" si="78"/>
        <v>0</v>
      </c>
      <c r="AK179" s="47">
        <f t="shared" si="79"/>
        <v>0</v>
      </c>
      <c r="AL179" s="48" t="str">
        <f t="shared" si="80"/>
        <v/>
      </c>
      <c r="AM179" s="46" t="str">
        <f t="shared" si="81"/>
        <v/>
      </c>
      <c r="AN179" s="46" t="str">
        <f t="shared" si="82"/>
        <v/>
      </c>
      <c r="AO179" s="46" t="str">
        <f t="shared" si="83"/>
        <v/>
      </c>
      <c r="AP179" s="46" t="str">
        <f t="shared" si="84"/>
        <v/>
      </c>
      <c r="AQ179" s="49" t="str">
        <f t="shared" si="85"/>
        <v/>
      </c>
      <c r="AR179" s="50" t="str">
        <f t="shared" si="86"/>
        <v/>
      </c>
      <c r="AS179" s="51" t="str">
        <f t="shared" si="87"/>
        <v/>
      </c>
      <c r="AT179" s="51" t="str">
        <f t="shared" si="88"/>
        <v/>
      </c>
      <c r="AU179" s="51" t="str">
        <f t="shared" si="96"/>
        <v/>
      </c>
      <c r="AV179" s="52" t="str">
        <f t="shared" si="89"/>
        <v/>
      </c>
      <c r="AW179" s="52" t="str">
        <f t="shared" si="90"/>
        <v/>
      </c>
      <c r="AX179" s="15" t="str">
        <f t="shared" si="91"/>
        <v/>
      </c>
      <c r="AY179" s="15" t="str">
        <f t="shared" si="92"/>
        <v/>
      </c>
      <c r="AZ179" s="15" t="str">
        <f t="shared" si="93"/>
        <v/>
      </c>
      <c r="BA179" s="61">
        <f t="shared" si="97"/>
        <v>0</v>
      </c>
      <c r="BB179" s="61"/>
      <c r="BC179" s="61">
        <f t="shared" si="98"/>
        <v>0</v>
      </c>
      <c r="BD179" s="61"/>
      <c r="BE179" s="61">
        <f t="shared" si="99"/>
        <v>0</v>
      </c>
      <c r="BF179" s="61"/>
      <c r="BG179" s="61">
        <v>0</v>
      </c>
      <c r="BH179" s="61"/>
      <c r="BI179" s="56">
        <f t="shared" si="100"/>
        <v>0</v>
      </c>
      <c r="BJ179" s="57" t="str">
        <f t="shared" si="101"/>
        <v/>
      </c>
      <c r="BK179" s="58" t="str">
        <f t="shared" si="102"/>
        <v/>
      </c>
    </row>
    <row r="180" spans="1:63" ht="17.25" customHeight="1" x14ac:dyDescent="0.3">
      <c r="A180" s="41">
        <v>179</v>
      </c>
      <c r="B180" s="42"/>
      <c r="C180" s="43" t="str">
        <f t="shared" si="72"/>
        <v/>
      </c>
      <c r="D180" s="43"/>
      <c r="E180" s="43"/>
      <c r="F180" s="43"/>
      <c r="G180" s="14"/>
      <c r="H180" s="14"/>
      <c r="I180" s="14"/>
      <c r="J180" s="44"/>
      <c r="K180" s="44"/>
      <c r="L180" s="44"/>
      <c r="M180" s="45"/>
      <c r="N180" s="45"/>
      <c r="O180" s="45"/>
      <c r="P180" s="46">
        <f t="shared" si="74"/>
        <v>0</v>
      </c>
      <c r="Q180" s="45"/>
      <c r="R180" s="46"/>
      <c r="S180" s="46"/>
      <c r="T180" s="46"/>
      <c r="U180" s="46"/>
      <c r="V180" s="46"/>
      <c r="W180" s="46"/>
      <c r="X180" s="46"/>
      <c r="Y180" s="46"/>
      <c r="Z180" s="46" t="str">
        <f t="shared" si="94"/>
        <v/>
      </c>
      <c r="AA180" s="46" t="str">
        <f t="shared" si="95"/>
        <v/>
      </c>
      <c r="AB180" s="46" t="str">
        <f t="shared" si="103"/>
        <v/>
      </c>
      <c r="AC180" s="46"/>
      <c r="AD180" s="46"/>
      <c r="AE180" s="46"/>
      <c r="AF180" s="59">
        <f t="shared" si="73"/>
        <v>0</v>
      </c>
      <c r="AG180" s="46">
        <f t="shared" si="75"/>
        <v>0</v>
      </c>
      <c r="AH180" s="47" t="str">
        <f t="shared" si="76"/>
        <v/>
      </c>
      <c r="AI180" s="47">
        <f t="shared" si="77"/>
        <v>0</v>
      </c>
      <c r="AJ180" s="47">
        <f t="shared" si="78"/>
        <v>0</v>
      </c>
      <c r="AK180" s="47">
        <f t="shared" si="79"/>
        <v>0</v>
      </c>
      <c r="AL180" s="48" t="str">
        <f t="shared" si="80"/>
        <v/>
      </c>
      <c r="AM180" s="46" t="str">
        <f t="shared" si="81"/>
        <v/>
      </c>
      <c r="AN180" s="46" t="str">
        <f t="shared" si="82"/>
        <v/>
      </c>
      <c r="AO180" s="46" t="str">
        <f t="shared" si="83"/>
        <v/>
      </c>
      <c r="AP180" s="46" t="str">
        <f t="shared" si="84"/>
        <v/>
      </c>
      <c r="AQ180" s="49" t="str">
        <f t="shared" si="85"/>
        <v/>
      </c>
      <c r="AR180" s="50" t="str">
        <f t="shared" si="86"/>
        <v/>
      </c>
      <c r="AS180" s="51" t="str">
        <f t="shared" si="87"/>
        <v/>
      </c>
      <c r="AT180" s="51" t="str">
        <f t="shared" si="88"/>
        <v/>
      </c>
      <c r="AU180" s="51" t="str">
        <f t="shared" si="96"/>
        <v/>
      </c>
      <c r="AV180" s="52" t="str">
        <f t="shared" si="89"/>
        <v/>
      </c>
      <c r="AW180" s="52" t="str">
        <f t="shared" si="90"/>
        <v/>
      </c>
      <c r="AX180" s="15" t="str">
        <f t="shared" si="91"/>
        <v/>
      </c>
      <c r="AY180" s="15" t="str">
        <f t="shared" si="92"/>
        <v/>
      </c>
      <c r="AZ180" s="15" t="str">
        <f t="shared" si="93"/>
        <v/>
      </c>
      <c r="BA180" s="61">
        <f t="shared" si="97"/>
        <v>0</v>
      </c>
      <c r="BB180" s="61"/>
      <c r="BC180" s="61">
        <f t="shared" si="98"/>
        <v>0</v>
      </c>
      <c r="BD180" s="61"/>
      <c r="BE180" s="61">
        <f t="shared" si="99"/>
        <v>0</v>
      </c>
      <c r="BF180" s="61"/>
      <c r="BG180" s="61">
        <v>0</v>
      </c>
      <c r="BH180" s="61"/>
      <c r="BI180" s="56">
        <f t="shared" si="100"/>
        <v>0</v>
      </c>
      <c r="BJ180" s="57" t="str">
        <f t="shared" si="101"/>
        <v/>
      </c>
      <c r="BK180" s="58" t="str">
        <f t="shared" si="102"/>
        <v/>
      </c>
    </row>
    <row r="181" spans="1:63" ht="17.25" customHeight="1" x14ac:dyDescent="0.3">
      <c r="A181" s="41">
        <v>180</v>
      </c>
      <c r="B181" s="42"/>
      <c r="C181" s="43" t="str">
        <f t="shared" si="72"/>
        <v/>
      </c>
      <c r="D181" s="43"/>
      <c r="E181" s="43"/>
      <c r="F181" s="43"/>
      <c r="G181" s="14"/>
      <c r="H181" s="14"/>
      <c r="I181" s="14"/>
      <c r="J181" s="44"/>
      <c r="K181" s="44"/>
      <c r="L181" s="44"/>
      <c r="M181" s="45"/>
      <c r="N181" s="45"/>
      <c r="O181" s="45"/>
      <c r="P181" s="46">
        <f t="shared" si="74"/>
        <v>0</v>
      </c>
      <c r="Q181" s="45"/>
      <c r="R181" s="46"/>
      <c r="S181" s="46"/>
      <c r="T181" s="46"/>
      <c r="U181" s="46"/>
      <c r="V181" s="46"/>
      <c r="W181" s="46"/>
      <c r="X181" s="46"/>
      <c r="Y181" s="46"/>
      <c r="Z181" s="46" t="str">
        <f t="shared" si="94"/>
        <v/>
      </c>
      <c r="AA181" s="46" t="str">
        <f t="shared" si="95"/>
        <v/>
      </c>
      <c r="AB181" s="46" t="str">
        <f t="shared" si="103"/>
        <v/>
      </c>
      <c r="AC181" s="46"/>
      <c r="AD181" s="46"/>
      <c r="AE181" s="46"/>
      <c r="AF181" s="59">
        <f t="shared" si="73"/>
        <v>0</v>
      </c>
      <c r="AG181" s="46">
        <f t="shared" si="75"/>
        <v>0</v>
      </c>
      <c r="AH181" s="47" t="str">
        <f t="shared" si="76"/>
        <v/>
      </c>
      <c r="AI181" s="47">
        <f t="shared" si="77"/>
        <v>0</v>
      </c>
      <c r="AJ181" s="47">
        <f t="shared" si="78"/>
        <v>0</v>
      </c>
      <c r="AK181" s="47">
        <f t="shared" si="79"/>
        <v>0</v>
      </c>
      <c r="AL181" s="48" t="str">
        <f t="shared" si="80"/>
        <v/>
      </c>
      <c r="AM181" s="46" t="str">
        <f t="shared" si="81"/>
        <v/>
      </c>
      <c r="AN181" s="46" t="str">
        <f t="shared" si="82"/>
        <v/>
      </c>
      <c r="AO181" s="46" t="str">
        <f t="shared" si="83"/>
        <v/>
      </c>
      <c r="AP181" s="46" t="str">
        <f t="shared" si="84"/>
        <v/>
      </c>
      <c r="AQ181" s="49" t="str">
        <f t="shared" si="85"/>
        <v/>
      </c>
      <c r="AR181" s="50" t="str">
        <f t="shared" si="86"/>
        <v/>
      </c>
      <c r="AS181" s="51" t="str">
        <f t="shared" si="87"/>
        <v/>
      </c>
      <c r="AT181" s="51" t="str">
        <f t="shared" si="88"/>
        <v/>
      </c>
      <c r="AU181" s="51" t="str">
        <f t="shared" si="96"/>
        <v/>
      </c>
      <c r="AV181" s="52" t="str">
        <f t="shared" si="89"/>
        <v/>
      </c>
      <c r="AW181" s="52" t="str">
        <f t="shared" si="90"/>
        <v/>
      </c>
      <c r="AX181" s="15" t="str">
        <f t="shared" si="91"/>
        <v/>
      </c>
      <c r="AY181" s="15" t="str">
        <f t="shared" si="92"/>
        <v/>
      </c>
      <c r="AZ181" s="15" t="str">
        <f t="shared" si="93"/>
        <v/>
      </c>
      <c r="BA181" s="61">
        <f t="shared" si="97"/>
        <v>0</v>
      </c>
      <c r="BB181" s="61"/>
      <c r="BC181" s="61">
        <f t="shared" si="98"/>
        <v>0</v>
      </c>
      <c r="BD181" s="61"/>
      <c r="BE181" s="61">
        <f t="shared" si="99"/>
        <v>0</v>
      </c>
      <c r="BF181" s="61"/>
      <c r="BG181" s="61">
        <v>0</v>
      </c>
      <c r="BH181" s="61"/>
      <c r="BI181" s="56">
        <f t="shared" si="100"/>
        <v>0</v>
      </c>
      <c r="BJ181" s="57" t="str">
        <f t="shared" si="101"/>
        <v/>
      </c>
      <c r="BK181" s="58" t="str">
        <f t="shared" si="102"/>
        <v/>
      </c>
    </row>
    <row r="182" spans="1:63" ht="17.25" customHeight="1" x14ac:dyDescent="0.3">
      <c r="A182" s="41">
        <v>181</v>
      </c>
      <c r="B182" s="42"/>
      <c r="C182" s="43" t="str">
        <f t="shared" si="72"/>
        <v/>
      </c>
      <c r="D182" s="43"/>
      <c r="E182" s="43"/>
      <c r="F182" s="43"/>
      <c r="G182" s="14"/>
      <c r="H182" s="14"/>
      <c r="I182" s="14"/>
      <c r="J182" s="44"/>
      <c r="K182" s="44"/>
      <c r="L182" s="44"/>
      <c r="M182" s="45"/>
      <c r="N182" s="45"/>
      <c r="O182" s="45"/>
      <c r="P182" s="46">
        <f t="shared" si="74"/>
        <v>0</v>
      </c>
      <c r="Q182" s="45"/>
      <c r="R182" s="46"/>
      <c r="S182" s="46"/>
      <c r="T182" s="46"/>
      <c r="U182" s="46"/>
      <c r="V182" s="46"/>
      <c r="W182" s="46"/>
      <c r="X182" s="46"/>
      <c r="Y182" s="46"/>
      <c r="Z182" s="46" t="str">
        <f t="shared" si="94"/>
        <v/>
      </c>
      <c r="AA182" s="46" t="str">
        <f t="shared" si="95"/>
        <v/>
      </c>
      <c r="AB182" s="46" t="str">
        <f t="shared" si="103"/>
        <v/>
      </c>
      <c r="AC182" s="46"/>
      <c r="AD182" s="46"/>
      <c r="AE182" s="46"/>
      <c r="AF182" s="59">
        <f t="shared" si="73"/>
        <v>0</v>
      </c>
      <c r="AG182" s="46">
        <f t="shared" si="75"/>
        <v>0</v>
      </c>
      <c r="AH182" s="47" t="str">
        <f t="shared" si="76"/>
        <v/>
      </c>
      <c r="AI182" s="47">
        <f t="shared" si="77"/>
        <v>0</v>
      </c>
      <c r="AJ182" s="47">
        <f t="shared" si="78"/>
        <v>0</v>
      </c>
      <c r="AK182" s="47">
        <f t="shared" si="79"/>
        <v>0</v>
      </c>
      <c r="AL182" s="48" t="str">
        <f t="shared" si="80"/>
        <v/>
      </c>
      <c r="AM182" s="46" t="str">
        <f t="shared" si="81"/>
        <v/>
      </c>
      <c r="AN182" s="46" t="str">
        <f t="shared" si="82"/>
        <v/>
      </c>
      <c r="AO182" s="46" t="str">
        <f t="shared" si="83"/>
        <v/>
      </c>
      <c r="AP182" s="46" t="str">
        <f t="shared" si="84"/>
        <v/>
      </c>
      <c r="AQ182" s="49" t="str">
        <f t="shared" si="85"/>
        <v/>
      </c>
      <c r="AR182" s="50" t="str">
        <f t="shared" si="86"/>
        <v/>
      </c>
      <c r="AS182" s="51" t="str">
        <f t="shared" si="87"/>
        <v/>
      </c>
      <c r="AT182" s="51" t="str">
        <f t="shared" si="88"/>
        <v/>
      </c>
      <c r="AU182" s="51" t="str">
        <f t="shared" si="96"/>
        <v/>
      </c>
      <c r="AV182" s="52" t="str">
        <f t="shared" si="89"/>
        <v/>
      </c>
      <c r="AW182" s="52" t="str">
        <f t="shared" si="90"/>
        <v/>
      </c>
      <c r="AX182" s="15" t="str">
        <f t="shared" si="91"/>
        <v/>
      </c>
      <c r="AY182" s="15" t="str">
        <f t="shared" si="92"/>
        <v/>
      </c>
      <c r="AZ182" s="15" t="str">
        <f t="shared" si="93"/>
        <v/>
      </c>
      <c r="BA182" s="61">
        <f t="shared" si="97"/>
        <v>0</v>
      </c>
      <c r="BB182" s="61"/>
      <c r="BC182" s="61">
        <f t="shared" si="98"/>
        <v>0</v>
      </c>
      <c r="BD182" s="61"/>
      <c r="BE182" s="61">
        <f t="shared" si="99"/>
        <v>0</v>
      </c>
      <c r="BF182" s="61"/>
      <c r="BG182" s="61">
        <v>0</v>
      </c>
      <c r="BH182" s="61"/>
      <c r="BI182" s="56">
        <f t="shared" si="100"/>
        <v>0</v>
      </c>
      <c r="BJ182" s="57" t="str">
        <f t="shared" si="101"/>
        <v/>
      </c>
      <c r="BK182" s="58" t="str">
        <f t="shared" si="102"/>
        <v/>
      </c>
    </row>
    <row r="183" spans="1:63" ht="17.25" customHeight="1" x14ac:dyDescent="0.3">
      <c r="A183" s="41">
        <v>182</v>
      </c>
      <c r="B183" s="42"/>
      <c r="C183" s="43" t="str">
        <f t="shared" si="72"/>
        <v/>
      </c>
      <c r="D183" s="43"/>
      <c r="E183" s="43"/>
      <c r="F183" s="43"/>
      <c r="G183" s="14"/>
      <c r="H183" s="14"/>
      <c r="I183" s="14"/>
      <c r="J183" s="44"/>
      <c r="K183" s="44"/>
      <c r="L183" s="44"/>
      <c r="M183" s="45"/>
      <c r="N183" s="45"/>
      <c r="O183" s="45"/>
      <c r="P183" s="46">
        <f t="shared" si="74"/>
        <v>0</v>
      </c>
      <c r="Q183" s="45"/>
      <c r="R183" s="46"/>
      <c r="S183" s="46"/>
      <c r="T183" s="46"/>
      <c r="U183" s="46"/>
      <c r="V183" s="46"/>
      <c r="W183" s="46"/>
      <c r="X183" s="46"/>
      <c r="Y183" s="46"/>
      <c r="Z183" s="46" t="str">
        <f t="shared" si="94"/>
        <v/>
      </c>
      <c r="AA183" s="46" t="str">
        <f t="shared" si="95"/>
        <v/>
      </c>
      <c r="AB183" s="46" t="str">
        <f t="shared" si="103"/>
        <v/>
      </c>
      <c r="AC183" s="46"/>
      <c r="AD183" s="46"/>
      <c r="AE183" s="46"/>
      <c r="AF183" s="59">
        <f t="shared" si="73"/>
        <v>0</v>
      </c>
      <c r="AG183" s="46">
        <f t="shared" si="75"/>
        <v>0</v>
      </c>
      <c r="AH183" s="47" t="str">
        <f t="shared" si="76"/>
        <v/>
      </c>
      <c r="AI183" s="47">
        <f t="shared" si="77"/>
        <v>0</v>
      </c>
      <c r="AJ183" s="47">
        <f t="shared" si="78"/>
        <v>0</v>
      </c>
      <c r="AK183" s="47">
        <f t="shared" si="79"/>
        <v>0</v>
      </c>
      <c r="AL183" s="48" t="str">
        <f t="shared" si="80"/>
        <v/>
      </c>
      <c r="AM183" s="46" t="str">
        <f t="shared" si="81"/>
        <v/>
      </c>
      <c r="AN183" s="46" t="str">
        <f t="shared" si="82"/>
        <v/>
      </c>
      <c r="AO183" s="46" t="str">
        <f t="shared" si="83"/>
        <v/>
      </c>
      <c r="AP183" s="46" t="str">
        <f t="shared" si="84"/>
        <v/>
      </c>
      <c r="AQ183" s="49" t="str">
        <f t="shared" si="85"/>
        <v/>
      </c>
      <c r="AR183" s="50" t="str">
        <f t="shared" si="86"/>
        <v/>
      </c>
      <c r="AS183" s="51" t="str">
        <f t="shared" si="87"/>
        <v/>
      </c>
      <c r="AT183" s="51" t="str">
        <f t="shared" si="88"/>
        <v/>
      </c>
      <c r="AU183" s="51" t="str">
        <f t="shared" si="96"/>
        <v/>
      </c>
      <c r="AV183" s="52" t="str">
        <f t="shared" si="89"/>
        <v/>
      </c>
      <c r="AW183" s="52" t="str">
        <f t="shared" si="90"/>
        <v/>
      </c>
      <c r="AX183" s="15" t="str">
        <f t="shared" si="91"/>
        <v/>
      </c>
      <c r="AY183" s="15" t="str">
        <f t="shared" si="92"/>
        <v/>
      </c>
      <c r="AZ183" s="15" t="str">
        <f t="shared" si="93"/>
        <v/>
      </c>
      <c r="BA183" s="61">
        <f t="shared" si="97"/>
        <v>0</v>
      </c>
      <c r="BB183" s="61"/>
      <c r="BC183" s="61">
        <f t="shared" si="98"/>
        <v>0</v>
      </c>
      <c r="BD183" s="61"/>
      <c r="BE183" s="61">
        <f t="shared" si="99"/>
        <v>0</v>
      </c>
      <c r="BF183" s="61"/>
      <c r="BG183" s="61">
        <v>0</v>
      </c>
      <c r="BH183" s="61"/>
      <c r="BI183" s="56">
        <f t="shared" si="100"/>
        <v>0</v>
      </c>
      <c r="BJ183" s="57" t="str">
        <f t="shared" si="101"/>
        <v/>
      </c>
      <c r="BK183" s="58" t="str">
        <f t="shared" si="102"/>
        <v/>
      </c>
    </row>
    <row r="184" spans="1:63" ht="17.25" customHeight="1" x14ac:dyDescent="0.3">
      <c r="A184" s="41">
        <v>183</v>
      </c>
      <c r="B184" s="42"/>
      <c r="C184" s="43" t="str">
        <f t="shared" si="72"/>
        <v/>
      </c>
      <c r="D184" s="43"/>
      <c r="E184" s="43"/>
      <c r="F184" s="43"/>
      <c r="G184" s="14"/>
      <c r="H184" s="14"/>
      <c r="I184" s="14"/>
      <c r="J184" s="44"/>
      <c r="K184" s="44"/>
      <c r="L184" s="44"/>
      <c r="M184" s="45"/>
      <c r="N184" s="45"/>
      <c r="O184" s="45"/>
      <c r="P184" s="46">
        <f t="shared" si="74"/>
        <v>0</v>
      </c>
      <c r="Q184" s="45"/>
      <c r="R184" s="46"/>
      <c r="S184" s="46"/>
      <c r="T184" s="46"/>
      <c r="U184" s="46"/>
      <c r="V184" s="46"/>
      <c r="W184" s="46"/>
      <c r="X184" s="46"/>
      <c r="Y184" s="46"/>
      <c r="Z184" s="46" t="str">
        <f t="shared" si="94"/>
        <v/>
      </c>
      <c r="AA184" s="46" t="str">
        <f t="shared" si="95"/>
        <v/>
      </c>
      <c r="AB184" s="46" t="str">
        <f t="shared" si="103"/>
        <v/>
      </c>
      <c r="AC184" s="46"/>
      <c r="AD184" s="46"/>
      <c r="AE184" s="46"/>
      <c r="AF184" s="59">
        <f t="shared" si="73"/>
        <v>0</v>
      </c>
      <c r="AG184" s="46">
        <f t="shared" si="75"/>
        <v>0</v>
      </c>
      <c r="AH184" s="47" t="str">
        <f t="shared" si="76"/>
        <v/>
      </c>
      <c r="AI184" s="47">
        <f t="shared" si="77"/>
        <v>0</v>
      </c>
      <c r="AJ184" s="47">
        <f t="shared" si="78"/>
        <v>0</v>
      </c>
      <c r="AK184" s="47">
        <f t="shared" si="79"/>
        <v>0</v>
      </c>
      <c r="AL184" s="48" t="str">
        <f t="shared" si="80"/>
        <v/>
      </c>
      <c r="AM184" s="46" t="str">
        <f t="shared" si="81"/>
        <v/>
      </c>
      <c r="AN184" s="46" t="str">
        <f t="shared" si="82"/>
        <v/>
      </c>
      <c r="AO184" s="46" t="str">
        <f t="shared" si="83"/>
        <v/>
      </c>
      <c r="AP184" s="46" t="str">
        <f t="shared" si="84"/>
        <v/>
      </c>
      <c r="AQ184" s="49" t="str">
        <f t="shared" si="85"/>
        <v/>
      </c>
      <c r="AR184" s="50" t="str">
        <f t="shared" si="86"/>
        <v/>
      </c>
      <c r="AS184" s="51" t="str">
        <f t="shared" si="87"/>
        <v/>
      </c>
      <c r="AT184" s="51" t="str">
        <f t="shared" si="88"/>
        <v/>
      </c>
      <c r="AU184" s="51" t="str">
        <f t="shared" si="96"/>
        <v/>
      </c>
      <c r="AV184" s="52" t="str">
        <f t="shared" si="89"/>
        <v/>
      </c>
      <c r="AW184" s="52" t="str">
        <f t="shared" si="90"/>
        <v/>
      </c>
      <c r="AX184" s="15" t="str">
        <f t="shared" si="91"/>
        <v/>
      </c>
      <c r="AY184" s="15" t="str">
        <f t="shared" si="92"/>
        <v/>
      </c>
      <c r="AZ184" s="15" t="str">
        <f t="shared" si="93"/>
        <v/>
      </c>
      <c r="BA184" s="61">
        <f t="shared" si="97"/>
        <v>0</v>
      </c>
      <c r="BB184" s="61"/>
      <c r="BC184" s="61">
        <f t="shared" si="98"/>
        <v>0</v>
      </c>
      <c r="BD184" s="61"/>
      <c r="BE184" s="61">
        <f t="shared" si="99"/>
        <v>0</v>
      </c>
      <c r="BF184" s="61"/>
      <c r="BG184" s="61">
        <v>0</v>
      </c>
      <c r="BH184" s="61"/>
      <c r="BI184" s="56">
        <f t="shared" si="100"/>
        <v>0</v>
      </c>
      <c r="BJ184" s="57" t="str">
        <f t="shared" si="101"/>
        <v/>
      </c>
      <c r="BK184" s="58" t="str">
        <f t="shared" si="102"/>
        <v/>
      </c>
    </row>
    <row r="185" spans="1:63" ht="17.25" customHeight="1" x14ac:dyDescent="0.3">
      <c r="A185" s="41">
        <v>184</v>
      </c>
      <c r="B185" s="42"/>
      <c r="C185" s="43" t="str">
        <f t="shared" si="72"/>
        <v/>
      </c>
      <c r="D185" s="43"/>
      <c r="E185" s="43"/>
      <c r="F185" s="43"/>
      <c r="G185" s="14"/>
      <c r="H185" s="14"/>
      <c r="I185" s="14"/>
      <c r="J185" s="44"/>
      <c r="K185" s="44"/>
      <c r="L185" s="44"/>
      <c r="M185" s="45"/>
      <c r="N185" s="45"/>
      <c r="O185" s="45"/>
      <c r="P185" s="46">
        <f t="shared" si="74"/>
        <v>0</v>
      </c>
      <c r="Q185" s="45"/>
      <c r="R185" s="46"/>
      <c r="S185" s="46"/>
      <c r="T185" s="46"/>
      <c r="U185" s="46"/>
      <c r="V185" s="46"/>
      <c r="W185" s="46"/>
      <c r="X185" s="46"/>
      <c r="Y185" s="46"/>
      <c r="Z185" s="46" t="str">
        <f t="shared" si="94"/>
        <v/>
      </c>
      <c r="AA185" s="46" t="str">
        <f t="shared" si="95"/>
        <v/>
      </c>
      <c r="AB185" s="46" t="str">
        <f t="shared" si="103"/>
        <v/>
      </c>
      <c r="AC185" s="46"/>
      <c r="AD185" s="46"/>
      <c r="AE185" s="46"/>
      <c r="AF185" s="59">
        <f t="shared" si="73"/>
        <v>0</v>
      </c>
      <c r="AG185" s="46">
        <f t="shared" si="75"/>
        <v>0</v>
      </c>
      <c r="AH185" s="47" t="str">
        <f t="shared" si="76"/>
        <v/>
      </c>
      <c r="AI185" s="47">
        <f t="shared" si="77"/>
        <v>0</v>
      </c>
      <c r="AJ185" s="47">
        <f t="shared" si="78"/>
        <v>0</v>
      </c>
      <c r="AK185" s="47">
        <f t="shared" si="79"/>
        <v>0</v>
      </c>
      <c r="AL185" s="48" t="str">
        <f t="shared" si="80"/>
        <v/>
      </c>
      <c r="AM185" s="46" t="str">
        <f t="shared" si="81"/>
        <v/>
      </c>
      <c r="AN185" s="46" t="str">
        <f t="shared" si="82"/>
        <v/>
      </c>
      <c r="AO185" s="46" t="str">
        <f t="shared" si="83"/>
        <v/>
      </c>
      <c r="AP185" s="46" t="str">
        <f t="shared" si="84"/>
        <v/>
      </c>
      <c r="AQ185" s="49" t="str">
        <f t="shared" si="85"/>
        <v/>
      </c>
      <c r="AR185" s="50" t="str">
        <f t="shared" si="86"/>
        <v/>
      </c>
      <c r="AS185" s="51" t="str">
        <f t="shared" si="87"/>
        <v/>
      </c>
      <c r="AT185" s="51" t="str">
        <f t="shared" si="88"/>
        <v/>
      </c>
      <c r="AU185" s="51" t="str">
        <f t="shared" si="96"/>
        <v/>
      </c>
      <c r="AV185" s="52" t="str">
        <f t="shared" si="89"/>
        <v/>
      </c>
      <c r="AW185" s="52" t="str">
        <f t="shared" si="90"/>
        <v/>
      </c>
      <c r="AX185" s="15" t="str">
        <f t="shared" si="91"/>
        <v/>
      </c>
      <c r="AY185" s="15" t="str">
        <f t="shared" si="92"/>
        <v/>
      </c>
      <c r="AZ185" s="15" t="str">
        <f t="shared" si="93"/>
        <v/>
      </c>
      <c r="BA185" s="61">
        <f t="shared" si="97"/>
        <v>0</v>
      </c>
      <c r="BB185" s="61"/>
      <c r="BC185" s="61">
        <f t="shared" si="98"/>
        <v>0</v>
      </c>
      <c r="BD185" s="61"/>
      <c r="BE185" s="61">
        <f t="shared" si="99"/>
        <v>0</v>
      </c>
      <c r="BF185" s="61"/>
      <c r="BG185" s="61">
        <v>0</v>
      </c>
      <c r="BH185" s="61"/>
      <c r="BI185" s="56">
        <f t="shared" si="100"/>
        <v>0</v>
      </c>
      <c r="BJ185" s="57" t="str">
        <f t="shared" si="101"/>
        <v/>
      </c>
      <c r="BK185" s="58" t="str">
        <f t="shared" si="102"/>
        <v/>
      </c>
    </row>
    <row r="186" spans="1:63" ht="17.25" customHeight="1" x14ac:dyDescent="0.3">
      <c r="A186" s="41">
        <v>185</v>
      </c>
      <c r="B186" s="42"/>
      <c r="C186" s="43" t="str">
        <f t="shared" si="72"/>
        <v/>
      </c>
      <c r="D186" s="43"/>
      <c r="E186" s="43"/>
      <c r="F186" s="43"/>
      <c r="G186" s="14"/>
      <c r="H186" s="14"/>
      <c r="I186" s="14"/>
      <c r="J186" s="44"/>
      <c r="K186" s="44"/>
      <c r="L186" s="44"/>
      <c r="M186" s="45"/>
      <c r="N186" s="45"/>
      <c r="O186" s="45"/>
      <c r="P186" s="46">
        <f t="shared" si="74"/>
        <v>0</v>
      </c>
      <c r="Q186" s="45"/>
      <c r="R186" s="46"/>
      <c r="S186" s="46"/>
      <c r="T186" s="46"/>
      <c r="U186" s="46"/>
      <c r="V186" s="46"/>
      <c r="W186" s="46"/>
      <c r="X186" s="46"/>
      <c r="Y186" s="46"/>
      <c r="Z186" s="46" t="str">
        <f t="shared" si="94"/>
        <v/>
      </c>
      <c r="AA186" s="46" t="str">
        <f t="shared" si="95"/>
        <v/>
      </c>
      <c r="AB186" s="46" t="str">
        <f t="shared" si="103"/>
        <v/>
      </c>
      <c r="AC186" s="46"/>
      <c r="AD186" s="46"/>
      <c r="AE186" s="46"/>
      <c r="AF186" s="59">
        <f t="shared" si="73"/>
        <v>0</v>
      </c>
      <c r="AG186" s="46">
        <f t="shared" si="75"/>
        <v>0</v>
      </c>
      <c r="AH186" s="47" t="str">
        <f t="shared" si="76"/>
        <v/>
      </c>
      <c r="AI186" s="47">
        <f t="shared" si="77"/>
        <v>0</v>
      </c>
      <c r="AJ186" s="47">
        <f t="shared" si="78"/>
        <v>0</v>
      </c>
      <c r="AK186" s="47">
        <f t="shared" si="79"/>
        <v>0</v>
      </c>
      <c r="AL186" s="48" t="str">
        <f t="shared" si="80"/>
        <v/>
      </c>
      <c r="AM186" s="46" t="str">
        <f t="shared" si="81"/>
        <v/>
      </c>
      <c r="AN186" s="46" t="str">
        <f t="shared" si="82"/>
        <v/>
      </c>
      <c r="AO186" s="46" t="str">
        <f t="shared" si="83"/>
        <v/>
      </c>
      <c r="AP186" s="46" t="str">
        <f t="shared" si="84"/>
        <v/>
      </c>
      <c r="AQ186" s="49" t="str">
        <f t="shared" si="85"/>
        <v/>
      </c>
      <c r="AR186" s="50" t="str">
        <f t="shared" si="86"/>
        <v/>
      </c>
      <c r="AS186" s="51" t="str">
        <f t="shared" si="87"/>
        <v/>
      </c>
      <c r="AT186" s="51" t="str">
        <f t="shared" si="88"/>
        <v/>
      </c>
      <c r="AU186" s="51" t="str">
        <f t="shared" si="96"/>
        <v/>
      </c>
      <c r="AV186" s="52" t="str">
        <f t="shared" si="89"/>
        <v/>
      </c>
      <c r="AW186" s="52" t="str">
        <f t="shared" si="90"/>
        <v/>
      </c>
      <c r="AX186" s="15" t="str">
        <f t="shared" si="91"/>
        <v/>
      </c>
      <c r="AY186" s="15" t="str">
        <f t="shared" si="92"/>
        <v/>
      </c>
      <c r="AZ186" s="15" t="str">
        <f t="shared" si="93"/>
        <v/>
      </c>
      <c r="BA186" s="61">
        <f t="shared" si="97"/>
        <v>0</v>
      </c>
      <c r="BB186" s="61"/>
      <c r="BC186" s="61">
        <f t="shared" si="98"/>
        <v>0</v>
      </c>
      <c r="BD186" s="61"/>
      <c r="BE186" s="61">
        <f t="shared" si="99"/>
        <v>0</v>
      </c>
      <c r="BF186" s="61"/>
      <c r="BG186" s="61">
        <v>0</v>
      </c>
      <c r="BH186" s="61"/>
      <c r="BI186" s="56">
        <f t="shared" si="100"/>
        <v>0</v>
      </c>
      <c r="BJ186" s="57" t="str">
        <f t="shared" si="101"/>
        <v/>
      </c>
      <c r="BK186" s="58" t="str">
        <f t="shared" si="102"/>
        <v/>
      </c>
    </row>
    <row r="187" spans="1:63" ht="17.25" customHeight="1" x14ac:dyDescent="0.3">
      <c r="A187" s="41">
        <v>186</v>
      </c>
      <c r="B187" s="42"/>
      <c r="C187" s="43" t="str">
        <f t="shared" si="72"/>
        <v/>
      </c>
      <c r="D187" s="43"/>
      <c r="E187" s="43"/>
      <c r="F187" s="43"/>
      <c r="G187" s="14"/>
      <c r="H187" s="14"/>
      <c r="I187" s="14"/>
      <c r="J187" s="44"/>
      <c r="K187" s="44"/>
      <c r="L187" s="44"/>
      <c r="M187" s="45"/>
      <c r="N187" s="45"/>
      <c r="O187" s="45"/>
      <c r="P187" s="46">
        <f t="shared" si="74"/>
        <v>0</v>
      </c>
      <c r="Q187" s="45"/>
      <c r="R187" s="46"/>
      <c r="S187" s="46"/>
      <c r="T187" s="46"/>
      <c r="U187" s="46"/>
      <c r="V187" s="46"/>
      <c r="W187" s="46"/>
      <c r="X187" s="46"/>
      <c r="Y187" s="46"/>
      <c r="Z187" s="46" t="str">
        <f t="shared" si="94"/>
        <v/>
      </c>
      <c r="AA187" s="46" t="str">
        <f t="shared" si="95"/>
        <v/>
      </c>
      <c r="AB187" s="46" t="str">
        <f t="shared" si="103"/>
        <v/>
      </c>
      <c r="AC187" s="46"/>
      <c r="AD187" s="46"/>
      <c r="AE187" s="46"/>
      <c r="AF187" s="59">
        <f t="shared" si="73"/>
        <v>0</v>
      </c>
      <c r="AG187" s="46">
        <f t="shared" si="75"/>
        <v>0</v>
      </c>
      <c r="AH187" s="47" t="str">
        <f t="shared" si="76"/>
        <v/>
      </c>
      <c r="AI187" s="47">
        <f t="shared" si="77"/>
        <v>0</v>
      </c>
      <c r="AJ187" s="47">
        <f t="shared" si="78"/>
        <v>0</v>
      </c>
      <c r="AK187" s="47">
        <f t="shared" si="79"/>
        <v>0</v>
      </c>
      <c r="AL187" s="48" t="str">
        <f t="shared" si="80"/>
        <v/>
      </c>
      <c r="AM187" s="46" t="str">
        <f t="shared" si="81"/>
        <v/>
      </c>
      <c r="AN187" s="46" t="str">
        <f t="shared" si="82"/>
        <v/>
      </c>
      <c r="AO187" s="46" t="str">
        <f t="shared" si="83"/>
        <v/>
      </c>
      <c r="AP187" s="46" t="str">
        <f t="shared" si="84"/>
        <v/>
      </c>
      <c r="AQ187" s="49" t="str">
        <f t="shared" si="85"/>
        <v/>
      </c>
      <c r="AR187" s="50" t="str">
        <f t="shared" si="86"/>
        <v/>
      </c>
      <c r="AS187" s="51" t="str">
        <f t="shared" si="87"/>
        <v/>
      </c>
      <c r="AT187" s="51" t="str">
        <f t="shared" si="88"/>
        <v/>
      </c>
      <c r="AU187" s="51" t="str">
        <f t="shared" si="96"/>
        <v/>
      </c>
      <c r="AV187" s="52" t="str">
        <f t="shared" si="89"/>
        <v/>
      </c>
      <c r="AW187" s="52" t="str">
        <f t="shared" si="90"/>
        <v/>
      </c>
      <c r="AX187" s="15" t="str">
        <f t="shared" si="91"/>
        <v/>
      </c>
      <c r="AY187" s="15" t="str">
        <f t="shared" si="92"/>
        <v/>
      </c>
      <c r="AZ187" s="15" t="str">
        <f t="shared" si="93"/>
        <v/>
      </c>
      <c r="BA187" s="61">
        <f t="shared" si="97"/>
        <v>0</v>
      </c>
      <c r="BB187" s="61"/>
      <c r="BC187" s="61">
        <f t="shared" si="98"/>
        <v>0</v>
      </c>
      <c r="BD187" s="61"/>
      <c r="BE187" s="61">
        <f t="shared" si="99"/>
        <v>0</v>
      </c>
      <c r="BF187" s="61"/>
      <c r="BG187" s="61">
        <v>0</v>
      </c>
      <c r="BH187" s="61"/>
      <c r="BI187" s="56">
        <f t="shared" si="100"/>
        <v>0</v>
      </c>
      <c r="BJ187" s="57" t="str">
        <f t="shared" si="101"/>
        <v/>
      </c>
      <c r="BK187" s="58" t="str">
        <f t="shared" si="102"/>
        <v/>
      </c>
    </row>
    <row r="188" spans="1:63" ht="17.25" customHeight="1" x14ac:dyDescent="0.3">
      <c r="A188" s="41">
        <v>187</v>
      </c>
      <c r="B188" s="42"/>
      <c r="C188" s="43" t="str">
        <f t="shared" si="72"/>
        <v/>
      </c>
      <c r="D188" s="43"/>
      <c r="E188" s="43"/>
      <c r="F188" s="43"/>
      <c r="G188" s="14"/>
      <c r="H188" s="14"/>
      <c r="I188" s="14"/>
      <c r="J188" s="44"/>
      <c r="K188" s="44"/>
      <c r="L188" s="44"/>
      <c r="M188" s="45"/>
      <c r="N188" s="45"/>
      <c r="O188" s="45"/>
      <c r="P188" s="46">
        <f t="shared" si="74"/>
        <v>0</v>
      </c>
      <c r="Q188" s="45"/>
      <c r="R188" s="46"/>
      <c r="S188" s="46"/>
      <c r="T188" s="46"/>
      <c r="U188" s="46"/>
      <c r="V188" s="46"/>
      <c r="W188" s="46"/>
      <c r="X188" s="46"/>
      <c r="Y188" s="46"/>
      <c r="Z188" s="46" t="str">
        <f t="shared" si="94"/>
        <v/>
      </c>
      <c r="AA188" s="46" t="str">
        <f t="shared" si="95"/>
        <v/>
      </c>
      <c r="AB188" s="46" t="str">
        <f t="shared" si="103"/>
        <v/>
      </c>
      <c r="AC188" s="46"/>
      <c r="AD188" s="46"/>
      <c r="AE188" s="46"/>
      <c r="AF188" s="59">
        <f t="shared" si="73"/>
        <v>0</v>
      </c>
      <c r="AG188" s="46">
        <f t="shared" si="75"/>
        <v>0</v>
      </c>
      <c r="AH188" s="47" t="str">
        <f t="shared" si="76"/>
        <v/>
      </c>
      <c r="AI188" s="47">
        <f t="shared" si="77"/>
        <v>0</v>
      </c>
      <c r="AJ188" s="47">
        <f t="shared" si="78"/>
        <v>0</v>
      </c>
      <c r="AK188" s="47">
        <f t="shared" si="79"/>
        <v>0</v>
      </c>
      <c r="AL188" s="48" t="str">
        <f t="shared" si="80"/>
        <v/>
      </c>
      <c r="AM188" s="46" t="str">
        <f t="shared" si="81"/>
        <v/>
      </c>
      <c r="AN188" s="46" t="str">
        <f t="shared" si="82"/>
        <v/>
      </c>
      <c r="AO188" s="46" t="str">
        <f t="shared" si="83"/>
        <v/>
      </c>
      <c r="AP188" s="46" t="str">
        <f t="shared" si="84"/>
        <v/>
      </c>
      <c r="AQ188" s="49" t="str">
        <f t="shared" si="85"/>
        <v/>
      </c>
      <c r="AR188" s="50" t="str">
        <f t="shared" si="86"/>
        <v/>
      </c>
      <c r="AS188" s="51" t="str">
        <f t="shared" si="87"/>
        <v/>
      </c>
      <c r="AT188" s="51" t="str">
        <f t="shared" si="88"/>
        <v/>
      </c>
      <c r="AU188" s="51" t="str">
        <f t="shared" si="96"/>
        <v/>
      </c>
      <c r="AV188" s="52" t="str">
        <f t="shared" si="89"/>
        <v/>
      </c>
      <c r="AW188" s="52" t="str">
        <f t="shared" si="90"/>
        <v/>
      </c>
      <c r="AX188" s="15" t="str">
        <f t="shared" si="91"/>
        <v/>
      </c>
      <c r="AY188" s="15" t="str">
        <f t="shared" si="92"/>
        <v/>
      </c>
      <c r="AZ188" s="15" t="str">
        <f t="shared" si="93"/>
        <v/>
      </c>
      <c r="BA188" s="61">
        <f t="shared" si="97"/>
        <v>0</v>
      </c>
      <c r="BB188" s="61"/>
      <c r="BC188" s="61">
        <f t="shared" si="98"/>
        <v>0</v>
      </c>
      <c r="BD188" s="61"/>
      <c r="BE188" s="61">
        <f t="shared" si="99"/>
        <v>0</v>
      </c>
      <c r="BF188" s="61"/>
      <c r="BG188" s="61">
        <v>0</v>
      </c>
      <c r="BH188" s="61"/>
      <c r="BI188" s="56">
        <f t="shared" si="100"/>
        <v>0</v>
      </c>
      <c r="BJ188" s="57" t="str">
        <f t="shared" si="101"/>
        <v/>
      </c>
      <c r="BK188" s="58" t="str">
        <f t="shared" si="102"/>
        <v/>
      </c>
    </row>
    <row r="189" spans="1:63" ht="17.25" customHeight="1" x14ac:dyDescent="0.3">
      <c r="A189" s="41">
        <v>188</v>
      </c>
      <c r="B189" s="42"/>
      <c r="C189" s="43" t="str">
        <f t="shared" si="72"/>
        <v/>
      </c>
      <c r="D189" s="43"/>
      <c r="E189" s="43"/>
      <c r="F189" s="43"/>
      <c r="G189" s="14"/>
      <c r="H189" s="14"/>
      <c r="I189" s="14"/>
      <c r="J189" s="44"/>
      <c r="K189" s="44"/>
      <c r="L189" s="44"/>
      <c r="M189" s="45"/>
      <c r="N189" s="45"/>
      <c r="O189" s="45"/>
      <c r="P189" s="46">
        <f t="shared" si="74"/>
        <v>0</v>
      </c>
      <c r="Q189" s="45"/>
      <c r="R189" s="46"/>
      <c r="S189" s="46"/>
      <c r="T189" s="46"/>
      <c r="U189" s="46"/>
      <c r="V189" s="46"/>
      <c r="W189" s="46"/>
      <c r="X189" s="46"/>
      <c r="Y189" s="46"/>
      <c r="Z189" s="46" t="str">
        <f t="shared" si="94"/>
        <v/>
      </c>
      <c r="AA189" s="46" t="str">
        <f t="shared" si="95"/>
        <v/>
      </c>
      <c r="AB189" s="46" t="str">
        <f t="shared" si="103"/>
        <v/>
      </c>
      <c r="AC189" s="46"/>
      <c r="AD189" s="46"/>
      <c r="AE189" s="46"/>
      <c r="AF189" s="59">
        <f t="shared" si="73"/>
        <v>0</v>
      </c>
      <c r="AG189" s="46">
        <f t="shared" si="75"/>
        <v>0</v>
      </c>
      <c r="AH189" s="47" t="str">
        <f t="shared" si="76"/>
        <v/>
      </c>
      <c r="AI189" s="47">
        <f t="shared" si="77"/>
        <v>0</v>
      </c>
      <c r="AJ189" s="47">
        <f t="shared" si="78"/>
        <v>0</v>
      </c>
      <c r="AK189" s="47">
        <f t="shared" si="79"/>
        <v>0</v>
      </c>
      <c r="AL189" s="48" t="str">
        <f t="shared" si="80"/>
        <v/>
      </c>
      <c r="AM189" s="46" t="str">
        <f t="shared" si="81"/>
        <v/>
      </c>
      <c r="AN189" s="46" t="str">
        <f t="shared" si="82"/>
        <v/>
      </c>
      <c r="AO189" s="46" t="str">
        <f t="shared" si="83"/>
        <v/>
      </c>
      <c r="AP189" s="46" t="str">
        <f t="shared" si="84"/>
        <v/>
      </c>
      <c r="AQ189" s="49" t="str">
        <f t="shared" si="85"/>
        <v/>
      </c>
      <c r="AR189" s="50" t="str">
        <f t="shared" si="86"/>
        <v/>
      </c>
      <c r="AS189" s="51" t="str">
        <f t="shared" si="87"/>
        <v/>
      </c>
      <c r="AT189" s="51" t="str">
        <f t="shared" si="88"/>
        <v/>
      </c>
      <c r="AU189" s="51" t="str">
        <f t="shared" si="96"/>
        <v/>
      </c>
      <c r="AV189" s="52" t="str">
        <f t="shared" si="89"/>
        <v/>
      </c>
      <c r="AW189" s="52" t="str">
        <f t="shared" si="90"/>
        <v/>
      </c>
      <c r="AX189" s="15" t="str">
        <f t="shared" si="91"/>
        <v/>
      </c>
      <c r="AY189" s="15" t="str">
        <f t="shared" si="92"/>
        <v/>
      </c>
      <c r="AZ189" s="15" t="str">
        <f t="shared" si="93"/>
        <v/>
      </c>
      <c r="BA189" s="61">
        <f t="shared" si="97"/>
        <v>0</v>
      </c>
      <c r="BB189" s="61"/>
      <c r="BC189" s="61">
        <f t="shared" si="98"/>
        <v>0</v>
      </c>
      <c r="BD189" s="61"/>
      <c r="BE189" s="61">
        <f t="shared" si="99"/>
        <v>0</v>
      </c>
      <c r="BF189" s="61"/>
      <c r="BG189" s="61">
        <v>0</v>
      </c>
      <c r="BH189" s="61"/>
      <c r="BI189" s="56">
        <f t="shared" si="100"/>
        <v>0</v>
      </c>
      <c r="BJ189" s="57" t="str">
        <f t="shared" si="101"/>
        <v/>
      </c>
      <c r="BK189" s="58" t="str">
        <f t="shared" si="102"/>
        <v/>
      </c>
    </row>
    <row r="190" spans="1:63" ht="17.25" customHeight="1" x14ac:dyDescent="0.3">
      <c r="A190" s="41">
        <v>189</v>
      </c>
      <c r="B190" s="42"/>
      <c r="C190" s="43" t="str">
        <f t="shared" si="72"/>
        <v/>
      </c>
      <c r="D190" s="43"/>
      <c r="E190" s="43"/>
      <c r="F190" s="43"/>
      <c r="G190" s="14"/>
      <c r="H190" s="14"/>
      <c r="I190" s="14"/>
      <c r="J190" s="44"/>
      <c r="K190" s="44"/>
      <c r="L190" s="44"/>
      <c r="M190" s="45"/>
      <c r="N190" s="45"/>
      <c r="O190" s="45"/>
      <c r="P190" s="46">
        <f t="shared" si="74"/>
        <v>0</v>
      </c>
      <c r="Q190" s="45"/>
      <c r="R190" s="46"/>
      <c r="S190" s="46"/>
      <c r="T190" s="46"/>
      <c r="U190" s="46"/>
      <c r="V190" s="46"/>
      <c r="W190" s="46"/>
      <c r="X190" s="46"/>
      <c r="Y190" s="46"/>
      <c r="Z190" s="46" t="str">
        <f t="shared" si="94"/>
        <v/>
      </c>
      <c r="AA190" s="46" t="str">
        <f t="shared" si="95"/>
        <v/>
      </c>
      <c r="AB190" s="46" t="str">
        <f t="shared" si="103"/>
        <v/>
      </c>
      <c r="AC190" s="46"/>
      <c r="AD190" s="46"/>
      <c r="AE190" s="46"/>
      <c r="AF190" s="59">
        <f t="shared" si="73"/>
        <v>0</v>
      </c>
      <c r="AG190" s="46">
        <f t="shared" si="75"/>
        <v>0</v>
      </c>
      <c r="AH190" s="47" t="str">
        <f t="shared" si="76"/>
        <v/>
      </c>
      <c r="AI190" s="47">
        <f t="shared" si="77"/>
        <v>0</v>
      </c>
      <c r="AJ190" s="47">
        <f t="shared" si="78"/>
        <v>0</v>
      </c>
      <c r="AK190" s="47">
        <f t="shared" si="79"/>
        <v>0</v>
      </c>
      <c r="AL190" s="48" t="str">
        <f t="shared" si="80"/>
        <v/>
      </c>
      <c r="AM190" s="46" t="str">
        <f t="shared" si="81"/>
        <v/>
      </c>
      <c r="AN190" s="46" t="str">
        <f t="shared" si="82"/>
        <v/>
      </c>
      <c r="AO190" s="46" t="str">
        <f t="shared" si="83"/>
        <v/>
      </c>
      <c r="AP190" s="46" t="str">
        <f t="shared" si="84"/>
        <v/>
      </c>
      <c r="AQ190" s="49" t="str">
        <f t="shared" si="85"/>
        <v/>
      </c>
      <c r="AR190" s="50" t="str">
        <f t="shared" si="86"/>
        <v/>
      </c>
      <c r="AS190" s="51" t="str">
        <f t="shared" si="87"/>
        <v/>
      </c>
      <c r="AT190" s="51" t="str">
        <f t="shared" si="88"/>
        <v/>
      </c>
      <c r="AU190" s="51" t="str">
        <f t="shared" si="96"/>
        <v/>
      </c>
      <c r="AV190" s="52" t="str">
        <f t="shared" si="89"/>
        <v/>
      </c>
      <c r="AW190" s="52" t="str">
        <f t="shared" si="90"/>
        <v/>
      </c>
      <c r="AX190" s="15" t="str">
        <f t="shared" si="91"/>
        <v/>
      </c>
      <c r="AY190" s="15" t="str">
        <f t="shared" si="92"/>
        <v/>
      </c>
      <c r="AZ190" s="15" t="str">
        <f t="shared" si="93"/>
        <v/>
      </c>
      <c r="BA190" s="61">
        <f t="shared" si="97"/>
        <v>0</v>
      </c>
      <c r="BB190" s="61"/>
      <c r="BC190" s="61">
        <f t="shared" si="98"/>
        <v>0</v>
      </c>
      <c r="BD190" s="61"/>
      <c r="BE190" s="61">
        <f t="shared" si="99"/>
        <v>0</v>
      </c>
      <c r="BF190" s="61"/>
      <c r="BG190" s="61">
        <v>0</v>
      </c>
      <c r="BH190" s="61"/>
      <c r="BI190" s="56">
        <f t="shared" si="100"/>
        <v>0</v>
      </c>
      <c r="BJ190" s="57" t="str">
        <f t="shared" si="101"/>
        <v/>
      </c>
      <c r="BK190" s="58" t="str">
        <f t="shared" si="102"/>
        <v/>
      </c>
    </row>
    <row r="191" spans="1:63" ht="17.25" customHeight="1" x14ac:dyDescent="0.3">
      <c r="A191" s="41">
        <v>190</v>
      </c>
      <c r="B191" s="42"/>
      <c r="C191" s="43" t="str">
        <f t="shared" si="72"/>
        <v/>
      </c>
      <c r="D191" s="43"/>
      <c r="E191" s="43"/>
      <c r="F191" s="43"/>
      <c r="G191" s="14"/>
      <c r="H191" s="14"/>
      <c r="I191" s="14"/>
      <c r="J191" s="44"/>
      <c r="K191" s="44"/>
      <c r="L191" s="44"/>
      <c r="M191" s="45"/>
      <c r="N191" s="45"/>
      <c r="O191" s="45"/>
      <c r="P191" s="46">
        <f t="shared" si="74"/>
        <v>0</v>
      </c>
      <c r="Q191" s="45"/>
      <c r="R191" s="46"/>
      <c r="S191" s="46"/>
      <c r="T191" s="46"/>
      <c r="U191" s="46"/>
      <c r="V191" s="46"/>
      <c r="W191" s="46"/>
      <c r="X191" s="46"/>
      <c r="Y191" s="46"/>
      <c r="Z191" s="46" t="str">
        <f t="shared" si="94"/>
        <v/>
      </c>
      <c r="AA191" s="46" t="str">
        <f t="shared" si="95"/>
        <v/>
      </c>
      <c r="AB191" s="46" t="str">
        <f t="shared" si="103"/>
        <v/>
      </c>
      <c r="AC191" s="46"/>
      <c r="AD191" s="46"/>
      <c r="AE191" s="46"/>
      <c r="AF191" s="59">
        <f t="shared" si="73"/>
        <v>0</v>
      </c>
      <c r="AG191" s="46">
        <f t="shared" si="75"/>
        <v>0</v>
      </c>
      <c r="AH191" s="47" t="str">
        <f t="shared" si="76"/>
        <v/>
      </c>
      <c r="AI191" s="47">
        <f t="shared" si="77"/>
        <v>0</v>
      </c>
      <c r="AJ191" s="47">
        <f t="shared" si="78"/>
        <v>0</v>
      </c>
      <c r="AK191" s="47">
        <f t="shared" si="79"/>
        <v>0</v>
      </c>
      <c r="AL191" s="48" t="str">
        <f t="shared" si="80"/>
        <v/>
      </c>
      <c r="AM191" s="46" t="str">
        <f t="shared" si="81"/>
        <v/>
      </c>
      <c r="AN191" s="46" t="str">
        <f t="shared" si="82"/>
        <v/>
      </c>
      <c r="AO191" s="46" t="str">
        <f t="shared" si="83"/>
        <v/>
      </c>
      <c r="AP191" s="46" t="str">
        <f t="shared" si="84"/>
        <v/>
      </c>
      <c r="AQ191" s="49" t="str">
        <f t="shared" si="85"/>
        <v/>
      </c>
      <c r="AR191" s="50" t="str">
        <f t="shared" si="86"/>
        <v/>
      </c>
      <c r="AS191" s="51" t="str">
        <f t="shared" si="87"/>
        <v/>
      </c>
      <c r="AT191" s="51" t="str">
        <f t="shared" si="88"/>
        <v/>
      </c>
      <c r="AU191" s="51" t="str">
        <f t="shared" si="96"/>
        <v/>
      </c>
      <c r="AV191" s="52" t="str">
        <f t="shared" si="89"/>
        <v/>
      </c>
      <c r="AW191" s="52" t="str">
        <f t="shared" si="90"/>
        <v/>
      </c>
      <c r="AX191" s="15" t="str">
        <f t="shared" si="91"/>
        <v/>
      </c>
      <c r="AY191" s="15" t="str">
        <f t="shared" si="92"/>
        <v/>
      </c>
      <c r="AZ191" s="15" t="str">
        <f t="shared" si="93"/>
        <v/>
      </c>
      <c r="BA191" s="61">
        <f t="shared" si="97"/>
        <v>0</v>
      </c>
      <c r="BB191" s="61"/>
      <c r="BC191" s="61">
        <f t="shared" si="98"/>
        <v>0</v>
      </c>
      <c r="BD191" s="61"/>
      <c r="BE191" s="61">
        <f t="shared" si="99"/>
        <v>0</v>
      </c>
      <c r="BF191" s="61"/>
      <c r="BG191" s="61">
        <v>0</v>
      </c>
      <c r="BH191" s="61"/>
      <c r="BI191" s="56">
        <f t="shared" si="100"/>
        <v>0</v>
      </c>
      <c r="BJ191" s="57" t="str">
        <f t="shared" si="101"/>
        <v/>
      </c>
      <c r="BK191" s="58" t="str">
        <f t="shared" si="102"/>
        <v/>
      </c>
    </row>
    <row r="192" spans="1:63" ht="17.25" customHeight="1" x14ac:dyDescent="0.3">
      <c r="A192" s="41">
        <v>191</v>
      </c>
      <c r="B192" s="42"/>
      <c r="C192" s="43" t="str">
        <f t="shared" si="72"/>
        <v/>
      </c>
      <c r="D192" s="43"/>
      <c r="E192" s="43"/>
      <c r="F192" s="43"/>
      <c r="G192" s="14"/>
      <c r="H192" s="14"/>
      <c r="I192" s="14"/>
      <c r="J192" s="44"/>
      <c r="K192" s="44"/>
      <c r="L192" s="44"/>
      <c r="M192" s="45"/>
      <c r="N192" s="45"/>
      <c r="O192" s="45"/>
      <c r="P192" s="46">
        <f t="shared" si="74"/>
        <v>0</v>
      </c>
      <c r="Q192" s="45"/>
      <c r="R192" s="46"/>
      <c r="S192" s="46"/>
      <c r="T192" s="46"/>
      <c r="U192" s="46"/>
      <c r="V192" s="46"/>
      <c r="W192" s="46"/>
      <c r="X192" s="46"/>
      <c r="Y192" s="46"/>
      <c r="Z192" s="46" t="str">
        <f t="shared" si="94"/>
        <v/>
      </c>
      <c r="AA192" s="46" t="str">
        <f t="shared" si="95"/>
        <v/>
      </c>
      <c r="AB192" s="46" t="str">
        <f t="shared" si="103"/>
        <v/>
      </c>
      <c r="AC192" s="46"/>
      <c r="AD192" s="46"/>
      <c r="AE192" s="46"/>
      <c r="AF192" s="59">
        <f t="shared" si="73"/>
        <v>0</v>
      </c>
      <c r="AG192" s="46">
        <f t="shared" si="75"/>
        <v>0</v>
      </c>
      <c r="AH192" s="47" t="str">
        <f t="shared" si="76"/>
        <v/>
      </c>
      <c r="AI192" s="47">
        <f t="shared" si="77"/>
        <v>0</v>
      </c>
      <c r="AJ192" s="47">
        <f t="shared" si="78"/>
        <v>0</v>
      </c>
      <c r="AK192" s="47">
        <f t="shared" si="79"/>
        <v>0</v>
      </c>
      <c r="AL192" s="48" t="str">
        <f t="shared" si="80"/>
        <v/>
      </c>
      <c r="AM192" s="46" t="str">
        <f t="shared" si="81"/>
        <v/>
      </c>
      <c r="AN192" s="46" t="str">
        <f t="shared" si="82"/>
        <v/>
      </c>
      <c r="AO192" s="46" t="str">
        <f t="shared" si="83"/>
        <v/>
      </c>
      <c r="AP192" s="46" t="str">
        <f t="shared" si="84"/>
        <v/>
      </c>
      <c r="AQ192" s="49" t="str">
        <f t="shared" si="85"/>
        <v/>
      </c>
      <c r="AR192" s="50" t="str">
        <f t="shared" si="86"/>
        <v/>
      </c>
      <c r="AS192" s="51" t="str">
        <f t="shared" si="87"/>
        <v/>
      </c>
      <c r="AT192" s="51" t="str">
        <f t="shared" si="88"/>
        <v/>
      </c>
      <c r="AU192" s="51" t="str">
        <f t="shared" si="96"/>
        <v/>
      </c>
      <c r="AV192" s="52" t="str">
        <f t="shared" si="89"/>
        <v/>
      </c>
      <c r="AW192" s="52" t="str">
        <f t="shared" si="90"/>
        <v/>
      </c>
      <c r="AX192" s="15" t="str">
        <f t="shared" si="91"/>
        <v/>
      </c>
      <c r="AY192" s="15" t="str">
        <f t="shared" si="92"/>
        <v/>
      </c>
      <c r="AZ192" s="15" t="str">
        <f t="shared" si="93"/>
        <v/>
      </c>
      <c r="BA192" s="61">
        <f t="shared" si="97"/>
        <v>0</v>
      </c>
      <c r="BB192" s="61"/>
      <c r="BC192" s="61">
        <f t="shared" si="98"/>
        <v>0</v>
      </c>
      <c r="BD192" s="61"/>
      <c r="BE192" s="61">
        <f t="shared" si="99"/>
        <v>0</v>
      </c>
      <c r="BF192" s="61"/>
      <c r="BG192" s="61">
        <v>0</v>
      </c>
      <c r="BH192" s="61"/>
      <c r="BI192" s="56">
        <f t="shared" si="100"/>
        <v>0</v>
      </c>
      <c r="BJ192" s="57" t="str">
        <f t="shared" si="101"/>
        <v/>
      </c>
      <c r="BK192" s="58" t="str">
        <f t="shared" si="102"/>
        <v/>
      </c>
    </row>
    <row r="193" spans="1:63" ht="17.25" customHeight="1" x14ac:dyDescent="0.3">
      <c r="A193" s="41">
        <v>192</v>
      </c>
      <c r="B193" s="42"/>
      <c r="C193" s="43" t="str">
        <f t="shared" si="72"/>
        <v/>
      </c>
      <c r="D193" s="43"/>
      <c r="E193" s="43"/>
      <c r="F193" s="43"/>
      <c r="G193" s="14"/>
      <c r="H193" s="14"/>
      <c r="I193" s="14"/>
      <c r="J193" s="44"/>
      <c r="K193" s="44"/>
      <c r="L193" s="44"/>
      <c r="M193" s="45"/>
      <c r="N193" s="45"/>
      <c r="O193" s="45"/>
      <c r="P193" s="46">
        <f t="shared" si="74"/>
        <v>0</v>
      </c>
      <c r="Q193" s="45"/>
      <c r="R193" s="46"/>
      <c r="S193" s="46"/>
      <c r="T193" s="46"/>
      <c r="U193" s="46"/>
      <c r="V193" s="46"/>
      <c r="W193" s="46"/>
      <c r="X193" s="46"/>
      <c r="Y193" s="46"/>
      <c r="Z193" s="46" t="str">
        <f t="shared" si="94"/>
        <v/>
      </c>
      <c r="AA193" s="46" t="str">
        <f t="shared" si="95"/>
        <v/>
      </c>
      <c r="AB193" s="46" t="str">
        <f t="shared" si="103"/>
        <v/>
      </c>
      <c r="AC193" s="46"/>
      <c r="AD193" s="46"/>
      <c r="AE193" s="46"/>
      <c r="AF193" s="59">
        <f t="shared" si="73"/>
        <v>0</v>
      </c>
      <c r="AG193" s="46">
        <f t="shared" si="75"/>
        <v>0</v>
      </c>
      <c r="AH193" s="47" t="str">
        <f t="shared" si="76"/>
        <v/>
      </c>
      <c r="AI193" s="47">
        <f t="shared" si="77"/>
        <v>0</v>
      </c>
      <c r="AJ193" s="47">
        <f t="shared" si="78"/>
        <v>0</v>
      </c>
      <c r="AK193" s="47">
        <f t="shared" si="79"/>
        <v>0</v>
      </c>
      <c r="AL193" s="48" t="str">
        <f t="shared" si="80"/>
        <v/>
      </c>
      <c r="AM193" s="46" t="str">
        <f t="shared" si="81"/>
        <v/>
      </c>
      <c r="AN193" s="46" t="str">
        <f t="shared" si="82"/>
        <v/>
      </c>
      <c r="AO193" s="46" t="str">
        <f t="shared" si="83"/>
        <v/>
      </c>
      <c r="AP193" s="46" t="str">
        <f t="shared" si="84"/>
        <v/>
      </c>
      <c r="AQ193" s="49" t="str">
        <f t="shared" si="85"/>
        <v/>
      </c>
      <c r="AR193" s="50" t="str">
        <f t="shared" si="86"/>
        <v/>
      </c>
      <c r="AS193" s="51" t="str">
        <f t="shared" si="87"/>
        <v/>
      </c>
      <c r="AT193" s="51" t="str">
        <f t="shared" si="88"/>
        <v/>
      </c>
      <c r="AU193" s="51" t="str">
        <f t="shared" si="96"/>
        <v/>
      </c>
      <c r="AV193" s="52" t="str">
        <f t="shared" si="89"/>
        <v/>
      </c>
      <c r="AW193" s="52" t="str">
        <f t="shared" si="90"/>
        <v/>
      </c>
      <c r="AX193" s="15" t="str">
        <f t="shared" si="91"/>
        <v/>
      </c>
      <c r="AY193" s="15" t="str">
        <f t="shared" si="92"/>
        <v/>
      </c>
      <c r="AZ193" s="15" t="str">
        <f t="shared" si="93"/>
        <v/>
      </c>
      <c r="BA193" s="61">
        <f t="shared" si="97"/>
        <v>0</v>
      </c>
      <c r="BB193" s="61"/>
      <c r="BC193" s="61">
        <f t="shared" si="98"/>
        <v>0</v>
      </c>
      <c r="BD193" s="61"/>
      <c r="BE193" s="61">
        <f t="shared" si="99"/>
        <v>0</v>
      </c>
      <c r="BF193" s="61"/>
      <c r="BG193" s="61">
        <v>0</v>
      </c>
      <c r="BH193" s="61"/>
      <c r="BI193" s="56">
        <f t="shared" si="100"/>
        <v>0</v>
      </c>
      <c r="BJ193" s="57" t="str">
        <f t="shared" si="101"/>
        <v/>
      </c>
      <c r="BK193" s="58" t="str">
        <f t="shared" si="102"/>
        <v/>
      </c>
    </row>
    <row r="194" spans="1:63" ht="17.25" customHeight="1" x14ac:dyDescent="0.3">
      <c r="A194" s="41">
        <v>193</v>
      </c>
      <c r="B194" s="42"/>
      <c r="C194" s="43" t="str">
        <f t="shared" ref="C194:C221" si="104">IF(ISBLANK(B194),"",TEXT(B194,"mmm-YY"))</f>
        <v/>
      </c>
      <c r="D194" s="43"/>
      <c r="E194" s="43"/>
      <c r="F194" s="43"/>
      <c r="G194" s="14"/>
      <c r="H194" s="14"/>
      <c r="I194" s="14"/>
      <c r="J194" s="44"/>
      <c r="K194" s="44"/>
      <c r="L194" s="44"/>
      <c r="M194" s="45"/>
      <c r="N194" s="45"/>
      <c r="O194" s="45"/>
      <c r="P194" s="46">
        <f t="shared" si="74"/>
        <v>0</v>
      </c>
      <c r="Q194" s="45"/>
      <c r="R194" s="46"/>
      <c r="S194" s="46"/>
      <c r="T194" s="46"/>
      <c r="U194" s="46"/>
      <c r="V194" s="46"/>
      <c r="W194" s="46"/>
      <c r="X194" s="46"/>
      <c r="Y194" s="46"/>
      <c r="Z194" s="46" t="str">
        <f t="shared" si="94"/>
        <v/>
      </c>
      <c r="AA194" s="46" t="str">
        <f t="shared" si="95"/>
        <v/>
      </c>
      <c r="AB194" s="46" t="str">
        <f t="shared" si="103"/>
        <v/>
      </c>
      <c r="AC194" s="46"/>
      <c r="AD194" s="46"/>
      <c r="AE194" s="46"/>
      <c r="AF194" s="59">
        <f t="shared" ref="AF194:AF221" si="105">AD194+AE194-AC194</f>
        <v>0</v>
      </c>
      <c r="AG194" s="46">
        <f t="shared" si="75"/>
        <v>0</v>
      </c>
      <c r="AH194" s="47" t="str">
        <f t="shared" si="76"/>
        <v/>
      </c>
      <c r="AI194" s="47">
        <f t="shared" si="77"/>
        <v>0</v>
      </c>
      <c r="AJ194" s="47">
        <f t="shared" si="78"/>
        <v>0</v>
      </c>
      <c r="AK194" s="47">
        <f t="shared" si="79"/>
        <v>0</v>
      </c>
      <c r="AL194" s="48" t="str">
        <f t="shared" si="80"/>
        <v/>
      </c>
      <c r="AM194" s="46" t="str">
        <f t="shared" si="81"/>
        <v/>
      </c>
      <c r="AN194" s="46" t="str">
        <f t="shared" si="82"/>
        <v/>
      </c>
      <c r="AO194" s="46" t="str">
        <f t="shared" si="83"/>
        <v/>
      </c>
      <c r="AP194" s="46" t="str">
        <f t="shared" si="84"/>
        <v/>
      </c>
      <c r="AQ194" s="49" t="str">
        <f t="shared" si="85"/>
        <v/>
      </c>
      <c r="AR194" s="50" t="str">
        <f t="shared" si="86"/>
        <v/>
      </c>
      <c r="AS194" s="51" t="str">
        <f t="shared" si="87"/>
        <v/>
      </c>
      <c r="AT194" s="51" t="str">
        <f t="shared" si="88"/>
        <v/>
      </c>
      <c r="AU194" s="51" t="str">
        <f t="shared" si="96"/>
        <v/>
      </c>
      <c r="AV194" s="52" t="str">
        <f t="shared" si="89"/>
        <v/>
      </c>
      <c r="AW194" s="52" t="str">
        <f t="shared" si="90"/>
        <v/>
      </c>
      <c r="AX194" s="15" t="str">
        <f t="shared" si="91"/>
        <v/>
      </c>
      <c r="AY194" s="15" t="str">
        <f t="shared" si="92"/>
        <v/>
      </c>
      <c r="AZ194" s="15" t="str">
        <f t="shared" si="93"/>
        <v/>
      </c>
      <c r="BA194" s="61">
        <f t="shared" si="97"/>
        <v>0</v>
      </c>
      <c r="BB194" s="61"/>
      <c r="BC194" s="61">
        <f t="shared" si="98"/>
        <v>0</v>
      </c>
      <c r="BD194" s="61"/>
      <c r="BE194" s="61">
        <f t="shared" si="99"/>
        <v>0</v>
      </c>
      <c r="BF194" s="61"/>
      <c r="BG194" s="61">
        <v>0</v>
      </c>
      <c r="BH194" s="61"/>
      <c r="BI194" s="56">
        <f t="shared" si="100"/>
        <v>0</v>
      </c>
      <c r="BJ194" s="57" t="str">
        <f t="shared" si="101"/>
        <v/>
      </c>
      <c r="BK194" s="58" t="str">
        <f t="shared" si="102"/>
        <v/>
      </c>
    </row>
    <row r="195" spans="1:63" ht="17.25" customHeight="1" x14ac:dyDescent="0.3">
      <c r="A195" s="41">
        <v>194</v>
      </c>
      <c r="B195" s="42"/>
      <c r="C195" s="43" t="str">
        <f t="shared" si="104"/>
        <v/>
      </c>
      <c r="D195" s="43"/>
      <c r="E195" s="43"/>
      <c r="F195" s="43"/>
      <c r="G195" s="14"/>
      <c r="H195" s="14"/>
      <c r="I195" s="14"/>
      <c r="J195" s="44"/>
      <c r="K195" s="44"/>
      <c r="L195" s="44"/>
      <c r="M195" s="45"/>
      <c r="N195" s="45"/>
      <c r="O195" s="45"/>
      <c r="P195" s="46">
        <f t="shared" ref="P195:P198" si="106">SUM(R195:W195)</f>
        <v>0</v>
      </c>
      <c r="Q195" s="45"/>
      <c r="R195" s="46"/>
      <c r="S195" s="46"/>
      <c r="T195" s="46"/>
      <c r="U195" s="46"/>
      <c r="V195" s="46"/>
      <c r="W195" s="46"/>
      <c r="X195" s="46"/>
      <c r="Y195" s="46"/>
      <c r="Z195" s="46" t="str">
        <f t="shared" si="94"/>
        <v/>
      </c>
      <c r="AA195" s="46" t="str">
        <f t="shared" si="95"/>
        <v/>
      </c>
      <c r="AB195" s="46" t="str">
        <f t="shared" si="103"/>
        <v/>
      </c>
      <c r="AC195" s="46"/>
      <c r="AD195" s="46"/>
      <c r="AE195" s="46"/>
      <c r="AF195" s="59">
        <f t="shared" si="105"/>
        <v>0</v>
      </c>
      <c r="AG195" s="46">
        <f t="shared" ref="AG195:AG221" si="107">SUM(BB195,BD195,BF195,BH195)</f>
        <v>0</v>
      </c>
      <c r="AH195" s="47" t="str">
        <f t="shared" ref="AH195:AH221" si="108">IFERROR(AG195*(100-3)/(100-Q195)*(100+AN195)%,"")</f>
        <v/>
      </c>
      <c r="AI195" s="47">
        <f t="shared" ref="AI195:AI221" si="109">S195+T195</f>
        <v>0</v>
      </c>
      <c r="AJ195" s="47">
        <f t="shared" ref="AJ195:AJ221" si="110">U195+V195+W195</f>
        <v>0</v>
      </c>
      <c r="AK195" s="47">
        <f t="shared" ref="AK195:AK221" si="111">R195+(AI195/2)</f>
        <v>0</v>
      </c>
      <c r="AL195" s="48" t="str">
        <f t="shared" ref="AL195:AL221" si="112">IFERROR(AK195/M195,"")</f>
        <v/>
      </c>
      <c r="AM195" s="46" t="str">
        <f t="shared" ref="AM195:AM221" si="113">IFERROR(((AK195*80/454)*1000)/M195,"")</f>
        <v/>
      </c>
      <c r="AN195" s="46" t="str">
        <f t="shared" ref="AN195:AN221" si="114">IFERROR(AE195/(AE195+AD195)%,"")</f>
        <v/>
      </c>
      <c r="AO195" s="46" t="str">
        <f t="shared" ref="AO195:AO221" si="115">IFERROR((P195-AI195-AJ195)*(100-AN195)%,"")</f>
        <v/>
      </c>
      <c r="AP195" s="46" t="str">
        <f t="shared" ref="AP195:AP221" si="116">IFERROR((AJ195+AI195)*(100-AN195)%,"")</f>
        <v/>
      </c>
      <c r="AQ195" s="49" t="str">
        <f t="shared" ref="AQ195:AQ221" si="117">IFERROR((R195-AH195)/P195,"")</f>
        <v/>
      </c>
      <c r="AR195" s="50" t="str">
        <f t="shared" ref="AR195:AR221" si="118">IFERROR((AH195+AI195+AJ195)/P195,"")</f>
        <v/>
      </c>
      <c r="AS195" s="51" t="str">
        <f t="shared" ref="AS195:AS221" si="119">IFERROR(AO195/M195,"")</f>
        <v/>
      </c>
      <c r="AT195" s="51" t="str">
        <f t="shared" ref="AT195:AT221" si="120">IFERROR(AP195/M195,"")</f>
        <v/>
      </c>
      <c r="AU195" s="51" t="str">
        <f t="shared" si="96"/>
        <v/>
      </c>
      <c r="AV195" s="52" t="str">
        <f t="shared" ref="AV195:AV221" si="121">IFERROR(AO195*(100-Q195)/(100-4.5),"")</f>
        <v/>
      </c>
      <c r="AW195" s="52" t="str">
        <f t="shared" ref="AW195:AW221" si="122">IFERROR(AP195*(100-Q195)/(100-4.5),"")</f>
        <v/>
      </c>
      <c r="AX195" s="15" t="str">
        <f t="shared" ref="AX195:AX221" si="123">IFERROR(AV195/M195,"")</f>
        <v/>
      </c>
      <c r="AY195" s="15" t="str">
        <f t="shared" ref="AY195:AY221" si="124">IFERROR(AW195/M195,"")</f>
        <v/>
      </c>
      <c r="AZ195" s="15" t="str">
        <f t="shared" ref="AZ195:AZ221" si="125">IFERROR(AX195+AY195,"")</f>
        <v/>
      </c>
      <c r="BA195" s="61">
        <f t="shared" si="97"/>
        <v>0</v>
      </c>
      <c r="BB195" s="61"/>
      <c r="BC195" s="61">
        <f t="shared" si="98"/>
        <v>0</v>
      </c>
      <c r="BD195" s="61"/>
      <c r="BE195" s="61">
        <f t="shared" si="99"/>
        <v>0</v>
      </c>
      <c r="BF195" s="61"/>
      <c r="BG195" s="61">
        <v>0</v>
      </c>
      <c r="BH195" s="61"/>
      <c r="BI195" s="56">
        <f t="shared" si="100"/>
        <v>0</v>
      </c>
      <c r="BJ195" s="57" t="str">
        <f t="shared" si="101"/>
        <v/>
      </c>
      <c r="BK195" s="58" t="str">
        <f t="shared" si="102"/>
        <v/>
      </c>
    </row>
    <row r="196" spans="1:63" ht="17.25" customHeight="1" x14ac:dyDescent="0.3">
      <c r="A196" s="41">
        <v>195</v>
      </c>
      <c r="B196" s="42"/>
      <c r="C196" s="43" t="str">
        <f t="shared" si="104"/>
        <v/>
      </c>
      <c r="D196" s="43"/>
      <c r="E196" s="43"/>
      <c r="F196" s="43"/>
      <c r="G196" s="14"/>
      <c r="H196" s="14"/>
      <c r="I196" s="14"/>
      <c r="J196" s="44"/>
      <c r="K196" s="44"/>
      <c r="L196" s="44"/>
      <c r="M196" s="45"/>
      <c r="N196" s="45"/>
      <c r="O196" s="45"/>
      <c r="P196" s="46">
        <f t="shared" si="106"/>
        <v>0</v>
      </c>
      <c r="Q196" s="45"/>
      <c r="R196" s="46"/>
      <c r="S196" s="46"/>
      <c r="T196" s="46"/>
      <c r="U196" s="46"/>
      <c r="V196" s="46"/>
      <c r="W196" s="46"/>
      <c r="X196" s="46"/>
      <c r="Y196" s="46"/>
      <c r="Z196" s="46" t="str">
        <f t="shared" ref="Z196:Z198" si="126">IFERROR(SUM($R196,0.5*$S196,$T196*0.5)*80*2.2046/$M196,"")</f>
        <v/>
      </c>
      <c r="AA196" s="46" t="str">
        <f t="shared" ref="AA196:AA198" si="127">IFERROR(SUM($R196,$S196,$T196)*80*2.2046/$M196,"")</f>
        <v/>
      </c>
      <c r="AB196" s="46" t="str">
        <f t="shared" si="103"/>
        <v/>
      </c>
      <c r="AC196" s="46"/>
      <c r="AD196" s="46"/>
      <c r="AE196" s="46"/>
      <c r="AF196" s="59">
        <f t="shared" si="105"/>
        <v>0</v>
      </c>
      <c r="AG196" s="46">
        <f t="shared" si="107"/>
        <v>0</v>
      </c>
      <c r="AH196" s="47" t="str">
        <f t="shared" si="108"/>
        <v/>
      </c>
      <c r="AI196" s="47">
        <f t="shared" si="109"/>
        <v>0</v>
      </c>
      <c r="AJ196" s="47">
        <f t="shared" si="110"/>
        <v>0</v>
      </c>
      <c r="AK196" s="47">
        <f t="shared" si="111"/>
        <v>0</v>
      </c>
      <c r="AL196" s="48" t="str">
        <f t="shared" si="112"/>
        <v/>
      </c>
      <c r="AM196" s="46" t="str">
        <f t="shared" si="113"/>
        <v/>
      </c>
      <c r="AN196" s="46" t="str">
        <f t="shared" si="114"/>
        <v/>
      </c>
      <c r="AO196" s="46" t="str">
        <f t="shared" si="115"/>
        <v/>
      </c>
      <c r="AP196" s="46" t="str">
        <f t="shared" si="116"/>
        <v/>
      </c>
      <c r="AQ196" s="49" t="str">
        <f t="shared" si="117"/>
        <v/>
      </c>
      <c r="AR196" s="50" t="str">
        <f t="shared" si="118"/>
        <v/>
      </c>
      <c r="AS196" s="51" t="str">
        <f t="shared" si="119"/>
        <v/>
      </c>
      <c r="AT196" s="51" t="str">
        <f t="shared" si="120"/>
        <v/>
      </c>
      <c r="AU196" s="51" t="str">
        <f t="shared" ref="AU196:AU221" si="128">IFERROR(AS196+AT196,"")</f>
        <v/>
      </c>
      <c r="AV196" s="52" t="str">
        <f t="shared" si="121"/>
        <v/>
      </c>
      <c r="AW196" s="52" t="str">
        <f t="shared" si="122"/>
        <v/>
      </c>
      <c r="AX196" s="15" t="str">
        <f t="shared" si="123"/>
        <v/>
      </c>
      <c r="AY196" s="15" t="str">
        <f t="shared" si="124"/>
        <v/>
      </c>
      <c r="AZ196" s="15" t="str">
        <f t="shared" si="125"/>
        <v/>
      </c>
      <c r="BA196" s="61">
        <f t="shared" ref="BA196:BA221" si="129">IFERROR(S196*(100-Q196)/(100-4.5),"")</f>
        <v>0</v>
      </c>
      <c r="BB196" s="61"/>
      <c r="BC196" s="61">
        <f t="shared" ref="BC196:BC221" si="130">IFERROR(T196*(100-Q196)/(100-4.5),"")</f>
        <v>0</v>
      </c>
      <c r="BD196" s="61"/>
      <c r="BE196" s="61">
        <f t="shared" ref="BE196:BE221" si="131">IFERROR(W196*(100-Q196)/(100-4.5),"")</f>
        <v>0</v>
      </c>
      <c r="BF196" s="61"/>
      <c r="BG196" s="61">
        <v>0</v>
      </c>
      <c r="BH196" s="61"/>
      <c r="BI196" s="56">
        <f t="shared" ref="BI196:BI221" si="132">SUM(BA196:BH196)</f>
        <v>0</v>
      </c>
      <c r="BJ196" s="57" t="str">
        <f t="shared" ref="BJ196:BJ221" si="133">IFERROR(BI196/(SUM(R196:T196)*(100-Q196)/(100-4.5)),"")</f>
        <v/>
      </c>
      <c r="BK196" s="58" t="str">
        <f t="shared" ref="BK196:BK221" si="134">IFERROR(SUM(BA196:BB196)/AD196,"")</f>
        <v/>
      </c>
    </row>
    <row r="197" spans="1:63" ht="17.25" customHeight="1" x14ac:dyDescent="0.3">
      <c r="A197" s="41">
        <v>196</v>
      </c>
      <c r="B197" s="42"/>
      <c r="C197" s="43" t="str">
        <f t="shared" si="104"/>
        <v/>
      </c>
      <c r="D197" s="43"/>
      <c r="E197" s="43"/>
      <c r="F197" s="43"/>
      <c r="G197" s="14"/>
      <c r="H197" s="14"/>
      <c r="I197" s="14"/>
      <c r="J197" s="44"/>
      <c r="K197" s="44"/>
      <c r="L197" s="44"/>
      <c r="M197" s="45"/>
      <c r="N197" s="45"/>
      <c r="O197" s="45"/>
      <c r="P197" s="46">
        <f t="shared" si="106"/>
        <v>0</v>
      </c>
      <c r="Q197" s="45"/>
      <c r="R197" s="46"/>
      <c r="S197" s="46"/>
      <c r="T197" s="46"/>
      <c r="U197" s="46"/>
      <c r="V197" s="46"/>
      <c r="W197" s="46"/>
      <c r="X197" s="46"/>
      <c r="Y197" s="46"/>
      <c r="Z197" s="46" t="str">
        <f t="shared" si="126"/>
        <v/>
      </c>
      <c r="AA197" s="46" t="str">
        <f t="shared" si="127"/>
        <v/>
      </c>
      <c r="AB197" s="46" t="str">
        <f t="shared" ref="AB197:AB221" si="135">IFERROR(SUM($R197,$S197,$T197,$U197,$W197)*80*2.2046/$M197,"")</f>
        <v/>
      </c>
      <c r="AC197" s="46"/>
      <c r="AD197" s="46"/>
      <c r="AE197" s="46"/>
      <c r="AF197" s="59">
        <f t="shared" si="105"/>
        <v>0</v>
      </c>
      <c r="AG197" s="46">
        <f t="shared" si="107"/>
        <v>0</v>
      </c>
      <c r="AH197" s="47" t="str">
        <f t="shared" si="108"/>
        <v/>
      </c>
      <c r="AI197" s="47">
        <f t="shared" si="109"/>
        <v>0</v>
      </c>
      <c r="AJ197" s="47">
        <f t="shared" si="110"/>
        <v>0</v>
      </c>
      <c r="AK197" s="47">
        <f t="shared" si="111"/>
        <v>0</v>
      </c>
      <c r="AL197" s="48" t="str">
        <f t="shared" si="112"/>
        <v/>
      </c>
      <c r="AM197" s="46" t="str">
        <f t="shared" si="113"/>
        <v/>
      </c>
      <c r="AN197" s="46" t="str">
        <f t="shared" si="114"/>
        <v/>
      </c>
      <c r="AO197" s="46" t="str">
        <f t="shared" si="115"/>
        <v/>
      </c>
      <c r="AP197" s="46" t="str">
        <f t="shared" si="116"/>
        <v/>
      </c>
      <c r="AQ197" s="49" t="str">
        <f t="shared" si="117"/>
        <v/>
      </c>
      <c r="AR197" s="50" t="str">
        <f t="shared" si="118"/>
        <v/>
      </c>
      <c r="AS197" s="51" t="str">
        <f t="shared" si="119"/>
        <v/>
      </c>
      <c r="AT197" s="51" t="str">
        <f t="shared" si="120"/>
        <v/>
      </c>
      <c r="AU197" s="51" t="str">
        <f t="shared" si="128"/>
        <v/>
      </c>
      <c r="AV197" s="52" t="str">
        <f t="shared" si="121"/>
        <v/>
      </c>
      <c r="AW197" s="52" t="str">
        <f t="shared" si="122"/>
        <v/>
      </c>
      <c r="AX197" s="15" t="str">
        <f t="shared" si="123"/>
        <v/>
      </c>
      <c r="AY197" s="15" t="str">
        <f t="shared" si="124"/>
        <v/>
      </c>
      <c r="AZ197" s="15" t="str">
        <f t="shared" si="125"/>
        <v/>
      </c>
      <c r="BA197" s="61">
        <f t="shared" si="129"/>
        <v>0</v>
      </c>
      <c r="BB197" s="61"/>
      <c r="BC197" s="61">
        <f t="shared" si="130"/>
        <v>0</v>
      </c>
      <c r="BD197" s="61"/>
      <c r="BE197" s="61">
        <f t="shared" si="131"/>
        <v>0</v>
      </c>
      <c r="BF197" s="61"/>
      <c r="BG197" s="61">
        <v>0</v>
      </c>
      <c r="BH197" s="61"/>
      <c r="BI197" s="56">
        <f t="shared" si="132"/>
        <v>0</v>
      </c>
      <c r="BJ197" s="57" t="str">
        <f t="shared" si="133"/>
        <v/>
      </c>
      <c r="BK197" s="58" t="str">
        <f t="shared" si="134"/>
        <v/>
      </c>
    </row>
    <row r="198" spans="1:63" ht="17.25" customHeight="1" x14ac:dyDescent="0.3">
      <c r="A198" s="41">
        <v>197</v>
      </c>
      <c r="B198" s="42"/>
      <c r="C198" s="43" t="str">
        <f t="shared" si="104"/>
        <v/>
      </c>
      <c r="D198" s="43"/>
      <c r="E198" s="43"/>
      <c r="F198" s="43"/>
      <c r="G198" s="14"/>
      <c r="H198" s="14"/>
      <c r="I198" s="14"/>
      <c r="J198" s="44"/>
      <c r="K198" s="44"/>
      <c r="L198" s="44"/>
      <c r="M198" s="45"/>
      <c r="N198" s="45"/>
      <c r="O198" s="45"/>
      <c r="P198" s="46">
        <f t="shared" si="106"/>
        <v>0</v>
      </c>
      <c r="Q198" s="45"/>
      <c r="R198" s="46"/>
      <c r="S198" s="46"/>
      <c r="T198" s="46"/>
      <c r="U198" s="46"/>
      <c r="V198" s="46"/>
      <c r="W198" s="46"/>
      <c r="X198" s="46"/>
      <c r="Y198" s="46"/>
      <c r="Z198" s="46" t="str">
        <f t="shared" si="126"/>
        <v/>
      </c>
      <c r="AA198" s="46" t="str">
        <f t="shared" si="127"/>
        <v/>
      </c>
      <c r="AB198" s="46" t="str">
        <f t="shared" si="135"/>
        <v/>
      </c>
      <c r="AC198" s="46"/>
      <c r="AD198" s="46"/>
      <c r="AE198" s="46"/>
      <c r="AF198" s="59">
        <f t="shared" si="105"/>
        <v>0</v>
      </c>
      <c r="AG198" s="46">
        <f t="shared" si="107"/>
        <v>0</v>
      </c>
      <c r="AH198" s="47" t="str">
        <f t="shared" si="108"/>
        <v/>
      </c>
      <c r="AI198" s="47">
        <f t="shared" si="109"/>
        <v>0</v>
      </c>
      <c r="AJ198" s="47">
        <f t="shared" si="110"/>
        <v>0</v>
      </c>
      <c r="AK198" s="47">
        <f t="shared" si="111"/>
        <v>0</v>
      </c>
      <c r="AL198" s="48" t="str">
        <f t="shared" si="112"/>
        <v/>
      </c>
      <c r="AM198" s="46" t="str">
        <f t="shared" si="113"/>
        <v/>
      </c>
      <c r="AN198" s="46" t="str">
        <f t="shared" si="114"/>
        <v/>
      </c>
      <c r="AO198" s="46" t="str">
        <f t="shared" si="115"/>
        <v/>
      </c>
      <c r="AP198" s="46" t="str">
        <f t="shared" si="116"/>
        <v/>
      </c>
      <c r="AQ198" s="49" t="str">
        <f t="shared" si="117"/>
        <v/>
      </c>
      <c r="AR198" s="50" t="str">
        <f t="shared" si="118"/>
        <v/>
      </c>
      <c r="AS198" s="51" t="str">
        <f t="shared" si="119"/>
        <v/>
      </c>
      <c r="AT198" s="51" t="str">
        <f t="shared" si="120"/>
        <v/>
      </c>
      <c r="AU198" s="51" t="str">
        <f t="shared" si="128"/>
        <v/>
      </c>
      <c r="AV198" s="52" t="str">
        <f t="shared" si="121"/>
        <v/>
      </c>
      <c r="AW198" s="52" t="str">
        <f t="shared" si="122"/>
        <v/>
      </c>
      <c r="AX198" s="15" t="str">
        <f t="shared" si="123"/>
        <v/>
      </c>
      <c r="AY198" s="15" t="str">
        <f t="shared" si="124"/>
        <v/>
      </c>
      <c r="AZ198" s="15" t="str">
        <f t="shared" si="125"/>
        <v/>
      </c>
      <c r="BA198" s="61">
        <f t="shared" si="129"/>
        <v>0</v>
      </c>
      <c r="BB198" s="61"/>
      <c r="BC198" s="61">
        <f t="shared" si="130"/>
        <v>0</v>
      </c>
      <c r="BD198" s="61"/>
      <c r="BE198" s="61">
        <f t="shared" si="131"/>
        <v>0</v>
      </c>
      <c r="BF198" s="61"/>
      <c r="BG198" s="61">
        <v>0</v>
      </c>
      <c r="BH198" s="61"/>
      <c r="BI198" s="56">
        <f t="shared" si="132"/>
        <v>0</v>
      </c>
      <c r="BJ198" s="57" t="str">
        <f t="shared" si="133"/>
        <v/>
      </c>
      <c r="BK198" s="58" t="str">
        <f t="shared" si="134"/>
        <v/>
      </c>
    </row>
    <row r="199" spans="1:63" ht="17.25" customHeight="1" x14ac:dyDescent="0.3">
      <c r="A199" s="41">
        <v>198</v>
      </c>
      <c r="B199" s="42"/>
      <c r="C199" s="43" t="str">
        <f t="shared" si="104"/>
        <v/>
      </c>
      <c r="D199" s="43"/>
      <c r="E199" s="43"/>
      <c r="F199" s="43"/>
      <c r="G199" s="14"/>
      <c r="H199" s="14"/>
      <c r="I199" s="14"/>
      <c r="J199" s="44"/>
      <c r="K199" s="44"/>
      <c r="L199" s="44"/>
      <c r="M199" s="45"/>
      <c r="N199" s="45"/>
      <c r="O199" s="45"/>
      <c r="P199" s="46"/>
      <c r="Q199" s="45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 t="str">
        <f t="shared" si="135"/>
        <v/>
      </c>
      <c r="AC199" s="46"/>
      <c r="AD199" s="46"/>
      <c r="AE199" s="46"/>
      <c r="AF199" s="59">
        <f t="shared" si="105"/>
        <v>0</v>
      </c>
      <c r="AG199" s="46">
        <f t="shared" si="107"/>
        <v>0</v>
      </c>
      <c r="AH199" s="47" t="str">
        <f t="shared" si="108"/>
        <v/>
      </c>
      <c r="AI199" s="47">
        <f t="shared" si="109"/>
        <v>0</v>
      </c>
      <c r="AJ199" s="47">
        <f t="shared" si="110"/>
        <v>0</v>
      </c>
      <c r="AK199" s="47">
        <f t="shared" si="111"/>
        <v>0</v>
      </c>
      <c r="AL199" s="48" t="str">
        <f t="shared" si="112"/>
        <v/>
      </c>
      <c r="AM199" s="46" t="str">
        <f t="shared" si="113"/>
        <v/>
      </c>
      <c r="AN199" s="46" t="str">
        <f t="shared" si="114"/>
        <v/>
      </c>
      <c r="AO199" s="46" t="str">
        <f t="shared" si="115"/>
        <v/>
      </c>
      <c r="AP199" s="46" t="str">
        <f t="shared" si="116"/>
        <v/>
      </c>
      <c r="AQ199" s="49" t="str">
        <f t="shared" si="117"/>
        <v/>
      </c>
      <c r="AR199" s="50" t="str">
        <f t="shared" si="118"/>
        <v/>
      </c>
      <c r="AS199" s="51" t="str">
        <f t="shared" si="119"/>
        <v/>
      </c>
      <c r="AT199" s="51" t="str">
        <f t="shared" si="120"/>
        <v/>
      </c>
      <c r="AU199" s="51" t="str">
        <f t="shared" si="128"/>
        <v/>
      </c>
      <c r="AV199" s="52" t="str">
        <f t="shared" si="121"/>
        <v/>
      </c>
      <c r="AW199" s="52" t="str">
        <f t="shared" si="122"/>
        <v/>
      </c>
      <c r="AX199" s="15" t="str">
        <f t="shared" si="123"/>
        <v/>
      </c>
      <c r="AY199" s="15" t="str">
        <f t="shared" si="124"/>
        <v/>
      </c>
      <c r="AZ199" s="15" t="str">
        <f t="shared" si="125"/>
        <v/>
      </c>
      <c r="BA199" s="61">
        <f t="shared" si="129"/>
        <v>0</v>
      </c>
      <c r="BB199" s="61"/>
      <c r="BC199" s="61">
        <f t="shared" si="130"/>
        <v>0</v>
      </c>
      <c r="BD199" s="61"/>
      <c r="BE199" s="61">
        <f t="shared" si="131"/>
        <v>0</v>
      </c>
      <c r="BF199" s="61"/>
      <c r="BG199" s="61">
        <v>0</v>
      </c>
      <c r="BH199" s="61"/>
      <c r="BI199" s="56">
        <f t="shared" si="132"/>
        <v>0</v>
      </c>
      <c r="BJ199" s="57" t="str">
        <f t="shared" si="133"/>
        <v/>
      </c>
      <c r="BK199" s="58" t="str">
        <f t="shared" si="134"/>
        <v/>
      </c>
    </row>
    <row r="200" spans="1:63" ht="17.25" customHeight="1" x14ac:dyDescent="0.3">
      <c r="A200" s="41">
        <v>199</v>
      </c>
      <c r="B200" s="42"/>
      <c r="C200" s="43" t="str">
        <f t="shared" si="104"/>
        <v/>
      </c>
      <c r="D200" s="43"/>
      <c r="E200" s="43"/>
      <c r="F200" s="43"/>
      <c r="G200" s="14"/>
      <c r="H200" s="14"/>
      <c r="I200" s="14"/>
      <c r="J200" s="44"/>
      <c r="K200" s="44"/>
      <c r="L200" s="44"/>
      <c r="M200" s="45"/>
      <c r="N200" s="45"/>
      <c r="O200" s="45"/>
      <c r="P200" s="46"/>
      <c r="Q200" s="45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 t="str">
        <f t="shared" si="135"/>
        <v/>
      </c>
      <c r="AC200" s="46"/>
      <c r="AD200" s="46"/>
      <c r="AE200" s="46"/>
      <c r="AF200" s="59">
        <f t="shared" si="105"/>
        <v>0</v>
      </c>
      <c r="AG200" s="46">
        <f t="shared" si="107"/>
        <v>0</v>
      </c>
      <c r="AH200" s="47" t="str">
        <f t="shared" si="108"/>
        <v/>
      </c>
      <c r="AI200" s="47">
        <f t="shared" si="109"/>
        <v>0</v>
      </c>
      <c r="AJ200" s="47">
        <f t="shared" si="110"/>
        <v>0</v>
      </c>
      <c r="AK200" s="47">
        <f t="shared" si="111"/>
        <v>0</v>
      </c>
      <c r="AL200" s="48" t="str">
        <f t="shared" si="112"/>
        <v/>
      </c>
      <c r="AM200" s="46" t="str">
        <f t="shared" si="113"/>
        <v/>
      </c>
      <c r="AN200" s="46" t="str">
        <f t="shared" si="114"/>
        <v/>
      </c>
      <c r="AO200" s="46" t="str">
        <f t="shared" si="115"/>
        <v/>
      </c>
      <c r="AP200" s="46" t="str">
        <f t="shared" si="116"/>
        <v/>
      </c>
      <c r="AQ200" s="49" t="str">
        <f t="shared" si="117"/>
        <v/>
      </c>
      <c r="AR200" s="50" t="str">
        <f t="shared" si="118"/>
        <v/>
      </c>
      <c r="AS200" s="51" t="str">
        <f t="shared" si="119"/>
        <v/>
      </c>
      <c r="AT200" s="51" t="str">
        <f t="shared" si="120"/>
        <v/>
      </c>
      <c r="AU200" s="51" t="str">
        <f t="shared" si="128"/>
        <v/>
      </c>
      <c r="AV200" s="52" t="str">
        <f t="shared" si="121"/>
        <v/>
      </c>
      <c r="AW200" s="52" t="str">
        <f t="shared" si="122"/>
        <v/>
      </c>
      <c r="AX200" s="15" t="str">
        <f t="shared" si="123"/>
        <v/>
      </c>
      <c r="AY200" s="15" t="str">
        <f t="shared" si="124"/>
        <v/>
      </c>
      <c r="AZ200" s="15" t="str">
        <f t="shared" si="125"/>
        <v/>
      </c>
      <c r="BA200" s="61">
        <f t="shared" si="129"/>
        <v>0</v>
      </c>
      <c r="BB200" s="61"/>
      <c r="BC200" s="61">
        <f t="shared" si="130"/>
        <v>0</v>
      </c>
      <c r="BD200" s="61"/>
      <c r="BE200" s="61">
        <f t="shared" si="131"/>
        <v>0</v>
      </c>
      <c r="BF200" s="61"/>
      <c r="BG200" s="61">
        <v>0</v>
      </c>
      <c r="BH200" s="61"/>
      <c r="BI200" s="56">
        <f t="shared" si="132"/>
        <v>0</v>
      </c>
      <c r="BJ200" s="57" t="str">
        <f t="shared" si="133"/>
        <v/>
      </c>
      <c r="BK200" s="58" t="str">
        <f t="shared" si="134"/>
        <v/>
      </c>
    </row>
    <row r="201" spans="1:63" ht="17.25" customHeight="1" x14ac:dyDescent="0.3">
      <c r="A201" s="41">
        <v>200</v>
      </c>
      <c r="B201" s="42"/>
      <c r="C201" s="43" t="str">
        <f t="shared" si="104"/>
        <v/>
      </c>
      <c r="D201" s="43"/>
      <c r="E201" s="43"/>
      <c r="F201" s="43"/>
      <c r="G201" s="14"/>
      <c r="H201" s="14"/>
      <c r="I201" s="14"/>
      <c r="J201" s="44"/>
      <c r="K201" s="44"/>
      <c r="L201" s="44"/>
      <c r="M201" s="45"/>
      <c r="N201" s="45"/>
      <c r="O201" s="45"/>
      <c r="P201" s="46"/>
      <c r="Q201" s="45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 t="str">
        <f t="shared" si="135"/>
        <v/>
      </c>
      <c r="AC201" s="46"/>
      <c r="AD201" s="46"/>
      <c r="AE201" s="46"/>
      <c r="AF201" s="59">
        <f t="shared" si="105"/>
        <v>0</v>
      </c>
      <c r="AG201" s="46">
        <f t="shared" si="107"/>
        <v>0</v>
      </c>
      <c r="AH201" s="47" t="str">
        <f t="shared" si="108"/>
        <v/>
      </c>
      <c r="AI201" s="47">
        <f t="shared" si="109"/>
        <v>0</v>
      </c>
      <c r="AJ201" s="47">
        <f t="shared" si="110"/>
        <v>0</v>
      </c>
      <c r="AK201" s="47">
        <f t="shared" si="111"/>
        <v>0</v>
      </c>
      <c r="AL201" s="48" t="str">
        <f t="shared" si="112"/>
        <v/>
      </c>
      <c r="AM201" s="46" t="str">
        <f t="shared" si="113"/>
        <v/>
      </c>
      <c r="AN201" s="46" t="str">
        <f t="shared" si="114"/>
        <v/>
      </c>
      <c r="AO201" s="46" t="str">
        <f t="shared" si="115"/>
        <v/>
      </c>
      <c r="AP201" s="46" t="str">
        <f t="shared" si="116"/>
        <v/>
      </c>
      <c r="AQ201" s="49" t="str">
        <f t="shared" si="117"/>
        <v/>
      </c>
      <c r="AR201" s="50" t="str">
        <f t="shared" si="118"/>
        <v/>
      </c>
      <c r="AS201" s="51" t="str">
        <f t="shared" si="119"/>
        <v/>
      </c>
      <c r="AT201" s="51" t="str">
        <f t="shared" si="120"/>
        <v/>
      </c>
      <c r="AU201" s="51" t="str">
        <f t="shared" si="128"/>
        <v/>
      </c>
      <c r="AV201" s="52" t="str">
        <f t="shared" si="121"/>
        <v/>
      </c>
      <c r="AW201" s="52" t="str">
        <f t="shared" si="122"/>
        <v/>
      </c>
      <c r="AX201" s="15" t="str">
        <f t="shared" si="123"/>
        <v/>
      </c>
      <c r="AY201" s="15" t="str">
        <f t="shared" si="124"/>
        <v/>
      </c>
      <c r="AZ201" s="15" t="str">
        <f t="shared" si="125"/>
        <v/>
      </c>
      <c r="BA201" s="61">
        <f t="shared" si="129"/>
        <v>0</v>
      </c>
      <c r="BB201" s="61"/>
      <c r="BC201" s="61">
        <f t="shared" si="130"/>
        <v>0</v>
      </c>
      <c r="BD201" s="61"/>
      <c r="BE201" s="61">
        <f t="shared" si="131"/>
        <v>0</v>
      </c>
      <c r="BF201" s="61"/>
      <c r="BG201" s="61">
        <v>0</v>
      </c>
      <c r="BH201" s="61"/>
      <c r="BI201" s="56">
        <f t="shared" si="132"/>
        <v>0</v>
      </c>
      <c r="BJ201" s="57" t="str">
        <f t="shared" si="133"/>
        <v/>
      </c>
      <c r="BK201" s="58" t="str">
        <f t="shared" si="134"/>
        <v/>
      </c>
    </row>
    <row r="202" spans="1:63" ht="17.25" customHeight="1" x14ac:dyDescent="0.3">
      <c r="A202" s="41">
        <v>201</v>
      </c>
      <c r="B202" s="42"/>
      <c r="C202" s="43" t="str">
        <f t="shared" si="104"/>
        <v/>
      </c>
      <c r="D202" s="43"/>
      <c r="E202" s="43"/>
      <c r="F202" s="43"/>
      <c r="G202" s="14"/>
      <c r="H202" s="14"/>
      <c r="I202" s="14"/>
      <c r="J202" s="44"/>
      <c r="K202" s="44"/>
      <c r="L202" s="44"/>
      <c r="M202" s="45"/>
      <c r="N202" s="45"/>
      <c r="O202" s="45"/>
      <c r="P202" s="46"/>
      <c r="Q202" s="45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 t="str">
        <f t="shared" si="135"/>
        <v/>
      </c>
      <c r="AC202" s="46"/>
      <c r="AD202" s="46"/>
      <c r="AE202" s="46"/>
      <c r="AF202" s="59">
        <f t="shared" si="105"/>
        <v>0</v>
      </c>
      <c r="AG202" s="46">
        <f t="shared" si="107"/>
        <v>0</v>
      </c>
      <c r="AH202" s="47" t="str">
        <f t="shared" si="108"/>
        <v/>
      </c>
      <c r="AI202" s="47">
        <f t="shared" si="109"/>
        <v>0</v>
      </c>
      <c r="AJ202" s="47">
        <f t="shared" si="110"/>
        <v>0</v>
      </c>
      <c r="AK202" s="47">
        <f t="shared" si="111"/>
        <v>0</v>
      </c>
      <c r="AL202" s="48" t="str">
        <f t="shared" si="112"/>
        <v/>
      </c>
      <c r="AM202" s="46" t="str">
        <f t="shared" si="113"/>
        <v/>
      </c>
      <c r="AN202" s="46" t="str">
        <f t="shared" si="114"/>
        <v/>
      </c>
      <c r="AO202" s="46" t="str">
        <f t="shared" si="115"/>
        <v/>
      </c>
      <c r="AP202" s="46" t="str">
        <f t="shared" si="116"/>
        <v/>
      </c>
      <c r="AQ202" s="49" t="str">
        <f t="shared" si="117"/>
        <v/>
      </c>
      <c r="AR202" s="50" t="str">
        <f t="shared" si="118"/>
        <v/>
      </c>
      <c r="AS202" s="51" t="str">
        <f t="shared" si="119"/>
        <v/>
      </c>
      <c r="AT202" s="51" t="str">
        <f t="shared" si="120"/>
        <v/>
      </c>
      <c r="AU202" s="51" t="str">
        <f t="shared" si="128"/>
        <v/>
      </c>
      <c r="AV202" s="52" t="str">
        <f t="shared" si="121"/>
        <v/>
      </c>
      <c r="AW202" s="52" t="str">
        <f t="shared" si="122"/>
        <v/>
      </c>
      <c r="AX202" s="15" t="str">
        <f t="shared" si="123"/>
        <v/>
      </c>
      <c r="AY202" s="15" t="str">
        <f t="shared" si="124"/>
        <v/>
      </c>
      <c r="AZ202" s="15" t="str">
        <f t="shared" si="125"/>
        <v/>
      </c>
      <c r="BA202" s="61">
        <f t="shared" si="129"/>
        <v>0</v>
      </c>
      <c r="BB202" s="61"/>
      <c r="BC202" s="61">
        <f t="shared" si="130"/>
        <v>0</v>
      </c>
      <c r="BD202" s="61"/>
      <c r="BE202" s="61">
        <f t="shared" si="131"/>
        <v>0</v>
      </c>
      <c r="BF202" s="61"/>
      <c r="BG202" s="61">
        <v>0</v>
      </c>
      <c r="BH202" s="61"/>
      <c r="BI202" s="56">
        <f t="shared" si="132"/>
        <v>0</v>
      </c>
      <c r="BJ202" s="57" t="str">
        <f t="shared" si="133"/>
        <v/>
      </c>
      <c r="BK202" s="58" t="str">
        <f t="shared" si="134"/>
        <v/>
      </c>
    </row>
    <row r="203" spans="1:63" x14ac:dyDescent="0.3">
      <c r="A203" s="41">
        <v>202</v>
      </c>
      <c r="B203" s="42"/>
      <c r="C203" s="43" t="str">
        <f t="shared" si="104"/>
        <v/>
      </c>
      <c r="D203" s="43"/>
      <c r="E203" s="43"/>
      <c r="F203" s="43"/>
      <c r="G203" s="14"/>
      <c r="H203" s="14"/>
      <c r="I203" s="14"/>
      <c r="J203" s="44"/>
      <c r="K203" s="44"/>
      <c r="L203" s="44"/>
      <c r="M203" s="45"/>
      <c r="N203" s="45"/>
      <c r="O203" s="45"/>
      <c r="P203" s="46"/>
      <c r="Q203" s="45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 t="str">
        <f t="shared" si="135"/>
        <v/>
      </c>
      <c r="AC203" s="46"/>
      <c r="AD203" s="46"/>
      <c r="AE203" s="46"/>
      <c r="AF203" s="59">
        <f t="shared" si="105"/>
        <v>0</v>
      </c>
      <c r="AG203" s="46">
        <f t="shared" si="107"/>
        <v>0</v>
      </c>
      <c r="AH203" s="47" t="str">
        <f t="shared" si="108"/>
        <v/>
      </c>
      <c r="AI203" s="47">
        <f t="shared" si="109"/>
        <v>0</v>
      </c>
      <c r="AJ203" s="47">
        <f t="shared" si="110"/>
        <v>0</v>
      </c>
      <c r="AK203" s="47">
        <f t="shared" si="111"/>
        <v>0</v>
      </c>
      <c r="AL203" s="48" t="str">
        <f t="shared" si="112"/>
        <v/>
      </c>
      <c r="AM203" s="46" t="str">
        <f t="shared" si="113"/>
        <v/>
      </c>
      <c r="AN203" s="46" t="str">
        <f t="shared" si="114"/>
        <v/>
      </c>
      <c r="AO203" s="46" t="str">
        <f t="shared" si="115"/>
        <v/>
      </c>
      <c r="AP203" s="46" t="str">
        <f t="shared" si="116"/>
        <v/>
      </c>
      <c r="AQ203" s="49" t="str">
        <f t="shared" si="117"/>
        <v/>
      </c>
      <c r="AR203" s="50" t="str">
        <f t="shared" si="118"/>
        <v/>
      </c>
      <c r="AS203" s="51" t="str">
        <f t="shared" si="119"/>
        <v/>
      </c>
      <c r="AT203" s="51" t="str">
        <f t="shared" si="120"/>
        <v/>
      </c>
      <c r="AU203" s="51" t="str">
        <f t="shared" si="128"/>
        <v/>
      </c>
      <c r="AV203" s="52" t="str">
        <f t="shared" si="121"/>
        <v/>
      </c>
      <c r="AW203" s="52" t="str">
        <f t="shared" si="122"/>
        <v/>
      </c>
      <c r="AX203" s="15" t="str">
        <f t="shared" si="123"/>
        <v/>
      </c>
      <c r="AY203" s="15" t="str">
        <f t="shared" si="124"/>
        <v/>
      </c>
      <c r="AZ203" s="15" t="str">
        <f t="shared" si="125"/>
        <v/>
      </c>
      <c r="BA203" s="61">
        <f t="shared" si="129"/>
        <v>0</v>
      </c>
      <c r="BB203" s="61"/>
      <c r="BC203" s="61">
        <f t="shared" si="130"/>
        <v>0</v>
      </c>
      <c r="BD203" s="61"/>
      <c r="BE203" s="61">
        <f t="shared" si="131"/>
        <v>0</v>
      </c>
      <c r="BF203" s="61"/>
      <c r="BG203" s="61">
        <v>0</v>
      </c>
      <c r="BH203" s="61"/>
      <c r="BI203" s="56">
        <f t="shared" si="132"/>
        <v>0</v>
      </c>
      <c r="BJ203" s="57" t="str">
        <f t="shared" si="133"/>
        <v/>
      </c>
      <c r="BK203" s="58" t="str">
        <f t="shared" si="134"/>
        <v/>
      </c>
    </row>
    <row r="204" spans="1:63" x14ac:dyDescent="0.3">
      <c r="A204" s="41">
        <v>203</v>
      </c>
      <c r="B204" s="42"/>
      <c r="C204" s="43" t="str">
        <f t="shared" si="104"/>
        <v/>
      </c>
      <c r="D204" s="43"/>
      <c r="E204" s="43"/>
      <c r="F204" s="43"/>
      <c r="G204" s="14"/>
      <c r="H204" s="14"/>
      <c r="I204" s="14"/>
      <c r="J204" s="44"/>
      <c r="K204" s="44"/>
      <c r="L204" s="44"/>
      <c r="M204" s="45"/>
      <c r="N204" s="45"/>
      <c r="O204" s="45"/>
      <c r="P204" s="46"/>
      <c r="Q204" s="45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 t="str">
        <f t="shared" si="135"/>
        <v/>
      </c>
      <c r="AC204" s="46"/>
      <c r="AD204" s="46"/>
      <c r="AE204" s="46"/>
      <c r="AF204" s="59">
        <f t="shared" si="105"/>
        <v>0</v>
      </c>
      <c r="AG204" s="46">
        <f t="shared" si="107"/>
        <v>0</v>
      </c>
      <c r="AH204" s="47" t="str">
        <f t="shared" si="108"/>
        <v/>
      </c>
      <c r="AI204" s="47">
        <f t="shared" si="109"/>
        <v>0</v>
      </c>
      <c r="AJ204" s="47">
        <f t="shared" si="110"/>
        <v>0</v>
      </c>
      <c r="AK204" s="47">
        <f t="shared" si="111"/>
        <v>0</v>
      </c>
      <c r="AL204" s="48" t="str">
        <f t="shared" si="112"/>
        <v/>
      </c>
      <c r="AM204" s="46" t="str">
        <f t="shared" si="113"/>
        <v/>
      </c>
      <c r="AN204" s="46" t="str">
        <f t="shared" si="114"/>
        <v/>
      </c>
      <c r="AO204" s="46" t="str">
        <f t="shared" si="115"/>
        <v/>
      </c>
      <c r="AP204" s="46" t="str">
        <f t="shared" si="116"/>
        <v/>
      </c>
      <c r="AQ204" s="49" t="str">
        <f t="shared" si="117"/>
        <v/>
      </c>
      <c r="AR204" s="50" t="str">
        <f t="shared" si="118"/>
        <v/>
      </c>
      <c r="AS204" s="51" t="str">
        <f t="shared" si="119"/>
        <v/>
      </c>
      <c r="AT204" s="51" t="str">
        <f t="shared" si="120"/>
        <v/>
      </c>
      <c r="AU204" s="51" t="str">
        <f t="shared" si="128"/>
        <v/>
      </c>
      <c r="AV204" s="52" t="str">
        <f t="shared" si="121"/>
        <v/>
      </c>
      <c r="AW204" s="52" t="str">
        <f t="shared" si="122"/>
        <v/>
      </c>
      <c r="AX204" s="15" t="str">
        <f t="shared" si="123"/>
        <v/>
      </c>
      <c r="AY204" s="15" t="str">
        <f t="shared" si="124"/>
        <v/>
      </c>
      <c r="AZ204" s="15" t="str">
        <f t="shared" si="125"/>
        <v/>
      </c>
      <c r="BA204" s="61">
        <f t="shared" si="129"/>
        <v>0</v>
      </c>
      <c r="BB204" s="61"/>
      <c r="BC204" s="61">
        <f t="shared" si="130"/>
        <v>0</v>
      </c>
      <c r="BD204" s="61"/>
      <c r="BE204" s="61">
        <f t="shared" si="131"/>
        <v>0</v>
      </c>
      <c r="BF204" s="61"/>
      <c r="BG204" s="61">
        <v>0</v>
      </c>
      <c r="BH204" s="61"/>
      <c r="BI204" s="56">
        <f t="shared" si="132"/>
        <v>0</v>
      </c>
      <c r="BJ204" s="57" t="str">
        <f t="shared" si="133"/>
        <v/>
      </c>
      <c r="BK204" s="58" t="str">
        <f t="shared" si="134"/>
        <v/>
      </c>
    </row>
    <row r="205" spans="1:63" x14ac:dyDescent="0.3">
      <c r="A205" s="41">
        <v>204</v>
      </c>
      <c r="B205" s="42"/>
      <c r="C205" s="43" t="str">
        <f t="shared" si="104"/>
        <v/>
      </c>
      <c r="D205" s="43"/>
      <c r="E205" s="43"/>
      <c r="F205" s="43"/>
      <c r="G205" s="14"/>
      <c r="H205" s="14"/>
      <c r="I205" s="14"/>
      <c r="J205" s="44"/>
      <c r="K205" s="44"/>
      <c r="L205" s="44"/>
      <c r="M205" s="45"/>
      <c r="N205" s="45"/>
      <c r="O205" s="45"/>
      <c r="P205" s="46"/>
      <c r="Q205" s="45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 t="str">
        <f t="shared" si="135"/>
        <v/>
      </c>
      <c r="AC205" s="46"/>
      <c r="AD205" s="46"/>
      <c r="AE205" s="46"/>
      <c r="AF205" s="59">
        <f t="shared" si="105"/>
        <v>0</v>
      </c>
      <c r="AG205" s="46">
        <f t="shared" si="107"/>
        <v>0</v>
      </c>
      <c r="AH205" s="47" t="str">
        <f t="shared" si="108"/>
        <v/>
      </c>
      <c r="AI205" s="47">
        <f t="shared" si="109"/>
        <v>0</v>
      </c>
      <c r="AJ205" s="47">
        <f t="shared" si="110"/>
        <v>0</v>
      </c>
      <c r="AK205" s="47">
        <f t="shared" si="111"/>
        <v>0</v>
      </c>
      <c r="AL205" s="48" t="str">
        <f t="shared" si="112"/>
        <v/>
      </c>
      <c r="AM205" s="46" t="str">
        <f t="shared" si="113"/>
        <v/>
      </c>
      <c r="AN205" s="46" t="str">
        <f t="shared" si="114"/>
        <v/>
      </c>
      <c r="AO205" s="46" t="str">
        <f t="shared" si="115"/>
        <v/>
      </c>
      <c r="AP205" s="46" t="str">
        <f t="shared" si="116"/>
        <v/>
      </c>
      <c r="AQ205" s="49" t="str">
        <f t="shared" si="117"/>
        <v/>
      </c>
      <c r="AR205" s="50" t="str">
        <f t="shared" si="118"/>
        <v/>
      </c>
      <c r="AS205" s="51" t="str">
        <f t="shared" si="119"/>
        <v/>
      </c>
      <c r="AT205" s="51" t="str">
        <f t="shared" si="120"/>
        <v/>
      </c>
      <c r="AU205" s="51" t="str">
        <f t="shared" si="128"/>
        <v/>
      </c>
      <c r="AV205" s="52" t="str">
        <f t="shared" si="121"/>
        <v/>
      </c>
      <c r="AW205" s="52" t="str">
        <f t="shared" si="122"/>
        <v/>
      </c>
      <c r="AX205" s="15" t="str">
        <f t="shared" si="123"/>
        <v/>
      </c>
      <c r="AY205" s="15" t="str">
        <f t="shared" si="124"/>
        <v/>
      </c>
      <c r="AZ205" s="15" t="str">
        <f t="shared" si="125"/>
        <v/>
      </c>
      <c r="BA205" s="61">
        <f t="shared" si="129"/>
        <v>0</v>
      </c>
      <c r="BB205" s="61"/>
      <c r="BC205" s="61">
        <f t="shared" si="130"/>
        <v>0</v>
      </c>
      <c r="BD205" s="61"/>
      <c r="BE205" s="61">
        <f t="shared" si="131"/>
        <v>0</v>
      </c>
      <c r="BF205" s="61"/>
      <c r="BG205" s="61">
        <v>0</v>
      </c>
      <c r="BH205" s="61"/>
      <c r="BI205" s="56">
        <f t="shared" si="132"/>
        <v>0</v>
      </c>
      <c r="BJ205" s="57" t="str">
        <f t="shared" si="133"/>
        <v/>
      </c>
      <c r="BK205" s="58" t="str">
        <f t="shared" si="134"/>
        <v/>
      </c>
    </row>
    <row r="206" spans="1:63" x14ac:dyDescent="0.3">
      <c r="A206" s="41">
        <v>205</v>
      </c>
      <c r="B206" s="42"/>
      <c r="C206" s="43" t="str">
        <f t="shared" si="104"/>
        <v/>
      </c>
      <c r="D206" s="43"/>
      <c r="E206" s="43"/>
      <c r="F206" s="43"/>
      <c r="G206" s="14"/>
      <c r="H206" s="14"/>
      <c r="I206" s="14"/>
      <c r="J206" s="44"/>
      <c r="K206" s="44"/>
      <c r="L206" s="44"/>
      <c r="M206" s="45"/>
      <c r="N206" s="45"/>
      <c r="O206" s="45"/>
      <c r="P206" s="46"/>
      <c r="Q206" s="45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 t="str">
        <f t="shared" si="135"/>
        <v/>
      </c>
      <c r="AC206" s="46"/>
      <c r="AD206" s="46"/>
      <c r="AE206" s="46"/>
      <c r="AF206" s="59">
        <f t="shared" si="105"/>
        <v>0</v>
      </c>
      <c r="AG206" s="46">
        <f t="shared" si="107"/>
        <v>0</v>
      </c>
      <c r="AH206" s="47" t="str">
        <f t="shared" si="108"/>
        <v/>
      </c>
      <c r="AI206" s="47">
        <f t="shared" si="109"/>
        <v>0</v>
      </c>
      <c r="AJ206" s="47">
        <f t="shared" si="110"/>
        <v>0</v>
      </c>
      <c r="AK206" s="47">
        <f t="shared" si="111"/>
        <v>0</v>
      </c>
      <c r="AL206" s="48" t="str">
        <f t="shared" si="112"/>
        <v/>
      </c>
      <c r="AM206" s="46" t="str">
        <f t="shared" si="113"/>
        <v/>
      </c>
      <c r="AN206" s="46" t="str">
        <f t="shared" si="114"/>
        <v/>
      </c>
      <c r="AO206" s="46" t="str">
        <f t="shared" si="115"/>
        <v/>
      </c>
      <c r="AP206" s="46" t="str">
        <f t="shared" si="116"/>
        <v/>
      </c>
      <c r="AQ206" s="49" t="str">
        <f t="shared" si="117"/>
        <v/>
      </c>
      <c r="AR206" s="50" t="str">
        <f t="shared" si="118"/>
        <v/>
      </c>
      <c r="AS206" s="51" t="str">
        <f t="shared" si="119"/>
        <v/>
      </c>
      <c r="AT206" s="51" t="str">
        <f t="shared" si="120"/>
        <v/>
      </c>
      <c r="AU206" s="51" t="str">
        <f t="shared" si="128"/>
        <v/>
      </c>
      <c r="AV206" s="52" t="str">
        <f t="shared" si="121"/>
        <v/>
      </c>
      <c r="AW206" s="52" t="str">
        <f t="shared" si="122"/>
        <v/>
      </c>
      <c r="AX206" s="15" t="str">
        <f t="shared" si="123"/>
        <v/>
      </c>
      <c r="AY206" s="15" t="str">
        <f t="shared" si="124"/>
        <v/>
      </c>
      <c r="AZ206" s="15" t="str">
        <f t="shared" si="125"/>
        <v/>
      </c>
      <c r="BA206" s="61">
        <f t="shared" si="129"/>
        <v>0</v>
      </c>
      <c r="BB206" s="61"/>
      <c r="BC206" s="61">
        <f t="shared" si="130"/>
        <v>0</v>
      </c>
      <c r="BD206" s="61"/>
      <c r="BE206" s="61">
        <f t="shared" si="131"/>
        <v>0</v>
      </c>
      <c r="BF206" s="61"/>
      <c r="BG206" s="61">
        <v>0</v>
      </c>
      <c r="BH206" s="61"/>
      <c r="BI206" s="56">
        <f t="shared" si="132"/>
        <v>0</v>
      </c>
      <c r="BJ206" s="57" t="str">
        <f t="shared" si="133"/>
        <v/>
      </c>
      <c r="BK206" s="58" t="str">
        <f t="shared" si="134"/>
        <v/>
      </c>
    </row>
    <row r="207" spans="1:63" x14ac:dyDescent="0.3">
      <c r="A207" s="41">
        <v>206</v>
      </c>
      <c r="B207" s="42"/>
      <c r="C207" s="43" t="str">
        <f t="shared" si="104"/>
        <v/>
      </c>
      <c r="D207" s="43"/>
      <c r="E207" s="43"/>
      <c r="F207" s="43"/>
      <c r="G207" s="14"/>
      <c r="H207" s="14"/>
      <c r="I207" s="14"/>
      <c r="J207" s="44"/>
      <c r="K207" s="44"/>
      <c r="L207" s="44"/>
      <c r="M207" s="45"/>
      <c r="N207" s="45"/>
      <c r="O207" s="45"/>
      <c r="P207" s="46"/>
      <c r="Q207" s="45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 t="str">
        <f t="shared" si="135"/>
        <v/>
      </c>
      <c r="AC207" s="46"/>
      <c r="AD207" s="46"/>
      <c r="AE207" s="46"/>
      <c r="AF207" s="59">
        <f t="shared" si="105"/>
        <v>0</v>
      </c>
      <c r="AG207" s="46">
        <f t="shared" si="107"/>
        <v>0</v>
      </c>
      <c r="AH207" s="47" t="str">
        <f t="shared" si="108"/>
        <v/>
      </c>
      <c r="AI207" s="47">
        <f t="shared" si="109"/>
        <v>0</v>
      </c>
      <c r="AJ207" s="47">
        <f t="shared" si="110"/>
        <v>0</v>
      </c>
      <c r="AK207" s="47">
        <f t="shared" si="111"/>
        <v>0</v>
      </c>
      <c r="AL207" s="48" t="str">
        <f t="shared" si="112"/>
        <v/>
      </c>
      <c r="AM207" s="46" t="str">
        <f t="shared" si="113"/>
        <v/>
      </c>
      <c r="AN207" s="46" t="str">
        <f t="shared" si="114"/>
        <v/>
      </c>
      <c r="AO207" s="46" t="str">
        <f t="shared" si="115"/>
        <v/>
      </c>
      <c r="AP207" s="46" t="str">
        <f t="shared" si="116"/>
        <v/>
      </c>
      <c r="AQ207" s="49" t="str">
        <f t="shared" si="117"/>
        <v/>
      </c>
      <c r="AR207" s="50" t="str">
        <f t="shared" si="118"/>
        <v/>
      </c>
      <c r="AS207" s="51" t="str">
        <f t="shared" si="119"/>
        <v/>
      </c>
      <c r="AT207" s="51" t="str">
        <f t="shared" si="120"/>
        <v/>
      </c>
      <c r="AU207" s="51" t="str">
        <f t="shared" si="128"/>
        <v/>
      </c>
      <c r="AV207" s="52" t="str">
        <f t="shared" si="121"/>
        <v/>
      </c>
      <c r="AW207" s="52" t="str">
        <f t="shared" si="122"/>
        <v/>
      </c>
      <c r="AX207" s="15" t="str">
        <f t="shared" si="123"/>
        <v/>
      </c>
      <c r="AY207" s="15" t="str">
        <f t="shared" si="124"/>
        <v/>
      </c>
      <c r="AZ207" s="15" t="str">
        <f t="shared" si="125"/>
        <v/>
      </c>
      <c r="BA207" s="61">
        <f t="shared" si="129"/>
        <v>0</v>
      </c>
      <c r="BB207" s="61"/>
      <c r="BC207" s="61">
        <f t="shared" si="130"/>
        <v>0</v>
      </c>
      <c r="BD207" s="61"/>
      <c r="BE207" s="61">
        <f t="shared" si="131"/>
        <v>0</v>
      </c>
      <c r="BF207" s="61"/>
      <c r="BG207" s="61">
        <v>0</v>
      </c>
      <c r="BH207" s="61"/>
      <c r="BI207" s="56">
        <f t="shared" si="132"/>
        <v>0</v>
      </c>
      <c r="BJ207" s="57" t="str">
        <f t="shared" si="133"/>
        <v/>
      </c>
      <c r="BK207" s="58" t="str">
        <f t="shared" si="134"/>
        <v/>
      </c>
    </row>
    <row r="208" spans="1:63" x14ac:dyDescent="0.3">
      <c r="A208" s="41">
        <v>207</v>
      </c>
      <c r="B208" s="42"/>
      <c r="C208" s="43" t="str">
        <f t="shared" si="104"/>
        <v/>
      </c>
      <c r="D208" s="43"/>
      <c r="E208" s="43"/>
      <c r="F208" s="43"/>
      <c r="G208" s="14"/>
      <c r="H208" s="14"/>
      <c r="I208" s="14"/>
      <c r="J208" s="44"/>
      <c r="K208" s="44"/>
      <c r="L208" s="44"/>
      <c r="M208" s="45"/>
      <c r="N208" s="45"/>
      <c r="O208" s="45"/>
      <c r="P208" s="46"/>
      <c r="Q208" s="45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 t="str">
        <f t="shared" si="135"/>
        <v/>
      </c>
      <c r="AC208" s="46"/>
      <c r="AD208" s="46"/>
      <c r="AE208" s="46"/>
      <c r="AF208" s="59">
        <f t="shared" si="105"/>
        <v>0</v>
      </c>
      <c r="AG208" s="46">
        <f t="shared" si="107"/>
        <v>0</v>
      </c>
      <c r="AH208" s="47" t="str">
        <f t="shared" si="108"/>
        <v/>
      </c>
      <c r="AI208" s="47">
        <f t="shared" si="109"/>
        <v>0</v>
      </c>
      <c r="AJ208" s="47">
        <f t="shared" si="110"/>
        <v>0</v>
      </c>
      <c r="AK208" s="47">
        <f t="shared" si="111"/>
        <v>0</v>
      </c>
      <c r="AL208" s="48" t="str">
        <f t="shared" si="112"/>
        <v/>
      </c>
      <c r="AM208" s="46" t="str">
        <f t="shared" si="113"/>
        <v/>
      </c>
      <c r="AN208" s="46" t="str">
        <f t="shared" si="114"/>
        <v/>
      </c>
      <c r="AO208" s="46" t="str">
        <f t="shared" si="115"/>
        <v/>
      </c>
      <c r="AP208" s="46" t="str">
        <f t="shared" si="116"/>
        <v/>
      </c>
      <c r="AQ208" s="49" t="str">
        <f t="shared" si="117"/>
        <v/>
      </c>
      <c r="AR208" s="50" t="str">
        <f t="shared" si="118"/>
        <v/>
      </c>
      <c r="AS208" s="51" t="str">
        <f t="shared" si="119"/>
        <v/>
      </c>
      <c r="AT208" s="51" t="str">
        <f t="shared" si="120"/>
        <v/>
      </c>
      <c r="AU208" s="51" t="str">
        <f t="shared" si="128"/>
        <v/>
      </c>
      <c r="AV208" s="52" t="str">
        <f t="shared" si="121"/>
        <v/>
      </c>
      <c r="AW208" s="52" t="str">
        <f t="shared" si="122"/>
        <v/>
      </c>
      <c r="AX208" s="15" t="str">
        <f t="shared" si="123"/>
        <v/>
      </c>
      <c r="AY208" s="15" t="str">
        <f t="shared" si="124"/>
        <v/>
      </c>
      <c r="AZ208" s="15" t="str">
        <f t="shared" si="125"/>
        <v/>
      </c>
      <c r="BA208" s="61">
        <f t="shared" si="129"/>
        <v>0</v>
      </c>
      <c r="BB208" s="61"/>
      <c r="BC208" s="61">
        <f t="shared" si="130"/>
        <v>0</v>
      </c>
      <c r="BD208" s="61"/>
      <c r="BE208" s="61">
        <f t="shared" si="131"/>
        <v>0</v>
      </c>
      <c r="BF208" s="61"/>
      <c r="BG208" s="61">
        <v>0</v>
      </c>
      <c r="BH208" s="61"/>
      <c r="BI208" s="56">
        <f t="shared" si="132"/>
        <v>0</v>
      </c>
      <c r="BJ208" s="57" t="str">
        <f t="shared" si="133"/>
        <v/>
      </c>
      <c r="BK208" s="58" t="str">
        <f t="shared" si="134"/>
        <v/>
      </c>
    </row>
    <row r="209" spans="1:63" x14ac:dyDescent="0.3">
      <c r="A209" s="41">
        <v>208</v>
      </c>
      <c r="B209" s="42"/>
      <c r="C209" s="43" t="str">
        <f t="shared" si="104"/>
        <v/>
      </c>
      <c r="D209" s="43"/>
      <c r="E209" s="43"/>
      <c r="F209" s="43"/>
      <c r="G209" s="14"/>
      <c r="H209" s="14"/>
      <c r="I209" s="14"/>
      <c r="J209" s="44"/>
      <c r="K209" s="44"/>
      <c r="L209" s="44"/>
      <c r="M209" s="45"/>
      <c r="N209" s="45"/>
      <c r="O209" s="45"/>
      <c r="P209" s="46"/>
      <c r="Q209" s="45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 t="str">
        <f t="shared" si="135"/>
        <v/>
      </c>
      <c r="AC209" s="46"/>
      <c r="AD209" s="46"/>
      <c r="AE209" s="46"/>
      <c r="AF209" s="59">
        <f t="shared" si="105"/>
        <v>0</v>
      </c>
      <c r="AG209" s="46">
        <f t="shared" si="107"/>
        <v>0</v>
      </c>
      <c r="AH209" s="47" t="str">
        <f t="shared" si="108"/>
        <v/>
      </c>
      <c r="AI209" s="47">
        <f t="shared" si="109"/>
        <v>0</v>
      </c>
      <c r="AJ209" s="47">
        <f t="shared" si="110"/>
        <v>0</v>
      </c>
      <c r="AK209" s="47">
        <f t="shared" si="111"/>
        <v>0</v>
      </c>
      <c r="AL209" s="48" t="str">
        <f t="shared" si="112"/>
        <v/>
      </c>
      <c r="AM209" s="46" t="str">
        <f t="shared" si="113"/>
        <v/>
      </c>
      <c r="AN209" s="46" t="str">
        <f t="shared" si="114"/>
        <v/>
      </c>
      <c r="AO209" s="46" t="str">
        <f t="shared" si="115"/>
        <v/>
      </c>
      <c r="AP209" s="46" t="str">
        <f t="shared" si="116"/>
        <v/>
      </c>
      <c r="AQ209" s="49" t="str">
        <f t="shared" si="117"/>
        <v/>
      </c>
      <c r="AR209" s="50" t="str">
        <f t="shared" si="118"/>
        <v/>
      </c>
      <c r="AS209" s="51" t="str">
        <f t="shared" si="119"/>
        <v/>
      </c>
      <c r="AT209" s="51" t="str">
        <f t="shared" si="120"/>
        <v/>
      </c>
      <c r="AU209" s="51" t="str">
        <f t="shared" si="128"/>
        <v/>
      </c>
      <c r="AV209" s="52" t="str">
        <f t="shared" si="121"/>
        <v/>
      </c>
      <c r="AW209" s="52" t="str">
        <f t="shared" si="122"/>
        <v/>
      </c>
      <c r="AX209" s="15" t="str">
        <f t="shared" si="123"/>
        <v/>
      </c>
      <c r="AY209" s="15" t="str">
        <f t="shared" si="124"/>
        <v/>
      </c>
      <c r="AZ209" s="15" t="str">
        <f t="shared" si="125"/>
        <v/>
      </c>
      <c r="BA209" s="61">
        <f t="shared" si="129"/>
        <v>0</v>
      </c>
      <c r="BB209" s="61"/>
      <c r="BC209" s="61">
        <f t="shared" si="130"/>
        <v>0</v>
      </c>
      <c r="BD209" s="61"/>
      <c r="BE209" s="61">
        <f t="shared" si="131"/>
        <v>0</v>
      </c>
      <c r="BF209" s="61"/>
      <c r="BG209" s="61">
        <v>0</v>
      </c>
      <c r="BH209" s="61"/>
      <c r="BI209" s="56">
        <f t="shared" si="132"/>
        <v>0</v>
      </c>
      <c r="BJ209" s="57" t="str">
        <f t="shared" si="133"/>
        <v/>
      </c>
      <c r="BK209" s="58" t="str">
        <f t="shared" si="134"/>
        <v/>
      </c>
    </row>
    <row r="210" spans="1:63" x14ac:dyDescent="0.3">
      <c r="A210" s="41">
        <v>209</v>
      </c>
      <c r="B210" s="42"/>
      <c r="C210" s="43" t="str">
        <f t="shared" si="104"/>
        <v/>
      </c>
      <c r="D210" s="43"/>
      <c r="E210" s="43"/>
      <c r="F210" s="43"/>
      <c r="G210" s="14"/>
      <c r="H210" s="14"/>
      <c r="I210" s="14"/>
      <c r="J210" s="44"/>
      <c r="K210" s="44"/>
      <c r="L210" s="44"/>
      <c r="M210" s="45"/>
      <c r="N210" s="45"/>
      <c r="O210" s="45"/>
      <c r="P210" s="46"/>
      <c r="Q210" s="45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 t="str">
        <f t="shared" si="135"/>
        <v/>
      </c>
      <c r="AC210" s="46"/>
      <c r="AD210" s="46"/>
      <c r="AE210" s="46"/>
      <c r="AF210" s="59">
        <f t="shared" si="105"/>
        <v>0</v>
      </c>
      <c r="AG210" s="46">
        <f t="shared" si="107"/>
        <v>0</v>
      </c>
      <c r="AH210" s="47" t="str">
        <f t="shared" si="108"/>
        <v/>
      </c>
      <c r="AI210" s="47">
        <f t="shared" si="109"/>
        <v>0</v>
      </c>
      <c r="AJ210" s="47">
        <f t="shared" si="110"/>
        <v>0</v>
      </c>
      <c r="AK210" s="47">
        <f t="shared" si="111"/>
        <v>0</v>
      </c>
      <c r="AL210" s="48" t="str">
        <f t="shared" si="112"/>
        <v/>
      </c>
      <c r="AM210" s="46" t="str">
        <f t="shared" si="113"/>
        <v/>
      </c>
      <c r="AN210" s="46" t="str">
        <f t="shared" si="114"/>
        <v/>
      </c>
      <c r="AO210" s="46" t="str">
        <f t="shared" si="115"/>
        <v/>
      </c>
      <c r="AP210" s="46" t="str">
        <f t="shared" si="116"/>
        <v/>
      </c>
      <c r="AQ210" s="49" t="str">
        <f t="shared" si="117"/>
        <v/>
      </c>
      <c r="AR210" s="50" t="str">
        <f t="shared" si="118"/>
        <v/>
      </c>
      <c r="AS210" s="51" t="str">
        <f t="shared" si="119"/>
        <v/>
      </c>
      <c r="AT210" s="51" t="str">
        <f t="shared" si="120"/>
        <v/>
      </c>
      <c r="AU210" s="51" t="str">
        <f t="shared" si="128"/>
        <v/>
      </c>
      <c r="AV210" s="52" t="str">
        <f t="shared" si="121"/>
        <v/>
      </c>
      <c r="AW210" s="52" t="str">
        <f t="shared" si="122"/>
        <v/>
      </c>
      <c r="AX210" s="15" t="str">
        <f t="shared" si="123"/>
        <v/>
      </c>
      <c r="AY210" s="15" t="str">
        <f t="shared" si="124"/>
        <v/>
      </c>
      <c r="AZ210" s="15" t="str">
        <f t="shared" si="125"/>
        <v/>
      </c>
      <c r="BA210" s="61">
        <f t="shared" si="129"/>
        <v>0</v>
      </c>
      <c r="BB210" s="61"/>
      <c r="BC210" s="61">
        <f t="shared" si="130"/>
        <v>0</v>
      </c>
      <c r="BD210" s="61"/>
      <c r="BE210" s="61">
        <f t="shared" si="131"/>
        <v>0</v>
      </c>
      <c r="BF210" s="61"/>
      <c r="BG210" s="61">
        <v>0</v>
      </c>
      <c r="BH210" s="61"/>
      <c r="BI210" s="56">
        <f t="shared" si="132"/>
        <v>0</v>
      </c>
      <c r="BJ210" s="57" t="str">
        <f t="shared" si="133"/>
        <v/>
      </c>
      <c r="BK210" s="58" t="str">
        <f t="shared" si="134"/>
        <v/>
      </c>
    </row>
    <row r="211" spans="1:63" x14ac:dyDescent="0.3">
      <c r="A211" s="41">
        <v>210</v>
      </c>
      <c r="B211" s="42"/>
      <c r="C211" s="43" t="str">
        <f t="shared" si="104"/>
        <v/>
      </c>
      <c r="D211" s="43"/>
      <c r="E211" s="43"/>
      <c r="F211" s="43"/>
      <c r="G211" s="14"/>
      <c r="H211" s="14"/>
      <c r="I211" s="14"/>
      <c r="J211" s="44"/>
      <c r="K211" s="44"/>
      <c r="L211" s="44"/>
      <c r="M211" s="45"/>
      <c r="N211" s="45"/>
      <c r="O211" s="45"/>
      <c r="P211" s="46"/>
      <c r="Q211" s="45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 t="str">
        <f t="shared" si="135"/>
        <v/>
      </c>
      <c r="AC211" s="46"/>
      <c r="AD211" s="46"/>
      <c r="AE211" s="46"/>
      <c r="AF211" s="59">
        <f t="shared" si="105"/>
        <v>0</v>
      </c>
      <c r="AG211" s="46">
        <f t="shared" si="107"/>
        <v>0</v>
      </c>
      <c r="AH211" s="47" t="str">
        <f t="shared" si="108"/>
        <v/>
      </c>
      <c r="AI211" s="47">
        <f t="shared" si="109"/>
        <v>0</v>
      </c>
      <c r="AJ211" s="47">
        <f t="shared" si="110"/>
        <v>0</v>
      </c>
      <c r="AK211" s="47">
        <f t="shared" si="111"/>
        <v>0</v>
      </c>
      <c r="AL211" s="48" t="str">
        <f t="shared" si="112"/>
        <v/>
      </c>
      <c r="AM211" s="46" t="str">
        <f t="shared" si="113"/>
        <v/>
      </c>
      <c r="AN211" s="46" t="str">
        <f t="shared" si="114"/>
        <v/>
      </c>
      <c r="AO211" s="46" t="str">
        <f t="shared" si="115"/>
        <v/>
      </c>
      <c r="AP211" s="46" t="str">
        <f t="shared" si="116"/>
        <v/>
      </c>
      <c r="AQ211" s="49" t="str">
        <f t="shared" si="117"/>
        <v/>
      </c>
      <c r="AR211" s="50" t="str">
        <f t="shared" si="118"/>
        <v/>
      </c>
      <c r="AS211" s="51" t="str">
        <f t="shared" si="119"/>
        <v/>
      </c>
      <c r="AT211" s="51" t="str">
        <f t="shared" si="120"/>
        <v/>
      </c>
      <c r="AU211" s="51" t="str">
        <f t="shared" si="128"/>
        <v/>
      </c>
      <c r="AV211" s="52" t="str">
        <f t="shared" si="121"/>
        <v/>
      </c>
      <c r="AW211" s="52" t="str">
        <f t="shared" si="122"/>
        <v/>
      </c>
      <c r="AX211" s="15" t="str">
        <f t="shared" si="123"/>
        <v/>
      </c>
      <c r="AY211" s="15" t="str">
        <f t="shared" si="124"/>
        <v/>
      </c>
      <c r="AZ211" s="15" t="str">
        <f t="shared" si="125"/>
        <v/>
      </c>
      <c r="BA211" s="61">
        <f t="shared" si="129"/>
        <v>0</v>
      </c>
      <c r="BB211" s="61"/>
      <c r="BC211" s="61">
        <f t="shared" si="130"/>
        <v>0</v>
      </c>
      <c r="BD211" s="61"/>
      <c r="BE211" s="61">
        <f t="shared" si="131"/>
        <v>0</v>
      </c>
      <c r="BF211" s="61"/>
      <c r="BG211" s="61">
        <v>0</v>
      </c>
      <c r="BH211" s="61"/>
      <c r="BI211" s="56">
        <f t="shared" si="132"/>
        <v>0</v>
      </c>
      <c r="BJ211" s="57" t="str">
        <f t="shared" si="133"/>
        <v/>
      </c>
      <c r="BK211" s="58" t="str">
        <f t="shared" si="134"/>
        <v/>
      </c>
    </row>
    <row r="212" spans="1:63" x14ac:dyDescent="0.3">
      <c r="A212" s="41">
        <v>211</v>
      </c>
      <c r="B212" s="42"/>
      <c r="C212" s="43" t="str">
        <f t="shared" si="104"/>
        <v/>
      </c>
      <c r="D212" s="43"/>
      <c r="E212" s="43"/>
      <c r="F212" s="43"/>
      <c r="G212" s="14"/>
      <c r="H212" s="14"/>
      <c r="I212" s="14"/>
      <c r="J212" s="44"/>
      <c r="K212" s="44"/>
      <c r="L212" s="44"/>
      <c r="M212" s="45"/>
      <c r="N212" s="45"/>
      <c r="O212" s="45"/>
      <c r="P212" s="46"/>
      <c r="Q212" s="45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 t="str">
        <f t="shared" si="135"/>
        <v/>
      </c>
      <c r="AC212" s="46"/>
      <c r="AD212" s="46"/>
      <c r="AE212" s="46"/>
      <c r="AF212" s="59">
        <f t="shared" si="105"/>
        <v>0</v>
      </c>
      <c r="AG212" s="46">
        <f t="shared" si="107"/>
        <v>0</v>
      </c>
      <c r="AH212" s="47" t="str">
        <f t="shared" si="108"/>
        <v/>
      </c>
      <c r="AI212" s="47">
        <f t="shared" si="109"/>
        <v>0</v>
      </c>
      <c r="AJ212" s="47">
        <f t="shared" si="110"/>
        <v>0</v>
      </c>
      <c r="AK212" s="47">
        <f t="shared" si="111"/>
        <v>0</v>
      </c>
      <c r="AL212" s="48" t="str">
        <f t="shared" si="112"/>
        <v/>
      </c>
      <c r="AM212" s="46" t="str">
        <f t="shared" si="113"/>
        <v/>
      </c>
      <c r="AN212" s="46" t="str">
        <f t="shared" si="114"/>
        <v/>
      </c>
      <c r="AO212" s="46" t="str">
        <f t="shared" si="115"/>
        <v/>
      </c>
      <c r="AP212" s="46" t="str">
        <f t="shared" si="116"/>
        <v/>
      </c>
      <c r="AQ212" s="49" t="str">
        <f t="shared" si="117"/>
        <v/>
      </c>
      <c r="AR212" s="50" t="str">
        <f t="shared" si="118"/>
        <v/>
      </c>
      <c r="AS212" s="51" t="str">
        <f t="shared" si="119"/>
        <v/>
      </c>
      <c r="AT212" s="51" t="str">
        <f t="shared" si="120"/>
        <v/>
      </c>
      <c r="AU212" s="51" t="str">
        <f t="shared" si="128"/>
        <v/>
      </c>
      <c r="AV212" s="52" t="str">
        <f t="shared" si="121"/>
        <v/>
      </c>
      <c r="AW212" s="52" t="str">
        <f t="shared" si="122"/>
        <v/>
      </c>
      <c r="AX212" s="15" t="str">
        <f t="shared" si="123"/>
        <v/>
      </c>
      <c r="AY212" s="15" t="str">
        <f t="shared" si="124"/>
        <v/>
      </c>
      <c r="AZ212" s="15" t="str">
        <f t="shared" si="125"/>
        <v/>
      </c>
      <c r="BA212" s="61">
        <f t="shared" si="129"/>
        <v>0</v>
      </c>
      <c r="BB212" s="61"/>
      <c r="BC212" s="61">
        <f t="shared" si="130"/>
        <v>0</v>
      </c>
      <c r="BD212" s="61"/>
      <c r="BE212" s="61">
        <f t="shared" si="131"/>
        <v>0</v>
      </c>
      <c r="BF212" s="61"/>
      <c r="BG212" s="61">
        <v>0</v>
      </c>
      <c r="BH212" s="61"/>
      <c r="BI212" s="56">
        <f t="shared" si="132"/>
        <v>0</v>
      </c>
      <c r="BJ212" s="57" t="str">
        <f t="shared" si="133"/>
        <v/>
      </c>
      <c r="BK212" s="58" t="str">
        <f t="shared" si="134"/>
        <v/>
      </c>
    </row>
    <row r="213" spans="1:63" x14ac:dyDescent="0.3">
      <c r="A213" s="41">
        <v>212</v>
      </c>
      <c r="B213" s="42"/>
      <c r="C213" s="43" t="str">
        <f t="shared" si="104"/>
        <v/>
      </c>
      <c r="D213" s="43"/>
      <c r="E213" s="43"/>
      <c r="F213" s="43"/>
      <c r="G213" s="14"/>
      <c r="H213" s="14"/>
      <c r="I213" s="14"/>
      <c r="J213" s="44"/>
      <c r="K213" s="44"/>
      <c r="L213" s="44"/>
      <c r="M213" s="45"/>
      <c r="N213" s="45"/>
      <c r="O213" s="45"/>
      <c r="P213" s="46"/>
      <c r="Q213" s="45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 t="str">
        <f t="shared" si="135"/>
        <v/>
      </c>
      <c r="AC213" s="46"/>
      <c r="AD213" s="46"/>
      <c r="AE213" s="46"/>
      <c r="AF213" s="59">
        <f t="shared" si="105"/>
        <v>0</v>
      </c>
      <c r="AG213" s="46">
        <f t="shared" si="107"/>
        <v>0</v>
      </c>
      <c r="AH213" s="47" t="str">
        <f t="shared" si="108"/>
        <v/>
      </c>
      <c r="AI213" s="47">
        <f t="shared" si="109"/>
        <v>0</v>
      </c>
      <c r="AJ213" s="47">
        <f t="shared" si="110"/>
        <v>0</v>
      </c>
      <c r="AK213" s="47">
        <f t="shared" si="111"/>
        <v>0</v>
      </c>
      <c r="AL213" s="48" t="str">
        <f t="shared" si="112"/>
        <v/>
      </c>
      <c r="AM213" s="46" t="str">
        <f t="shared" si="113"/>
        <v/>
      </c>
      <c r="AN213" s="46" t="str">
        <f t="shared" si="114"/>
        <v/>
      </c>
      <c r="AO213" s="46" t="str">
        <f t="shared" si="115"/>
        <v/>
      </c>
      <c r="AP213" s="46" t="str">
        <f t="shared" si="116"/>
        <v/>
      </c>
      <c r="AQ213" s="49" t="str">
        <f t="shared" si="117"/>
        <v/>
      </c>
      <c r="AR213" s="50" t="str">
        <f t="shared" si="118"/>
        <v/>
      </c>
      <c r="AS213" s="51" t="str">
        <f t="shared" si="119"/>
        <v/>
      </c>
      <c r="AT213" s="51" t="str">
        <f t="shared" si="120"/>
        <v/>
      </c>
      <c r="AU213" s="51" t="str">
        <f t="shared" si="128"/>
        <v/>
      </c>
      <c r="AV213" s="52" t="str">
        <f t="shared" si="121"/>
        <v/>
      </c>
      <c r="AW213" s="52" t="str">
        <f t="shared" si="122"/>
        <v/>
      </c>
      <c r="AX213" s="15" t="str">
        <f t="shared" si="123"/>
        <v/>
      </c>
      <c r="AY213" s="15" t="str">
        <f t="shared" si="124"/>
        <v/>
      </c>
      <c r="AZ213" s="15" t="str">
        <f t="shared" si="125"/>
        <v/>
      </c>
      <c r="BA213" s="61">
        <f t="shared" si="129"/>
        <v>0</v>
      </c>
      <c r="BB213" s="61"/>
      <c r="BC213" s="61">
        <f t="shared" si="130"/>
        <v>0</v>
      </c>
      <c r="BD213" s="61"/>
      <c r="BE213" s="61">
        <f t="shared" si="131"/>
        <v>0</v>
      </c>
      <c r="BF213" s="61"/>
      <c r="BG213" s="61">
        <v>0</v>
      </c>
      <c r="BH213" s="61"/>
      <c r="BI213" s="56">
        <f t="shared" si="132"/>
        <v>0</v>
      </c>
      <c r="BJ213" s="57" t="str">
        <f t="shared" si="133"/>
        <v/>
      </c>
      <c r="BK213" s="58" t="str">
        <f t="shared" si="134"/>
        <v/>
      </c>
    </row>
    <row r="214" spans="1:63" x14ac:dyDescent="0.3">
      <c r="A214" s="41">
        <v>213</v>
      </c>
      <c r="B214" s="42"/>
      <c r="C214" s="43" t="str">
        <f t="shared" si="104"/>
        <v/>
      </c>
      <c r="D214" s="43"/>
      <c r="E214" s="43"/>
      <c r="F214" s="43"/>
      <c r="G214" s="14"/>
      <c r="H214" s="14"/>
      <c r="I214" s="14"/>
      <c r="J214" s="44"/>
      <c r="K214" s="44"/>
      <c r="L214" s="44"/>
      <c r="M214" s="45"/>
      <c r="N214" s="45"/>
      <c r="O214" s="45"/>
      <c r="P214" s="46"/>
      <c r="Q214" s="45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 t="str">
        <f t="shared" si="135"/>
        <v/>
      </c>
      <c r="AC214" s="46"/>
      <c r="AD214" s="46"/>
      <c r="AE214" s="46"/>
      <c r="AF214" s="59">
        <f t="shared" si="105"/>
        <v>0</v>
      </c>
      <c r="AG214" s="46">
        <f t="shared" si="107"/>
        <v>0</v>
      </c>
      <c r="AH214" s="47" t="str">
        <f t="shared" si="108"/>
        <v/>
      </c>
      <c r="AI214" s="47">
        <f t="shared" si="109"/>
        <v>0</v>
      </c>
      <c r="AJ214" s="47">
        <f t="shared" si="110"/>
        <v>0</v>
      </c>
      <c r="AK214" s="47">
        <f t="shared" si="111"/>
        <v>0</v>
      </c>
      <c r="AL214" s="48" t="str">
        <f t="shared" si="112"/>
        <v/>
      </c>
      <c r="AM214" s="46" t="str">
        <f t="shared" si="113"/>
        <v/>
      </c>
      <c r="AN214" s="46" t="str">
        <f t="shared" si="114"/>
        <v/>
      </c>
      <c r="AO214" s="46" t="str">
        <f t="shared" si="115"/>
        <v/>
      </c>
      <c r="AP214" s="46" t="str">
        <f t="shared" si="116"/>
        <v/>
      </c>
      <c r="AQ214" s="49" t="str">
        <f t="shared" si="117"/>
        <v/>
      </c>
      <c r="AR214" s="50" t="str">
        <f t="shared" si="118"/>
        <v/>
      </c>
      <c r="AS214" s="51" t="str">
        <f t="shared" si="119"/>
        <v/>
      </c>
      <c r="AT214" s="51" t="str">
        <f t="shared" si="120"/>
        <v/>
      </c>
      <c r="AU214" s="51" t="str">
        <f t="shared" si="128"/>
        <v/>
      </c>
      <c r="AV214" s="52" t="str">
        <f t="shared" si="121"/>
        <v/>
      </c>
      <c r="AW214" s="52" t="str">
        <f t="shared" si="122"/>
        <v/>
      </c>
      <c r="AX214" s="15" t="str">
        <f t="shared" si="123"/>
        <v/>
      </c>
      <c r="AY214" s="15" t="str">
        <f t="shared" si="124"/>
        <v/>
      </c>
      <c r="AZ214" s="15" t="str">
        <f t="shared" si="125"/>
        <v/>
      </c>
      <c r="BA214" s="61">
        <f t="shared" si="129"/>
        <v>0</v>
      </c>
      <c r="BB214" s="61"/>
      <c r="BC214" s="61">
        <f t="shared" si="130"/>
        <v>0</v>
      </c>
      <c r="BD214" s="61"/>
      <c r="BE214" s="61">
        <f t="shared" si="131"/>
        <v>0</v>
      </c>
      <c r="BF214" s="61"/>
      <c r="BG214" s="61">
        <v>0</v>
      </c>
      <c r="BH214" s="61"/>
      <c r="BI214" s="56">
        <f t="shared" si="132"/>
        <v>0</v>
      </c>
      <c r="BJ214" s="57" t="str">
        <f t="shared" si="133"/>
        <v/>
      </c>
      <c r="BK214" s="58" t="str">
        <f t="shared" si="134"/>
        <v/>
      </c>
    </row>
    <row r="215" spans="1:63" x14ac:dyDescent="0.3">
      <c r="A215" s="41">
        <v>214</v>
      </c>
      <c r="B215" s="42"/>
      <c r="C215" s="43" t="str">
        <f t="shared" si="104"/>
        <v/>
      </c>
      <c r="D215" s="43"/>
      <c r="E215" s="43"/>
      <c r="F215" s="43"/>
      <c r="G215" s="14"/>
      <c r="H215" s="14"/>
      <c r="I215" s="14"/>
      <c r="J215" s="44"/>
      <c r="K215" s="44"/>
      <c r="L215" s="44"/>
      <c r="M215" s="45"/>
      <c r="N215" s="45"/>
      <c r="O215" s="45"/>
      <c r="P215" s="46"/>
      <c r="Q215" s="45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 t="str">
        <f t="shared" si="135"/>
        <v/>
      </c>
      <c r="AC215" s="46"/>
      <c r="AD215" s="46"/>
      <c r="AE215" s="46"/>
      <c r="AF215" s="59">
        <f t="shared" si="105"/>
        <v>0</v>
      </c>
      <c r="AG215" s="46">
        <f t="shared" si="107"/>
        <v>0</v>
      </c>
      <c r="AH215" s="47" t="str">
        <f t="shared" si="108"/>
        <v/>
      </c>
      <c r="AI215" s="47">
        <f t="shared" si="109"/>
        <v>0</v>
      </c>
      <c r="AJ215" s="47">
        <f t="shared" si="110"/>
        <v>0</v>
      </c>
      <c r="AK215" s="47">
        <f t="shared" si="111"/>
        <v>0</v>
      </c>
      <c r="AL215" s="48" t="str">
        <f t="shared" si="112"/>
        <v/>
      </c>
      <c r="AM215" s="46" t="str">
        <f t="shared" si="113"/>
        <v/>
      </c>
      <c r="AN215" s="46" t="str">
        <f t="shared" si="114"/>
        <v/>
      </c>
      <c r="AO215" s="46" t="str">
        <f t="shared" si="115"/>
        <v/>
      </c>
      <c r="AP215" s="46" t="str">
        <f t="shared" si="116"/>
        <v/>
      </c>
      <c r="AQ215" s="49" t="str">
        <f t="shared" si="117"/>
        <v/>
      </c>
      <c r="AR215" s="50" t="str">
        <f t="shared" si="118"/>
        <v/>
      </c>
      <c r="AS215" s="51" t="str">
        <f t="shared" si="119"/>
        <v/>
      </c>
      <c r="AT215" s="51" t="str">
        <f t="shared" si="120"/>
        <v/>
      </c>
      <c r="AU215" s="51" t="str">
        <f t="shared" si="128"/>
        <v/>
      </c>
      <c r="AV215" s="52" t="str">
        <f t="shared" si="121"/>
        <v/>
      </c>
      <c r="AW215" s="52" t="str">
        <f t="shared" si="122"/>
        <v/>
      </c>
      <c r="AX215" s="15" t="str">
        <f t="shared" si="123"/>
        <v/>
      </c>
      <c r="AY215" s="15" t="str">
        <f t="shared" si="124"/>
        <v/>
      </c>
      <c r="AZ215" s="15" t="str">
        <f t="shared" si="125"/>
        <v/>
      </c>
      <c r="BA215" s="61">
        <f t="shared" si="129"/>
        <v>0</v>
      </c>
      <c r="BB215" s="61"/>
      <c r="BC215" s="61">
        <f t="shared" si="130"/>
        <v>0</v>
      </c>
      <c r="BD215" s="61"/>
      <c r="BE215" s="61">
        <f t="shared" si="131"/>
        <v>0</v>
      </c>
      <c r="BF215" s="61"/>
      <c r="BG215" s="61">
        <v>0</v>
      </c>
      <c r="BH215" s="61"/>
      <c r="BI215" s="56">
        <f t="shared" si="132"/>
        <v>0</v>
      </c>
      <c r="BJ215" s="57" t="str">
        <f t="shared" si="133"/>
        <v/>
      </c>
      <c r="BK215" s="58" t="str">
        <f t="shared" si="134"/>
        <v/>
      </c>
    </row>
    <row r="216" spans="1:63" x14ac:dyDescent="0.3">
      <c r="A216" s="41">
        <v>215</v>
      </c>
      <c r="B216" s="42"/>
      <c r="C216" s="43" t="str">
        <f t="shared" si="104"/>
        <v/>
      </c>
      <c r="D216" s="43"/>
      <c r="E216" s="43"/>
      <c r="F216" s="43"/>
      <c r="G216" s="14"/>
      <c r="H216" s="14"/>
      <c r="I216" s="14"/>
      <c r="J216" s="44"/>
      <c r="K216" s="44"/>
      <c r="L216" s="44"/>
      <c r="M216" s="45"/>
      <c r="N216" s="45"/>
      <c r="O216" s="45"/>
      <c r="P216" s="46"/>
      <c r="Q216" s="45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 t="str">
        <f t="shared" si="135"/>
        <v/>
      </c>
      <c r="AC216" s="46"/>
      <c r="AD216" s="46"/>
      <c r="AE216" s="46"/>
      <c r="AF216" s="59">
        <f t="shared" si="105"/>
        <v>0</v>
      </c>
      <c r="AG216" s="46">
        <f t="shared" si="107"/>
        <v>0</v>
      </c>
      <c r="AH216" s="47" t="str">
        <f t="shared" si="108"/>
        <v/>
      </c>
      <c r="AI216" s="47">
        <f t="shared" si="109"/>
        <v>0</v>
      </c>
      <c r="AJ216" s="47">
        <f t="shared" si="110"/>
        <v>0</v>
      </c>
      <c r="AK216" s="47">
        <f t="shared" si="111"/>
        <v>0</v>
      </c>
      <c r="AL216" s="48" t="str">
        <f t="shared" si="112"/>
        <v/>
      </c>
      <c r="AM216" s="46" t="str">
        <f t="shared" si="113"/>
        <v/>
      </c>
      <c r="AN216" s="46" t="str">
        <f t="shared" si="114"/>
        <v/>
      </c>
      <c r="AO216" s="46" t="str">
        <f t="shared" si="115"/>
        <v/>
      </c>
      <c r="AP216" s="46" t="str">
        <f t="shared" si="116"/>
        <v/>
      </c>
      <c r="AQ216" s="49" t="str">
        <f t="shared" si="117"/>
        <v/>
      </c>
      <c r="AR216" s="50" t="str">
        <f t="shared" si="118"/>
        <v/>
      </c>
      <c r="AS216" s="51" t="str">
        <f t="shared" si="119"/>
        <v/>
      </c>
      <c r="AT216" s="51" t="str">
        <f t="shared" si="120"/>
        <v/>
      </c>
      <c r="AU216" s="51" t="str">
        <f t="shared" si="128"/>
        <v/>
      </c>
      <c r="AV216" s="52" t="str">
        <f t="shared" si="121"/>
        <v/>
      </c>
      <c r="AW216" s="52" t="str">
        <f t="shared" si="122"/>
        <v/>
      </c>
      <c r="AX216" s="15" t="str">
        <f t="shared" si="123"/>
        <v/>
      </c>
      <c r="AY216" s="15" t="str">
        <f t="shared" si="124"/>
        <v/>
      </c>
      <c r="AZ216" s="15" t="str">
        <f t="shared" si="125"/>
        <v/>
      </c>
      <c r="BA216" s="61">
        <f t="shared" si="129"/>
        <v>0</v>
      </c>
      <c r="BB216" s="61"/>
      <c r="BC216" s="61">
        <f t="shared" si="130"/>
        <v>0</v>
      </c>
      <c r="BD216" s="61"/>
      <c r="BE216" s="61">
        <f t="shared" si="131"/>
        <v>0</v>
      </c>
      <c r="BF216" s="61"/>
      <c r="BG216" s="61">
        <v>0</v>
      </c>
      <c r="BH216" s="61"/>
      <c r="BI216" s="56">
        <f t="shared" si="132"/>
        <v>0</v>
      </c>
      <c r="BJ216" s="57" t="str">
        <f t="shared" si="133"/>
        <v/>
      </c>
      <c r="BK216" s="58" t="str">
        <f t="shared" si="134"/>
        <v/>
      </c>
    </row>
    <row r="217" spans="1:63" x14ac:dyDescent="0.3">
      <c r="A217" s="41">
        <v>216</v>
      </c>
      <c r="B217" s="42"/>
      <c r="C217" s="43" t="str">
        <f t="shared" si="104"/>
        <v/>
      </c>
      <c r="D217" s="43"/>
      <c r="E217" s="43"/>
      <c r="F217" s="43"/>
      <c r="G217" s="14"/>
      <c r="H217" s="14"/>
      <c r="I217" s="14"/>
      <c r="J217" s="44"/>
      <c r="K217" s="44"/>
      <c r="L217" s="44"/>
      <c r="M217" s="45"/>
      <c r="N217" s="45"/>
      <c r="O217" s="45"/>
      <c r="P217" s="46"/>
      <c r="Q217" s="45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 t="str">
        <f t="shared" si="135"/>
        <v/>
      </c>
      <c r="AC217" s="46"/>
      <c r="AD217" s="46"/>
      <c r="AE217" s="46"/>
      <c r="AF217" s="59">
        <f t="shared" si="105"/>
        <v>0</v>
      </c>
      <c r="AG217" s="46">
        <f t="shared" si="107"/>
        <v>0</v>
      </c>
      <c r="AH217" s="47" t="str">
        <f t="shared" si="108"/>
        <v/>
      </c>
      <c r="AI217" s="47">
        <f t="shared" si="109"/>
        <v>0</v>
      </c>
      <c r="AJ217" s="47">
        <f t="shared" si="110"/>
        <v>0</v>
      </c>
      <c r="AK217" s="47">
        <f t="shared" si="111"/>
        <v>0</v>
      </c>
      <c r="AL217" s="48" t="str">
        <f t="shared" si="112"/>
        <v/>
      </c>
      <c r="AM217" s="46" t="str">
        <f t="shared" si="113"/>
        <v/>
      </c>
      <c r="AN217" s="46" t="str">
        <f t="shared" si="114"/>
        <v/>
      </c>
      <c r="AO217" s="46" t="str">
        <f t="shared" si="115"/>
        <v/>
      </c>
      <c r="AP217" s="46" t="str">
        <f t="shared" si="116"/>
        <v/>
      </c>
      <c r="AQ217" s="49" t="str">
        <f t="shared" si="117"/>
        <v/>
      </c>
      <c r="AR217" s="50" t="str">
        <f t="shared" si="118"/>
        <v/>
      </c>
      <c r="AS217" s="51" t="str">
        <f t="shared" si="119"/>
        <v/>
      </c>
      <c r="AT217" s="51" t="str">
        <f t="shared" si="120"/>
        <v/>
      </c>
      <c r="AU217" s="51" t="str">
        <f t="shared" si="128"/>
        <v/>
      </c>
      <c r="AV217" s="52" t="str">
        <f t="shared" si="121"/>
        <v/>
      </c>
      <c r="AW217" s="52" t="str">
        <f t="shared" si="122"/>
        <v/>
      </c>
      <c r="AX217" s="15" t="str">
        <f t="shared" si="123"/>
        <v/>
      </c>
      <c r="AY217" s="15" t="str">
        <f t="shared" si="124"/>
        <v/>
      </c>
      <c r="AZ217" s="15" t="str">
        <f t="shared" si="125"/>
        <v/>
      </c>
      <c r="BA217" s="61">
        <f t="shared" si="129"/>
        <v>0</v>
      </c>
      <c r="BB217" s="61"/>
      <c r="BC217" s="61">
        <f t="shared" si="130"/>
        <v>0</v>
      </c>
      <c r="BD217" s="61"/>
      <c r="BE217" s="61">
        <f t="shared" si="131"/>
        <v>0</v>
      </c>
      <c r="BF217" s="61"/>
      <c r="BG217" s="61">
        <v>0</v>
      </c>
      <c r="BH217" s="61"/>
      <c r="BI217" s="56">
        <f t="shared" si="132"/>
        <v>0</v>
      </c>
      <c r="BJ217" s="57" t="str">
        <f t="shared" si="133"/>
        <v/>
      </c>
      <c r="BK217" s="58" t="str">
        <f t="shared" si="134"/>
        <v/>
      </c>
    </row>
    <row r="218" spans="1:63" x14ac:dyDescent="0.3">
      <c r="A218" s="41">
        <v>217</v>
      </c>
      <c r="B218" s="42"/>
      <c r="C218" s="43" t="str">
        <f t="shared" si="104"/>
        <v/>
      </c>
      <c r="D218" s="43"/>
      <c r="E218" s="43"/>
      <c r="F218" s="43"/>
      <c r="G218" s="14"/>
      <c r="H218" s="14"/>
      <c r="I218" s="14"/>
      <c r="J218" s="44"/>
      <c r="K218" s="44"/>
      <c r="L218" s="44"/>
      <c r="M218" s="45"/>
      <c r="N218" s="45"/>
      <c r="O218" s="45"/>
      <c r="P218" s="46"/>
      <c r="Q218" s="45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 t="str">
        <f t="shared" si="135"/>
        <v/>
      </c>
      <c r="AC218" s="46"/>
      <c r="AD218" s="46"/>
      <c r="AE218" s="46"/>
      <c r="AF218" s="59">
        <f t="shared" si="105"/>
        <v>0</v>
      </c>
      <c r="AG218" s="46">
        <f t="shared" si="107"/>
        <v>0</v>
      </c>
      <c r="AH218" s="47" t="str">
        <f t="shared" si="108"/>
        <v/>
      </c>
      <c r="AI218" s="47">
        <f t="shared" si="109"/>
        <v>0</v>
      </c>
      <c r="AJ218" s="47">
        <f t="shared" si="110"/>
        <v>0</v>
      </c>
      <c r="AK218" s="47">
        <f t="shared" si="111"/>
        <v>0</v>
      </c>
      <c r="AL218" s="48" t="str">
        <f t="shared" si="112"/>
        <v/>
      </c>
      <c r="AM218" s="46" t="str">
        <f t="shared" si="113"/>
        <v/>
      </c>
      <c r="AN218" s="46" t="str">
        <f t="shared" si="114"/>
        <v/>
      </c>
      <c r="AO218" s="46" t="str">
        <f t="shared" si="115"/>
        <v/>
      </c>
      <c r="AP218" s="46" t="str">
        <f t="shared" si="116"/>
        <v/>
      </c>
      <c r="AQ218" s="49" t="str">
        <f t="shared" si="117"/>
        <v/>
      </c>
      <c r="AR218" s="50" t="str">
        <f t="shared" si="118"/>
        <v/>
      </c>
      <c r="AS218" s="51" t="str">
        <f t="shared" si="119"/>
        <v/>
      </c>
      <c r="AT218" s="51" t="str">
        <f t="shared" si="120"/>
        <v/>
      </c>
      <c r="AU218" s="51" t="str">
        <f t="shared" si="128"/>
        <v/>
      </c>
      <c r="AV218" s="52" t="str">
        <f t="shared" si="121"/>
        <v/>
      </c>
      <c r="AW218" s="52" t="str">
        <f t="shared" si="122"/>
        <v/>
      </c>
      <c r="AX218" s="15" t="str">
        <f t="shared" si="123"/>
        <v/>
      </c>
      <c r="AY218" s="15" t="str">
        <f t="shared" si="124"/>
        <v/>
      </c>
      <c r="AZ218" s="15" t="str">
        <f t="shared" si="125"/>
        <v/>
      </c>
      <c r="BA218" s="61">
        <f t="shared" si="129"/>
        <v>0</v>
      </c>
      <c r="BB218" s="61"/>
      <c r="BC218" s="61">
        <f t="shared" si="130"/>
        <v>0</v>
      </c>
      <c r="BD218" s="61"/>
      <c r="BE218" s="61">
        <f t="shared" si="131"/>
        <v>0</v>
      </c>
      <c r="BF218" s="61"/>
      <c r="BG218" s="61">
        <v>0</v>
      </c>
      <c r="BH218" s="61"/>
      <c r="BI218" s="56">
        <f t="shared" si="132"/>
        <v>0</v>
      </c>
      <c r="BJ218" s="57" t="str">
        <f t="shared" si="133"/>
        <v/>
      </c>
      <c r="BK218" s="58" t="str">
        <f t="shared" si="134"/>
        <v/>
      </c>
    </row>
    <row r="219" spans="1:63" x14ac:dyDescent="0.3">
      <c r="A219" s="41">
        <v>218</v>
      </c>
      <c r="B219" s="42"/>
      <c r="C219" s="43" t="str">
        <f t="shared" si="104"/>
        <v/>
      </c>
      <c r="D219" s="43"/>
      <c r="E219" s="43"/>
      <c r="F219" s="43"/>
      <c r="G219" s="14"/>
      <c r="H219" s="14"/>
      <c r="I219" s="14"/>
      <c r="J219" s="44"/>
      <c r="K219" s="44"/>
      <c r="L219" s="44"/>
      <c r="M219" s="45"/>
      <c r="N219" s="45"/>
      <c r="O219" s="45"/>
      <c r="P219" s="46"/>
      <c r="Q219" s="45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 t="str">
        <f t="shared" si="135"/>
        <v/>
      </c>
      <c r="AC219" s="46"/>
      <c r="AD219" s="46"/>
      <c r="AE219" s="46"/>
      <c r="AF219" s="59">
        <f t="shared" si="105"/>
        <v>0</v>
      </c>
      <c r="AG219" s="46">
        <f t="shared" si="107"/>
        <v>0</v>
      </c>
      <c r="AH219" s="47" t="str">
        <f t="shared" si="108"/>
        <v/>
      </c>
      <c r="AI219" s="47">
        <f t="shared" si="109"/>
        <v>0</v>
      </c>
      <c r="AJ219" s="47">
        <f t="shared" si="110"/>
        <v>0</v>
      </c>
      <c r="AK219" s="47">
        <f t="shared" si="111"/>
        <v>0</v>
      </c>
      <c r="AL219" s="48" t="str">
        <f t="shared" si="112"/>
        <v/>
      </c>
      <c r="AM219" s="46" t="str">
        <f t="shared" si="113"/>
        <v/>
      </c>
      <c r="AN219" s="46" t="str">
        <f t="shared" si="114"/>
        <v/>
      </c>
      <c r="AO219" s="46" t="str">
        <f t="shared" si="115"/>
        <v/>
      </c>
      <c r="AP219" s="46" t="str">
        <f t="shared" si="116"/>
        <v/>
      </c>
      <c r="AQ219" s="49" t="str">
        <f t="shared" si="117"/>
        <v/>
      </c>
      <c r="AR219" s="50" t="str">
        <f t="shared" si="118"/>
        <v/>
      </c>
      <c r="AS219" s="51" t="str">
        <f t="shared" si="119"/>
        <v/>
      </c>
      <c r="AT219" s="51" t="str">
        <f t="shared" si="120"/>
        <v/>
      </c>
      <c r="AU219" s="51" t="str">
        <f t="shared" si="128"/>
        <v/>
      </c>
      <c r="AV219" s="52" t="str">
        <f t="shared" si="121"/>
        <v/>
      </c>
      <c r="AW219" s="52" t="str">
        <f t="shared" si="122"/>
        <v/>
      </c>
      <c r="AX219" s="15" t="str">
        <f t="shared" si="123"/>
        <v/>
      </c>
      <c r="AY219" s="15" t="str">
        <f t="shared" si="124"/>
        <v/>
      </c>
      <c r="AZ219" s="15" t="str">
        <f t="shared" si="125"/>
        <v/>
      </c>
      <c r="BA219" s="61">
        <f t="shared" si="129"/>
        <v>0</v>
      </c>
      <c r="BB219" s="61"/>
      <c r="BC219" s="61">
        <f t="shared" si="130"/>
        <v>0</v>
      </c>
      <c r="BD219" s="61"/>
      <c r="BE219" s="61">
        <f t="shared" si="131"/>
        <v>0</v>
      </c>
      <c r="BF219" s="61"/>
      <c r="BG219" s="61">
        <v>0</v>
      </c>
      <c r="BH219" s="61"/>
      <c r="BI219" s="56">
        <f t="shared" si="132"/>
        <v>0</v>
      </c>
      <c r="BJ219" s="57" t="str">
        <f t="shared" si="133"/>
        <v/>
      </c>
      <c r="BK219" s="58" t="str">
        <f t="shared" si="134"/>
        <v/>
      </c>
    </row>
    <row r="220" spans="1:63" x14ac:dyDescent="0.3">
      <c r="A220" s="41">
        <v>219</v>
      </c>
      <c r="B220" s="42"/>
      <c r="C220" s="43" t="str">
        <f t="shared" si="104"/>
        <v/>
      </c>
      <c r="D220" s="43"/>
      <c r="E220" s="43"/>
      <c r="F220" s="43"/>
      <c r="G220" s="14"/>
      <c r="H220" s="14"/>
      <c r="I220" s="14"/>
      <c r="J220" s="44"/>
      <c r="K220" s="44"/>
      <c r="L220" s="44"/>
      <c r="M220" s="45"/>
      <c r="N220" s="45"/>
      <c r="O220" s="45"/>
      <c r="P220" s="46"/>
      <c r="Q220" s="45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 t="str">
        <f t="shared" si="135"/>
        <v/>
      </c>
      <c r="AC220" s="46"/>
      <c r="AD220" s="46"/>
      <c r="AE220" s="46"/>
      <c r="AF220" s="59">
        <f t="shared" si="105"/>
        <v>0</v>
      </c>
      <c r="AG220" s="46">
        <f t="shared" si="107"/>
        <v>0</v>
      </c>
      <c r="AH220" s="47" t="str">
        <f t="shared" si="108"/>
        <v/>
      </c>
      <c r="AI220" s="47">
        <f t="shared" si="109"/>
        <v>0</v>
      </c>
      <c r="AJ220" s="47">
        <f t="shared" si="110"/>
        <v>0</v>
      </c>
      <c r="AK220" s="47">
        <f t="shared" si="111"/>
        <v>0</v>
      </c>
      <c r="AL220" s="48" t="str">
        <f t="shared" si="112"/>
        <v/>
      </c>
      <c r="AM220" s="46" t="str">
        <f t="shared" si="113"/>
        <v/>
      </c>
      <c r="AN220" s="46" t="str">
        <f t="shared" si="114"/>
        <v/>
      </c>
      <c r="AO220" s="46" t="str">
        <f t="shared" si="115"/>
        <v/>
      </c>
      <c r="AP220" s="46" t="str">
        <f t="shared" si="116"/>
        <v/>
      </c>
      <c r="AQ220" s="49" t="str">
        <f t="shared" si="117"/>
        <v/>
      </c>
      <c r="AR220" s="50" t="str">
        <f t="shared" si="118"/>
        <v/>
      </c>
      <c r="AS220" s="51" t="str">
        <f t="shared" si="119"/>
        <v/>
      </c>
      <c r="AT220" s="51" t="str">
        <f t="shared" si="120"/>
        <v/>
      </c>
      <c r="AU220" s="51" t="str">
        <f t="shared" si="128"/>
        <v/>
      </c>
      <c r="AV220" s="52" t="str">
        <f t="shared" si="121"/>
        <v/>
      </c>
      <c r="AW220" s="52" t="str">
        <f t="shared" si="122"/>
        <v/>
      </c>
      <c r="AX220" s="15" t="str">
        <f t="shared" si="123"/>
        <v/>
      </c>
      <c r="AY220" s="15" t="str">
        <f t="shared" si="124"/>
        <v/>
      </c>
      <c r="AZ220" s="15" t="str">
        <f t="shared" si="125"/>
        <v/>
      </c>
      <c r="BA220" s="61">
        <f t="shared" si="129"/>
        <v>0</v>
      </c>
      <c r="BB220" s="61"/>
      <c r="BC220" s="61">
        <f t="shared" si="130"/>
        <v>0</v>
      </c>
      <c r="BD220" s="61"/>
      <c r="BE220" s="61">
        <f t="shared" si="131"/>
        <v>0</v>
      </c>
      <c r="BF220" s="61"/>
      <c r="BG220" s="61">
        <v>0</v>
      </c>
      <c r="BH220" s="61"/>
      <c r="BI220" s="56">
        <f t="shared" si="132"/>
        <v>0</v>
      </c>
      <c r="BJ220" s="57" t="str">
        <f t="shared" si="133"/>
        <v/>
      </c>
      <c r="BK220" s="58" t="str">
        <f t="shared" si="134"/>
        <v/>
      </c>
    </row>
    <row r="221" spans="1:63" x14ac:dyDescent="0.3">
      <c r="A221" s="41">
        <v>220</v>
      </c>
      <c r="B221" s="42"/>
      <c r="C221" s="43" t="str">
        <f t="shared" si="104"/>
        <v/>
      </c>
      <c r="D221" s="43"/>
      <c r="E221" s="43"/>
      <c r="F221" s="43"/>
      <c r="G221" s="14"/>
      <c r="H221" s="14"/>
      <c r="I221" s="14"/>
      <c r="J221" s="44"/>
      <c r="K221" s="44"/>
      <c r="L221" s="44"/>
      <c r="M221" s="45"/>
      <c r="N221" s="45"/>
      <c r="O221" s="45"/>
      <c r="P221" s="46"/>
      <c r="Q221" s="45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 t="str">
        <f t="shared" si="135"/>
        <v/>
      </c>
      <c r="AC221" s="46"/>
      <c r="AD221" s="46"/>
      <c r="AE221" s="46"/>
      <c r="AF221" s="59">
        <f t="shared" si="105"/>
        <v>0</v>
      </c>
      <c r="AG221" s="46">
        <f t="shared" si="107"/>
        <v>0</v>
      </c>
      <c r="AH221" s="47" t="str">
        <f t="shared" si="108"/>
        <v/>
      </c>
      <c r="AI221" s="47">
        <f t="shared" si="109"/>
        <v>0</v>
      </c>
      <c r="AJ221" s="47">
        <f t="shared" si="110"/>
        <v>0</v>
      </c>
      <c r="AK221" s="47">
        <f t="shared" si="111"/>
        <v>0</v>
      </c>
      <c r="AL221" s="48" t="str">
        <f t="shared" si="112"/>
        <v/>
      </c>
      <c r="AM221" s="46" t="str">
        <f t="shared" si="113"/>
        <v/>
      </c>
      <c r="AN221" s="46" t="str">
        <f t="shared" si="114"/>
        <v/>
      </c>
      <c r="AO221" s="46" t="str">
        <f t="shared" si="115"/>
        <v/>
      </c>
      <c r="AP221" s="46" t="str">
        <f t="shared" si="116"/>
        <v/>
      </c>
      <c r="AQ221" s="49" t="str">
        <f t="shared" si="117"/>
        <v/>
      </c>
      <c r="AR221" s="50" t="str">
        <f t="shared" si="118"/>
        <v/>
      </c>
      <c r="AS221" s="51" t="str">
        <f t="shared" si="119"/>
        <v/>
      </c>
      <c r="AT221" s="51" t="str">
        <f t="shared" si="120"/>
        <v/>
      </c>
      <c r="AU221" s="51" t="str">
        <f t="shared" si="128"/>
        <v/>
      </c>
      <c r="AV221" s="52" t="str">
        <f t="shared" si="121"/>
        <v/>
      </c>
      <c r="AW221" s="52" t="str">
        <f t="shared" si="122"/>
        <v/>
      </c>
      <c r="AX221" s="15" t="str">
        <f t="shared" si="123"/>
        <v/>
      </c>
      <c r="AY221" s="15" t="str">
        <f t="shared" si="124"/>
        <v/>
      </c>
      <c r="AZ221" s="15" t="str">
        <f t="shared" si="125"/>
        <v/>
      </c>
      <c r="BA221" s="61">
        <f t="shared" si="129"/>
        <v>0</v>
      </c>
      <c r="BB221" s="61"/>
      <c r="BC221" s="61">
        <f t="shared" si="130"/>
        <v>0</v>
      </c>
      <c r="BD221" s="61"/>
      <c r="BE221" s="61">
        <f t="shared" si="131"/>
        <v>0</v>
      </c>
      <c r="BF221" s="61"/>
      <c r="BG221" s="61">
        <v>0</v>
      </c>
      <c r="BH221" s="61"/>
      <c r="BI221" s="56">
        <f t="shared" si="132"/>
        <v>0</v>
      </c>
      <c r="BJ221" s="57" t="str">
        <f t="shared" si="133"/>
        <v/>
      </c>
      <c r="BK221" s="58" t="str">
        <f t="shared" si="134"/>
        <v/>
      </c>
    </row>
    <row r="222" spans="1:63" x14ac:dyDescent="0.3">
      <c r="A222" s="16"/>
      <c r="B222" s="17"/>
      <c r="C222" s="18"/>
      <c r="D222" s="18"/>
      <c r="E222" s="18"/>
      <c r="F222" s="18"/>
      <c r="G222" s="19"/>
      <c r="H222" s="19"/>
      <c r="I222" s="19"/>
      <c r="J222" s="20"/>
      <c r="K222" s="20"/>
      <c r="L222" s="20"/>
      <c r="M222" s="21"/>
      <c r="N222" s="21"/>
      <c r="O222" s="21"/>
      <c r="P222" s="22"/>
      <c r="Q222" s="21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3"/>
      <c r="AG222" s="22"/>
      <c r="AH222" s="24"/>
      <c r="AI222" s="24"/>
      <c r="AJ222" s="24"/>
      <c r="AK222" s="24"/>
      <c r="AL222" s="25"/>
      <c r="AM222" s="22"/>
      <c r="AN222" s="22"/>
      <c r="AO222" s="22"/>
      <c r="AP222" s="22"/>
      <c r="AQ222" s="26"/>
      <c r="AR222" s="27"/>
      <c r="AS222" s="28"/>
      <c r="AT222" s="28"/>
      <c r="AU222" s="28"/>
      <c r="AV222" s="29"/>
      <c r="AW222" s="29"/>
      <c r="AX222" s="12"/>
      <c r="AY222" s="12"/>
      <c r="AZ222" s="12"/>
    </row>
  </sheetData>
  <autoFilter ref="B1:AZ221" xr:uid="{7BAEE4D1-B103-4219-947F-482DB21A732A}">
    <sortState xmlns:xlrd2="http://schemas.microsoft.com/office/spreadsheetml/2017/richdata2" ref="B2:AZ184">
      <sortCondition ref="B1:B184"/>
    </sortState>
  </autoFilter>
  <pageMargins left="0.7" right="0.7" top="0.75" bottom="0.7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DE0A-AA04-4438-8B83-A9C39D43A2E7}">
  <dimension ref="J3:K4"/>
  <sheetViews>
    <sheetView showGridLines="0" view="pageBreakPreview" zoomScale="115" zoomScaleNormal="100" zoomScaleSheetLayoutView="115" workbookViewId="0">
      <selection activeCell="L8" sqref="L8"/>
    </sheetView>
  </sheetViews>
  <sheetFormatPr defaultRowHeight="14.4" x14ac:dyDescent="0.3"/>
  <cols>
    <col min="10" max="10" width="8.33203125" customWidth="1"/>
  </cols>
  <sheetData>
    <row r="3" spans="10:11" x14ac:dyDescent="0.3">
      <c r="K3" s="4" t="s">
        <v>36</v>
      </c>
    </row>
    <row r="4" spans="10:11" x14ac:dyDescent="0.3">
      <c r="J4" s="4"/>
    </row>
  </sheetData>
  <pageMargins left="0.7" right="0.7" top="0.75" bottom="0.75" header="0.3" footer="0.3"/>
  <pageSetup orientation="portrait" horizontalDpi="300" verticalDpi="300" r:id="rId1"/>
  <customProperties>
    <customPr name="LastActive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9078-D3A6-499A-9650-FDCDB672D1BE}">
  <dimension ref="B3:W256"/>
  <sheetViews>
    <sheetView showGridLines="0" topLeftCell="A38" workbookViewId="0">
      <selection activeCell="Y19" sqref="Y19"/>
    </sheetView>
  </sheetViews>
  <sheetFormatPr defaultRowHeight="14.4" x14ac:dyDescent="0.3"/>
  <cols>
    <col min="4" max="4" width="14" customWidth="1"/>
    <col min="5" max="5" width="34.44140625" customWidth="1"/>
    <col min="6" max="6" width="13.88671875" customWidth="1"/>
    <col min="18" max="18" width="20.44140625" bestFit="1" customWidth="1"/>
    <col min="19" max="19" width="18.44140625" bestFit="1" customWidth="1"/>
    <col min="22" max="22" width="16.33203125" bestFit="1" customWidth="1"/>
    <col min="23" max="23" width="16.109375" bestFit="1" customWidth="1"/>
  </cols>
  <sheetData>
    <row r="3" spans="2:23" ht="36" x14ac:dyDescent="0.3">
      <c r="B3" s="113" t="s">
        <v>227</v>
      </c>
      <c r="C3" s="71" t="s">
        <v>94</v>
      </c>
      <c r="D3" s="84" t="s">
        <v>1</v>
      </c>
      <c r="E3" s="84" t="s">
        <v>116</v>
      </c>
      <c r="F3" s="84" t="s">
        <v>228</v>
      </c>
      <c r="G3" s="103" t="s">
        <v>44</v>
      </c>
      <c r="H3" s="103" t="s">
        <v>221</v>
      </c>
      <c r="I3" s="103" t="s">
        <v>222</v>
      </c>
      <c r="J3" s="103" t="s">
        <v>223</v>
      </c>
      <c r="K3" s="103" t="s">
        <v>226</v>
      </c>
      <c r="L3" s="103" t="s">
        <v>224</v>
      </c>
      <c r="M3" s="103" t="s">
        <v>225</v>
      </c>
      <c r="N3" s="103" t="s">
        <v>220</v>
      </c>
      <c r="O3" s="103" t="s">
        <v>42</v>
      </c>
    </row>
    <row r="4" spans="2:23" x14ac:dyDescent="0.3">
      <c r="B4" s="72">
        <v>68687</v>
      </c>
      <c r="C4" s="72" t="s">
        <v>77</v>
      </c>
      <c r="D4" s="85" t="s">
        <v>117</v>
      </c>
      <c r="E4" s="86" t="s">
        <v>118</v>
      </c>
      <c r="F4" s="115">
        <v>52684</v>
      </c>
      <c r="G4" s="104">
        <v>46.815999999999995</v>
      </c>
      <c r="H4" s="104">
        <v>253</v>
      </c>
      <c r="I4" s="104">
        <v>16</v>
      </c>
      <c r="J4" s="104">
        <v>10</v>
      </c>
      <c r="K4" s="104">
        <v>18</v>
      </c>
      <c r="L4" s="104">
        <v>5</v>
      </c>
      <c r="M4" s="104">
        <v>13</v>
      </c>
      <c r="N4" s="111">
        <v>7.9</v>
      </c>
      <c r="O4" s="85">
        <v>187</v>
      </c>
      <c r="V4" s="63" t="s">
        <v>94</v>
      </c>
      <c r="W4" t="s">
        <v>229</v>
      </c>
    </row>
    <row r="5" spans="2:23" x14ac:dyDescent="0.3">
      <c r="B5" s="72">
        <v>68684</v>
      </c>
      <c r="C5" s="72" t="s">
        <v>95</v>
      </c>
      <c r="D5" s="87" t="s">
        <v>117</v>
      </c>
      <c r="E5" s="88" t="s">
        <v>118</v>
      </c>
      <c r="F5" s="116">
        <v>49031</v>
      </c>
      <c r="G5" s="105">
        <v>48.576000000000001</v>
      </c>
      <c r="H5" s="105">
        <v>263</v>
      </c>
      <c r="I5" s="105">
        <v>16</v>
      </c>
      <c r="J5" s="105">
        <v>10</v>
      </c>
      <c r="K5" s="105">
        <v>18</v>
      </c>
      <c r="L5" s="105">
        <v>5</v>
      </c>
      <c r="M5" s="105">
        <v>13</v>
      </c>
      <c r="N5" s="112">
        <v>7.8</v>
      </c>
      <c r="O5" s="87">
        <v>193</v>
      </c>
    </row>
    <row r="6" spans="2:23" x14ac:dyDescent="0.3">
      <c r="B6" s="72">
        <v>77593</v>
      </c>
      <c r="C6" s="72" t="s">
        <v>95</v>
      </c>
      <c r="D6" s="85" t="s">
        <v>117</v>
      </c>
      <c r="E6" s="86" t="s">
        <v>118</v>
      </c>
      <c r="F6" s="115">
        <v>38681</v>
      </c>
      <c r="G6" s="106">
        <v>48.223999999999997</v>
      </c>
      <c r="H6" s="106">
        <v>259</v>
      </c>
      <c r="I6" s="106">
        <v>18</v>
      </c>
      <c r="J6" s="106">
        <v>12</v>
      </c>
      <c r="K6" s="106">
        <v>18</v>
      </c>
      <c r="L6" s="106">
        <v>5</v>
      </c>
      <c r="M6" s="106">
        <v>8</v>
      </c>
      <c r="N6" s="111">
        <v>7.8</v>
      </c>
      <c r="O6" s="85">
        <v>187</v>
      </c>
      <c r="R6" s="63" t="s">
        <v>83</v>
      </c>
      <c r="S6" t="s">
        <v>85</v>
      </c>
      <c r="V6" s="63" t="s">
        <v>83</v>
      </c>
      <c r="W6" t="s">
        <v>230</v>
      </c>
    </row>
    <row r="7" spans="2:23" x14ac:dyDescent="0.3">
      <c r="B7" s="72">
        <v>77584</v>
      </c>
      <c r="C7" s="72" t="s">
        <v>77</v>
      </c>
      <c r="D7" s="87" t="s">
        <v>117</v>
      </c>
      <c r="E7" s="88" t="s">
        <v>119</v>
      </c>
      <c r="F7" s="116">
        <v>45816</v>
      </c>
      <c r="G7" s="105">
        <v>47.167999999999999</v>
      </c>
      <c r="H7" s="105">
        <v>250</v>
      </c>
      <c r="I7" s="105">
        <v>30</v>
      </c>
      <c r="J7" s="105">
        <v>6</v>
      </c>
      <c r="K7" s="105">
        <v>13</v>
      </c>
      <c r="L7" s="105">
        <v>21</v>
      </c>
      <c r="M7" s="105">
        <v>20</v>
      </c>
      <c r="N7" s="112">
        <v>8.6</v>
      </c>
      <c r="O7" s="87">
        <v>187</v>
      </c>
      <c r="R7" s="64" t="s">
        <v>96</v>
      </c>
      <c r="S7" s="114">
        <v>44.850666666666662</v>
      </c>
      <c r="V7" s="64" t="s">
        <v>172</v>
      </c>
      <c r="W7" s="129">
        <v>43465</v>
      </c>
    </row>
    <row r="8" spans="2:23" x14ac:dyDescent="0.3">
      <c r="B8" s="72">
        <v>77585</v>
      </c>
      <c r="C8" s="72" t="s">
        <v>77</v>
      </c>
      <c r="D8" s="85" t="s">
        <v>117</v>
      </c>
      <c r="E8" s="86" t="s">
        <v>120</v>
      </c>
      <c r="F8" s="115">
        <v>48142</v>
      </c>
      <c r="G8" s="106">
        <v>47.343999999999994</v>
      </c>
      <c r="H8" s="106">
        <v>253</v>
      </c>
      <c r="I8" s="106">
        <v>26</v>
      </c>
      <c r="J8" s="106">
        <v>6</v>
      </c>
      <c r="K8" s="106">
        <v>31</v>
      </c>
      <c r="L8" s="106">
        <v>0</v>
      </c>
      <c r="M8" s="106">
        <v>19</v>
      </c>
      <c r="N8" s="111">
        <v>7.6</v>
      </c>
      <c r="O8" s="85">
        <v>174</v>
      </c>
      <c r="R8" s="65" t="s">
        <v>143</v>
      </c>
      <c r="S8" s="114">
        <v>44.351999999999997</v>
      </c>
      <c r="V8" s="64" t="s">
        <v>143</v>
      </c>
      <c r="W8" s="129">
        <v>43380</v>
      </c>
    </row>
    <row r="9" spans="2:23" x14ac:dyDescent="0.3">
      <c r="B9" s="72">
        <v>77591</v>
      </c>
      <c r="C9" s="72" t="s">
        <v>77</v>
      </c>
      <c r="D9" s="87" t="s">
        <v>117</v>
      </c>
      <c r="E9" s="88" t="s">
        <v>118</v>
      </c>
      <c r="F9" s="116">
        <v>39014</v>
      </c>
      <c r="G9" s="105">
        <v>46.287999999999997</v>
      </c>
      <c r="H9" s="105">
        <v>246</v>
      </c>
      <c r="I9" s="105">
        <v>22</v>
      </c>
      <c r="J9" s="105">
        <v>12</v>
      </c>
      <c r="K9" s="105">
        <v>26</v>
      </c>
      <c r="L9" s="105">
        <v>16</v>
      </c>
      <c r="M9" s="105">
        <v>23</v>
      </c>
      <c r="N9" s="112">
        <v>7.8</v>
      </c>
      <c r="O9" s="87">
        <v>185</v>
      </c>
      <c r="R9" s="65" t="s">
        <v>126</v>
      </c>
      <c r="S9" s="114">
        <v>45.055999999999997</v>
      </c>
      <c r="V9" s="64" t="s">
        <v>149</v>
      </c>
      <c r="W9" s="129">
        <v>39940</v>
      </c>
    </row>
    <row r="10" spans="2:23" x14ac:dyDescent="0.3">
      <c r="B10" s="73">
        <v>72555</v>
      </c>
      <c r="C10" s="73" t="s">
        <v>77</v>
      </c>
      <c r="D10" s="85" t="s">
        <v>117</v>
      </c>
      <c r="E10" s="86" t="s">
        <v>119</v>
      </c>
      <c r="F10" s="115">
        <v>42057</v>
      </c>
      <c r="G10" s="106">
        <v>47.343999999999994</v>
      </c>
      <c r="H10" s="106">
        <v>256</v>
      </c>
      <c r="I10" s="106">
        <v>18</v>
      </c>
      <c r="J10" s="106">
        <v>8</v>
      </c>
      <c r="K10" s="106">
        <v>19</v>
      </c>
      <c r="L10" s="106">
        <v>0</v>
      </c>
      <c r="M10" s="106">
        <v>11</v>
      </c>
      <c r="N10" s="111">
        <v>8.4</v>
      </c>
      <c r="O10" s="85">
        <v>181</v>
      </c>
      <c r="R10" s="65" t="s">
        <v>125</v>
      </c>
      <c r="S10" s="114">
        <v>45.143999999999998</v>
      </c>
      <c r="V10" s="64" t="s">
        <v>179</v>
      </c>
      <c r="W10" s="129">
        <v>85601</v>
      </c>
    </row>
    <row r="11" spans="2:23" x14ac:dyDescent="0.3">
      <c r="B11" s="72">
        <v>77583</v>
      </c>
      <c r="C11" s="72" t="s">
        <v>77</v>
      </c>
      <c r="D11" s="87" t="s">
        <v>117</v>
      </c>
      <c r="E11" s="88" t="s">
        <v>119</v>
      </c>
      <c r="F11" s="116">
        <v>45176</v>
      </c>
      <c r="G11" s="105">
        <v>45.583999999999996</v>
      </c>
      <c r="H11" s="105">
        <v>238</v>
      </c>
      <c r="I11" s="105">
        <v>32</v>
      </c>
      <c r="J11" s="105">
        <v>10</v>
      </c>
      <c r="K11" s="105">
        <v>29</v>
      </c>
      <c r="L11" s="105">
        <v>8</v>
      </c>
      <c r="M11" s="105">
        <v>20</v>
      </c>
      <c r="N11" s="112">
        <v>9.1</v>
      </c>
      <c r="O11" s="87">
        <v>187</v>
      </c>
      <c r="R11" s="64" t="s">
        <v>103</v>
      </c>
      <c r="S11" s="114">
        <v>44.136258064516134</v>
      </c>
      <c r="V11" s="64" t="s">
        <v>157</v>
      </c>
      <c r="W11" s="129">
        <v>151425</v>
      </c>
    </row>
    <row r="12" spans="2:23" x14ac:dyDescent="0.3">
      <c r="B12" s="72">
        <v>77665</v>
      </c>
      <c r="C12" s="72" t="s">
        <v>89</v>
      </c>
      <c r="D12" s="85" t="s">
        <v>117</v>
      </c>
      <c r="E12" s="86" t="s">
        <v>118</v>
      </c>
      <c r="F12" s="115">
        <v>41592</v>
      </c>
      <c r="G12" s="106">
        <v>45.936</v>
      </c>
      <c r="H12" s="106">
        <v>244</v>
      </c>
      <c r="I12" s="106">
        <v>24</v>
      </c>
      <c r="J12" s="106">
        <v>10</v>
      </c>
      <c r="K12" s="106">
        <v>24</v>
      </c>
      <c r="L12" s="106">
        <v>14</v>
      </c>
      <c r="M12" s="106">
        <v>15</v>
      </c>
      <c r="N12" s="111">
        <v>8.8000000000000007</v>
      </c>
      <c r="O12" s="85">
        <v>189</v>
      </c>
      <c r="R12" s="65" t="s">
        <v>157</v>
      </c>
      <c r="S12" s="114">
        <v>44.088000000000001</v>
      </c>
      <c r="V12" s="64" t="s">
        <v>169</v>
      </c>
      <c r="W12" s="129">
        <v>37788</v>
      </c>
    </row>
    <row r="13" spans="2:23" x14ac:dyDescent="0.3">
      <c r="B13" s="72">
        <v>77667</v>
      </c>
      <c r="C13" s="72" t="s">
        <v>77</v>
      </c>
      <c r="D13" s="87" t="s">
        <v>117</v>
      </c>
      <c r="E13" s="88" t="s">
        <v>118</v>
      </c>
      <c r="F13" s="116">
        <v>41669</v>
      </c>
      <c r="G13" s="105">
        <v>46.991999999999997</v>
      </c>
      <c r="H13" s="105">
        <v>256</v>
      </c>
      <c r="I13" s="105">
        <v>14</v>
      </c>
      <c r="J13" s="105">
        <v>8</v>
      </c>
      <c r="K13" s="105">
        <v>31</v>
      </c>
      <c r="L13" s="105">
        <v>12</v>
      </c>
      <c r="M13" s="105">
        <v>0</v>
      </c>
      <c r="N13" s="112">
        <v>8.6</v>
      </c>
      <c r="O13" s="87">
        <v>184</v>
      </c>
      <c r="R13" s="65" t="s">
        <v>74</v>
      </c>
      <c r="S13" s="114">
        <v>44.704000000000001</v>
      </c>
      <c r="V13" s="64" t="s">
        <v>126</v>
      </c>
      <c r="W13" s="129">
        <v>121161</v>
      </c>
    </row>
    <row r="14" spans="2:23" x14ac:dyDescent="0.3">
      <c r="B14" s="72">
        <v>77669</v>
      </c>
      <c r="C14" s="72" t="s">
        <v>70</v>
      </c>
      <c r="D14" s="85" t="s">
        <v>121</v>
      </c>
      <c r="E14" s="86" t="s">
        <v>122</v>
      </c>
      <c r="F14" s="115">
        <v>32654</v>
      </c>
      <c r="G14" s="106">
        <v>45.231999999999999</v>
      </c>
      <c r="H14" s="106">
        <v>245</v>
      </c>
      <c r="I14" s="106">
        <v>20</v>
      </c>
      <c r="J14" s="106">
        <v>4</v>
      </c>
      <c r="K14" s="106">
        <v>29</v>
      </c>
      <c r="L14" s="106">
        <v>17</v>
      </c>
      <c r="M14" s="106">
        <v>0</v>
      </c>
      <c r="N14" s="111">
        <v>9.3000000000000007</v>
      </c>
      <c r="O14" s="85">
        <v>170</v>
      </c>
      <c r="R14" s="65" t="s">
        <v>153</v>
      </c>
      <c r="S14" s="114">
        <v>44.175999999999995</v>
      </c>
      <c r="V14" s="64" t="s">
        <v>190</v>
      </c>
      <c r="W14" s="129">
        <v>48614</v>
      </c>
    </row>
    <row r="15" spans="2:23" x14ac:dyDescent="0.3">
      <c r="B15" s="72">
        <v>77582</v>
      </c>
      <c r="C15" s="72" t="s">
        <v>77</v>
      </c>
      <c r="D15" s="87" t="s">
        <v>117</v>
      </c>
      <c r="E15" s="88" t="s">
        <v>119</v>
      </c>
      <c r="F15" s="116">
        <v>45402</v>
      </c>
      <c r="G15" s="105">
        <v>47.08</v>
      </c>
      <c r="H15" s="105">
        <v>254</v>
      </c>
      <c r="I15" s="105">
        <v>20</v>
      </c>
      <c r="J15" s="105">
        <v>7</v>
      </c>
      <c r="K15" s="105">
        <v>22</v>
      </c>
      <c r="L15" s="105">
        <v>8</v>
      </c>
      <c r="M15" s="105">
        <v>8</v>
      </c>
      <c r="N15" s="112">
        <v>9</v>
      </c>
      <c r="O15" s="87">
        <v>181</v>
      </c>
      <c r="R15" s="65" t="s">
        <v>147</v>
      </c>
      <c r="S15" s="114">
        <v>43.647999999999996</v>
      </c>
      <c r="V15" s="64" t="s">
        <v>74</v>
      </c>
      <c r="W15" s="129">
        <v>80833</v>
      </c>
    </row>
    <row r="16" spans="2:23" x14ac:dyDescent="0.3">
      <c r="B16" s="72">
        <v>77588</v>
      </c>
      <c r="C16" s="72" t="s">
        <v>70</v>
      </c>
      <c r="D16" s="85" t="s">
        <v>117</v>
      </c>
      <c r="E16" s="86" t="s">
        <v>118</v>
      </c>
      <c r="F16" s="115">
        <v>40403</v>
      </c>
      <c r="G16" s="106">
        <v>45.231999999999999</v>
      </c>
      <c r="H16" s="106">
        <v>239</v>
      </c>
      <c r="I16" s="106">
        <v>28</v>
      </c>
      <c r="J16" s="106">
        <v>8</v>
      </c>
      <c r="K16" s="106">
        <v>29</v>
      </c>
      <c r="L16" s="106">
        <v>13</v>
      </c>
      <c r="M16" s="106">
        <v>16</v>
      </c>
      <c r="N16" s="111">
        <v>9.1</v>
      </c>
      <c r="O16" s="85">
        <v>182</v>
      </c>
      <c r="R16" s="65" t="s">
        <v>187</v>
      </c>
      <c r="S16" s="114">
        <v>44.44</v>
      </c>
      <c r="V16" s="64" t="s">
        <v>144</v>
      </c>
      <c r="W16" s="129">
        <v>35953</v>
      </c>
    </row>
    <row r="17" spans="2:23" x14ac:dyDescent="0.3">
      <c r="B17" s="72">
        <v>77666</v>
      </c>
      <c r="C17" s="72" t="s">
        <v>70</v>
      </c>
      <c r="D17" s="87" t="s">
        <v>117</v>
      </c>
      <c r="E17" s="88" t="s">
        <v>118</v>
      </c>
      <c r="F17" s="116">
        <v>51900</v>
      </c>
      <c r="G17" s="105">
        <v>45.583999999999996</v>
      </c>
      <c r="H17" s="105">
        <v>244</v>
      </c>
      <c r="I17" s="105">
        <v>20</v>
      </c>
      <c r="J17" s="105">
        <v>10</v>
      </c>
      <c r="K17" s="105">
        <v>28</v>
      </c>
      <c r="L17" s="105">
        <v>16</v>
      </c>
      <c r="M17" s="105">
        <v>0</v>
      </c>
      <c r="N17" s="112">
        <v>8.6</v>
      </c>
      <c r="O17" s="87">
        <v>190</v>
      </c>
      <c r="R17" s="65" t="s">
        <v>163</v>
      </c>
      <c r="S17" s="114">
        <v>44.351999999999997</v>
      </c>
      <c r="V17" s="64" t="s">
        <v>153</v>
      </c>
      <c r="W17" s="129">
        <v>118627</v>
      </c>
    </row>
    <row r="18" spans="2:23" x14ac:dyDescent="0.3">
      <c r="B18" s="72">
        <v>68686</v>
      </c>
      <c r="C18" s="72" t="s">
        <v>77</v>
      </c>
      <c r="D18" s="85" t="s">
        <v>117</v>
      </c>
      <c r="E18" s="86" t="s">
        <v>118</v>
      </c>
      <c r="F18" s="115">
        <v>49022</v>
      </c>
      <c r="G18" s="106">
        <v>46.287999999999997</v>
      </c>
      <c r="H18" s="106">
        <v>245</v>
      </c>
      <c r="I18" s="106">
        <v>28</v>
      </c>
      <c r="J18" s="106">
        <v>8</v>
      </c>
      <c r="K18" s="106">
        <v>8.6999999999999993</v>
      </c>
      <c r="L18" s="106">
        <v>17</v>
      </c>
      <c r="M18" s="106">
        <v>0</v>
      </c>
      <c r="N18" s="111">
        <v>9.1999999999999993</v>
      </c>
      <c r="O18" s="85">
        <v>185</v>
      </c>
      <c r="R18" s="65" t="s">
        <v>196</v>
      </c>
      <c r="S18" s="114">
        <v>43.823999999999998</v>
      </c>
      <c r="V18" s="64" t="s">
        <v>147</v>
      </c>
      <c r="W18" s="129">
        <v>51192</v>
      </c>
    </row>
    <row r="19" spans="2:23" x14ac:dyDescent="0.3">
      <c r="B19" s="72">
        <v>77678</v>
      </c>
      <c r="C19" s="74" t="s">
        <v>77</v>
      </c>
      <c r="D19" s="87" t="s">
        <v>117</v>
      </c>
      <c r="E19" s="88" t="s">
        <v>118</v>
      </c>
      <c r="F19" s="116">
        <v>41279</v>
      </c>
      <c r="G19" s="105">
        <v>46.463999999999999</v>
      </c>
      <c r="H19" s="105">
        <v>247</v>
      </c>
      <c r="I19" s="105">
        <v>26</v>
      </c>
      <c r="J19" s="105">
        <v>8</v>
      </c>
      <c r="K19" s="105">
        <v>9.8000000000000007</v>
      </c>
      <c r="L19" s="105">
        <v>0</v>
      </c>
      <c r="M19" s="105">
        <v>0</v>
      </c>
      <c r="N19" s="112">
        <v>9.9</v>
      </c>
      <c r="O19" s="87">
        <v>189</v>
      </c>
      <c r="R19" s="65" t="s">
        <v>59</v>
      </c>
      <c r="S19" s="114">
        <v>44.44</v>
      </c>
      <c r="V19" s="64" t="s">
        <v>151</v>
      </c>
      <c r="W19" s="129">
        <v>52089</v>
      </c>
    </row>
    <row r="20" spans="2:23" x14ac:dyDescent="0.3">
      <c r="B20" s="72">
        <v>77581</v>
      </c>
      <c r="C20" s="72" t="s">
        <v>77</v>
      </c>
      <c r="D20" s="85" t="s">
        <v>117</v>
      </c>
      <c r="E20" s="86" t="s">
        <v>119</v>
      </c>
      <c r="F20" s="115">
        <v>44796</v>
      </c>
      <c r="G20" s="106">
        <v>46.991999999999997</v>
      </c>
      <c r="H20" s="106">
        <v>253</v>
      </c>
      <c r="I20" s="106">
        <v>20</v>
      </c>
      <c r="J20" s="106">
        <v>8</v>
      </c>
      <c r="K20" s="106">
        <v>8.6</v>
      </c>
      <c r="L20" s="106">
        <v>10</v>
      </c>
      <c r="M20" s="106">
        <v>7</v>
      </c>
      <c r="N20" s="111">
        <v>11.2</v>
      </c>
      <c r="O20" s="85">
        <v>181</v>
      </c>
      <c r="R20" s="65" t="s">
        <v>195</v>
      </c>
      <c r="S20" s="114">
        <v>42.064</v>
      </c>
      <c r="V20" s="64" t="s">
        <v>187</v>
      </c>
      <c r="W20" s="129">
        <v>82049</v>
      </c>
    </row>
    <row r="21" spans="2:23" x14ac:dyDescent="0.3">
      <c r="B21" s="72">
        <v>68685</v>
      </c>
      <c r="C21" s="72" t="s">
        <v>77</v>
      </c>
      <c r="D21" s="87" t="s">
        <v>117</v>
      </c>
      <c r="E21" s="88" t="s">
        <v>118</v>
      </c>
      <c r="F21" s="116">
        <v>50646</v>
      </c>
      <c r="G21" s="105">
        <v>46.64</v>
      </c>
      <c r="H21" s="105">
        <v>248</v>
      </c>
      <c r="I21" s="105">
        <v>22</v>
      </c>
      <c r="J21" s="105">
        <v>12</v>
      </c>
      <c r="K21" s="105">
        <v>9.1</v>
      </c>
      <c r="L21" s="105">
        <v>8</v>
      </c>
      <c r="M21" s="105">
        <v>0</v>
      </c>
      <c r="N21" s="112">
        <v>10.3</v>
      </c>
      <c r="O21" s="87">
        <v>177</v>
      </c>
      <c r="R21" s="65" t="s">
        <v>117</v>
      </c>
      <c r="S21" s="114">
        <v>44.203999999999986</v>
      </c>
      <c r="V21" s="64" t="s">
        <v>171</v>
      </c>
      <c r="W21" s="129">
        <v>152165</v>
      </c>
    </row>
    <row r="22" spans="2:23" x14ac:dyDescent="0.3">
      <c r="B22" s="72">
        <v>66643</v>
      </c>
      <c r="C22" s="72" t="s">
        <v>89</v>
      </c>
      <c r="D22" s="85" t="s">
        <v>117</v>
      </c>
      <c r="E22" s="86" t="s">
        <v>118</v>
      </c>
      <c r="F22" s="115">
        <v>52095</v>
      </c>
      <c r="G22" s="106">
        <v>45.231999999999999</v>
      </c>
      <c r="H22" s="106">
        <v>241</v>
      </c>
      <c r="I22" s="106">
        <v>24</v>
      </c>
      <c r="J22" s="106">
        <v>8</v>
      </c>
      <c r="K22" s="106">
        <v>10.5</v>
      </c>
      <c r="L22" s="106">
        <v>18</v>
      </c>
      <c r="M22" s="106">
        <v>0</v>
      </c>
      <c r="N22" s="111">
        <v>10.8</v>
      </c>
      <c r="O22" s="85">
        <v>189</v>
      </c>
      <c r="R22" s="64" t="s">
        <v>70</v>
      </c>
      <c r="S22" s="114">
        <v>45.019999999999996</v>
      </c>
      <c r="V22" s="64" t="s">
        <v>163</v>
      </c>
      <c r="W22" s="129">
        <v>48155</v>
      </c>
    </row>
    <row r="23" spans="2:23" x14ac:dyDescent="0.3">
      <c r="B23" s="72">
        <v>77630</v>
      </c>
      <c r="C23" s="72" t="s">
        <v>89</v>
      </c>
      <c r="D23" s="87" t="s">
        <v>123</v>
      </c>
      <c r="E23" s="88" t="s">
        <v>124</v>
      </c>
      <c r="F23" s="116">
        <v>39613</v>
      </c>
      <c r="G23" s="105">
        <v>45.143999999999998</v>
      </c>
      <c r="H23" s="105">
        <v>239</v>
      </c>
      <c r="I23" s="105">
        <v>20</v>
      </c>
      <c r="J23" s="105">
        <v>15</v>
      </c>
      <c r="K23" s="105">
        <v>17</v>
      </c>
      <c r="L23" s="105">
        <v>20</v>
      </c>
      <c r="M23" s="105">
        <v>0</v>
      </c>
      <c r="N23" s="112">
        <v>9.9</v>
      </c>
      <c r="O23" s="87">
        <v>175</v>
      </c>
      <c r="R23" s="65" t="s">
        <v>179</v>
      </c>
      <c r="S23" s="114">
        <v>43.295999999999999</v>
      </c>
      <c r="V23" s="64" t="s">
        <v>133</v>
      </c>
      <c r="W23" s="129">
        <v>40907</v>
      </c>
    </row>
    <row r="24" spans="2:23" x14ac:dyDescent="0.3">
      <c r="B24" s="72">
        <v>77677</v>
      </c>
      <c r="C24" s="72" t="s">
        <v>77</v>
      </c>
      <c r="D24" s="85" t="s">
        <v>117</v>
      </c>
      <c r="E24" s="86" t="s">
        <v>118</v>
      </c>
      <c r="F24" s="115">
        <v>51373</v>
      </c>
      <c r="G24" s="106">
        <v>46.111999999999995</v>
      </c>
      <c r="H24" s="106">
        <v>250</v>
      </c>
      <c r="I24" s="106">
        <v>18</v>
      </c>
      <c r="J24" s="106">
        <v>6</v>
      </c>
      <c r="K24" s="106">
        <v>20</v>
      </c>
      <c r="L24" s="106">
        <v>4</v>
      </c>
      <c r="M24" s="106">
        <v>0</v>
      </c>
      <c r="N24" s="111">
        <v>9.3000000000000007</v>
      </c>
      <c r="O24" s="85">
        <v>188</v>
      </c>
      <c r="R24" s="65" t="s">
        <v>126</v>
      </c>
      <c r="S24" s="114">
        <v>44.527999999999999</v>
      </c>
      <c r="V24" s="64" t="s">
        <v>123</v>
      </c>
      <c r="W24" s="129">
        <v>39613</v>
      </c>
    </row>
    <row r="25" spans="2:23" x14ac:dyDescent="0.3">
      <c r="B25" s="72">
        <v>82102</v>
      </c>
      <c r="C25" s="72" t="s">
        <v>70</v>
      </c>
      <c r="D25" s="87" t="s">
        <v>117</v>
      </c>
      <c r="E25" s="88" t="s">
        <v>118</v>
      </c>
      <c r="F25" s="116">
        <v>40624</v>
      </c>
      <c r="G25" s="105">
        <v>45.936</v>
      </c>
      <c r="H25" s="105">
        <v>251</v>
      </c>
      <c r="I25" s="105">
        <v>12</v>
      </c>
      <c r="J25" s="105">
        <v>8</v>
      </c>
      <c r="K25" s="105">
        <v>24</v>
      </c>
      <c r="L25" s="105">
        <v>13</v>
      </c>
      <c r="M25" s="105">
        <v>0</v>
      </c>
      <c r="N25" s="112">
        <v>10.3</v>
      </c>
      <c r="O25" s="87">
        <v>184</v>
      </c>
      <c r="R25" s="65" t="s">
        <v>151</v>
      </c>
      <c r="S25" s="114">
        <v>42.064</v>
      </c>
      <c r="V25" s="64" t="s">
        <v>176</v>
      </c>
      <c r="W25" s="129">
        <v>40357</v>
      </c>
    </row>
    <row r="26" spans="2:23" x14ac:dyDescent="0.3">
      <c r="B26" s="72">
        <v>77676</v>
      </c>
      <c r="C26" s="72" t="s">
        <v>96</v>
      </c>
      <c r="D26" s="85" t="s">
        <v>125</v>
      </c>
      <c r="E26" s="86" t="s">
        <v>118</v>
      </c>
      <c r="F26" s="115">
        <v>48864</v>
      </c>
      <c r="G26" s="106">
        <v>45.143999999999998</v>
      </c>
      <c r="H26" s="106">
        <v>243</v>
      </c>
      <c r="I26" s="106">
        <v>18</v>
      </c>
      <c r="J26" s="106">
        <v>9</v>
      </c>
      <c r="K26" s="106">
        <v>23</v>
      </c>
      <c r="L26" s="106">
        <v>21</v>
      </c>
      <c r="M26" s="106">
        <v>0</v>
      </c>
      <c r="N26" s="111">
        <v>11</v>
      </c>
      <c r="O26" s="85">
        <v>171</v>
      </c>
      <c r="R26" s="65" t="s">
        <v>187</v>
      </c>
      <c r="S26" s="114">
        <v>44</v>
      </c>
      <c r="V26" s="64" t="s">
        <v>121</v>
      </c>
      <c r="W26" s="129">
        <v>32654</v>
      </c>
    </row>
    <row r="27" spans="2:23" x14ac:dyDescent="0.3">
      <c r="B27" s="72">
        <v>82161</v>
      </c>
      <c r="C27" s="72" t="s">
        <v>89</v>
      </c>
      <c r="D27" s="87" t="s">
        <v>117</v>
      </c>
      <c r="E27" s="88" t="s">
        <v>119</v>
      </c>
      <c r="F27" s="116">
        <v>45631</v>
      </c>
      <c r="G27" s="105">
        <v>45.583999999999996</v>
      </c>
      <c r="H27" s="105">
        <v>250</v>
      </c>
      <c r="I27" s="105">
        <v>12</v>
      </c>
      <c r="J27" s="105">
        <v>6</v>
      </c>
      <c r="K27" s="105">
        <v>21</v>
      </c>
      <c r="L27" s="105">
        <v>29</v>
      </c>
      <c r="M27" s="105">
        <v>0</v>
      </c>
      <c r="N27" s="112">
        <v>10.1</v>
      </c>
      <c r="O27" s="87">
        <v>181</v>
      </c>
      <c r="R27" s="65" t="s">
        <v>133</v>
      </c>
      <c r="S27" s="114">
        <v>45.231999999999999</v>
      </c>
      <c r="V27" s="64" t="s">
        <v>196</v>
      </c>
      <c r="W27" s="129">
        <v>49979</v>
      </c>
    </row>
    <row r="28" spans="2:23" x14ac:dyDescent="0.3">
      <c r="B28" s="72">
        <v>82103</v>
      </c>
      <c r="C28" s="72" t="s">
        <v>95</v>
      </c>
      <c r="D28" s="85" t="s">
        <v>117</v>
      </c>
      <c r="E28" s="86" t="s">
        <v>118</v>
      </c>
      <c r="F28" s="115">
        <v>49153</v>
      </c>
      <c r="G28" s="106">
        <v>47.519999999999996</v>
      </c>
      <c r="H28" s="106">
        <v>260</v>
      </c>
      <c r="I28" s="106">
        <v>8</v>
      </c>
      <c r="J28" s="106">
        <v>12</v>
      </c>
      <c r="K28" s="106">
        <v>12</v>
      </c>
      <c r="L28" s="106">
        <v>24</v>
      </c>
      <c r="M28" s="106">
        <v>2</v>
      </c>
      <c r="N28" s="111">
        <v>10</v>
      </c>
      <c r="O28" s="85">
        <v>175</v>
      </c>
      <c r="R28" s="65" t="s">
        <v>121</v>
      </c>
      <c r="S28" s="114">
        <v>45.231999999999999</v>
      </c>
      <c r="V28" s="64" t="s">
        <v>181</v>
      </c>
      <c r="W28" s="129">
        <v>20232</v>
      </c>
    </row>
    <row r="29" spans="2:23" x14ac:dyDescent="0.3">
      <c r="B29" s="72">
        <v>82105</v>
      </c>
      <c r="C29" s="72" t="s">
        <v>77</v>
      </c>
      <c r="D29" s="87" t="s">
        <v>117</v>
      </c>
      <c r="E29" s="88" t="s">
        <v>118</v>
      </c>
      <c r="F29" s="116">
        <v>53729</v>
      </c>
      <c r="G29" s="105">
        <v>46.111999999999995</v>
      </c>
      <c r="H29" s="105">
        <v>250</v>
      </c>
      <c r="I29" s="105">
        <v>18</v>
      </c>
      <c r="J29" s="105">
        <v>6</v>
      </c>
      <c r="K29" s="105">
        <v>25</v>
      </c>
      <c r="L29" s="105">
        <v>18</v>
      </c>
      <c r="M29" s="105">
        <v>2</v>
      </c>
      <c r="N29" s="112">
        <v>10.3</v>
      </c>
      <c r="O29" s="87">
        <v>173</v>
      </c>
      <c r="R29" s="65" t="s">
        <v>117</v>
      </c>
      <c r="S29" s="114">
        <v>45.380499999999998</v>
      </c>
      <c r="V29" s="64" t="s">
        <v>211</v>
      </c>
      <c r="W29" s="129">
        <v>43860</v>
      </c>
    </row>
    <row r="30" spans="2:23" x14ac:dyDescent="0.3">
      <c r="B30" s="72">
        <v>82104</v>
      </c>
      <c r="C30" s="72" t="s">
        <v>77</v>
      </c>
      <c r="D30" s="85" t="s">
        <v>117</v>
      </c>
      <c r="E30" s="86" t="s">
        <v>118</v>
      </c>
      <c r="F30" s="115">
        <v>52280</v>
      </c>
      <c r="G30" s="106">
        <v>45.583999999999996</v>
      </c>
      <c r="H30" s="106">
        <v>248</v>
      </c>
      <c r="I30" s="106">
        <v>16</v>
      </c>
      <c r="J30" s="106">
        <v>6</v>
      </c>
      <c r="K30" s="106">
        <v>23</v>
      </c>
      <c r="L30" s="106">
        <v>10</v>
      </c>
      <c r="M30" s="106">
        <v>4</v>
      </c>
      <c r="N30" s="111">
        <v>9.9</v>
      </c>
      <c r="O30" s="85">
        <v>175</v>
      </c>
      <c r="R30" s="64" t="s">
        <v>77</v>
      </c>
      <c r="S30" s="114">
        <v>46.000415999999987</v>
      </c>
      <c r="V30" s="64" t="s">
        <v>159</v>
      </c>
      <c r="W30" s="129">
        <v>82793</v>
      </c>
    </row>
    <row r="31" spans="2:23" x14ac:dyDescent="0.3">
      <c r="B31" s="72">
        <v>82108</v>
      </c>
      <c r="C31" s="72" t="s">
        <v>77</v>
      </c>
      <c r="D31" s="87" t="s">
        <v>117</v>
      </c>
      <c r="E31" s="88" t="s">
        <v>118</v>
      </c>
      <c r="F31" s="116">
        <v>38794</v>
      </c>
      <c r="G31" s="105">
        <v>46.287999999999997</v>
      </c>
      <c r="H31" s="105">
        <v>251</v>
      </c>
      <c r="I31" s="105">
        <v>14</v>
      </c>
      <c r="J31" s="105">
        <v>10</v>
      </c>
      <c r="K31" s="105">
        <v>23</v>
      </c>
      <c r="L31" s="105">
        <v>19</v>
      </c>
      <c r="M31" s="105">
        <v>4</v>
      </c>
      <c r="N31" s="112">
        <v>10.1</v>
      </c>
      <c r="O31" s="87">
        <v>171</v>
      </c>
      <c r="R31" s="65" t="s">
        <v>144</v>
      </c>
      <c r="S31" s="114">
        <v>45.936</v>
      </c>
      <c r="V31" s="64" t="s">
        <v>59</v>
      </c>
      <c r="W31" s="129">
        <v>88393</v>
      </c>
    </row>
    <row r="32" spans="2:23" x14ac:dyDescent="0.3">
      <c r="B32" s="72">
        <v>82146</v>
      </c>
      <c r="C32" s="72" t="s">
        <v>96</v>
      </c>
      <c r="D32" s="85" t="s">
        <v>126</v>
      </c>
      <c r="E32" s="86" t="s">
        <v>127</v>
      </c>
      <c r="F32" s="115">
        <v>39234</v>
      </c>
      <c r="G32" s="106">
        <v>45.055999999999997</v>
      </c>
      <c r="H32" s="106">
        <v>240</v>
      </c>
      <c r="I32" s="106">
        <v>22</v>
      </c>
      <c r="J32" s="106">
        <v>10</v>
      </c>
      <c r="K32" s="106">
        <v>21</v>
      </c>
      <c r="L32" s="106">
        <v>9</v>
      </c>
      <c r="M32" s="106">
        <v>3</v>
      </c>
      <c r="N32" s="111">
        <v>12.6</v>
      </c>
      <c r="O32" s="85">
        <v>176</v>
      </c>
      <c r="R32" s="65" t="s">
        <v>171</v>
      </c>
      <c r="S32" s="114">
        <v>41.095999999999997</v>
      </c>
      <c r="V32" s="64" t="s">
        <v>167</v>
      </c>
      <c r="W32" s="129">
        <v>55006</v>
      </c>
    </row>
    <row r="33" spans="2:23" x14ac:dyDescent="0.3">
      <c r="B33" s="72">
        <v>82109</v>
      </c>
      <c r="C33" s="72" t="s">
        <v>77</v>
      </c>
      <c r="D33" s="87" t="s">
        <v>117</v>
      </c>
      <c r="E33" s="88" t="s">
        <v>118</v>
      </c>
      <c r="F33" s="116">
        <v>52347</v>
      </c>
      <c r="G33" s="105">
        <v>46.111999999999995</v>
      </c>
      <c r="H33" s="105">
        <v>250</v>
      </c>
      <c r="I33" s="105">
        <v>14</v>
      </c>
      <c r="J33" s="105">
        <v>10</v>
      </c>
      <c r="K33" s="105">
        <v>22</v>
      </c>
      <c r="L33" s="105">
        <v>22</v>
      </c>
      <c r="M33" s="105">
        <v>4</v>
      </c>
      <c r="N33" s="112">
        <v>10.6</v>
      </c>
      <c r="O33" s="87">
        <v>188</v>
      </c>
      <c r="R33" s="65" t="s">
        <v>117</v>
      </c>
      <c r="S33" s="114">
        <v>46.216452173913041</v>
      </c>
      <c r="V33" s="64" t="s">
        <v>195</v>
      </c>
      <c r="W33" s="129">
        <v>39769</v>
      </c>
    </row>
    <row r="34" spans="2:23" x14ac:dyDescent="0.3">
      <c r="B34" s="72">
        <v>82163</v>
      </c>
      <c r="C34" s="72" t="s">
        <v>70</v>
      </c>
      <c r="D34" s="85" t="s">
        <v>117</v>
      </c>
      <c r="E34" s="86" t="s">
        <v>119</v>
      </c>
      <c r="F34" s="115">
        <v>45663</v>
      </c>
      <c r="G34" s="106">
        <v>45.583999999999996</v>
      </c>
      <c r="H34" s="106">
        <v>246</v>
      </c>
      <c r="I34" s="106">
        <v>16</v>
      </c>
      <c r="J34" s="106">
        <v>10</v>
      </c>
      <c r="K34" s="106">
        <v>25</v>
      </c>
      <c r="L34" s="106">
        <v>27</v>
      </c>
      <c r="M34" s="106">
        <v>0</v>
      </c>
      <c r="N34" s="111">
        <v>10.6</v>
      </c>
      <c r="O34" s="85">
        <v>179</v>
      </c>
      <c r="R34" s="64" t="s">
        <v>105</v>
      </c>
      <c r="S34" s="114">
        <v>42.569043478260873</v>
      </c>
      <c r="V34" s="64" t="s">
        <v>117</v>
      </c>
      <c r="W34" s="129">
        <v>3151900</v>
      </c>
    </row>
    <row r="35" spans="2:23" x14ac:dyDescent="0.3">
      <c r="B35" s="72">
        <v>70328</v>
      </c>
      <c r="C35" s="72" t="s">
        <v>77</v>
      </c>
      <c r="D35" s="87" t="s">
        <v>117</v>
      </c>
      <c r="E35" s="88" t="s">
        <v>118</v>
      </c>
      <c r="F35" s="116">
        <v>41826</v>
      </c>
      <c r="G35" s="105">
        <v>46.64</v>
      </c>
      <c r="H35" s="105">
        <v>258</v>
      </c>
      <c r="I35" s="105">
        <v>6</v>
      </c>
      <c r="J35" s="105">
        <v>8</v>
      </c>
      <c r="K35" s="105">
        <v>25</v>
      </c>
      <c r="L35" s="105">
        <v>11</v>
      </c>
      <c r="M35" s="105">
        <v>9</v>
      </c>
      <c r="N35" s="112">
        <v>10.1</v>
      </c>
      <c r="O35" s="87">
        <v>179</v>
      </c>
      <c r="R35" s="65" t="s">
        <v>172</v>
      </c>
      <c r="S35" s="114">
        <v>42.415999999999997</v>
      </c>
      <c r="V35" s="64" t="s">
        <v>125</v>
      </c>
      <c r="W35" s="129">
        <v>48864</v>
      </c>
    </row>
    <row r="36" spans="2:23" x14ac:dyDescent="0.3">
      <c r="B36" s="72">
        <v>82115</v>
      </c>
      <c r="C36" s="72" t="s">
        <v>97</v>
      </c>
      <c r="D36" s="85" t="s">
        <v>128</v>
      </c>
      <c r="E36" s="86" t="s">
        <v>129</v>
      </c>
      <c r="F36" s="115">
        <v>40055</v>
      </c>
      <c r="G36" s="106">
        <v>43.823999999999998</v>
      </c>
      <c r="H36" s="106">
        <v>234</v>
      </c>
      <c r="I36" s="106">
        <v>16</v>
      </c>
      <c r="J36" s="106">
        <v>14</v>
      </c>
      <c r="K36" s="106">
        <v>21</v>
      </c>
      <c r="L36" s="106">
        <v>24</v>
      </c>
      <c r="M36" s="106">
        <v>4</v>
      </c>
      <c r="N36" s="111">
        <v>11</v>
      </c>
      <c r="O36" s="85">
        <v>172</v>
      </c>
      <c r="R36" s="65" t="s">
        <v>149</v>
      </c>
      <c r="S36" s="114">
        <v>42.591999999999999</v>
      </c>
      <c r="V36" s="64" t="s">
        <v>84</v>
      </c>
      <c r="W36" s="129">
        <v>4926764</v>
      </c>
    </row>
    <row r="37" spans="2:23" x14ac:dyDescent="0.3">
      <c r="B37" s="72">
        <v>82486</v>
      </c>
      <c r="C37" s="72" t="s">
        <v>89</v>
      </c>
      <c r="D37" s="87" t="s">
        <v>126</v>
      </c>
      <c r="E37" s="88" t="s">
        <v>130</v>
      </c>
      <c r="F37" s="116">
        <v>41073</v>
      </c>
      <c r="G37" s="105">
        <v>45.583999999999996</v>
      </c>
      <c r="H37" s="105">
        <v>245</v>
      </c>
      <c r="I37" s="105">
        <v>18</v>
      </c>
      <c r="J37" s="105">
        <v>10</v>
      </c>
      <c r="K37" s="105">
        <v>22</v>
      </c>
      <c r="L37" s="105">
        <v>9</v>
      </c>
      <c r="M37" s="105">
        <v>3</v>
      </c>
      <c r="N37" s="112">
        <v>11.4</v>
      </c>
      <c r="O37" s="87">
        <v>177</v>
      </c>
      <c r="R37" s="65" t="s">
        <v>179</v>
      </c>
      <c r="S37" s="114">
        <v>43.031999999999996</v>
      </c>
    </row>
    <row r="38" spans="2:23" x14ac:dyDescent="0.3">
      <c r="B38" s="72">
        <v>70329</v>
      </c>
      <c r="C38" s="72" t="s">
        <v>77</v>
      </c>
      <c r="D38" s="85" t="s">
        <v>117</v>
      </c>
      <c r="E38" s="86" t="s">
        <v>118</v>
      </c>
      <c r="F38" s="115">
        <v>50688</v>
      </c>
      <c r="G38" s="106">
        <v>46.111999999999995</v>
      </c>
      <c r="H38" s="106">
        <v>247</v>
      </c>
      <c r="I38" s="106">
        <v>14</v>
      </c>
      <c r="J38" s="106">
        <v>16</v>
      </c>
      <c r="K38" s="106">
        <v>16</v>
      </c>
      <c r="L38" s="106">
        <v>8</v>
      </c>
      <c r="M38" s="106">
        <v>4</v>
      </c>
      <c r="N38" s="111">
        <v>9.9</v>
      </c>
      <c r="O38" s="85">
        <v>185</v>
      </c>
      <c r="R38" s="65" t="s">
        <v>157</v>
      </c>
      <c r="S38" s="114">
        <v>42.562666666666665</v>
      </c>
    </row>
    <row r="39" spans="2:23" x14ac:dyDescent="0.3">
      <c r="B39" s="72">
        <v>72634</v>
      </c>
      <c r="C39" s="72" t="s">
        <v>70</v>
      </c>
      <c r="D39" s="87" t="s">
        <v>117</v>
      </c>
      <c r="E39" s="88" t="s">
        <v>131</v>
      </c>
      <c r="F39" s="116">
        <v>33376</v>
      </c>
      <c r="G39" s="105">
        <v>44.879999999999995</v>
      </c>
      <c r="H39" s="105">
        <v>241</v>
      </c>
      <c r="I39" s="105">
        <v>18</v>
      </c>
      <c r="J39" s="105">
        <v>10</v>
      </c>
      <c r="K39" s="105">
        <v>23</v>
      </c>
      <c r="L39" s="105">
        <v>27</v>
      </c>
      <c r="M39" s="105">
        <v>0</v>
      </c>
      <c r="N39" s="112">
        <v>9.3000000000000007</v>
      </c>
      <c r="O39" s="87">
        <v>193</v>
      </c>
      <c r="R39" s="65" t="s">
        <v>169</v>
      </c>
      <c r="S39" s="114">
        <v>42.503999999999998</v>
      </c>
    </row>
    <row r="40" spans="2:23" x14ac:dyDescent="0.3">
      <c r="B40" s="72">
        <v>83396</v>
      </c>
      <c r="C40" s="72" t="s">
        <v>70</v>
      </c>
      <c r="D40" s="85" t="s">
        <v>117</v>
      </c>
      <c r="E40" s="86" t="s">
        <v>118</v>
      </c>
      <c r="F40" s="115">
        <v>51174</v>
      </c>
      <c r="G40" s="106">
        <v>47.167999999999999</v>
      </c>
      <c r="H40" s="106">
        <v>256</v>
      </c>
      <c r="I40" s="106">
        <v>14</v>
      </c>
      <c r="J40" s="106">
        <v>10</v>
      </c>
      <c r="K40" s="106">
        <v>18</v>
      </c>
      <c r="L40" s="106">
        <v>18</v>
      </c>
      <c r="M40" s="106">
        <v>3</v>
      </c>
      <c r="N40" s="111">
        <v>10.199999999999999</v>
      </c>
      <c r="O40" s="85">
        <v>186</v>
      </c>
      <c r="R40" s="65" t="s">
        <v>190</v>
      </c>
      <c r="S40" s="114">
        <v>42.064</v>
      </c>
    </row>
    <row r="41" spans="2:23" x14ac:dyDescent="0.3">
      <c r="B41" s="72">
        <v>82487</v>
      </c>
      <c r="C41" s="72" t="s">
        <v>70</v>
      </c>
      <c r="D41" s="87" t="s">
        <v>126</v>
      </c>
      <c r="E41" s="88" t="s">
        <v>127</v>
      </c>
      <c r="F41" s="116">
        <v>40854</v>
      </c>
      <c r="G41" s="105">
        <v>44.527999999999999</v>
      </c>
      <c r="H41" s="105">
        <v>234</v>
      </c>
      <c r="I41" s="105">
        <v>28</v>
      </c>
      <c r="J41" s="105">
        <v>10</v>
      </c>
      <c r="K41" s="105">
        <v>18</v>
      </c>
      <c r="L41" s="105">
        <v>10</v>
      </c>
      <c r="M41" s="105">
        <v>2</v>
      </c>
      <c r="N41" s="112">
        <v>11.9</v>
      </c>
      <c r="O41" s="87">
        <v>189</v>
      </c>
      <c r="R41" s="65" t="s">
        <v>74</v>
      </c>
      <c r="S41" s="114">
        <v>42.503999999999998</v>
      </c>
    </row>
    <row r="42" spans="2:23" x14ac:dyDescent="0.3">
      <c r="B42" s="72">
        <v>77595</v>
      </c>
      <c r="C42" s="72" t="s">
        <v>70</v>
      </c>
      <c r="D42" s="85" t="s">
        <v>117</v>
      </c>
      <c r="E42" s="86" t="s">
        <v>132</v>
      </c>
      <c r="F42" s="115">
        <v>40335</v>
      </c>
      <c r="G42" s="106">
        <v>45.055999999999997</v>
      </c>
      <c r="H42" s="106">
        <v>240</v>
      </c>
      <c r="I42" s="106">
        <v>18</v>
      </c>
      <c r="J42" s="106">
        <v>14</v>
      </c>
      <c r="K42" s="106">
        <v>29</v>
      </c>
      <c r="L42" s="106">
        <v>8</v>
      </c>
      <c r="M42" s="106">
        <v>3</v>
      </c>
      <c r="N42" s="111">
        <v>9</v>
      </c>
      <c r="O42" s="85">
        <v>189</v>
      </c>
      <c r="R42" s="65" t="s">
        <v>153</v>
      </c>
      <c r="S42" s="114">
        <v>42.68</v>
      </c>
    </row>
    <row r="43" spans="2:23" x14ac:dyDescent="0.3">
      <c r="B43" s="72">
        <v>83395</v>
      </c>
      <c r="C43" s="72" t="s">
        <v>70</v>
      </c>
      <c r="D43" s="87" t="s">
        <v>117</v>
      </c>
      <c r="E43" s="88" t="s">
        <v>118</v>
      </c>
      <c r="F43" s="116">
        <v>40227</v>
      </c>
      <c r="G43" s="105">
        <v>45.936</v>
      </c>
      <c r="H43" s="105">
        <v>245</v>
      </c>
      <c r="I43" s="105">
        <v>18</v>
      </c>
      <c r="J43" s="105">
        <v>14</v>
      </c>
      <c r="K43" s="105">
        <v>23</v>
      </c>
      <c r="L43" s="105">
        <v>8</v>
      </c>
      <c r="M43" s="105">
        <v>2</v>
      </c>
      <c r="N43" s="112">
        <v>10.8</v>
      </c>
      <c r="O43" s="87">
        <v>183</v>
      </c>
      <c r="R43" s="65" t="s">
        <v>171</v>
      </c>
      <c r="S43" s="114">
        <v>42.239999999999995</v>
      </c>
    </row>
    <row r="44" spans="2:23" x14ac:dyDescent="0.3">
      <c r="B44" s="72">
        <v>83394</v>
      </c>
      <c r="C44" s="72" t="s">
        <v>70</v>
      </c>
      <c r="D44" s="85" t="s">
        <v>117</v>
      </c>
      <c r="E44" s="86" t="s">
        <v>118</v>
      </c>
      <c r="F44" s="115">
        <v>53411</v>
      </c>
      <c r="G44" s="106">
        <v>45.407999999999994</v>
      </c>
      <c r="H44" s="106">
        <v>238</v>
      </c>
      <c r="I44" s="106">
        <v>22</v>
      </c>
      <c r="J44" s="106">
        <v>18</v>
      </c>
      <c r="K44" s="106">
        <v>28</v>
      </c>
      <c r="L44" s="106">
        <v>14</v>
      </c>
      <c r="M44" s="106"/>
      <c r="N44" s="111">
        <v>9.9</v>
      </c>
      <c r="O44" s="85">
        <v>188</v>
      </c>
      <c r="R44" s="65" t="s">
        <v>176</v>
      </c>
      <c r="S44" s="114">
        <v>42.152000000000001</v>
      </c>
    </row>
    <row r="45" spans="2:23" x14ac:dyDescent="0.3">
      <c r="B45" s="72">
        <v>82476</v>
      </c>
      <c r="C45" s="72" t="s">
        <v>97</v>
      </c>
      <c r="D45" s="87" t="s">
        <v>121</v>
      </c>
      <c r="E45" s="88" t="s">
        <v>122</v>
      </c>
      <c r="F45" s="116">
        <v>28453</v>
      </c>
      <c r="G45" s="105">
        <v>44.791999999999994</v>
      </c>
      <c r="H45" s="105">
        <v>241</v>
      </c>
      <c r="I45" s="105">
        <v>16</v>
      </c>
      <c r="J45" s="105">
        <v>11</v>
      </c>
      <c r="K45" s="105">
        <v>25</v>
      </c>
      <c r="L45" s="105">
        <v>6</v>
      </c>
      <c r="M45" s="105">
        <v>2</v>
      </c>
      <c r="N45" s="112">
        <v>9.8000000000000007</v>
      </c>
      <c r="O45" s="87">
        <v>176</v>
      </c>
      <c r="R45" s="65" t="s">
        <v>181</v>
      </c>
      <c r="S45" s="114">
        <v>42.415999999999997</v>
      </c>
    </row>
    <row r="46" spans="2:23" x14ac:dyDescent="0.3">
      <c r="B46" s="72">
        <v>82480</v>
      </c>
      <c r="C46" s="72" t="s">
        <v>77</v>
      </c>
      <c r="D46" s="85" t="s">
        <v>117</v>
      </c>
      <c r="E46" s="86" t="s">
        <v>118</v>
      </c>
      <c r="F46" s="115">
        <v>52055</v>
      </c>
      <c r="G46" s="106">
        <v>46.287999999999997</v>
      </c>
      <c r="H46" s="106">
        <v>248</v>
      </c>
      <c r="I46" s="106">
        <v>16</v>
      </c>
      <c r="J46" s="106">
        <v>14</v>
      </c>
      <c r="K46" s="106">
        <v>27</v>
      </c>
      <c r="L46" s="106">
        <v>6</v>
      </c>
      <c r="M46" s="106">
        <v>2</v>
      </c>
      <c r="N46" s="111">
        <v>9.8000000000000007</v>
      </c>
      <c r="O46" s="85">
        <v>184</v>
      </c>
      <c r="R46" s="65" t="s">
        <v>211</v>
      </c>
      <c r="S46" s="114">
        <v>41.711999999999996</v>
      </c>
    </row>
    <row r="47" spans="2:23" x14ac:dyDescent="0.3">
      <c r="B47" s="72">
        <v>72609</v>
      </c>
      <c r="C47" s="72" t="s">
        <v>70</v>
      </c>
      <c r="D47" s="87" t="s">
        <v>133</v>
      </c>
      <c r="E47" s="88" t="s">
        <v>134</v>
      </c>
      <c r="F47" s="116">
        <v>40907</v>
      </c>
      <c r="G47" s="105">
        <v>45.231999999999999</v>
      </c>
      <c r="H47" s="105">
        <v>242</v>
      </c>
      <c r="I47" s="105">
        <v>14</v>
      </c>
      <c r="J47" s="105">
        <v>16</v>
      </c>
      <c r="K47" s="105">
        <v>24</v>
      </c>
      <c r="L47" s="105">
        <v>20</v>
      </c>
      <c r="M47" s="105">
        <v>2</v>
      </c>
      <c r="N47" s="112">
        <v>8.4</v>
      </c>
      <c r="O47" s="87">
        <v>192</v>
      </c>
      <c r="R47" s="65" t="s">
        <v>159</v>
      </c>
      <c r="S47" s="114">
        <v>43.339999999999996</v>
      </c>
    </row>
    <row r="48" spans="2:23" x14ac:dyDescent="0.3">
      <c r="B48" s="75">
        <v>83398</v>
      </c>
      <c r="C48" s="75" t="s">
        <v>97</v>
      </c>
      <c r="D48" s="89" t="s">
        <v>135</v>
      </c>
      <c r="E48" s="90" t="s">
        <v>136</v>
      </c>
      <c r="F48" s="117">
        <v>31511</v>
      </c>
      <c r="G48" s="107">
        <v>44.351999999999997</v>
      </c>
      <c r="H48" s="107">
        <v>236</v>
      </c>
      <c r="I48" s="107">
        <v>20</v>
      </c>
      <c r="J48" s="107">
        <v>12</v>
      </c>
      <c r="K48" s="107">
        <v>32</v>
      </c>
      <c r="L48" s="107">
        <v>16</v>
      </c>
      <c r="M48" s="107">
        <v>2</v>
      </c>
      <c r="N48" s="107">
        <v>9.9</v>
      </c>
      <c r="O48" s="107">
        <v>186</v>
      </c>
      <c r="R48" s="65" t="s">
        <v>59</v>
      </c>
      <c r="S48" s="114">
        <v>42.415999999999997</v>
      </c>
    </row>
    <row r="49" spans="2:19" x14ac:dyDescent="0.3">
      <c r="B49" s="75">
        <v>82162</v>
      </c>
      <c r="C49" s="75" t="s">
        <v>97</v>
      </c>
      <c r="D49" s="91" t="s">
        <v>117</v>
      </c>
      <c r="E49" s="88" t="s">
        <v>119</v>
      </c>
      <c r="F49" s="116">
        <v>44460</v>
      </c>
      <c r="G49" s="108">
        <v>44.616</v>
      </c>
      <c r="H49" s="108">
        <v>242</v>
      </c>
      <c r="I49" s="108">
        <v>10</v>
      </c>
      <c r="J49" s="108">
        <v>13</v>
      </c>
      <c r="K49" s="108">
        <v>29</v>
      </c>
      <c r="L49" s="108">
        <v>19</v>
      </c>
      <c r="M49" s="108">
        <v>2</v>
      </c>
      <c r="N49" s="108">
        <v>9.8000000000000007</v>
      </c>
      <c r="O49" s="108">
        <v>182</v>
      </c>
      <c r="R49" s="65" t="s">
        <v>167</v>
      </c>
      <c r="S49" s="114">
        <v>42.855999999999995</v>
      </c>
    </row>
    <row r="50" spans="2:19" x14ac:dyDescent="0.3">
      <c r="B50" s="75">
        <v>82477</v>
      </c>
      <c r="C50" s="75" t="s">
        <v>97</v>
      </c>
      <c r="D50" s="89" t="s">
        <v>117</v>
      </c>
      <c r="E50" s="86" t="s">
        <v>118</v>
      </c>
      <c r="F50" s="115">
        <v>51870</v>
      </c>
      <c r="G50" s="107">
        <v>44.263999999999996</v>
      </c>
      <c r="H50" s="107">
        <v>238</v>
      </c>
      <c r="I50" s="107">
        <v>16</v>
      </c>
      <c r="J50" s="107">
        <v>11</v>
      </c>
      <c r="K50" s="107">
        <v>29</v>
      </c>
      <c r="L50" s="107">
        <v>22</v>
      </c>
      <c r="M50" s="107">
        <v>3</v>
      </c>
      <c r="N50" s="107">
        <v>9.5</v>
      </c>
      <c r="O50" s="107">
        <v>187</v>
      </c>
      <c r="R50" s="65" t="s">
        <v>117</v>
      </c>
      <c r="S50" s="114">
        <v>42.738666666666667</v>
      </c>
    </row>
    <row r="51" spans="2:19" x14ac:dyDescent="0.3">
      <c r="B51" s="75">
        <v>82110</v>
      </c>
      <c r="C51" s="75" t="s">
        <v>70</v>
      </c>
      <c r="D51" s="91" t="s">
        <v>117</v>
      </c>
      <c r="E51" s="88" t="s">
        <v>118</v>
      </c>
      <c r="F51" s="116">
        <v>53155</v>
      </c>
      <c r="G51" s="108">
        <v>44.879999999999995</v>
      </c>
      <c r="H51" s="108">
        <v>244</v>
      </c>
      <c r="I51" s="108">
        <v>14</v>
      </c>
      <c r="J51" s="108">
        <v>8</v>
      </c>
      <c r="K51" s="108">
        <v>28</v>
      </c>
      <c r="L51" s="108">
        <v>19</v>
      </c>
      <c r="M51" s="108">
        <v>2</v>
      </c>
      <c r="N51" s="108">
        <v>9.1</v>
      </c>
      <c r="O51" s="108">
        <v>188</v>
      </c>
      <c r="R51" s="64" t="s">
        <v>89</v>
      </c>
      <c r="S51" s="114">
        <v>45.495999999999995</v>
      </c>
    </row>
    <row r="52" spans="2:19" x14ac:dyDescent="0.3">
      <c r="B52" s="75">
        <v>82478</v>
      </c>
      <c r="C52" s="75" t="s">
        <v>77</v>
      </c>
      <c r="D52" s="89" t="s">
        <v>117</v>
      </c>
      <c r="E52" s="86" t="s">
        <v>118</v>
      </c>
      <c r="F52" s="115">
        <v>41855</v>
      </c>
      <c r="G52" s="107">
        <v>45.936</v>
      </c>
      <c r="H52" s="107">
        <v>245</v>
      </c>
      <c r="I52" s="107">
        <v>18</v>
      </c>
      <c r="J52" s="107">
        <v>14</v>
      </c>
      <c r="K52" s="107">
        <v>23</v>
      </c>
      <c r="L52" s="107">
        <v>8</v>
      </c>
      <c r="M52" s="107">
        <v>2</v>
      </c>
      <c r="N52" s="107">
        <v>10.8</v>
      </c>
      <c r="O52" s="107">
        <v>183</v>
      </c>
      <c r="R52" s="65" t="s">
        <v>126</v>
      </c>
      <c r="S52" s="114">
        <v>45.583999999999996</v>
      </c>
    </row>
    <row r="53" spans="2:19" x14ac:dyDescent="0.3">
      <c r="B53" s="75">
        <v>82479</v>
      </c>
      <c r="C53" s="75" t="s">
        <v>70</v>
      </c>
      <c r="D53" s="91" t="s">
        <v>117</v>
      </c>
      <c r="E53" s="88" t="s">
        <v>118</v>
      </c>
      <c r="F53" s="116">
        <v>41122</v>
      </c>
      <c r="G53" s="108">
        <v>45.847999999999999</v>
      </c>
      <c r="H53" s="108">
        <v>248</v>
      </c>
      <c r="I53" s="108">
        <v>13</v>
      </c>
      <c r="J53" s="108">
        <v>12</v>
      </c>
      <c r="K53" s="108">
        <v>29</v>
      </c>
      <c r="L53" s="108">
        <v>18</v>
      </c>
      <c r="M53" s="108">
        <v>3</v>
      </c>
      <c r="N53" s="108">
        <v>9.3000000000000007</v>
      </c>
      <c r="O53" s="108">
        <v>180</v>
      </c>
      <c r="R53" s="65" t="s">
        <v>123</v>
      </c>
      <c r="S53" s="114">
        <v>45.143999999999998</v>
      </c>
    </row>
    <row r="54" spans="2:19" x14ac:dyDescent="0.3">
      <c r="B54" s="75">
        <v>83407</v>
      </c>
      <c r="C54" s="75" t="s">
        <v>97</v>
      </c>
      <c r="D54" s="89" t="s">
        <v>117</v>
      </c>
      <c r="E54" s="86" t="s">
        <v>118</v>
      </c>
      <c r="F54" s="115">
        <v>42285</v>
      </c>
      <c r="G54" s="107">
        <v>44.527999999999999</v>
      </c>
      <c r="H54" s="107">
        <v>243</v>
      </c>
      <c r="I54" s="107">
        <v>6</v>
      </c>
      <c r="J54" s="107">
        <v>14</v>
      </c>
      <c r="K54" s="107">
        <v>27</v>
      </c>
      <c r="L54" s="107">
        <v>21</v>
      </c>
      <c r="M54" s="107">
        <v>2</v>
      </c>
      <c r="N54" s="107">
        <v>9.4</v>
      </c>
      <c r="O54" s="107">
        <v>175</v>
      </c>
      <c r="R54" s="65" t="s">
        <v>117</v>
      </c>
      <c r="S54" s="114">
        <v>45.584000000000003</v>
      </c>
    </row>
    <row r="55" spans="2:19" x14ac:dyDescent="0.3">
      <c r="B55" s="75">
        <v>83406</v>
      </c>
      <c r="C55" s="75" t="s">
        <v>97</v>
      </c>
      <c r="D55" s="91" t="s">
        <v>117</v>
      </c>
      <c r="E55" s="88" t="s">
        <v>119</v>
      </c>
      <c r="F55" s="116">
        <v>45728</v>
      </c>
      <c r="G55" s="108">
        <v>44.527999999999999</v>
      </c>
      <c r="H55" s="108">
        <v>240</v>
      </c>
      <c r="I55" s="108">
        <v>12</v>
      </c>
      <c r="J55" s="108">
        <v>14</v>
      </c>
      <c r="K55" s="108">
        <v>29</v>
      </c>
      <c r="L55" s="108">
        <v>18</v>
      </c>
      <c r="M55" s="108">
        <v>2</v>
      </c>
      <c r="N55" s="108">
        <v>9.6</v>
      </c>
      <c r="O55" s="108">
        <v>181</v>
      </c>
      <c r="R55" s="64" t="s">
        <v>84</v>
      </c>
      <c r="S55" s="114">
        <v>44.493526605504584</v>
      </c>
    </row>
    <row r="56" spans="2:19" x14ac:dyDescent="0.3">
      <c r="B56" s="75">
        <v>82015</v>
      </c>
      <c r="C56" s="75" t="s">
        <v>97</v>
      </c>
      <c r="D56" s="89" t="s">
        <v>123</v>
      </c>
      <c r="E56" s="90" t="s">
        <v>137</v>
      </c>
      <c r="F56" s="117">
        <v>45127</v>
      </c>
      <c r="G56" s="107">
        <v>44.175999999999995</v>
      </c>
      <c r="H56" s="107">
        <v>238</v>
      </c>
      <c r="I56" s="107">
        <v>12</v>
      </c>
      <c r="J56" s="107">
        <v>14</v>
      </c>
      <c r="K56" s="107">
        <v>27</v>
      </c>
      <c r="L56" s="107">
        <v>32</v>
      </c>
      <c r="M56" s="107">
        <v>0</v>
      </c>
      <c r="N56" s="107">
        <v>8.9</v>
      </c>
      <c r="O56" s="107">
        <v>181</v>
      </c>
    </row>
    <row r="57" spans="2:19" x14ac:dyDescent="0.3">
      <c r="B57" s="75">
        <v>84376</v>
      </c>
      <c r="C57" s="75" t="s">
        <v>97</v>
      </c>
      <c r="D57" s="91" t="s">
        <v>138</v>
      </c>
      <c r="E57" s="88" t="s">
        <v>129</v>
      </c>
      <c r="F57" s="116">
        <v>40241</v>
      </c>
      <c r="G57" s="108">
        <v>44.175999999999995</v>
      </c>
      <c r="H57" s="108">
        <v>238</v>
      </c>
      <c r="I57" s="108">
        <v>10</v>
      </c>
      <c r="J57" s="108">
        <v>16</v>
      </c>
      <c r="K57" s="108">
        <v>26</v>
      </c>
      <c r="L57" s="108">
        <v>18</v>
      </c>
      <c r="M57" s="108">
        <v>3</v>
      </c>
      <c r="N57" s="108">
        <v>10.199999999999999</v>
      </c>
      <c r="O57" s="108">
        <v>174</v>
      </c>
    </row>
    <row r="58" spans="2:19" x14ac:dyDescent="0.3">
      <c r="B58" s="75">
        <v>82296</v>
      </c>
      <c r="C58" s="75" t="s">
        <v>97</v>
      </c>
      <c r="D58" s="89" t="s">
        <v>139</v>
      </c>
      <c r="E58" s="90" t="s">
        <v>140</v>
      </c>
      <c r="F58" s="117">
        <v>40233</v>
      </c>
      <c r="G58" s="107">
        <v>44.175999999999995</v>
      </c>
      <c r="H58" s="107">
        <v>240</v>
      </c>
      <c r="I58" s="107">
        <v>12</v>
      </c>
      <c r="J58" s="107">
        <v>10</v>
      </c>
      <c r="K58" s="107">
        <v>24</v>
      </c>
      <c r="L58" s="107">
        <v>19</v>
      </c>
      <c r="M58" s="107">
        <v>3</v>
      </c>
      <c r="N58" s="107">
        <v>9.8000000000000007</v>
      </c>
      <c r="O58" s="107">
        <v>172</v>
      </c>
    </row>
    <row r="59" spans="2:19" x14ac:dyDescent="0.3">
      <c r="B59" s="76">
        <v>82495</v>
      </c>
      <c r="C59" s="76" t="s">
        <v>98</v>
      </c>
      <c r="D59" s="91" t="s">
        <v>141</v>
      </c>
      <c r="E59" s="92" t="s">
        <v>142</v>
      </c>
      <c r="F59" s="118">
        <v>45590</v>
      </c>
      <c r="G59" s="108">
        <v>44.351999999999997</v>
      </c>
      <c r="H59" s="108">
        <v>233</v>
      </c>
      <c r="I59" s="108">
        <v>20</v>
      </c>
      <c r="J59" s="108">
        <v>18</v>
      </c>
      <c r="K59" s="108">
        <v>30</v>
      </c>
      <c r="L59" s="108">
        <v>11</v>
      </c>
      <c r="M59" s="108">
        <v>3</v>
      </c>
      <c r="N59" s="108">
        <v>11.2</v>
      </c>
      <c r="O59" s="108">
        <v>183</v>
      </c>
    </row>
    <row r="60" spans="2:19" x14ac:dyDescent="0.3">
      <c r="B60" s="75">
        <v>83408</v>
      </c>
      <c r="C60" s="75" t="s">
        <v>97</v>
      </c>
      <c r="D60" s="89" t="s">
        <v>117</v>
      </c>
      <c r="E60" s="86" t="s">
        <v>118</v>
      </c>
      <c r="F60" s="115">
        <v>42323</v>
      </c>
      <c r="G60" s="107">
        <v>44.351999999999997</v>
      </c>
      <c r="H60" s="107">
        <v>243</v>
      </c>
      <c r="I60" s="107">
        <v>6</v>
      </c>
      <c r="J60" s="107">
        <v>12</v>
      </c>
      <c r="K60" s="107">
        <v>24</v>
      </c>
      <c r="L60" s="107">
        <v>29</v>
      </c>
      <c r="M60" s="107">
        <v>2</v>
      </c>
      <c r="N60" s="107">
        <v>8.6</v>
      </c>
      <c r="O60" s="107">
        <v>190</v>
      </c>
    </row>
    <row r="61" spans="2:19" x14ac:dyDescent="0.3">
      <c r="B61" s="75">
        <v>83409</v>
      </c>
      <c r="C61" s="75" t="s">
        <v>70</v>
      </c>
      <c r="D61" s="91" t="s">
        <v>117</v>
      </c>
      <c r="E61" s="88" t="s">
        <v>118</v>
      </c>
      <c r="F61" s="116">
        <v>51029</v>
      </c>
      <c r="G61" s="108">
        <v>43.911999999999999</v>
      </c>
      <c r="H61" s="108">
        <v>241</v>
      </c>
      <c r="I61" s="108">
        <v>17</v>
      </c>
      <c r="J61" s="108"/>
      <c r="K61" s="108">
        <v>28</v>
      </c>
      <c r="L61" s="108">
        <v>20</v>
      </c>
      <c r="M61" s="108">
        <v>2</v>
      </c>
      <c r="N61" s="108">
        <v>9.1</v>
      </c>
      <c r="O61" s="108">
        <v>187</v>
      </c>
    </row>
    <row r="62" spans="2:19" x14ac:dyDescent="0.3">
      <c r="B62" s="75">
        <v>84377</v>
      </c>
      <c r="C62" s="75" t="s">
        <v>97</v>
      </c>
      <c r="D62" s="89" t="s">
        <v>128</v>
      </c>
      <c r="E62" s="90" t="s">
        <v>129</v>
      </c>
      <c r="F62" s="117">
        <v>45172</v>
      </c>
      <c r="G62" s="107">
        <v>42.943999999999996</v>
      </c>
      <c r="H62" s="107">
        <v>239</v>
      </c>
      <c r="I62" s="107">
        <v>10</v>
      </c>
      <c r="J62" s="107"/>
      <c r="K62" s="107">
        <v>18</v>
      </c>
      <c r="L62" s="107">
        <v>28</v>
      </c>
      <c r="M62" s="107">
        <v>3</v>
      </c>
      <c r="N62" s="107">
        <v>8.8000000000000007</v>
      </c>
      <c r="O62" s="107">
        <v>169</v>
      </c>
    </row>
    <row r="63" spans="2:19" x14ac:dyDescent="0.3">
      <c r="B63" s="75">
        <v>83410</v>
      </c>
      <c r="C63" s="75" t="s">
        <v>77</v>
      </c>
      <c r="D63" s="91" t="s">
        <v>117</v>
      </c>
      <c r="E63" s="88" t="s">
        <v>118</v>
      </c>
      <c r="F63" s="116">
        <v>41182</v>
      </c>
      <c r="G63" s="108">
        <v>45.698399999999992</v>
      </c>
      <c r="H63" s="108">
        <v>247</v>
      </c>
      <c r="I63" s="108">
        <v>9.3000000000000007</v>
      </c>
      <c r="J63" s="108">
        <v>16</v>
      </c>
      <c r="K63" s="108">
        <v>24</v>
      </c>
      <c r="L63" s="108">
        <v>24</v>
      </c>
      <c r="M63" s="108">
        <v>2</v>
      </c>
      <c r="N63" s="108">
        <v>9.3000000000000007</v>
      </c>
      <c r="O63" s="108">
        <v>182</v>
      </c>
    </row>
    <row r="64" spans="2:19" x14ac:dyDescent="0.3">
      <c r="B64" s="75">
        <v>83411</v>
      </c>
      <c r="C64" s="75" t="s">
        <v>99</v>
      </c>
      <c r="D64" s="89" t="s">
        <v>117</v>
      </c>
      <c r="E64" s="86" t="s">
        <v>118</v>
      </c>
      <c r="F64" s="115">
        <v>41220</v>
      </c>
      <c r="G64" s="107">
        <v>46.2</v>
      </c>
      <c r="H64" s="107">
        <v>249</v>
      </c>
      <c r="I64" s="107">
        <v>8</v>
      </c>
      <c r="J64" s="107">
        <v>18</v>
      </c>
      <c r="K64" s="107">
        <v>22</v>
      </c>
      <c r="L64" s="107">
        <v>0</v>
      </c>
      <c r="M64" s="107">
        <v>2</v>
      </c>
      <c r="N64" s="107">
        <v>10.1</v>
      </c>
      <c r="O64" s="107">
        <v>185</v>
      </c>
    </row>
    <row r="65" spans="2:15" x14ac:dyDescent="0.3">
      <c r="B65" s="75">
        <v>82173</v>
      </c>
      <c r="C65" s="75" t="s">
        <v>100</v>
      </c>
      <c r="D65" s="91" t="s">
        <v>128</v>
      </c>
      <c r="E65" s="92" t="s">
        <v>129</v>
      </c>
      <c r="F65" s="118">
        <v>39950</v>
      </c>
      <c r="G65" s="108">
        <v>41.975999999999999</v>
      </c>
      <c r="H65" s="108">
        <v>223</v>
      </c>
      <c r="I65" s="108">
        <v>15</v>
      </c>
      <c r="J65" s="108">
        <v>16</v>
      </c>
      <c r="K65" s="108">
        <v>23</v>
      </c>
      <c r="L65" s="108">
        <v>29</v>
      </c>
      <c r="M65" s="108">
        <v>3</v>
      </c>
      <c r="N65" s="108">
        <v>8.8000000000000007</v>
      </c>
      <c r="O65" s="108">
        <v>170</v>
      </c>
    </row>
    <row r="66" spans="2:15" x14ac:dyDescent="0.3">
      <c r="B66" s="75">
        <v>83404</v>
      </c>
      <c r="C66" s="75" t="s">
        <v>101</v>
      </c>
      <c r="D66" s="89" t="s">
        <v>117</v>
      </c>
      <c r="E66" s="86" t="s">
        <v>119</v>
      </c>
      <c r="F66" s="115">
        <v>45835</v>
      </c>
      <c r="G66" s="107">
        <v>42.591999999999999</v>
      </c>
      <c r="H66" s="107">
        <v>229</v>
      </c>
      <c r="I66" s="107">
        <v>12</v>
      </c>
      <c r="J66" s="107">
        <v>14</v>
      </c>
      <c r="K66" s="107">
        <v>39</v>
      </c>
      <c r="L66" s="107">
        <v>24</v>
      </c>
      <c r="M66" s="107">
        <v>0</v>
      </c>
      <c r="N66" s="107">
        <v>9.3000000000000007</v>
      </c>
      <c r="O66" s="107">
        <v>185</v>
      </c>
    </row>
    <row r="67" spans="2:15" x14ac:dyDescent="0.3">
      <c r="B67" s="75">
        <v>82496</v>
      </c>
      <c r="C67" s="75" t="s">
        <v>96</v>
      </c>
      <c r="D67" s="91" t="s">
        <v>143</v>
      </c>
      <c r="E67" s="92" t="s">
        <v>142</v>
      </c>
      <c r="F67" s="118">
        <v>43380</v>
      </c>
      <c r="G67" s="108">
        <v>44.351999999999997</v>
      </c>
      <c r="H67" s="108">
        <v>238</v>
      </c>
      <c r="I67" s="108">
        <v>12</v>
      </c>
      <c r="J67" s="108">
        <v>16</v>
      </c>
      <c r="K67" s="108">
        <v>31</v>
      </c>
      <c r="L67" s="108">
        <v>8</v>
      </c>
      <c r="M67" s="108">
        <v>2</v>
      </c>
      <c r="N67" s="108">
        <v>11.8</v>
      </c>
      <c r="O67" s="108">
        <v>177</v>
      </c>
    </row>
    <row r="68" spans="2:15" x14ac:dyDescent="0.3">
      <c r="B68" s="75">
        <v>78893</v>
      </c>
      <c r="C68" s="75" t="s">
        <v>70</v>
      </c>
      <c r="D68" s="89" t="s">
        <v>117</v>
      </c>
      <c r="E68" s="86" t="s">
        <v>118</v>
      </c>
      <c r="F68" s="115">
        <v>39900</v>
      </c>
      <c r="G68" s="107">
        <v>45.055999999999997</v>
      </c>
      <c r="H68" s="107">
        <v>243</v>
      </c>
      <c r="I68" s="107">
        <v>12</v>
      </c>
      <c r="J68" s="107">
        <v>14</v>
      </c>
      <c r="K68" s="107">
        <v>29</v>
      </c>
      <c r="L68" s="107">
        <v>15</v>
      </c>
      <c r="M68" s="107">
        <v>0</v>
      </c>
      <c r="N68" s="107">
        <v>11</v>
      </c>
      <c r="O68" s="107">
        <v>170</v>
      </c>
    </row>
    <row r="69" spans="2:15" x14ac:dyDescent="0.3">
      <c r="B69" s="75">
        <v>78892</v>
      </c>
      <c r="C69" s="75" t="s">
        <v>70</v>
      </c>
      <c r="D69" s="91" t="s">
        <v>117</v>
      </c>
      <c r="E69" s="88" t="s">
        <v>118</v>
      </c>
      <c r="F69" s="116">
        <v>50651</v>
      </c>
      <c r="G69" s="108">
        <v>45.583999999999996</v>
      </c>
      <c r="H69" s="108">
        <v>248</v>
      </c>
      <c r="I69" s="108">
        <v>12</v>
      </c>
      <c r="J69" s="108">
        <v>10</v>
      </c>
      <c r="K69" s="108">
        <v>29</v>
      </c>
      <c r="L69" s="108">
        <v>25</v>
      </c>
      <c r="M69" s="108">
        <v>3</v>
      </c>
      <c r="N69" s="108">
        <v>10.5</v>
      </c>
      <c r="O69" s="108">
        <v>182</v>
      </c>
    </row>
    <row r="70" spans="2:15" x14ac:dyDescent="0.3">
      <c r="B70" s="75">
        <v>87134</v>
      </c>
      <c r="C70" s="75" t="s">
        <v>102</v>
      </c>
      <c r="D70" s="89" t="s">
        <v>135</v>
      </c>
      <c r="E70" s="90" t="s">
        <v>136</v>
      </c>
      <c r="F70" s="117">
        <v>36706</v>
      </c>
      <c r="G70" s="107">
        <v>45.055999999999997</v>
      </c>
      <c r="H70" s="107">
        <v>243</v>
      </c>
      <c r="I70" s="107">
        <v>12</v>
      </c>
      <c r="J70" s="107">
        <v>14</v>
      </c>
      <c r="K70" s="107">
        <v>29</v>
      </c>
      <c r="L70" s="107">
        <v>15</v>
      </c>
      <c r="M70" s="107">
        <v>0</v>
      </c>
      <c r="N70" s="107">
        <v>11</v>
      </c>
      <c r="O70" s="107">
        <v>170</v>
      </c>
    </row>
    <row r="71" spans="2:15" x14ac:dyDescent="0.3">
      <c r="B71" s="75">
        <v>87137</v>
      </c>
      <c r="C71" s="75" t="s">
        <v>97</v>
      </c>
      <c r="D71" s="91" t="s">
        <v>117</v>
      </c>
      <c r="E71" s="88" t="s">
        <v>118</v>
      </c>
      <c r="F71" s="116">
        <v>40217</v>
      </c>
      <c r="G71" s="108">
        <v>44.351999999999997</v>
      </c>
      <c r="H71" s="108">
        <v>240</v>
      </c>
      <c r="I71" s="108">
        <v>10</v>
      </c>
      <c r="J71" s="108">
        <v>14</v>
      </c>
      <c r="K71" s="108">
        <v>26</v>
      </c>
      <c r="L71" s="108">
        <v>28</v>
      </c>
      <c r="M71" s="108">
        <v>4</v>
      </c>
      <c r="N71" s="108">
        <v>9.1</v>
      </c>
      <c r="O71" s="108">
        <v>189</v>
      </c>
    </row>
    <row r="72" spans="2:15" x14ac:dyDescent="0.3">
      <c r="B72" s="75">
        <v>82297</v>
      </c>
      <c r="C72" s="75" t="s">
        <v>77</v>
      </c>
      <c r="D72" s="89" t="s">
        <v>144</v>
      </c>
      <c r="E72" s="90" t="s">
        <v>140</v>
      </c>
      <c r="F72" s="117">
        <v>35953</v>
      </c>
      <c r="G72" s="107">
        <v>45.936</v>
      </c>
      <c r="H72" s="107">
        <v>249</v>
      </c>
      <c r="I72" s="107">
        <v>10</v>
      </c>
      <c r="J72" s="107">
        <v>14</v>
      </c>
      <c r="K72" s="107">
        <v>20</v>
      </c>
      <c r="L72" s="107">
        <v>16</v>
      </c>
      <c r="M72" s="107">
        <v>3</v>
      </c>
      <c r="N72" s="107">
        <v>9.4</v>
      </c>
      <c r="O72" s="107">
        <v>169</v>
      </c>
    </row>
    <row r="73" spans="2:15" x14ac:dyDescent="0.3">
      <c r="B73" s="75">
        <v>87136</v>
      </c>
      <c r="C73" s="75" t="s">
        <v>70</v>
      </c>
      <c r="D73" s="91" t="s">
        <v>117</v>
      </c>
      <c r="E73" s="88" t="s">
        <v>118</v>
      </c>
      <c r="F73" s="116">
        <v>49215</v>
      </c>
      <c r="G73" s="108">
        <v>44.879999999999995</v>
      </c>
      <c r="H73" s="108">
        <v>238</v>
      </c>
      <c r="I73" s="108">
        <v>20</v>
      </c>
      <c r="J73" s="108">
        <v>14</v>
      </c>
      <c r="K73" s="108">
        <v>21</v>
      </c>
      <c r="L73" s="108">
        <v>15</v>
      </c>
      <c r="M73" s="108">
        <v>5</v>
      </c>
      <c r="N73" s="108">
        <v>9.8000000000000007</v>
      </c>
      <c r="O73" s="108">
        <v>187</v>
      </c>
    </row>
    <row r="74" spans="2:15" x14ac:dyDescent="0.3">
      <c r="B74" s="75">
        <v>87135</v>
      </c>
      <c r="C74" s="75" t="s">
        <v>70</v>
      </c>
      <c r="D74" s="89" t="s">
        <v>117</v>
      </c>
      <c r="E74" s="86" t="s">
        <v>118</v>
      </c>
      <c r="F74" s="115">
        <v>50641</v>
      </c>
      <c r="G74" s="107">
        <v>45.143999999999998</v>
      </c>
      <c r="H74" s="107">
        <v>243</v>
      </c>
      <c r="I74" s="107">
        <v>11</v>
      </c>
      <c r="J74" s="107">
        <v>16</v>
      </c>
      <c r="K74" s="107">
        <v>23</v>
      </c>
      <c r="L74" s="107">
        <v>21</v>
      </c>
      <c r="M74" s="107">
        <v>2</v>
      </c>
      <c r="N74" s="107">
        <v>9.1</v>
      </c>
      <c r="O74" s="107">
        <v>187</v>
      </c>
    </row>
    <row r="75" spans="2:15" x14ac:dyDescent="0.3">
      <c r="B75" s="75">
        <v>87139</v>
      </c>
      <c r="C75" s="75" t="s">
        <v>98</v>
      </c>
      <c r="D75" s="91" t="s">
        <v>117</v>
      </c>
      <c r="E75" s="88" t="s">
        <v>118</v>
      </c>
      <c r="F75" s="116">
        <v>53554</v>
      </c>
      <c r="G75" s="108">
        <v>44</v>
      </c>
      <c r="H75" s="108">
        <v>233</v>
      </c>
      <c r="I75" s="108">
        <v>14</v>
      </c>
      <c r="J75" s="108">
        <v>20</v>
      </c>
      <c r="K75" s="108">
        <v>24</v>
      </c>
      <c r="L75" s="108">
        <v>19</v>
      </c>
      <c r="M75" s="108">
        <v>4</v>
      </c>
      <c r="N75" s="108">
        <v>10</v>
      </c>
      <c r="O75" s="108">
        <v>182</v>
      </c>
    </row>
    <row r="76" spans="2:15" x14ac:dyDescent="0.3">
      <c r="B76" s="75">
        <v>83405</v>
      </c>
      <c r="C76" s="75" t="s">
        <v>97</v>
      </c>
      <c r="D76" s="89" t="s">
        <v>117</v>
      </c>
      <c r="E76" s="86" t="s">
        <v>119</v>
      </c>
      <c r="F76" s="115">
        <v>45668</v>
      </c>
      <c r="G76" s="107">
        <v>44.616</v>
      </c>
      <c r="H76" s="107">
        <v>240</v>
      </c>
      <c r="I76" s="107">
        <v>13</v>
      </c>
      <c r="J76" s="107">
        <v>14</v>
      </c>
      <c r="K76" s="107">
        <v>26</v>
      </c>
      <c r="L76" s="107">
        <v>12</v>
      </c>
      <c r="M76" s="107">
        <v>0</v>
      </c>
      <c r="N76" s="107">
        <v>9.4</v>
      </c>
      <c r="O76" s="107">
        <v>180</v>
      </c>
    </row>
    <row r="77" spans="2:15" x14ac:dyDescent="0.3">
      <c r="B77" s="75">
        <v>87138</v>
      </c>
      <c r="C77" s="75" t="s">
        <v>97</v>
      </c>
      <c r="D77" s="91" t="s">
        <v>117</v>
      </c>
      <c r="E77" s="88" t="s">
        <v>118</v>
      </c>
      <c r="F77" s="116">
        <v>43048</v>
      </c>
      <c r="G77" s="108">
        <v>44.175999999999995</v>
      </c>
      <c r="H77" s="108">
        <v>239</v>
      </c>
      <c r="I77" s="108">
        <v>10</v>
      </c>
      <c r="J77" s="108">
        <v>14</v>
      </c>
      <c r="K77" s="108">
        <v>28</v>
      </c>
      <c r="L77" s="108">
        <v>17</v>
      </c>
      <c r="M77" s="108">
        <v>3</v>
      </c>
      <c r="N77" s="108">
        <v>9.1999999999999993</v>
      </c>
      <c r="O77" s="108">
        <v>184</v>
      </c>
    </row>
    <row r="78" spans="2:15" x14ac:dyDescent="0.3">
      <c r="B78" s="75">
        <v>78912</v>
      </c>
      <c r="C78" s="75" t="s">
        <v>103</v>
      </c>
      <c r="D78" s="89" t="s">
        <v>117</v>
      </c>
      <c r="E78" s="86" t="s">
        <v>118</v>
      </c>
      <c r="F78" s="115">
        <v>50362</v>
      </c>
      <c r="G78" s="107">
        <v>44.351999999999997</v>
      </c>
      <c r="H78" s="107">
        <v>241</v>
      </c>
      <c r="I78" s="107">
        <v>12</v>
      </c>
      <c r="J78" s="107">
        <v>10</v>
      </c>
      <c r="K78" s="107">
        <v>30</v>
      </c>
      <c r="L78" s="107">
        <v>18</v>
      </c>
      <c r="M78" s="107">
        <v>3</v>
      </c>
      <c r="N78" s="107">
        <v>10.8</v>
      </c>
      <c r="O78" s="107">
        <v>187</v>
      </c>
    </row>
    <row r="79" spans="2:15" x14ac:dyDescent="0.3">
      <c r="B79" s="75">
        <v>78911</v>
      </c>
      <c r="C79" s="75" t="s">
        <v>98</v>
      </c>
      <c r="D79" s="91" t="s">
        <v>117</v>
      </c>
      <c r="E79" s="88" t="s">
        <v>118</v>
      </c>
      <c r="F79" s="116">
        <v>46982</v>
      </c>
      <c r="G79" s="108">
        <v>44.175999999999995</v>
      </c>
      <c r="H79" s="108">
        <v>238</v>
      </c>
      <c r="I79" s="108">
        <v>16</v>
      </c>
      <c r="J79" s="108">
        <v>10</v>
      </c>
      <c r="K79" s="108">
        <v>31</v>
      </c>
      <c r="L79" s="108">
        <v>14</v>
      </c>
      <c r="M79" s="108">
        <v>2</v>
      </c>
      <c r="N79" s="108">
        <v>10.4</v>
      </c>
      <c r="O79" s="108">
        <v>185</v>
      </c>
    </row>
    <row r="80" spans="2:15" x14ac:dyDescent="0.3">
      <c r="B80" s="75">
        <v>87140</v>
      </c>
      <c r="C80" s="75" t="s">
        <v>97</v>
      </c>
      <c r="D80" s="89" t="s">
        <v>117</v>
      </c>
      <c r="E80" s="86" t="s">
        <v>118</v>
      </c>
      <c r="F80" s="115">
        <v>53476</v>
      </c>
      <c r="G80" s="107">
        <v>44.44</v>
      </c>
      <c r="H80" s="107">
        <v>238</v>
      </c>
      <c r="I80" s="107">
        <v>17</v>
      </c>
      <c r="J80" s="107">
        <v>12</v>
      </c>
      <c r="K80" s="107">
        <v>24</v>
      </c>
      <c r="L80" s="107">
        <v>19</v>
      </c>
      <c r="M80" s="107">
        <v>3</v>
      </c>
      <c r="N80" s="107">
        <v>9.9</v>
      </c>
      <c r="O80" s="107">
        <v>182</v>
      </c>
    </row>
    <row r="81" spans="2:15" x14ac:dyDescent="0.3">
      <c r="B81" s="75">
        <v>87142</v>
      </c>
      <c r="C81" s="75" t="s">
        <v>97</v>
      </c>
      <c r="D81" s="91" t="s">
        <v>117</v>
      </c>
      <c r="E81" s="88" t="s">
        <v>119</v>
      </c>
      <c r="F81" s="116">
        <v>46189</v>
      </c>
      <c r="G81" s="108">
        <v>44</v>
      </c>
      <c r="H81" s="108">
        <v>233</v>
      </c>
      <c r="I81" s="108">
        <v>20</v>
      </c>
      <c r="J81" s="108">
        <v>14</v>
      </c>
      <c r="K81" s="108">
        <v>25</v>
      </c>
      <c r="L81" s="108">
        <v>18</v>
      </c>
      <c r="M81" s="108">
        <v>3</v>
      </c>
      <c r="N81" s="108">
        <v>11</v>
      </c>
      <c r="O81" s="108">
        <v>184</v>
      </c>
    </row>
    <row r="82" spans="2:15" x14ac:dyDescent="0.3">
      <c r="B82" s="77">
        <v>37970</v>
      </c>
      <c r="C82" s="77" t="s">
        <v>98</v>
      </c>
      <c r="D82" s="89" t="s">
        <v>145</v>
      </c>
      <c r="E82" s="90" t="s">
        <v>146</v>
      </c>
      <c r="F82" s="117">
        <v>41622</v>
      </c>
      <c r="G82" s="107">
        <v>43.471999999999994</v>
      </c>
      <c r="H82" s="107">
        <v>233</v>
      </c>
      <c r="I82" s="107">
        <v>18</v>
      </c>
      <c r="J82" s="107">
        <v>10</v>
      </c>
      <c r="K82" s="107">
        <v>28</v>
      </c>
      <c r="L82" s="107">
        <v>26</v>
      </c>
      <c r="M82" s="107">
        <v>0</v>
      </c>
      <c r="N82" s="107">
        <v>13.7</v>
      </c>
      <c r="O82" s="107">
        <v>162</v>
      </c>
    </row>
    <row r="83" spans="2:15" x14ac:dyDescent="0.3">
      <c r="B83" s="78">
        <v>33286</v>
      </c>
      <c r="C83" s="78" t="s">
        <v>103</v>
      </c>
      <c r="D83" s="93" t="s">
        <v>147</v>
      </c>
      <c r="E83" s="94" t="s">
        <v>148</v>
      </c>
      <c r="F83" s="119">
        <v>51192</v>
      </c>
      <c r="G83" s="109">
        <v>43.647999999999996</v>
      </c>
      <c r="H83" s="109">
        <v>230</v>
      </c>
      <c r="I83" s="109">
        <v>22</v>
      </c>
      <c r="J83" s="109">
        <v>14</v>
      </c>
      <c r="K83" s="109">
        <v>24</v>
      </c>
      <c r="L83" s="109">
        <v>21</v>
      </c>
      <c r="M83" s="109">
        <v>2</v>
      </c>
      <c r="N83" s="109">
        <v>12.2</v>
      </c>
      <c r="O83" s="109">
        <v>183</v>
      </c>
    </row>
    <row r="84" spans="2:15" x14ac:dyDescent="0.3">
      <c r="B84" s="75">
        <v>23302</v>
      </c>
      <c r="C84" s="75" t="s">
        <v>97</v>
      </c>
      <c r="D84" s="89" t="s">
        <v>149</v>
      </c>
      <c r="E84" s="90" t="s">
        <v>150</v>
      </c>
      <c r="F84" s="117">
        <v>39941</v>
      </c>
      <c r="G84" s="107">
        <v>44.175999999999995</v>
      </c>
      <c r="H84" s="107">
        <v>238</v>
      </c>
      <c r="I84" s="107">
        <v>16</v>
      </c>
      <c r="J84" s="107">
        <v>10</v>
      </c>
      <c r="K84" s="107">
        <v>22</v>
      </c>
      <c r="L84" s="107">
        <v>26</v>
      </c>
      <c r="M84" s="107">
        <v>3</v>
      </c>
      <c r="N84" s="107">
        <v>9.1999999999999993</v>
      </c>
      <c r="O84" s="107">
        <v>170</v>
      </c>
    </row>
    <row r="85" spans="2:15" x14ac:dyDescent="0.3">
      <c r="B85" s="75">
        <v>37636</v>
      </c>
      <c r="C85" s="75" t="s">
        <v>70</v>
      </c>
      <c r="D85" s="91" t="s">
        <v>151</v>
      </c>
      <c r="E85" s="92" t="s">
        <v>152</v>
      </c>
      <c r="F85" s="118">
        <v>52089</v>
      </c>
      <c r="G85" s="108">
        <v>42.064</v>
      </c>
      <c r="H85" s="108">
        <v>228</v>
      </c>
      <c r="I85" s="108">
        <v>14</v>
      </c>
      <c r="J85" s="108">
        <v>8</v>
      </c>
      <c r="K85" s="108">
        <v>36</v>
      </c>
      <c r="L85" s="108">
        <v>16</v>
      </c>
      <c r="M85" s="108">
        <v>0</v>
      </c>
      <c r="N85" s="108">
        <v>11.6</v>
      </c>
      <c r="O85" s="108">
        <v>184</v>
      </c>
    </row>
    <row r="86" spans="2:15" x14ac:dyDescent="0.3">
      <c r="B86" s="75">
        <v>87144</v>
      </c>
      <c r="C86" s="75" t="s">
        <v>104</v>
      </c>
      <c r="D86" s="89" t="s">
        <v>117</v>
      </c>
      <c r="E86" s="86" t="s">
        <v>119</v>
      </c>
      <c r="F86" s="115">
        <v>48711</v>
      </c>
      <c r="G86" s="107">
        <v>44.879999999999995</v>
      </c>
      <c r="H86" s="107">
        <v>238</v>
      </c>
      <c r="I86" s="107">
        <v>20</v>
      </c>
      <c r="J86" s="107">
        <v>14</v>
      </c>
      <c r="K86" s="107">
        <v>21</v>
      </c>
      <c r="L86" s="107">
        <v>15</v>
      </c>
      <c r="M86" s="107">
        <v>0</v>
      </c>
      <c r="N86" s="107">
        <v>11.2</v>
      </c>
      <c r="O86" s="107">
        <v>183</v>
      </c>
    </row>
    <row r="87" spans="2:15" x14ac:dyDescent="0.3">
      <c r="B87" s="76">
        <v>87143</v>
      </c>
      <c r="C87" s="76" t="s">
        <v>104</v>
      </c>
      <c r="D87" s="91" t="s">
        <v>117</v>
      </c>
      <c r="E87" s="88" t="s">
        <v>119</v>
      </c>
      <c r="F87" s="116">
        <v>45011</v>
      </c>
      <c r="G87" s="108">
        <v>44.351999999999997</v>
      </c>
      <c r="H87" s="108">
        <v>237</v>
      </c>
      <c r="I87" s="108">
        <v>16</v>
      </c>
      <c r="J87" s="108">
        <v>14</v>
      </c>
      <c r="K87" s="108">
        <v>25</v>
      </c>
      <c r="L87" s="108">
        <v>20</v>
      </c>
      <c r="M87" s="108">
        <v>0</v>
      </c>
      <c r="N87" s="108">
        <v>11.8</v>
      </c>
      <c r="O87" s="108">
        <v>172</v>
      </c>
    </row>
    <row r="88" spans="2:15" x14ac:dyDescent="0.3">
      <c r="B88" s="77">
        <v>31538</v>
      </c>
      <c r="C88" s="77" t="s">
        <v>104</v>
      </c>
      <c r="D88" s="89" t="s">
        <v>153</v>
      </c>
      <c r="E88" s="90" t="s">
        <v>154</v>
      </c>
      <c r="F88" s="117">
        <v>40462</v>
      </c>
      <c r="G88" s="107">
        <v>43.823999999999998</v>
      </c>
      <c r="H88" s="107">
        <v>232</v>
      </c>
      <c r="I88" s="107">
        <v>16</v>
      </c>
      <c r="J88" s="107">
        <v>18</v>
      </c>
      <c r="K88" s="107">
        <v>28</v>
      </c>
      <c r="L88" s="107">
        <v>25</v>
      </c>
      <c r="M88" s="107">
        <v>0</v>
      </c>
      <c r="N88" s="107">
        <v>11.6</v>
      </c>
      <c r="O88" s="107">
        <v>162</v>
      </c>
    </row>
    <row r="89" spans="2:15" x14ac:dyDescent="0.3">
      <c r="B89" s="77">
        <v>31541</v>
      </c>
      <c r="C89" s="77" t="s">
        <v>97</v>
      </c>
      <c r="D89" s="91" t="s">
        <v>153</v>
      </c>
      <c r="E89" s="92" t="s">
        <v>154</v>
      </c>
      <c r="F89" s="118">
        <v>40484</v>
      </c>
      <c r="G89" s="108">
        <v>44</v>
      </c>
      <c r="H89" s="108">
        <v>238</v>
      </c>
      <c r="I89" s="108">
        <v>14</v>
      </c>
      <c r="J89" s="108">
        <v>10</v>
      </c>
      <c r="K89" s="108">
        <v>28</v>
      </c>
      <c r="L89" s="108">
        <v>19</v>
      </c>
      <c r="M89" s="108">
        <v>0</v>
      </c>
      <c r="N89" s="108">
        <v>11.4</v>
      </c>
      <c r="O89" s="108">
        <v>176</v>
      </c>
    </row>
    <row r="90" spans="2:15" x14ac:dyDescent="0.3">
      <c r="B90" s="75">
        <v>78865</v>
      </c>
      <c r="C90" s="75" t="s">
        <v>97</v>
      </c>
      <c r="D90" s="89" t="s">
        <v>117</v>
      </c>
      <c r="E90" s="86" t="s">
        <v>118</v>
      </c>
      <c r="F90" s="115">
        <v>42971</v>
      </c>
      <c r="G90" s="107">
        <v>44.175999999999995</v>
      </c>
      <c r="H90" s="107">
        <v>238</v>
      </c>
      <c r="I90" s="107">
        <v>16</v>
      </c>
      <c r="J90" s="107">
        <v>10</v>
      </c>
      <c r="K90" s="107">
        <v>23</v>
      </c>
      <c r="L90" s="107">
        <v>25</v>
      </c>
      <c r="M90" s="107">
        <v>2</v>
      </c>
      <c r="N90" s="107">
        <v>10.1</v>
      </c>
      <c r="O90" s="107">
        <v>183</v>
      </c>
    </row>
    <row r="91" spans="2:15" x14ac:dyDescent="0.3">
      <c r="B91" s="75">
        <v>78864</v>
      </c>
      <c r="C91" s="75" t="s">
        <v>103</v>
      </c>
      <c r="D91" s="91" t="s">
        <v>117</v>
      </c>
      <c r="E91" s="88" t="s">
        <v>118</v>
      </c>
      <c r="F91" s="116">
        <v>51166</v>
      </c>
      <c r="G91" s="108">
        <v>44.527999999999999</v>
      </c>
      <c r="H91" s="108">
        <v>242</v>
      </c>
      <c r="I91" s="108">
        <v>12</v>
      </c>
      <c r="J91" s="108">
        <v>10</v>
      </c>
      <c r="K91" s="108">
        <v>29</v>
      </c>
      <c r="L91" s="108">
        <v>12</v>
      </c>
      <c r="M91" s="108">
        <v>2</v>
      </c>
      <c r="N91" s="108">
        <v>10.5</v>
      </c>
      <c r="O91" s="108">
        <v>177</v>
      </c>
    </row>
    <row r="92" spans="2:15" x14ac:dyDescent="0.3">
      <c r="B92" s="75">
        <v>78867</v>
      </c>
      <c r="C92" s="75" t="s">
        <v>103</v>
      </c>
      <c r="D92" s="89" t="s">
        <v>117</v>
      </c>
      <c r="E92" s="86" t="s">
        <v>118</v>
      </c>
      <c r="F92" s="115">
        <v>40640</v>
      </c>
      <c r="G92" s="107">
        <v>44.44</v>
      </c>
      <c r="H92" s="107">
        <v>240</v>
      </c>
      <c r="I92" s="107">
        <v>15</v>
      </c>
      <c r="J92" s="107">
        <v>10</v>
      </c>
      <c r="K92" s="107">
        <v>29</v>
      </c>
      <c r="L92" s="107">
        <v>17</v>
      </c>
      <c r="M92" s="107">
        <v>0</v>
      </c>
      <c r="N92" s="107">
        <v>10.7</v>
      </c>
      <c r="O92" s="107">
        <v>181</v>
      </c>
    </row>
    <row r="93" spans="2:15" x14ac:dyDescent="0.3">
      <c r="B93" s="75">
        <v>23293</v>
      </c>
      <c r="C93" s="75" t="s">
        <v>104</v>
      </c>
      <c r="D93" s="91" t="s">
        <v>155</v>
      </c>
      <c r="E93" s="92" t="s">
        <v>150</v>
      </c>
      <c r="F93" s="118">
        <v>39162</v>
      </c>
      <c r="G93" s="108">
        <v>43.823999999999998</v>
      </c>
      <c r="H93" s="108">
        <v>234</v>
      </c>
      <c r="I93" s="108">
        <v>16</v>
      </c>
      <c r="J93" s="108">
        <v>14</v>
      </c>
      <c r="K93" s="108">
        <v>21</v>
      </c>
      <c r="L93" s="108">
        <v>25</v>
      </c>
      <c r="M93" s="108">
        <v>2</v>
      </c>
      <c r="N93" s="108">
        <v>11.2</v>
      </c>
      <c r="O93" s="108">
        <v>178</v>
      </c>
    </row>
    <row r="94" spans="2:15" x14ac:dyDescent="0.3">
      <c r="B94" s="75">
        <v>30266</v>
      </c>
      <c r="C94" s="75" t="s">
        <v>103</v>
      </c>
      <c r="D94" s="89" t="s">
        <v>117</v>
      </c>
      <c r="E94" s="89" t="s">
        <v>156</v>
      </c>
      <c r="F94" s="120">
        <v>57318</v>
      </c>
      <c r="G94" s="107">
        <v>43.559999999999995</v>
      </c>
      <c r="H94" s="107">
        <v>232</v>
      </c>
      <c r="I94" s="107">
        <v>18</v>
      </c>
      <c r="J94" s="107">
        <v>13</v>
      </c>
      <c r="K94" s="107">
        <v>34</v>
      </c>
      <c r="L94" s="107">
        <v>19</v>
      </c>
      <c r="M94" s="107">
        <v>0</v>
      </c>
      <c r="N94" s="107">
        <v>9.8000000000000007</v>
      </c>
      <c r="O94" s="107">
        <v>185</v>
      </c>
    </row>
    <row r="95" spans="2:15" x14ac:dyDescent="0.3">
      <c r="B95" s="75">
        <v>78868</v>
      </c>
      <c r="C95" s="75" t="s">
        <v>104</v>
      </c>
      <c r="D95" s="91" t="s">
        <v>117</v>
      </c>
      <c r="E95" s="88" t="s">
        <v>118</v>
      </c>
      <c r="F95" s="116">
        <v>45928</v>
      </c>
      <c r="G95" s="108">
        <v>44.527999999999999</v>
      </c>
      <c r="H95" s="108">
        <v>240</v>
      </c>
      <c r="I95" s="108">
        <v>12</v>
      </c>
      <c r="J95" s="108">
        <v>14</v>
      </c>
      <c r="K95" s="108">
        <v>30</v>
      </c>
      <c r="L95" s="108">
        <v>13</v>
      </c>
      <c r="M95" s="108">
        <v>2</v>
      </c>
      <c r="N95" s="108">
        <v>10.8</v>
      </c>
      <c r="O95" s="108">
        <v>176</v>
      </c>
    </row>
    <row r="96" spans="2:15" x14ac:dyDescent="0.3">
      <c r="B96" s="75">
        <v>37759</v>
      </c>
      <c r="C96" s="75" t="s">
        <v>103</v>
      </c>
      <c r="D96" s="89" t="s">
        <v>157</v>
      </c>
      <c r="E96" s="95" t="s">
        <v>158</v>
      </c>
      <c r="F96" s="121">
        <v>36505</v>
      </c>
      <c r="G96" s="107">
        <v>44.088000000000001</v>
      </c>
      <c r="H96" s="107">
        <v>240</v>
      </c>
      <c r="I96" s="107">
        <v>9</v>
      </c>
      <c r="J96" s="107">
        <v>12</v>
      </c>
      <c r="K96" s="107">
        <v>27</v>
      </c>
      <c r="L96" s="107">
        <v>14</v>
      </c>
      <c r="M96" s="107">
        <v>2</v>
      </c>
      <c r="N96" s="107">
        <v>9.6</v>
      </c>
      <c r="O96" s="107">
        <v>168</v>
      </c>
    </row>
    <row r="97" spans="2:15" x14ac:dyDescent="0.3">
      <c r="B97" s="75">
        <v>78913</v>
      </c>
      <c r="C97" s="75" t="s">
        <v>103</v>
      </c>
      <c r="D97" s="91" t="s">
        <v>59</v>
      </c>
      <c r="E97" s="88" t="s">
        <v>118</v>
      </c>
      <c r="F97" s="116">
        <v>44993</v>
      </c>
      <c r="G97" s="108">
        <v>44.44</v>
      </c>
      <c r="H97" s="108">
        <v>240</v>
      </c>
      <c r="I97" s="108">
        <v>17</v>
      </c>
      <c r="J97" s="108">
        <v>8</v>
      </c>
      <c r="K97" s="108">
        <v>28</v>
      </c>
      <c r="L97" s="108">
        <v>14</v>
      </c>
      <c r="M97" s="108">
        <v>2</v>
      </c>
      <c r="N97" s="108">
        <v>10.199999999999999</v>
      </c>
      <c r="O97" s="108">
        <v>180</v>
      </c>
    </row>
    <row r="98" spans="2:15" x14ac:dyDescent="0.3">
      <c r="B98" s="77">
        <v>89781</v>
      </c>
      <c r="C98" s="77" t="s">
        <v>101</v>
      </c>
      <c r="D98" s="89" t="s">
        <v>159</v>
      </c>
      <c r="E98" s="90" t="s">
        <v>160</v>
      </c>
      <c r="F98" s="117">
        <v>49746</v>
      </c>
      <c r="G98" s="107">
        <v>42.855999999999995</v>
      </c>
      <c r="H98" s="107">
        <v>226</v>
      </c>
      <c r="I98" s="107">
        <v>18</v>
      </c>
      <c r="J98" s="107">
        <v>17</v>
      </c>
      <c r="K98" s="107">
        <v>22</v>
      </c>
      <c r="L98" s="107">
        <v>31</v>
      </c>
      <c r="M98" s="107">
        <v>3</v>
      </c>
      <c r="N98" s="107">
        <v>12.3</v>
      </c>
      <c r="O98" s="107">
        <v>169</v>
      </c>
    </row>
    <row r="99" spans="2:15" x14ac:dyDescent="0.3">
      <c r="B99" s="77">
        <v>89770</v>
      </c>
      <c r="C99" s="77" t="s">
        <v>101</v>
      </c>
      <c r="D99" s="91" t="s">
        <v>159</v>
      </c>
      <c r="E99" s="92" t="s">
        <v>160</v>
      </c>
      <c r="F99" s="118">
        <v>49932</v>
      </c>
      <c r="G99" s="108">
        <v>42.503999999999998</v>
      </c>
      <c r="H99" s="108">
        <v>223</v>
      </c>
      <c r="I99" s="108">
        <v>25</v>
      </c>
      <c r="J99" s="108">
        <v>12</v>
      </c>
      <c r="K99" s="108">
        <v>28</v>
      </c>
      <c r="L99" s="108">
        <v>19</v>
      </c>
      <c r="M99" s="108">
        <v>2</v>
      </c>
      <c r="N99" s="108">
        <v>11.1</v>
      </c>
      <c r="O99" s="108">
        <v>168</v>
      </c>
    </row>
    <row r="100" spans="2:15" x14ac:dyDescent="0.3">
      <c r="B100" s="75">
        <v>78874</v>
      </c>
      <c r="C100" s="75" t="s">
        <v>103</v>
      </c>
      <c r="D100" s="89" t="s">
        <v>117</v>
      </c>
      <c r="E100" s="86" t="s">
        <v>118</v>
      </c>
      <c r="F100" s="115">
        <v>52091</v>
      </c>
      <c r="G100" s="107">
        <v>44.616</v>
      </c>
      <c r="H100" s="107">
        <v>242</v>
      </c>
      <c r="I100" s="107">
        <v>13</v>
      </c>
      <c r="J100" s="107">
        <v>10</v>
      </c>
      <c r="K100" s="107">
        <v>29</v>
      </c>
      <c r="L100" s="107">
        <v>12</v>
      </c>
      <c r="M100" s="107">
        <v>2</v>
      </c>
      <c r="N100" s="107">
        <v>10.5</v>
      </c>
      <c r="O100" s="107">
        <v>177</v>
      </c>
    </row>
    <row r="101" spans="2:15" x14ac:dyDescent="0.3">
      <c r="B101" s="75">
        <v>78870</v>
      </c>
      <c r="C101" s="75" t="s">
        <v>103</v>
      </c>
      <c r="D101" s="91" t="s">
        <v>117</v>
      </c>
      <c r="E101" s="88" t="s">
        <v>118</v>
      </c>
      <c r="F101" s="116">
        <v>49648</v>
      </c>
      <c r="G101" s="108">
        <v>43.735999999999997</v>
      </c>
      <c r="H101" s="108">
        <v>235</v>
      </c>
      <c r="I101" s="108">
        <v>18</v>
      </c>
      <c r="J101" s="108">
        <v>9</v>
      </c>
      <c r="K101" s="108">
        <v>32</v>
      </c>
      <c r="L101" s="108">
        <v>21</v>
      </c>
      <c r="M101" s="108">
        <v>2</v>
      </c>
      <c r="N101" s="108">
        <v>9.8000000000000007</v>
      </c>
      <c r="O101" s="108">
        <v>184</v>
      </c>
    </row>
    <row r="102" spans="2:15" x14ac:dyDescent="0.3">
      <c r="B102" s="75">
        <v>60071</v>
      </c>
      <c r="C102" s="75" t="s">
        <v>104</v>
      </c>
      <c r="D102" s="89" t="s">
        <v>161</v>
      </c>
      <c r="E102" s="90" t="s">
        <v>142</v>
      </c>
      <c r="F102" s="117">
        <v>42703</v>
      </c>
      <c r="G102" s="107">
        <v>44.088000000000001</v>
      </c>
      <c r="H102" s="107">
        <v>239</v>
      </c>
      <c r="I102" s="107">
        <v>9</v>
      </c>
      <c r="J102" s="107">
        <v>14</v>
      </c>
      <c r="K102" s="107">
        <v>30</v>
      </c>
      <c r="L102" s="107">
        <v>23</v>
      </c>
      <c r="M102" s="107">
        <v>2</v>
      </c>
      <c r="N102" s="107">
        <v>12.1</v>
      </c>
      <c r="O102" s="107">
        <v>179</v>
      </c>
    </row>
    <row r="103" spans="2:15" x14ac:dyDescent="0.3">
      <c r="B103" s="75">
        <v>86148</v>
      </c>
      <c r="C103" s="75" t="s">
        <v>104</v>
      </c>
      <c r="D103" s="91" t="s">
        <v>162</v>
      </c>
      <c r="E103" s="94" t="s">
        <v>148</v>
      </c>
      <c r="F103" s="119">
        <v>28323</v>
      </c>
      <c r="G103" s="108">
        <v>42.943999999999996</v>
      </c>
      <c r="H103" s="108">
        <v>226</v>
      </c>
      <c r="I103" s="108">
        <v>24</v>
      </c>
      <c r="J103" s="108">
        <v>12</v>
      </c>
      <c r="K103" s="108">
        <v>34</v>
      </c>
      <c r="L103" s="108">
        <v>12</v>
      </c>
      <c r="M103" s="108">
        <v>2</v>
      </c>
      <c r="N103" s="108">
        <v>11.1</v>
      </c>
      <c r="O103" s="108">
        <v>189</v>
      </c>
    </row>
    <row r="104" spans="2:15" x14ac:dyDescent="0.3">
      <c r="B104" s="77">
        <v>89777</v>
      </c>
      <c r="C104" s="77" t="s">
        <v>103</v>
      </c>
      <c r="D104" s="89" t="s">
        <v>163</v>
      </c>
      <c r="E104" s="90" t="s">
        <v>160</v>
      </c>
      <c r="F104" s="117">
        <v>48155</v>
      </c>
      <c r="G104" s="107">
        <v>44.351999999999997</v>
      </c>
      <c r="H104" s="107">
        <v>235</v>
      </c>
      <c r="I104" s="107">
        <v>23</v>
      </c>
      <c r="J104" s="107">
        <v>11</v>
      </c>
      <c r="K104" s="107">
        <v>26</v>
      </c>
      <c r="L104" s="107">
        <v>6</v>
      </c>
      <c r="M104" s="107">
        <v>0</v>
      </c>
      <c r="N104" s="107">
        <v>11.8</v>
      </c>
      <c r="O104" s="107">
        <v>179</v>
      </c>
    </row>
    <row r="105" spans="2:15" x14ac:dyDescent="0.3">
      <c r="B105" s="75">
        <v>78869</v>
      </c>
      <c r="C105" s="75" t="s">
        <v>98</v>
      </c>
      <c r="D105" s="91" t="s">
        <v>117</v>
      </c>
      <c r="E105" s="88" t="s">
        <v>118</v>
      </c>
      <c r="F105" s="116">
        <v>49006</v>
      </c>
      <c r="G105" s="108">
        <v>43.823999999999998</v>
      </c>
      <c r="H105" s="108">
        <v>234</v>
      </c>
      <c r="I105" s="108">
        <v>18</v>
      </c>
      <c r="J105" s="108">
        <v>12</v>
      </c>
      <c r="K105" s="108">
        <v>29</v>
      </c>
      <c r="L105" s="108">
        <v>17</v>
      </c>
      <c r="M105" s="108">
        <v>2</v>
      </c>
      <c r="N105" s="108">
        <v>11.2</v>
      </c>
      <c r="O105" s="108">
        <v>180</v>
      </c>
    </row>
    <row r="106" spans="2:15" x14ac:dyDescent="0.3">
      <c r="B106" s="75">
        <v>78873</v>
      </c>
      <c r="C106" s="75" t="s">
        <v>103</v>
      </c>
      <c r="D106" s="89" t="s">
        <v>117</v>
      </c>
      <c r="E106" s="86" t="s">
        <v>118</v>
      </c>
      <c r="F106" s="115">
        <v>51197</v>
      </c>
      <c r="G106" s="107">
        <v>44.616</v>
      </c>
      <c r="H106" s="107">
        <v>239</v>
      </c>
      <c r="I106" s="107">
        <v>17</v>
      </c>
      <c r="J106" s="107">
        <v>12</v>
      </c>
      <c r="K106" s="107">
        <v>30</v>
      </c>
      <c r="L106" s="107">
        <v>11</v>
      </c>
      <c r="M106" s="107">
        <v>2</v>
      </c>
      <c r="N106" s="107">
        <v>10.3</v>
      </c>
      <c r="O106" s="107">
        <v>189</v>
      </c>
    </row>
    <row r="107" spans="2:15" x14ac:dyDescent="0.3">
      <c r="B107" s="75">
        <v>78875</v>
      </c>
      <c r="C107" s="75" t="s">
        <v>103</v>
      </c>
      <c r="D107" s="91" t="s">
        <v>117</v>
      </c>
      <c r="E107" s="88" t="s">
        <v>118</v>
      </c>
      <c r="F107" s="116">
        <v>43301</v>
      </c>
      <c r="G107" s="108">
        <v>44.351999999999997</v>
      </c>
      <c r="H107" s="108">
        <v>241</v>
      </c>
      <c r="I107" s="108">
        <v>12</v>
      </c>
      <c r="J107" s="108">
        <v>10</v>
      </c>
      <c r="K107" s="108">
        <v>26</v>
      </c>
      <c r="L107" s="108">
        <v>15</v>
      </c>
      <c r="M107" s="108">
        <v>2</v>
      </c>
      <c r="N107" s="108">
        <v>9.4</v>
      </c>
      <c r="O107" s="108">
        <v>180</v>
      </c>
    </row>
    <row r="108" spans="2:15" x14ac:dyDescent="0.3">
      <c r="B108" s="75">
        <v>87141</v>
      </c>
      <c r="C108" s="75" t="s">
        <v>104</v>
      </c>
      <c r="D108" s="89" t="s">
        <v>135</v>
      </c>
      <c r="E108" s="90" t="s">
        <v>136</v>
      </c>
      <c r="F108" s="117">
        <v>37517</v>
      </c>
      <c r="G108" s="107">
        <v>44.088000000000001</v>
      </c>
      <c r="H108" s="107">
        <v>235</v>
      </c>
      <c r="I108" s="107">
        <v>18</v>
      </c>
      <c r="J108" s="107">
        <v>13</v>
      </c>
      <c r="K108" s="107">
        <v>26</v>
      </c>
      <c r="L108" s="107">
        <v>22</v>
      </c>
      <c r="M108" s="107">
        <v>2</v>
      </c>
      <c r="N108" s="107">
        <v>11.3</v>
      </c>
      <c r="O108" s="107">
        <v>174</v>
      </c>
    </row>
    <row r="109" spans="2:15" x14ac:dyDescent="0.3">
      <c r="B109" s="75">
        <v>87150</v>
      </c>
      <c r="C109" s="75" t="s">
        <v>103</v>
      </c>
      <c r="D109" s="91" t="s">
        <v>117</v>
      </c>
      <c r="E109" s="88" t="s">
        <v>119</v>
      </c>
      <c r="F109" s="116">
        <v>52291</v>
      </c>
      <c r="G109" s="108">
        <v>44.088000000000001</v>
      </c>
      <c r="H109" s="108">
        <v>236</v>
      </c>
      <c r="I109" s="108">
        <v>19</v>
      </c>
      <c r="J109" s="108">
        <v>10</v>
      </c>
      <c r="K109" s="108">
        <v>22</v>
      </c>
      <c r="L109" s="108">
        <v>28</v>
      </c>
      <c r="M109" s="108">
        <v>0</v>
      </c>
      <c r="N109" s="108">
        <v>11.5</v>
      </c>
      <c r="O109" s="108">
        <v>188</v>
      </c>
    </row>
    <row r="110" spans="2:15" x14ac:dyDescent="0.3">
      <c r="B110" s="75">
        <v>37581</v>
      </c>
      <c r="C110" s="75" t="s">
        <v>101</v>
      </c>
      <c r="D110" s="89" t="s">
        <v>128</v>
      </c>
      <c r="E110" s="90" t="s">
        <v>129</v>
      </c>
      <c r="F110" s="117">
        <v>44959</v>
      </c>
      <c r="G110" s="107">
        <v>42.768000000000001</v>
      </c>
      <c r="H110" s="107">
        <v>230</v>
      </c>
      <c r="I110" s="107">
        <v>18</v>
      </c>
      <c r="J110" s="107">
        <v>8</v>
      </c>
      <c r="K110" s="107">
        <v>24</v>
      </c>
      <c r="L110" s="107">
        <v>16</v>
      </c>
      <c r="M110" s="107">
        <v>2</v>
      </c>
      <c r="N110" s="107">
        <v>10.1</v>
      </c>
      <c r="O110" s="107">
        <v>159</v>
      </c>
    </row>
    <row r="111" spans="2:15" x14ac:dyDescent="0.3">
      <c r="B111" s="75">
        <v>77597</v>
      </c>
      <c r="C111" s="75" t="s">
        <v>104</v>
      </c>
      <c r="D111" s="91" t="s">
        <v>164</v>
      </c>
      <c r="E111" s="88" t="s">
        <v>132</v>
      </c>
      <c r="F111" s="116">
        <v>40410</v>
      </c>
      <c r="G111" s="108">
        <v>44.527999999999999</v>
      </c>
      <c r="H111" s="108">
        <v>240</v>
      </c>
      <c r="I111" s="108">
        <v>16</v>
      </c>
      <c r="J111" s="108">
        <v>10</v>
      </c>
      <c r="K111" s="108">
        <v>22</v>
      </c>
      <c r="L111" s="108">
        <v>28</v>
      </c>
      <c r="M111" s="108">
        <v>0</v>
      </c>
      <c r="N111" s="108">
        <v>8.1</v>
      </c>
      <c r="O111" s="108">
        <v>176</v>
      </c>
    </row>
    <row r="112" spans="2:15" x14ac:dyDescent="0.3">
      <c r="B112" s="75">
        <v>78866</v>
      </c>
      <c r="C112" s="75" t="s">
        <v>104</v>
      </c>
      <c r="D112" s="89" t="s">
        <v>117</v>
      </c>
      <c r="E112" s="86" t="s">
        <v>118</v>
      </c>
      <c r="F112" s="115">
        <v>46280</v>
      </c>
      <c r="G112" s="107">
        <v>44.263999999999996</v>
      </c>
      <c r="H112" s="107">
        <v>241</v>
      </c>
      <c r="I112" s="107">
        <v>14</v>
      </c>
      <c r="J112" s="107">
        <v>7</v>
      </c>
      <c r="K112" s="107">
        <v>28</v>
      </c>
      <c r="L112" s="107">
        <v>13</v>
      </c>
      <c r="M112" s="107">
        <v>0</v>
      </c>
      <c r="N112" s="107">
        <v>10</v>
      </c>
      <c r="O112" s="107">
        <v>178</v>
      </c>
    </row>
    <row r="113" spans="2:15" x14ac:dyDescent="0.3">
      <c r="B113" s="75">
        <v>3198</v>
      </c>
      <c r="C113" s="75" t="s">
        <v>98</v>
      </c>
      <c r="D113" s="91" t="s">
        <v>153</v>
      </c>
      <c r="E113" s="92" t="s">
        <v>165</v>
      </c>
      <c r="F113" s="118">
        <v>37544</v>
      </c>
      <c r="G113" s="108">
        <v>43.12</v>
      </c>
      <c r="H113" s="108">
        <v>231</v>
      </c>
      <c r="I113" s="108">
        <v>16</v>
      </c>
      <c r="J113" s="108">
        <v>12</v>
      </c>
      <c r="K113" s="108">
        <v>38</v>
      </c>
      <c r="L113" s="108">
        <v>22</v>
      </c>
      <c r="M113" s="108">
        <v>0</v>
      </c>
      <c r="N113" s="108">
        <v>13.1</v>
      </c>
      <c r="O113" s="108">
        <v>160</v>
      </c>
    </row>
    <row r="114" spans="2:15" x14ac:dyDescent="0.3">
      <c r="B114" s="75">
        <v>3197</v>
      </c>
      <c r="C114" s="75" t="s">
        <v>103</v>
      </c>
      <c r="D114" s="89" t="s">
        <v>153</v>
      </c>
      <c r="E114" s="90" t="s">
        <v>165</v>
      </c>
      <c r="F114" s="117">
        <v>35114</v>
      </c>
      <c r="G114" s="107">
        <v>44.175999999999995</v>
      </c>
      <c r="H114" s="107">
        <v>238</v>
      </c>
      <c r="I114" s="107">
        <v>16</v>
      </c>
      <c r="J114" s="107">
        <v>10</v>
      </c>
      <c r="K114" s="107">
        <v>23</v>
      </c>
      <c r="L114" s="107">
        <v>25</v>
      </c>
      <c r="M114" s="107">
        <v>0</v>
      </c>
      <c r="N114" s="107">
        <v>8.1</v>
      </c>
      <c r="O114" s="107">
        <v>174</v>
      </c>
    </row>
    <row r="115" spans="2:15" x14ac:dyDescent="0.3">
      <c r="B115" s="75">
        <v>78876</v>
      </c>
      <c r="C115" s="75" t="s">
        <v>103</v>
      </c>
      <c r="D115" s="91" t="s">
        <v>117</v>
      </c>
      <c r="E115" s="88" t="s">
        <v>118</v>
      </c>
      <c r="F115" s="116">
        <v>40588</v>
      </c>
      <c r="G115" s="108">
        <v>44.088000000000001</v>
      </c>
      <c r="H115" s="108">
        <v>238</v>
      </c>
      <c r="I115" s="108">
        <v>15</v>
      </c>
      <c r="J115" s="108">
        <v>10</v>
      </c>
      <c r="K115" s="108">
        <v>20</v>
      </c>
      <c r="L115" s="108">
        <v>15</v>
      </c>
      <c r="M115" s="108">
        <v>0</v>
      </c>
      <c r="N115" s="108">
        <v>10.199999999999999</v>
      </c>
      <c r="O115" s="108">
        <v>182</v>
      </c>
    </row>
    <row r="116" spans="2:15" x14ac:dyDescent="0.3">
      <c r="B116" s="75">
        <v>87146</v>
      </c>
      <c r="C116" s="75" t="s">
        <v>101</v>
      </c>
      <c r="D116" s="89" t="s">
        <v>166</v>
      </c>
      <c r="E116" s="90" t="s">
        <v>140</v>
      </c>
      <c r="F116" s="117">
        <v>33580</v>
      </c>
      <c r="G116" s="107">
        <v>42.503999999999998</v>
      </c>
      <c r="H116" s="107">
        <v>230</v>
      </c>
      <c r="I116" s="107">
        <v>13</v>
      </c>
      <c r="J116" s="107">
        <v>10</v>
      </c>
      <c r="K116" s="107">
        <v>38</v>
      </c>
      <c r="L116" s="107">
        <v>16</v>
      </c>
      <c r="M116" s="107">
        <v>0</v>
      </c>
      <c r="N116" s="107">
        <v>9.8000000000000007</v>
      </c>
      <c r="O116" s="107">
        <v>172</v>
      </c>
    </row>
    <row r="117" spans="2:15" x14ac:dyDescent="0.3">
      <c r="B117" s="75">
        <v>30274</v>
      </c>
      <c r="C117" s="75" t="s">
        <v>105</v>
      </c>
      <c r="D117" s="91" t="s">
        <v>167</v>
      </c>
      <c r="E117" s="91" t="s">
        <v>156</v>
      </c>
      <c r="F117" s="122">
        <v>55006</v>
      </c>
      <c r="G117" s="108">
        <v>42.855999999999995</v>
      </c>
      <c r="H117" s="108">
        <v>228</v>
      </c>
      <c r="I117" s="108">
        <v>17</v>
      </c>
      <c r="J117" s="108">
        <v>14</v>
      </c>
      <c r="K117" s="108">
        <v>32</v>
      </c>
      <c r="L117" s="108">
        <v>18</v>
      </c>
      <c r="M117" s="108">
        <v>2</v>
      </c>
      <c r="N117" s="108">
        <v>10</v>
      </c>
      <c r="O117" s="108">
        <v>182</v>
      </c>
    </row>
    <row r="118" spans="2:15" x14ac:dyDescent="0.3">
      <c r="B118" s="79">
        <v>78872</v>
      </c>
      <c r="C118" s="79" t="s">
        <v>103</v>
      </c>
      <c r="D118" s="85" t="s">
        <v>117</v>
      </c>
      <c r="E118" s="86" t="s">
        <v>118</v>
      </c>
      <c r="F118" s="115">
        <v>51217</v>
      </c>
      <c r="G118" s="107">
        <v>44.351999999999997</v>
      </c>
      <c r="H118" s="107">
        <v>240</v>
      </c>
      <c r="I118" s="107">
        <v>16</v>
      </c>
      <c r="J118" s="107">
        <v>8</v>
      </c>
      <c r="K118" s="107">
        <v>21</v>
      </c>
      <c r="L118" s="107">
        <v>14</v>
      </c>
      <c r="M118" s="107">
        <v>0</v>
      </c>
      <c r="N118" s="107">
        <v>10.3</v>
      </c>
      <c r="O118" s="107">
        <v>177</v>
      </c>
    </row>
    <row r="119" spans="2:15" x14ac:dyDescent="0.3">
      <c r="B119" s="75">
        <v>31888</v>
      </c>
      <c r="C119" s="75" t="s">
        <v>98</v>
      </c>
      <c r="D119" s="91" t="s">
        <v>168</v>
      </c>
      <c r="E119" s="92" t="s">
        <v>154</v>
      </c>
      <c r="F119" s="118">
        <v>40201</v>
      </c>
      <c r="G119" s="108">
        <v>43.735999999999997</v>
      </c>
      <c r="H119" s="108">
        <v>237</v>
      </c>
      <c r="I119" s="108">
        <v>11</v>
      </c>
      <c r="J119" s="108">
        <v>12</v>
      </c>
      <c r="K119" s="108">
        <v>32</v>
      </c>
      <c r="L119" s="108">
        <v>17</v>
      </c>
      <c r="M119" s="108">
        <v>2</v>
      </c>
      <c r="N119" s="108">
        <v>14.1</v>
      </c>
      <c r="O119" s="108">
        <v>160</v>
      </c>
    </row>
    <row r="120" spans="2:15" x14ac:dyDescent="0.3">
      <c r="B120" s="75">
        <v>78907</v>
      </c>
      <c r="C120" s="75" t="s">
        <v>103</v>
      </c>
      <c r="D120" s="89" t="s">
        <v>117</v>
      </c>
      <c r="E120" s="86" t="s">
        <v>118</v>
      </c>
      <c r="F120" s="115">
        <v>47790</v>
      </c>
      <c r="G120" s="107">
        <v>44.351999999999997</v>
      </c>
      <c r="H120" s="107">
        <v>240</v>
      </c>
      <c r="I120" s="107">
        <v>16</v>
      </c>
      <c r="J120" s="107">
        <v>8</v>
      </c>
      <c r="K120" s="107">
        <v>27</v>
      </c>
      <c r="L120" s="107">
        <v>14</v>
      </c>
      <c r="M120" s="107"/>
      <c r="N120" s="107">
        <v>10.5</v>
      </c>
      <c r="O120" s="107">
        <v>183</v>
      </c>
    </row>
    <row r="121" spans="2:15" x14ac:dyDescent="0.3">
      <c r="B121" s="75">
        <v>78908</v>
      </c>
      <c r="C121" s="75" t="s">
        <v>103</v>
      </c>
      <c r="D121" s="91" t="s">
        <v>117</v>
      </c>
      <c r="E121" s="88" t="s">
        <v>118</v>
      </c>
      <c r="F121" s="116">
        <v>45263</v>
      </c>
      <c r="G121" s="108">
        <v>43.735999999999997</v>
      </c>
      <c r="H121" s="108">
        <v>235</v>
      </c>
      <c r="I121" s="108">
        <v>10</v>
      </c>
      <c r="J121" s="108">
        <v>17</v>
      </c>
      <c r="K121" s="108">
        <v>32</v>
      </c>
      <c r="L121" s="108">
        <v>17</v>
      </c>
      <c r="M121" s="108">
        <v>2</v>
      </c>
      <c r="N121" s="108">
        <v>11.2</v>
      </c>
      <c r="O121" s="108">
        <v>179</v>
      </c>
    </row>
    <row r="122" spans="2:15" x14ac:dyDescent="0.3">
      <c r="B122" s="75">
        <v>78871</v>
      </c>
      <c r="C122" s="75" t="s">
        <v>103</v>
      </c>
      <c r="D122" s="89" t="s">
        <v>117</v>
      </c>
      <c r="E122" s="86" t="s">
        <v>118</v>
      </c>
      <c r="F122" s="115">
        <v>47684</v>
      </c>
      <c r="G122" s="107">
        <v>44.616</v>
      </c>
      <c r="H122" s="107">
        <v>238</v>
      </c>
      <c r="I122" s="107">
        <v>20</v>
      </c>
      <c r="J122" s="107">
        <v>11</v>
      </c>
      <c r="K122" s="107">
        <v>29</v>
      </c>
      <c r="L122" s="107">
        <v>25</v>
      </c>
      <c r="M122" s="107">
        <v>0</v>
      </c>
      <c r="N122" s="107">
        <v>9.6999999999999993</v>
      </c>
      <c r="O122" s="107">
        <v>188</v>
      </c>
    </row>
    <row r="123" spans="2:15" x14ac:dyDescent="0.3">
      <c r="B123" s="75">
        <v>78910</v>
      </c>
      <c r="C123" s="75" t="s">
        <v>103</v>
      </c>
      <c r="D123" s="91" t="s">
        <v>117</v>
      </c>
      <c r="E123" s="88" t="s">
        <v>118</v>
      </c>
      <c r="F123" s="116">
        <v>49731</v>
      </c>
      <c r="G123" s="108">
        <v>43.823999999999998</v>
      </c>
      <c r="H123" s="108">
        <v>234</v>
      </c>
      <c r="I123" s="108">
        <v>19</v>
      </c>
      <c r="J123" s="108">
        <v>11</v>
      </c>
      <c r="K123" s="108">
        <v>29</v>
      </c>
      <c r="L123" s="108">
        <v>15</v>
      </c>
      <c r="M123" s="108">
        <v>0</v>
      </c>
      <c r="N123" s="108">
        <v>9.1999999999999993</v>
      </c>
      <c r="O123" s="108">
        <v>185</v>
      </c>
    </row>
    <row r="124" spans="2:15" x14ac:dyDescent="0.3">
      <c r="B124" s="75">
        <v>78906</v>
      </c>
      <c r="C124" s="75" t="s">
        <v>103</v>
      </c>
      <c r="D124" s="89" t="s">
        <v>117</v>
      </c>
      <c r="E124" s="86" t="s">
        <v>118</v>
      </c>
      <c r="F124" s="115">
        <v>49466</v>
      </c>
      <c r="G124" s="107">
        <v>44.351999999999997</v>
      </c>
      <c r="H124" s="107">
        <v>240</v>
      </c>
      <c r="I124" s="107">
        <v>16</v>
      </c>
      <c r="J124" s="107">
        <v>8</v>
      </c>
      <c r="K124" s="107">
        <v>21</v>
      </c>
      <c r="L124" s="107">
        <v>14</v>
      </c>
      <c r="M124" s="107"/>
      <c r="N124" s="107">
        <v>10.1</v>
      </c>
      <c r="O124" s="107">
        <v>186</v>
      </c>
    </row>
    <row r="125" spans="2:15" x14ac:dyDescent="0.3">
      <c r="B125" s="75">
        <v>29107</v>
      </c>
      <c r="C125" s="75" t="s">
        <v>101</v>
      </c>
      <c r="D125" s="91" t="s">
        <v>117</v>
      </c>
      <c r="E125" s="88" t="s">
        <v>119</v>
      </c>
      <c r="F125" s="116">
        <v>45376</v>
      </c>
      <c r="G125" s="108">
        <v>41.711999999999996</v>
      </c>
      <c r="H125" s="108">
        <v>220</v>
      </c>
      <c r="I125" s="108">
        <v>18</v>
      </c>
      <c r="J125" s="108">
        <v>16</v>
      </c>
      <c r="K125" s="108">
        <v>41</v>
      </c>
      <c r="L125" s="108">
        <v>21</v>
      </c>
      <c r="M125" s="108">
        <v>4</v>
      </c>
      <c r="N125" s="108">
        <v>10.3</v>
      </c>
      <c r="O125" s="108">
        <v>183</v>
      </c>
    </row>
    <row r="126" spans="2:15" x14ac:dyDescent="0.3">
      <c r="B126" s="75">
        <v>19786</v>
      </c>
      <c r="C126" s="75" t="s">
        <v>105</v>
      </c>
      <c r="D126" s="89" t="s">
        <v>169</v>
      </c>
      <c r="E126" s="90" t="s">
        <v>170</v>
      </c>
      <c r="F126" s="117">
        <v>37788</v>
      </c>
      <c r="G126" s="107">
        <v>42.503999999999998</v>
      </c>
      <c r="H126" s="107">
        <v>230</v>
      </c>
      <c r="I126" s="107">
        <v>13</v>
      </c>
      <c r="J126" s="107">
        <v>10</v>
      </c>
      <c r="K126" s="107">
        <v>38</v>
      </c>
      <c r="L126" s="107">
        <v>16</v>
      </c>
      <c r="M126" s="107">
        <v>0</v>
      </c>
      <c r="N126" s="107">
        <v>11.2</v>
      </c>
      <c r="O126" s="107">
        <v>169</v>
      </c>
    </row>
    <row r="127" spans="2:15" x14ac:dyDescent="0.3">
      <c r="B127" s="75">
        <v>30268</v>
      </c>
      <c r="C127" s="75" t="s">
        <v>105</v>
      </c>
      <c r="D127" s="91" t="s">
        <v>171</v>
      </c>
      <c r="E127" s="91" t="s">
        <v>156</v>
      </c>
      <c r="F127" s="122">
        <v>39695</v>
      </c>
      <c r="G127" s="108">
        <v>42.415999999999997</v>
      </c>
      <c r="H127" s="108">
        <v>223</v>
      </c>
      <c r="I127" s="108">
        <v>22</v>
      </c>
      <c r="J127" s="108">
        <v>14</v>
      </c>
      <c r="K127" s="108">
        <v>33</v>
      </c>
      <c r="L127" s="108">
        <v>21</v>
      </c>
      <c r="M127" s="108">
        <v>0</v>
      </c>
      <c r="N127" s="108">
        <v>10.1</v>
      </c>
      <c r="O127" s="108">
        <v>181</v>
      </c>
    </row>
    <row r="128" spans="2:15" x14ac:dyDescent="0.3">
      <c r="B128" s="75">
        <v>37582</v>
      </c>
      <c r="C128" s="75" t="s">
        <v>101</v>
      </c>
      <c r="D128" s="89" t="s">
        <v>157</v>
      </c>
      <c r="E128" s="90" t="s">
        <v>129</v>
      </c>
      <c r="F128" s="117">
        <v>45076</v>
      </c>
      <c r="G128" s="107">
        <v>43.12</v>
      </c>
      <c r="H128" s="107">
        <v>235</v>
      </c>
      <c r="I128" s="107">
        <v>12</v>
      </c>
      <c r="J128" s="107">
        <v>8</v>
      </c>
      <c r="K128" s="107">
        <v>29</v>
      </c>
      <c r="L128" s="107">
        <v>24</v>
      </c>
      <c r="M128" s="107">
        <v>2</v>
      </c>
      <c r="N128" s="107">
        <v>11.4</v>
      </c>
      <c r="O128" s="107">
        <v>162</v>
      </c>
    </row>
    <row r="129" spans="2:15" x14ac:dyDescent="0.3">
      <c r="B129" s="75">
        <v>3196</v>
      </c>
      <c r="C129" s="75" t="s">
        <v>106</v>
      </c>
      <c r="D129" s="91" t="s">
        <v>153</v>
      </c>
      <c r="E129" s="92" t="s">
        <v>165</v>
      </c>
      <c r="F129" s="118">
        <v>41305</v>
      </c>
      <c r="G129" s="108">
        <v>43.12</v>
      </c>
      <c r="H129" s="108">
        <v>233</v>
      </c>
      <c r="I129" s="108">
        <v>13</v>
      </c>
      <c r="J129" s="108">
        <v>11</v>
      </c>
      <c r="K129" s="108">
        <v>41</v>
      </c>
      <c r="L129" s="108">
        <v>22</v>
      </c>
      <c r="M129" s="108">
        <v>2</v>
      </c>
      <c r="N129" s="108">
        <v>12.1</v>
      </c>
      <c r="O129" s="108">
        <v>168</v>
      </c>
    </row>
    <row r="130" spans="2:15" x14ac:dyDescent="0.3">
      <c r="B130" s="75">
        <v>771</v>
      </c>
      <c r="C130" s="75" t="s">
        <v>105</v>
      </c>
      <c r="D130" s="89" t="s">
        <v>172</v>
      </c>
      <c r="E130" s="90" t="s">
        <v>173</v>
      </c>
      <c r="F130" s="117">
        <v>43465</v>
      </c>
      <c r="G130" s="107">
        <v>42.415999999999997</v>
      </c>
      <c r="H130" s="107">
        <v>224</v>
      </c>
      <c r="I130" s="107">
        <v>18</v>
      </c>
      <c r="J130" s="107">
        <v>16</v>
      </c>
      <c r="K130" s="107">
        <v>45</v>
      </c>
      <c r="L130" s="107">
        <v>17</v>
      </c>
      <c r="M130" s="107">
        <v>0</v>
      </c>
      <c r="N130" s="107">
        <v>11.3</v>
      </c>
      <c r="O130" s="107">
        <v>181</v>
      </c>
    </row>
    <row r="131" spans="2:15" x14ac:dyDescent="0.3">
      <c r="B131" s="75">
        <v>28912</v>
      </c>
      <c r="C131" s="75" t="s">
        <v>106</v>
      </c>
      <c r="D131" s="91" t="s">
        <v>74</v>
      </c>
      <c r="E131" s="92" t="s">
        <v>174</v>
      </c>
      <c r="F131" s="118">
        <v>41751</v>
      </c>
      <c r="G131" s="108">
        <v>42.943999999999996</v>
      </c>
      <c r="H131" s="108">
        <v>231</v>
      </c>
      <c r="I131" s="108">
        <v>12</v>
      </c>
      <c r="J131" s="108">
        <v>14</v>
      </c>
      <c r="K131" s="108">
        <v>38</v>
      </c>
      <c r="L131" s="108">
        <v>24</v>
      </c>
      <c r="M131" s="108">
        <v>4</v>
      </c>
      <c r="N131" s="108">
        <v>11.9</v>
      </c>
      <c r="O131" s="108">
        <v>183</v>
      </c>
    </row>
    <row r="132" spans="2:15" x14ac:dyDescent="0.3">
      <c r="B132" s="75">
        <v>35970</v>
      </c>
      <c r="C132" s="75" t="s">
        <v>105</v>
      </c>
      <c r="D132" s="89" t="s">
        <v>59</v>
      </c>
      <c r="E132" s="90" t="s">
        <v>175</v>
      </c>
      <c r="F132" s="117">
        <v>43400</v>
      </c>
      <c r="G132" s="107">
        <v>42.415999999999997</v>
      </c>
      <c r="H132" s="107">
        <v>228</v>
      </c>
      <c r="I132" s="107">
        <v>10</v>
      </c>
      <c r="J132" s="107">
        <v>16</v>
      </c>
      <c r="K132" s="107">
        <v>39</v>
      </c>
      <c r="L132" s="107">
        <v>21</v>
      </c>
      <c r="M132" s="107">
        <v>2</v>
      </c>
      <c r="N132" s="107">
        <v>11.2</v>
      </c>
      <c r="O132" s="107">
        <v>184</v>
      </c>
    </row>
    <row r="133" spans="2:15" x14ac:dyDescent="0.3">
      <c r="B133" s="75">
        <v>84903</v>
      </c>
      <c r="C133" s="75" t="s">
        <v>105</v>
      </c>
      <c r="D133" s="91" t="s">
        <v>149</v>
      </c>
      <c r="E133" s="92" t="s">
        <v>150</v>
      </c>
      <c r="F133" s="118">
        <v>39940</v>
      </c>
      <c r="G133" s="108">
        <v>42.591999999999999</v>
      </c>
      <c r="H133" s="108">
        <v>230</v>
      </c>
      <c r="I133" s="108">
        <v>13</v>
      </c>
      <c r="J133" s="108">
        <v>11</v>
      </c>
      <c r="K133" s="108">
        <v>33</v>
      </c>
      <c r="L133" s="108">
        <v>29</v>
      </c>
      <c r="M133" s="108">
        <v>4</v>
      </c>
      <c r="N133" s="108">
        <v>10.7</v>
      </c>
      <c r="O133" s="108">
        <v>173</v>
      </c>
    </row>
    <row r="134" spans="2:15" x14ac:dyDescent="0.3">
      <c r="B134" s="75">
        <v>78878</v>
      </c>
      <c r="C134" s="75" t="s">
        <v>106</v>
      </c>
      <c r="D134" s="89" t="s">
        <v>117</v>
      </c>
      <c r="E134" s="86" t="s">
        <v>118</v>
      </c>
      <c r="F134" s="115">
        <v>41702</v>
      </c>
      <c r="G134" s="107">
        <v>43.031999999999996</v>
      </c>
      <c r="H134" s="107">
        <v>234</v>
      </c>
      <c r="I134" s="107">
        <v>15</v>
      </c>
      <c r="J134" s="107">
        <v>6</v>
      </c>
      <c r="K134" s="107">
        <v>49</v>
      </c>
      <c r="L134" s="107">
        <v>13</v>
      </c>
      <c r="M134" s="107">
        <v>0</v>
      </c>
      <c r="N134" s="107">
        <v>12.2</v>
      </c>
      <c r="O134" s="107">
        <v>183</v>
      </c>
    </row>
    <row r="135" spans="2:15" x14ac:dyDescent="0.3">
      <c r="B135" s="75">
        <v>13213</v>
      </c>
      <c r="C135" s="75" t="s">
        <v>105</v>
      </c>
      <c r="D135" s="91" t="s">
        <v>176</v>
      </c>
      <c r="E135" s="92" t="s">
        <v>177</v>
      </c>
      <c r="F135" s="118">
        <v>40357</v>
      </c>
      <c r="G135" s="108">
        <v>42.152000000000001</v>
      </c>
      <c r="H135" s="108">
        <v>226</v>
      </c>
      <c r="I135" s="108">
        <v>14</v>
      </c>
      <c r="J135" s="108">
        <v>13</v>
      </c>
      <c r="K135" s="108">
        <v>41</v>
      </c>
      <c r="L135" s="108">
        <v>27</v>
      </c>
      <c r="M135" s="108">
        <v>0</v>
      </c>
      <c r="N135" s="108">
        <v>10.199999999999999</v>
      </c>
      <c r="O135" s="108">
        <v>189</v>
      </c>
    </row>
    <row r="136" spans="2:15" x14ac:dyDescent="0.3">
      <c r="B136" s="75">
        <v>30272</v>
      </c>
      <c r="C136" s="75" t="s">
        <v>107</v>
      </c>
      <c r="D136" s="89" t="s">
        <v>117</v>
      </c>
      <c r="E136" s="89" t="s">
        <v>156</v>
      </c>
      <c r="F136" s="120">
        <v>44942</v>
      </c>
      <c r="G136" s="107">
        <v>42.152000000000001</v>
      </c>
      <c r="H136" s="107">
        <v>226</v>
      </c>
      <c r="I136" s="107">
        <v>14</v>
      </c>
      <c r="J136" s="107">
        <v>13</v>
      </c>
      <c r="K136" s="107">
        <v>41</v>
      </c>
      <c r="L136" s="107">
        <v>27</v>
      </c>
      <c r="M136" s="107">
        <v>0</v>
      </c>
      <c r="N136" s="107">
        <v>10.199999999999999</v>
      </c>
      <c r="O136" s="107">
        <v>189</v>
      </c>
    </row>
    <row r="137" spans="2:15" x14ac:dyDescent="0.3">
      <c r="B137" s="75">
        <v>89240</v>
      </c>
      <c r="C137" s="75" t="s">
        <v>105</v>
      </c>
      <c r="D137" s="91" t="s">
        <v>159</v>
      </c>
      <c r="E137" s="92" t="s">
        <v>160</v>
      </c>
      <c r="F137" s="118">
        <v>41862</v>
      </c>
      <c r="G137" s="108">
        <v>42.239999999999995</v>
      </c>
      <c r="H137" s="108">
        <v>230</v>
      </c>
      <c r="I137" s="108">
        <v>8</v>
      </c>
      <c r="J137" s="108">
        <v>12</v>
      </c>
      <c r="K137" s="108">
        <v>21</v>
      </c>
      <c r="L137" s="108">
        <v>20</v>
      </c>
      <c r="M137" s="108">
        <v>4</v>
      </c>
      <c r="N137" s="108">
        <v>10.4</v>
      </c>
      <c r="O137" s="108">
        <v>156</v>
      </c>
    </row>
    <row r="138" spans="2:15" x14ac:dyDescent="0.3">
      <c r="B138" s="75">
        <v>87109</v>
      </c>
      <c r="C138" s="75" t="s">
        <v>108</v>
      </c>
      <c r="D138" s="89" t="s">
        <v>117</v>
      </c>
      <c r="E138" s="86" t="s">
        <v>119</v>
      </c>
      <c r="F138" s="115">
        <v>46473</v>
      </c>
      <c r="G138" s="107">
        <v>42.68</v>
      </c>
      <c r="H138" s="107">
        <v>230</v>
      </c>
      <c r="I138" s="107">
        <v>14</v>
      </c>
      <c r="J138" s="107">
        <v>11</v>
      </c>
      <c r="K138" s="107">
        <v>39</v>
      </c>
      <c r="L138" s="107">
        <v>18</v>
      </c>
      <c r="M138" s="107"/>
      <c r="N138" s="107">
        <v>10.7</v>
      </c>
      <c r="O138" s="107">
        <v>182</v>
      </c>
    </row>
    <row r="139" spans="2:15" x14ac:dyDescent="0.3">
      <c r="B139" s="75">
        <v>37583</v>
      </c>
      <c r="C139" s="75" t="s">
        <v>106</v>
      </c>
      <c r="D139" s="91" t="s">
        <v>157</v>
      </c>
      <c r="E139" s="92" t="s">
        <v>129</v>
      </c>
      <c r="F139" s="118">
        <v>41039</v>
      </c>
      <c r="G139" s="108">
        <v>43.647999999999996</v>
      </c>
      <c r="H139" s="108">
        <v>231</v>
      </c>
      <c r="I139" s="108">
        <v>20</v>
      </c>
      <c r="J139" s="108">
        <v>14</v>
      </c>
      <c r="K139" s="108">
        <v>20</v>
      </c>
      <c r="L139" s="108">
        <v>31</v>
      </c>
      <c r="M139" s="108">
        <v>2</v>
      </c>
      <c r="N139" s="108">
        <v>12.3</v>
      </c>
      <c r="O139" s="108">
        <v>172</v>
      </c>
    </row>
    <row r="140" spans="2:15" x14ac:dyDescent="0.3">
      <c r="B140" s="75">
        <v>32083</v>
      </c>
      <c r="C140" s="75" t="s">
        <v>106</v>
      </c>
      <c r="D140" s="89" t="s">
        <v>178</v>
      </c>
      <c r="E140" s="90" t="s">
        <v>154</v>
      </c>
      <c r="F140" s="117">
        <v>39329</v>
      </c>
      <c r="G140" s="107">
        <v>43.735999999999997</v>
      </c>
      <c r="H140" s="107">
        <v>236</v>
      </c>
      <c r="I140" s="107">
        <v>12</v>
      </c>
      <c r="J140" s="107">
        <v>13</v>
      </c>
      <c r="K140" s="107">
        <v>44</v>
      </c>
      <c r="L140" s="107">
        <v>7</v>
      </c>
      <c r="M140" s="107">
        <v>2</v>
      </c>
      <c r="N140" s="107">
        <v>12.2</v>
      </c>
      <c r="O140" s="107">
        <v>180</v>
      </c>
    </row>
    <row r="141" spans="2:15" x14ac:dyDescent="0.3">
      <c r="B141" s="75">
        <v>87110</v>
      </c>
      <c r="C141" s="75" t="s">
        <v>105</v>
      </c>
      <c r="D141" s="91" t="s">
        <v>117</v>
      </c>
      <c r="E141" s="88" t="s">
        <v>119</v>
      </c>
      <c r="F141" s="116">
        <v>52905</v>
      </c>
      <c r="G141" s="108">
        <v>42.768000000000001</v>
      </c>
      <c r="H141" s="108">
        <v>230</v>
      </c>
      <c r="I141" s="108">
        <v>12</v>
      </c>
      <c r="J141" s="108">
        <v>14</v>
      </c>
      <c r="K141" s="108">
        <v>16</v>
      </c>
      <c r="L141" s="108">
        <v>28</v>
      </c>
      <c r="M141" s="108">
        <v>0</v>
      </c>
      <c r="N141" s="108">
        <v>10.8</v>
      </c>
      <c r="O141" s="108">
        <v>179</v>
      </c>
    </row>
    <row r="142" spans="2:15" x14ac:dyDescent="0.3">
      <c r="B142" s="75">
        <v>35967</v>
      </c>
      <c r="C142" s="75" t="s">
        <v>101</v>
      </c>
      <c r="D142" s="89" t="s">
        <v>117</v>
      </c>
      <c r="E142" s="90" t="s">
        <v>175</v>
      </c>
      <c r="F142" s="117">
        <v>41877</v>
      </c>
      <c r="G142" s="107">
        <v>42.591999999999999</v>
      </c>
      <c r="H142" s="107">
        <v>231</v>
      </c>
      <c r="I142" s="107">
        <v>12</v>
      </c>
      <c r="J142" s="107">
        <v>10</v>
      </c>
      <c r="K142" s="107">
        <v>39</v>
      </c>
      <c r="L142" s="107">
        <v>21</v>
      </c>
      <c r="M142" s="107">
        <v>0</v>
      </c>
      <c r="N142" s="107">
        <v>11.4</v>
      </c>
      <c r="O142" s="107">
        <v>178</v>
      </c>
    </row>
    <row r="143" spans="2:15" x14ac:dyDescent="0.3">
      <c r="B143" s="75">
        <v>35969</v>
      </c>
      <c r="C143" s="75" t="s">
        <v>100</v>
      </c>
      <c r="D143" s="91" t="s">
        <v>117</v>
      </c>
      <c r="E143" s="92" t="s">
        <v>175</v>
      </c>
      <c r="F143" s="118">
        <v>43689</v>
      </c>
      <c r="G143" s="108">
        <v>42.064</v>
      </c>
      <c r="H143" s="108">
        <v>227</v>
      </c>
      <c r="I143" s="108">
        <v>14</v>
      </c>
      <c r="J143" s="108">
        <v>10</v>
      </c>
      <c r="K143" s="108">
        <v>16</v>
      </c>
      <c r="L143" s="108">
        <v>28</v>
      </c>
      <c r="M143" s="108">
        <v>3</v>
      </c>
      <c r="N143" s="108">
        <v>9.3000000000000007</v>
      </c>
      <c r="O143" s="108">
        <v>178</v>
      </c>
    </row>
    <row r="144" spans="2:15" x14ac:dyDescent="0.3">
      <c r="B144" s="76">
        <v>78880</v>
      </c>
      <c r="C144" s="76" t="s">
        <v>100</v>
      </c>
      <c r="D144" s="89" t="s">
        <v>117</v>
      </c>
      <c r="E144" s="86" t="s">
        <v>118</v>
      </c>
      <c r="F144" s="115">
        <v>51955</v>
      </c>
      <c r="G144" s="107">
        <v>42.943999999999996</v>
      </c>
      <c r="H144" s="107">
        <v>231</v>
      </c>
      <c r="I144" s="107">
        <v>14</v>
      </c>
      <c r="J144" s="107">
        <v>12</v>
      </c>
      <c r="K144" s="107">
        <v>28</v>
      </c>
      <c r="L144" s="107">
        <v>24</v>
      </c>
      <c r="M144" s="107">
        <v>0</v>
      </c>
      <c r="N144" s="107">
        <v>11.1</v>
      </c>
      <c r="O144" s="107">
        <v>182</v>
      </c>
    </row>
    <row r="145" spans="2:15" x14ac:dyDescent="0.3">
      <c r="B145" s="75">
        <v>78879</v>
      </c>
      <c r="C145" s="75" t="s">
        <v>106</v>
      </c>
      <c r="D145" s="91" t="s">
        <v>117</v>
      </c>
      <c r="E145" s="88" t="s">
        <v>118</v>
      </c>
      <c r="F145" s="116">
        <v>52153</v>
      </c>
      <c r="G145" s="108">
        <v>43.559999999999995</v>
      </c>
      <c r="H145" s="108">
        <v>231</v>
      </c>
      <c r="I145" s="108">
        <v>18</v>
      </c>
      <c r="J145" s="108">
        <v>15</v>
      </c>
      <c r="K145" s="108">
        <v>30</v>
      </c>
      <c r="L145" s="108">
        <v>16</v>
      </c>
      <c r="M145" s="108">
        <v>2</v>
      </c>
      <c r="N145" s="108">
        <v>11.5</v>
      </c>
      <c r="O145" s="108">
        <v>185</v>
      </c>
    </row>
    <row r="146" spans="2:15" x14ac:dyDescent="0.3">
      <c r="B146" s="75">
        <v>30273</v>
      </c>
      <c r="C146" s="75" t="s">
        <v>106</v>
      </c>
      <c r="D146" s="89" t="s">
        <v>117</v>
      </c>
      <c r="E146" s="89" t="s">
        <v>156</v>
      </c>
      <c r="F146" s="120">
        <v>53718</v>
      </c>
      <c r="G146" s="107">
        <v>43.735999999999997</v>
      </c>
      <c r="H146" s="107">
        <v>236</v>
      </c>
      <c r="I146" s="107">
        <v>14</v>
      </c>
      <c r="J146" s="107">
        <v>11</v>
      </c>
      <c r="K146" s="107">
        <v>26</v>
      </c>
      <c r="L146" s="107">
        <v>29</v>
      </c>
      <c r="M146" s="107">
        <v>2</v>
      </c>
      <c r="N146" s="107">
        <v>10.3</v>
      </c>
      <c r="O146" s="107">
        <v>183</v>
      </c>
    </row>
    <row r="147" spans="2:15" x14ac:dyDescent="0.3">
      <c r="B147" s="75">
        <v>36086</v>
      </c>
      <c r="C147" s="75" t="s">
        <v>105</v>
      </c>
      <c r="D147" s="91" t="s">
        <v>179</v>
      </c>
      <c r="E147" s="92" t="s">
        <v>180</v>
      </c>
      <c r="F147" s="118">
        <v>38807</v>
      </c>
      <c r="G147" s="108">
        <v>43.031999999999996</v>
      </c>
      <c r="H147" s="108">
        <v>228</v>
      </c>
      <c r="I147" s="108">
        <v>19</v>
      </c>
      <c r="J147" s="108">
        <v>14</v>
      </c>
      <c r="K147" s="108">
        <v>29</v>
      </c>
      <c r="L147" s="108">
        <v>15</v>
      </c>
      <c r="M147" s="108">
        <v>2</v>
      </c>
      <c r="N147" s="108">
        <v>11.7</v>
      </c>
      <c r="O147" s="108">
        <v>167</v>
      </c>
    </row>
    <row r="148" spans="2:15" x14ac:dyDescent="0.3">
      <c r="B148" s="75">
        <v>78891</v>
      </c>
      <c r="C148" s="75" t="s">
        <v>106</v>
      </c>
      <c r="D148" s="89" t="s">
        <v>117</v>
      </c>
      <c r="E148" s="86" t="s">
        <v>118</v>
      </c>
      <c r="F148" s="115">
        <v>48308</v>
      </c>
      <c r="G148" s="107">
        <v>43.471999999999994</v>
      </c>
      <c r="H148" s="107">
        <v>234</v>
      </c>
      <c r="I148" s="107">
        <v>14</v>
      </c>
      <c r="J148" s="107">
        <v>12</v>
      </c>
      <c r="K148" s="107">
        <v>31</v>
      </c>
      <c r="L148" s="107">
        <v>22</v>
      </c>
      <c r="M148" s="107"/>
      <c r="N148" s="107">
        <v>10.6</v>
      </c>
      <c r="O148" s="107">
        <v>181</v>
      </c>
    </row>
    <row r="149" spans="2:15" x14ac:dyDescent="0.3">
      <c r="B149" s="75">
        <v>78888</v>
      </c>
      <c r="C149" s="75" t="s">
        <v>103</v>
      </c>
      <c r="D149" s="91" t="s">
        <v>117</v>
      </c>
      <c r="E149" s="88" t="s">
        <v>118</v>
      </c>
      <c r="F149" s="116">
        <v>51183</v>
      </c>
      <c r="G149" s="108">
        <v>44.527999999999999</v>
      </c>
      <c r="H149" s="108">
        <v>238</v>
      </c>
      <c r="I149" s="108">
        <v>16</v>
      </c>
      <c r="J149" s="108">
        <v>14</v>
      </c>
      <c r="K149" s="108">
        <v>26</v>
      </c>
      <c r="L149" s="108">
        <v>21</v>
      </c>
      <c r="M149" s="108">
        <v>2</v>
      </c>
      <c r="N149" s="108">
        <v>12.2</v>
      </c>
      <c r="O149" s="108">
        <v>187</v>
      </c>
    </row>
    <row r="150" spans="2:15" x14ac:dyDescent="0.3">
      <c r="B150" s="75">
        <v>78877</v>
      </c>
      <c r="C150" s="75" t="s">
        <v>105</v>
      </c>
      <c r="D150" s="89" t="s">
        <v>117</v>
      </c>
      <c r="E150" s="86" t="s">
        <v>118</v>
      </c>
      <c r="F150" s="115">
        <v>41153</v>
      </c>
      <c r="G150" s="107">
        <v>42.768000000000001</v>
      </c>
      <c r="H150" s="107">
        <v>230</v>
      </c>
      <c r="I150" s="107">
        <v>12</v>
      </c>
      <c r="J150" s="107">
        <v>14</v>
      </c>
      <c r="K150" s="107">
        <v>41</v>
      </c>
      <c r="L150" s="107">
        <v>27</v>
      </c>
      <c r="M150" s="107">
        <v>0</v>
      </c>
      <c r="N150" s="107">
        <v>10.9</v>
      </c>
      <c r="O150" s="107">
        <v>185</v>
      </c>
    </row>
    <row r="151" spans="2:15" x14ac:dyDescent="0.3">
      <c r="B151" s="75">
        <v>82288</v>
      </c>
      <c r="C151" s="75" t="s">
        <v>105</v>
      </c>
      <c r="D151" s="91" t="s">
        <v>181</v>
      </c>
      <c r="E151" s="92" t="s">
        <v>140</v>
      </c>
      <c r="F151" s="118">
        <v>20232</v>
      </c>
      <c r="G151" s="108">
        <v>42.415999999999997</v>
      </c>
      <c r="H151" s="108">
        <v>227</v>
      </c>
      <c r="I151" s="108">
        <v>18</v>
      </c>
      <c r="J151" s="108">
        <v>10</v>
      </c>
      <c r="K151" s="108">
        <v>48</v>
      </c>
      <c r="L151" s="108">
        <v>8</v>
      </c>
      <c r="M151" s="108">
        <v>0</v>
      </c>
      <c r="N151" s="108">
        <v>9.1999999999999993</v>
      </c>
      <c r="O151" s="108">
        <v>183</v>
      </c>
    </row>
    <row r="152" spans="2:15" x14ac:dyDescent="0.3">
      <c r="B152" s="75">
        <v>23297</v>
      </c>
      <c r="C152" s="75" t="s">
        <v>106</v>
      </c>
      <c r="D152" s="89" t="s">
        <v>182</v>
      </c>
      <c r="E152" s="90" t="s">
        <v>150</v>
      </c>
      <c r="F152" s="117">
        <v>40332</v>
      </c>
      <c r="G152" s="107">
        <v>43.031999999999996</v>
      </c>
      <c r="H152" s="107">
        <v>235</v>
      </c>
      <c r="I152" s="107">
        <v>13</v>
      </c>
      <c r="J152" s="107">
        <v>6</v>
      </c>
      <c r="K152" s="107">
        <v>17</v>
      </c>
      <c r="L152" s="107">
        <v>53</v>
      </c>
      <c r="M152" s="107">
        <v>3</v>
      </c>
      <c r="N152" s="107">
        <v>11.3</v>
      </c>
      <c r="O152" s="107">
        <v>179</v>
      </c>
    </row>
    <row r="153" spans="2:15" x14ac:dyDescent="0.3">
      <c r="B153" s="75">
        <v>78890</v>
      </c>
      <c r="C153" s="75" t="s">
        <v>103</v>
      </c>
      <c r="D153" s="91" t="s">
        <v>117</v>
      </c>
      <c r="E153" s="88" t="s">
        <v>118</v>
      </c>
      <c r="F153" s="116">
        <v>50442</v>
      </c>
      <c r="G153" s="108">
        <v>44.44</v>
      </c>
      <c r="H153" s="108">
        <v>240</v>
      </c>
      <c r="I153" s="108">
        <v>14</v>
      </c>
      <c r="J153" s="108">
        <v>11</v>
      </c>
      <c r="K153" s="108">
        <v>25</v>
      </c>
      <c r="L153" s="108">
        <v>18</v>
      </c>
      <c r="M153" s="108">
        <v>0</v>
      </c>
      <c r="N153" s="108">
        <v>10.199999999999999</v>
      </c>
      <c r="O153" s="108">
        <v>168</v>
      </c>
    </row>
    <row r="154" spans="2:15" x14ac:dyDescent="0.3">
      <c r="B154" s="75">
        <v>77674</v>
      </c>
      <c r="C154" s="75" t="s">
        <v>106</v>
      </c>
      <c r="D154" s="89" t="s">
        <v>153</v>
      </c>
      <c r="E154" s="95" t="s">
        <v>183</v>
      </c>
      <c r="F154" s="121">
        <v>49438</v>
      </c>
      <c r="G154" s="107">
        <v>44.44</v>
      </c>
      <c r="H154" s="107">
        <v>240</v>
      </c>
      <c r="I154" s="107">
        <v>14</v>
      </c>
      <c r="J154" s="107">
        <v>11</v>
      </c>
      <c r="K154" s="107">
        <v>25</v>
      </c>
      <c r="L154" s="107">
        <v>18</v>
      </c>
      <c r="M154" s="107">
        <v>0</v>
      </c>
      <c r="N154" s="107">
        <v>10.199999999999999</v>
      </c>
      <c r="O154" s="107">
        <v>168</v>
      </c>
    </row>
    <row r="155" spans="2:15" x14ac:dyDescent="0.3">
      <c r="B155" s="75">
        <v>30271</v>
      </c>
      <c r="C155" s="75" t="s">
        <v>100</v>
      </c>
      <c r="D155" s="91" t="s">
        <v>117</v>
      </c>
      <c r="E155" s="91" t="s">
        <v>156</v>
      </c>
      <c r="F155" s="122">
        <v>44970</v>
      </c>
      <c r="G155" s="108">
        <v>42.855999999999995</v>
      </c>
      <c r="H155" s="108">
        <v>232</v>
      </c>
      <c r="I155" s="108">
        <v>12</v>
      </c>
      <c r="J155" s="108">
        <v>11</v>
      </c>
      <c r="K155" s="108">
        <v>27</v>
      </c>
      <c r="L155" s="108">
        <v>16</v>
      </c>
      <c r="M155" s="108">
        <v>2</v>
      </c>
      <c r="N155" s="108">
        <v>10.5</v>
      </c>
      <c r="O155" s="108">
        <v>181</v>
      </c>
    </row>
    <row r="156" spans="2:15" x14ac:dyDescent="0.3">
      <c r="B156" s="75">
        <v>3191</v>
      </c>
      <c r="C156" s="75" t="s">
        <v>106</v>
      </c>
      <c r="D156" s="89" t="s">
        <v>178</v>
      </c>
      <c r="E156" s="90" t="s">
        <v>165</v>
      </c>
      <c r="F156" s="117">
        <v>38677</v>
      </c>
      <c r="G156" s="107">
        <v>43.735999999999997</v>
      </c>
      <c r="H156" s="107">
        <v>231</v>
      </c>
      <c r="I156" s="107">
        <v>19</v>
      </c>
      <c r="J156" s="107">
        <v>16</v>
      </c>
      <c r="K156" s="107">
        <v>19</v>
      </c>
      <c r="L156" s="107">
        <v>21</v>
      </c>
      <c r="M156" s="107">
        <v>0</v>
      </c>
      <c r="N156" s="107">
        <v>12.5</v>
      </c>
      <c r="O156" s="107">
        <v>167</v>
      </c>
    </row>
    <row r="157" spans="2:15" x14ac:dyDescent="0.3">
      <c r="B157" s="75">
        <v>78905</v>
      </c>
      <c r="C157" s="75" t="s">
        <v>103</v>
      </c>
      <c r="D157" s="91" t="s">
        <v>117</v>
      </c>
      <c r="E157" s="88" t="s">
        <v>118</v>
      </c>
      <c r="F157" s="116">
        <v>47352</v>
      </c>
      <c r="G157" s="108">
        <v>44.088000000000001</v>
      </c>
      <c r="H157" s="108">
        <v>235</v>
      </c>
      <c r="I157" s="108">
        <v>21</v>
      </c>
      <c r="J157" s="108">
        <v>10</v>
      </c>
      <c r="K157" s="108">
        <v>29</v>
      </c>
      <c r="L157" s="108">
        <v>20</v>
      </c>
      <c r="M157" s="108">
        <v>0</v>
      </c>
      <c r="N157" s="108">
        <v>11.1</v>
      </c>
      <c r="O157" s="108">
        <v>182</v>
      </c>
    </row>
    <row r="158" spans="2:15" x14ac:dyDescent="0.3">
      <c r="B158" s="75">
        <v>75865</v>
      </c>
      <c r="C158" s="75" t="s">
        <v>107</v>
      </c>
      <c r="D158" s="89" t="s">
        <v>184</v>
      </c>
      <c r="E158" s="90" t="s">
        <v>185</v>
      </c>
      <c r="F158" s="117">
        <v>39686</v>
      </c>
      <c r="G158" s="107">
        <v>41.623999999999995</v>
      </c>
      <c r="H158" s="107">
        <v>221</v>
      </c>
      <c r="I158" s="107">
        <v>21</v>
      </c>
      <c r="J158" s="107">
        <v>10</v>
      </c>
      <c r="K158" s="107">
        <v>28</v>
      </c>
      <c r="L158" s="107">
        <v>34</v>
      </c>
      <c r="M158" s="107">
        <v>3</v>
      </c>
      <c r="N158" s="107">
        <v>10.6</v>
      </c>
      <c r="O158" s="107">
        <v>165</v>
      </c>
    </row>
    <row r="159" spans="2:15" x14ac:dyDescent="0.3">
      <c r="B159" s="75">
        <v>14</v>
      </c>
      <c r="C159" s="75" t="s">
        <v>106</v>
      </c>
      <c r="D159" s="91" t="s">
        <v>186</v>
      </c>
      <c r="E159" s="91" t="s">
        <v>142</v>
      </c>
      <c r="F159" s="122">
        <v>39297</v>
      </c>
      <c r="G159" s="108">
        <v>43.647999999999996</v>
      </c>
      <c r="H159" s="108">
        <v>238</v>
      </c>
      <c r="I159" s="108">
        <v>14</v>
      </c>
      <c r="J159" s="108">
        <v>6</v>
      </c>
      <c r="K159" s="108">
        <v>35</v>
      </c>
      <c r="L159" s="108">
        <v>19</v>
      </c>
      <c r="M159" s="108">
        <v>0</v>
      </c>
      <c r="N159" s="108">
        <v>12.7</v>
      </c>
      <c r="O159" s="108">
        <v>186</v>
      </c>
    </row>
    <row r="160" spans="2:15" x14ac:dyDescent="0.3">
      <c r="B160" s="75">
        <v>30269</v>
      </c>
      <c r="C160" s="75" t="s">
        <v>100</v>
      </c>
      <c r="D160" s="89" t="s">
        <v>59</v>
      </c>
      <c r="E160" s="89" t="s">
        <v>156</v>
      </c>
      <c r="F160" s="120">
        <v>43554</v>
      </c>
      <c r="G160" s="107">
        <v>44.088000000000001</v>
      </c>
      <c r="H160" s="107">
        <v>235</v>
      </c>
      <c r="I160" s="107">
        <v>15</v>
      </c>
      <c r="J160" s="107">
        <v>16</v>
      </c>
      <c r="K160" s="107">
        <v>19</v>
      </c>
      <c r="L160" s="107">
        <v>18</v>
      </c>
      <c r="M160" s="107">
        <v>0</v>
      </c>
      <c r="N160" s="107">
        <v>10.9</v>
      </c>
      <c r="O160" s="107">
        <v>187</v>
      </c>
    </row>
    <row r="161" spans="2:15" x14ac:dyDescent="0.3">
      <c r="B161" s="75">
        <v>35968</v>
      </c>
      <c r="C161" s="75" t="s">
        <v>100</v>
      </c>
      <c r="D161" s="91" t="s">
        <v>59</v>
      </c>
      <c r="E161" s="92" t="s">
        <v>175</v>
      </c>
      <c r="F161" s="118">
        <v>40966</v>
      </c>
      <c r="G161" s="108">
        <v>43.823999999999998</v>
      </c>
      <c r="H161" s="108">
        <v>242</v>
      </c>
      <c r="I161" s="108">
        <v>8</v>
      </c>
      <c r="J161" s="108">
        <v>6</v>
      </c>
      <c r="K161" s="108">
        <v>36</v>
      </c>
      <c r="L161" s="108">
        <v>6</v>
      </c>
      <c r="M161" s="108">
        <v>2</v>
      </c>
      <c r="N161" s="108">
        <v>12.3</v>
      </c>
      <c r="O161" s="108">
        <v>174</v>
      </c>
    </row>
    <row r="162" spans="2:15" x14ac:dyDescent="0.3">
      <c r="B162" s="75">
        <v>19784</v>
      </c>
      <c r="C162" s="75" t="s">
        <v>106</v>
      </c>
      <c r="D162" s="89" t="s">
        <v>187</v>
      </c>
      <c r="E162" s="90" t="s">
        <v>188</v>
      </c>
      <c r="F162" s="117">
        <v>42504</v>
      </c>
      <c r="G162" s="107">
        <v>44.263999999999996</v>
      </c>
      <c r="H162" s="107">
        <v>240</v>
      </c>
      <c r="I162" s="107">
        <v>16</v>
      </c>
      <c r="J162" s="107">
        <v>7</v>
      </c>
      <c r="K162" s="107">
        <v>25</v>
      </c>
      <c r="L162" s="107">
        <v>19</v>
      </c>
      <c r="M162" s="107">
        <v>0</v>
      </c>
      <c r="N162" s="107">
        <v>10.4</v>
      </c>
      <c r="O162" s="107">
        <v>169</v>
      </c>
    </row>
    <row r="163" spans="2:15" x14ac:dyDescent="0.3">
      <c r="B163" s="75">
        <v>65511</v>
      </c>
      <c r="C163" s="75" t="s">
        <v>108</v>
      </c>
      <c r="D163" s="91" t="s">
        <v>121</v>
      </c>
      <c r="E163" s="92" t="s">
        <v>185</v>
      </c>
      <c r="F163" s="118">
        <v>43410</v>
      </c>
      <c r="G163" s="108">
        <v>43.647999999999996</v>
      </c>
      <c r="H163" s="108">
        <v>238</v>
      </c>
      <c r="I163" s="108">
        <v>11</v>
      </c>
      <c r="J163" s="108">
        <v>9</v>
      </c>
      <c r="K163" s="108">
        <v>28</v>
      </c>
      <c r="L163" s="108">
        <v>16</v>
      </c>
      <c r="M163" s="108">
        <v>0</v>
      </c>
      <c r="N163" s="108">
        <v>14.3</v>
      </c>
      <c r="O163" s="108">
        <v>165</v>
      </c>
    </row>
    <row r="164" spans="2:15" x14ac:dyDescent="0.3">
      <c r="B164" s="76">
        <v>30270</v>
      </c>
      <c r="C164" s="76" t="s">
        <v>106</v>
      </c>
      <c r="D164" s="89" t="s">
        <v>117</v>
      </c>
      <c r="E164" s="89" t="s">
        <v>156</v>
      </c>
      <c r="F164" s="120">
        <v>42060</v>
      </c>
      <c r="G164" s="107">
        <v>43.384</v>
      </c>
      <c r="H164" s="107">
        <v>235</v>
      </c>
      <c r="I164" s="107">
        <v>14</v>
      </c>
      <c r="J164" s="107">
        <v>9</v>
      </c>
      <c r="K164" s="107">
        <v>40</v>
      </c>
      <c r="L164" s="107">
        <v>18</v>
      </c>
      <c r="M164" s="107">
        <v>0</v>
      </c>
      <c r="N164" s="107">
        <v>10.199999999999999</v>
      </c>
      <c r="O164" s="107">
        <v>183</v>
      </c>
    </row>
    <row r="165" spans="2:15" x14ac:dyDescent="0.3">
      <c r="B165" s="75">
        <v>89784</v>
      </c>
      <c r="C165" s="75" t="s">
        <v>108</v>
      </c>
      <c r="D165" s="91" t="s">
        <v>157</v>
      </c>
      <c r="E165" s="92" t="s">
        <v>160</v>
      </c>
      <c r="F165" s="118">
        <v>38983</v>
      </c>
      <c r="G165" s="108">
        <v>44</v>
      </c>
      <c r="H165" s="108">
        <v>240</v>
      </c>
      <c r="I165" s="108">
        <v>8</v>
      </c>
      <c r="J165" s="108">
        <v>12</v>
      </c>
      <c r="K165" s="108">
        <v>17</v>
      </c>
      <c r="L165" s="108">
        <v>20</v>
      </c>
      <c r="M165" s="108">
        <v>2</v>
      </c>
      <c r="N165" s="108">
        <v>12.8</v>
      </c>
      <c r="O165" s="108">
        <v>170</v>
      </c>
    </row>
    <row r="166" spans="2:15" x14ac:dyDescent="0.3">
      <c r="B166" s="75">
        <v>78889</v>
      </c>
      <c r="C166" s="75" t="s">
        <v>103</v>
      </c>
      <c r="D166" s="89" t="s">
        <v>117</v>
      </c>
      <c r="E166" s="86" t="s">
        <v>118</v>
      </c>
      <c r="F166" s="115">
        <v>41538</v>
      </c>
      <c r="G166" s="107">
        <v>43.559999999999995</v>
      </c>
      <c r="H166" s="107">
        <v>233</v>
      </c>
      <c r="I166" s="107">
        <v>18</v>
      </c>
      <c r="J166" s="107">
        <v>11</v>
      </c>
      <c r="K166" s="107">
        <v>39</v>
      </c>
      <c r="L166" s="107">
        <v>28</v>
      </c>
      <c r="M166" s="107">
        <v>2</v>
      </c>
      <c r="N166" s="107">
        <v>11.1</v>
      </c>
      <c r="O166" s="107">
        <v>180</v>
      </c>
    </row>
    <row r="167" spans="2:15" x14ac:dyDescent="0.3">
      <c r="B167" s="75">
        <v>37585</v>
      </c>
      <c r="C167" s="75" t="s">
        <v>106</v>
      </c>
      <c r="D167" s="91" t="s">
        <v>189</v>
      </c>
      <c r="E167" s="92" t="s">
        <v>129</v>
      </c>
      <c r="F167" s="118">
        <v>44988</v>
      </c>
      <c r="G167" s="108">
        <v>43.471999999999994</v>
      </c>
      <c r="H167" s="108">
        <v>234</v>
      </c>
      <c r="I167" s="108">
        <v>18</v>
      </c>
      <c r="J167" s="108">
        <v>8</v>
      </c>
      <c r="K167" s="108">
        <v>22</v>
      </c>
      <c r="L167" s="108">
        <v>14</v>
      </c>
      <c r="M167" s="108">
        <v>3</v>
      </c>
      <c r="N167" s="108">
        <v>10.9</v>
      </c>
      <c r="O167" s="108">
        <v>164</v>
      </c>
    </row>
    <row r="168" spans="2:15" x14ac:dyDescent="0.3">
      <c r="B168" s="75">
        <v>32357</v>
      </c>
      <c r="C168" s="75" t="s">
        <v>105</v>
      </c>
      <c r="D168" s="89" t="s">
        <v>190</v>
      </c>
      <c r="E168" s="90" t="s">
        <v>165</v>
      </c>
      <c r="F168" s="117">
        <v>48614</v>
      </c>
      <c r="G168" s="107">
        <v>42.064</v>
      </c>
      <c r="H168" s="107">
        <v>225</v>
      </c>
      <c r="I168" s="107">
        <v>20</v>
      </c>
      <c r="J168" s="107">
        <v>8</v>
      </c>
      <c r="K168" s="107">
        <v>34</v>
      </c>
      <c r="L168" s="107">
        <v>28</v>
      </c>
      <c r="M168" s="107">
        <v>2</v>
      </c>
      <c r="N168" s="107">
        <v>10</v>
      </c>
      <c r="O168" s="107">
        <v>164</v>
      </c>
    </row>
    <row r="169" spans="2:15" x14ac:dyDescent="0.3">
      <c r="B169" s="75">
        <v>31981</v>
      </c>
      <c r="C169" s="75" t="s">
        <v>100</v>
      </c>
      <c r="D169" s="91" t="s">
        <v>191</v>
      </c>
      <c r="E169" s="92" t="s">
        <v>185</v>
      </c>
      <c r="F169" s="118">
        <v>36498</v>
      </c>
      <c r="G169" s="108">
        <v>42.943999999999996</v>
      </c>
      <c r="H169" s="108">
        <v>234</v>
      </c>
      <c r="I169" s="108">
        <v>8</v>
      </c>
      <c r="J169" s="108">
        <v>12</v>
      </c>
      <c r="K169" s="108">
        <v>24</v>
      </c>
      <c r="L169" s="108">
        <v>19</v>
      </c>
      <c r="M169" s="108">
        <v>0</v>
      </c>
      <c r="N169" s="108">
        <v>12.2</v>
      </c>
      <c r="O169" s="108">
        <v>168</v>
      </c>
    </row>
    <row r="170" spans="2:15" x14ac:dyDescent="0.3">
      <c r="B170" s="75">
        <v>18444</v>
      </c>
      <c r="C170" s="75" t="s">
        <v>100</v>
      </c>
      <c r="D170" s="89" t="s">
        <v>117</v>
      </c>
      <c r="E170" s="95" t="s">
        <v>192</v>
      </c>
      <c r="F170" s="121">
        <v>38318</v>
      </c>
      <c r="G170" s="107">
        <v>42.768000000000001</v>
      </c>
      <c r="H170" s="107">
        <v>231</v>
      </c>
      <c r="I170" s="107">
        <v>14</v>
      </c>
      <c r="J170" s="107">
        <v>10</v>
      </c>
      <c r="K170" s="107">
        <v>32</v>
      </c>
      <c r="L170" s="107">
        <v>22</v>
      </c>
      <c r="M170" s="107">
        <v>0</v>
      </c>
      <c r="N170" s="107">
        <v>10.7</v>
      </c>
      <c r="O170" s="107">
        <v>189</v>
      </c>
    </row>
    <row r="171" spans="2:15" x14ac:dyDescent="0.3">
      <c r="B171" s="75">
        <v>83831</v>
      </c>
      <c r="C171" s="75" t="s">
        <v>100</v>
      </c>
      <c r="D171" s="91" t="s">
        <v>193</v>
      </c>
      <c r="E171" s="92" t="s">
        <v>150</v>
      </c>
      <c r="F171" s="118">
        <v>39085</v>
      </c>
      <c r="G171" s="108">
        <v>44</v>
      </c>
      <c r="H171" s="108">
        <v>236</v>
      </c>
      <c r="I171" s="108">
        <v>17</v>
      </c>
      <c r="J171" s="108">
        <v>11</v>
      </c>
      <c r="K171" s="108">
        <v>26</v>
      </c>
      <c r="L171" s="108">
        <v>18</v>
      </c>
      <c r="M171" s="108">
        <v>0</v>
      </c>
      <c r="N171" s="108">
        <v>13.7</v>
      </c>
      <c r="O171" s="108">
        <v>178</v>
      </c>
    </row>
    <row r="172" spans="2:15" x14ac:dyDescent="0.3">
      <c r="B172" s="75">
        <v>19783</v>
      </c>
      <c r="C172" s="75" t="s">
        <v>103</v>
      </c>
      <c r="D172" s="89" t="s">
        <v>187</v>
      </c>
      <c r="E172" s="90" t="s">
        <v>170</v>
      </c>
      <c r="F172" s="117">
        <v>40289</v>
      </c>
      <c r="G172" s="107">
        <v>44.44</v>
      </c>
      <c r="H172" s="107">
        <v>242</v>
      </c>
      <c r="I172" s="107">
        <v>12</v>
      </c>
      <c r="J172" s="107">
        <v>9</v>
      </c>
      <c r="K172" s="107">
        <v>26</v>
      </c>
      <c r="L172" s="107">
        <v>7</v>
      </c>
      <c r="M172" s="107"/>
      <c r="N172" s="107">
        <v>13.4</v>
      </c>
      <c r="O172" s="107">
        <v>173</v>
      </c>
    </row>
    <row r="173" spans="2:15" x14ac:dyDescent="0.3">
      <c r="B173" s="75">
        <v>78882</v>
      </c>
      <c r="C173" s="75" t="s">
        <v>106</v>
      </c>
      <c r="D173" s="91" t="s">
        <v>117</v>
      </c>
      <c r="E173" s="88" t="s">
        <v>118</v>
      </c>
      <c r="F173" s="116">
        <v>47267</v>
      </c>
      <c r="G173" s="108">
        <v>42.327999999999996</v>
      </c>
      <c r="H173" s="108">
        <v>229</v>
      </c>
      <c r="I173" s="108">
        <v>12</v>
      </c>
      <c r="J173" s="108">
        <v>11</v>
      </c>
      <c r="K173" s="108">
        <v>38</v>
      </c>
      <c r="L173" s="108">
        <v>19</v>
      </c>
      <c r="M173" s="108">
        <v>0</v>
      </c>
      <c r="N173" s="108">
        <v>11.5</v>
      </c>
      <c r="O173" s="108">
        <v>175</v>
      </c>
    </row>
    <row r="174" spans="2:15" x14ac:dyDescent="0.3">
      <c r="B174" s="75">
        <v>83830</v>
      </c>
      <c r="C174" s="75" t="s">
        <v>106</v>
      </c>
      <c r="D174" s="89" t="s">
        <v>193</v>
      </c>
      <c r="E174" s="90" t="s">
        <v>150</v>
      </c>
      <c r="F174" s="117">
        <v>39746</v>
      </c>
      <c r="G174" s="107">
        <v>43.295999999999999</v>
      </c>
      <c r="H174" s="107">
        <v>228</v>
      </c>
      <c r="I174" s="107">
        <v>24</v>
      </c>
      <c r="J174" s="107">
        <v>12</v>
      </c>
      <c r="K174" s="107">
        <v>24</v>
      </c>
      <c r="L174" s="107">
        <v>16</v>
      </c>
      <c r="M174" s="107">
        <v>4</v>
      </c>
      <c r="N174" s="107">
        <v>13.3</v>
      </c>
      <c r="O174" s="107">
        <v>173</v>
      </c>
    </row>
    <row r="175" spans="2:15" x14ac:dyDescent="0.3">
      <c r="B175" s="75">
        <v>87093</v>
      </c>
      <c r="C175" s="75" t="s">
        <v>101</v>
      </c>
      <c r="D175" s="91" t="s">
        <v>181</v>
      </c>
      <c r="E175" s="96" t="s">
        <v>194</v>
      </c>
      <c r="F175" s="123">
        <v>39634</v>
      </c>
      <c r="G175" s="108">
        <v>41.975999999999999</v>
      </c>
      <c r="H175" s="108">
        <v>225</v>
      </c>
      <c r="I175" s="108">
        <v>14</v>
      </c>
      <c r="J175" s="108">
        <v>13</v>
      </c>
      <c r="K175" s="108">
        <v>32</v>
      </c>
      <c r="L175" s="108">
        <v>17</v>
      </c>
      <c r="M175" s="108">
        <v>0</v>
      </c>
      <c r="N175" s="108">
        <v>12.3</v>
      </c>
      <c r="O175" s="108">
        <v>182</v>
      </c>
    </row>
    <row r="176" spans="2:15" x14ac:dyDescent="0.3">
      <c r="B176" s="75">
        <v>32358</v>
      </c>
      <c r="C176" s="75" t="s">
        <v>98</v>
      </c>
      <c r="D176" s="89" t="s">
        <v>190</v>
      </c>
      <c r="E176" s="90" t="s">
        <v>165</v>
      </c>
      <c r="F176" s="117">
        <v>45557</v>
      </c>
      <c r="G176" s="107">
        <v>43.384</v>
      </c>
      <c r="H176" s="107">
        <v>235</v>
      </c>
      <c r="I176" s="107">
        <v>12</v>
      </c>
      <c r="J176" s="107">
        <v>11</v>
      </c>
      <c r="K176" s="107">
        <v>29</v>
      </c>
      <c r="L176" s="107">
        <v>21</v>
      </c>
      <c r="M176" s="107">
        <v>3</v>
      </c>
      <c r="N176" s="107">
        <v>13.6</v>
      </c>
      <c r="O176" s="107">
        <v>173</v>
      </c>
    </row>
    <row r="177" spans="2:15" x14ac:dyDescent="0.3">
      <c r="B177" s="75">
        <v>36095</v>
      </c>
      <c r="C177" s="75" t="s">
        <v>103</v>
      </c>
      <c r="D177" s="91" t="s">
        <v>195</v>
      </c>
      <c r="E177" s="92" t="s">
        <v>180</v>
      </c>
      <c r="F177" s="118">
        <v>39769</v>
      </c>
      <c r="G177" s="108">
        <v>42.064</v>
      </c>
      <c r="H177" s="108">
        <v>225</v>
      </c>
      <c r="I177" s="108">
        <v>16</v>
      </c>
      <c r="J177" s="108">
        <v>12</v>
      </c>
      <c r="K177" s="108">
        <v>30</v>
      </c>
      <c r="L177" s="108">
        <v>17</v>
      </c>
      <c r="M177" s="108">
        <v>2</v>
      </c>
      <c r="N177" s="108">
        <v>10.8</v>
      </c>
      <c r="O177" s="108">
        <v>172</v>
      </c>
    </row>
    <row r="178" spans="2:15" x14ac:dyDescent="0.3">
      <c r="B178" s="75">
        <v>87648</v>
      </c>
      <c r="C178" s="75" t="s">
        <v>106</v>
      </c>
      <c r="D178" s="89" t="s">
        <v>149</v>
      </c>
      <c r="E178" s="90" t="s">
        <v>160</v>
      </c>
      <c r="F178" s="117">
        <v>41383</v>
      </c>
      <c r="G178" s="107">
        <v>43.735999999999997</v>
      </c>
      <c r="H178" s="107">
        <v>240</v>
      </c>
      <c r="I178" s="107">
        <v>10</v>
      </c>
      <c r="J178" s="107">
        <v>7</v>
      </c>
      <c r="K178" s="107">
        <v>22</v>
      </c>
      <c r="L178" s="107">
        <v>30</v>
      </c>
      <c r="M178" s="107">
        <v>4</v>
      </c>
      <c r="N178" s="107">
        <v>10.199999999999999</v>
      </c>
      <c r="O178" s="107">
        <v>170</v>
      </c>
    </row>
    <row r="179" spans="2:15" x14ac:dyDescent="0.3">
      <c r="B179" s="75">
        <v>78883</v>
      </c>
      <c r="C179" s="75" t="s">
        <v>106</v>
      </c>
      <c r="D179" s="91" t="s">
        <v>117</v>
      </c>
      <c r="E179" s="88" t="s">
        <v>118</v>
      </c>
      <c r="F179" s="124">
        <v>39298</v>
      </c>
      <c r="G179" s="110">
        <v>44.351999999999997</v>
      </c>
      <c r="H179" s="110">
        <v>240</v>
      </c>
      <c r="I179" s="110">
        <v>9</v>
      </c>
      <c r="J179" s="110">
        <v>15</v>
      </c>
      <c r="K179" s="110">
        <v>26</v>
      </c>
      <c r="L179" s="110">
        <v>20</v>
      </c>
      <c r="M179" s="110">
        <v>2</v>
      </c>
      <c r="N179" s="110">
        <v>11.8</v>
      </c>
      <c r="O179" s="110">
        <v>185</v>
      </c>
    </row>
    <row r="180" spans="2:15" x14ac:dyDescent="0.3">
      <c r="B180" s="75">
        <v>89242</v>
      </c>
      <c r="C180" s="75" t="s">
        <v>103</v>
      </c>
      <c r="D180" s="89" t="s">
        <v>196</v>
      </c>
      <c r="E180" s="90" t="s">
        <v>160</v>
      </c>
      <c r="F180" s="117">
        <v>49979</v>
      </c>
      <c r="G180" s="107">
        <v>43.823999999999998</v>
      </c>
      <c r="H180" s="107">
        <v>236</v>
      </c>
      <c r="I180" s="107">
        <v>15</v>
      </c>
      <c r="J180" s="107">
        <v>11</v>
      </c>
      <c r="K180" s="107">
        <v>25</v>
      </c>
      <c r="L180" s="107">
        <v>35</v>
      </c>
      <c r="M180" s="107">
        <v>3</v>
      </c>
      <c r="N180" s="107">
        <v>11.4</v>
      </c>
      <c r="O180" s="107">
        <v>165</v>
      </c>
    </row>
    <row r="181" spans="2:15" x14ac:dyDescent="0.3">
      <c r="B181" s="75">
        <v>78884</v>
      </c>
      <c r="C181" s="75" t="s">
        <v>105</v>
      </c>
      <c r="D181" s="91" t="s">
        <v>117</v>
      </c>
      <c r="E181" s="88" t="s">
        <v>118</v>
      </c>
      <c r="F181" s="116">
        <v>51199</v>
      </c>
      <c r="G181" s="108">
        <v>42.68</v>
      </c>
      <c r="H181" s="108">
        <v>232</v>
      </c>
      <c r="I181" s="108">
        <v>10</v>
      </c>
      <c r="J181" s="108">
        <v>11</v>
      </c>
      <c r="K181" s="108">
        <v>26</v>
      </c>
      <c r="L181" s="108">
        <v>44</v>
      </c>
      <c r="M181" s="108">
        <v>0</v>
      </c>
      <c r="N181" s="108">
        <v>11.5</v>
      </c>
      <c r="O181" s="108">
        <v>184</v>
      </c>
    </row>
    <row r="182" spans="2:15" x14ac:dyDescent="0.3">
      <c r="B182" s="75">
        <v>28997</v>
      </c>
      <c r="C182" s="75" t="s">
        <v>106</v>
      </c>
      <c r="D182" s="89" t="s">
        <v>117</v>
      </c>
      <c r="E182" s="89" t="s">
        <v>156</v>
      </c>
      <c r="F182" s="120">
        <v>54200</v>
      </c>
      <c r="G182" s="107">
        <v>42.064</v>
      </c>
      <c r="H182" s="107">
        <v>224</v>
      </c>
      <c r="I182" s="107">
        <v>12</v>
      </c>
      <c r="J182" s="107">
        <v>18</v>
      </c>
      <c r="K182" s="107">
        <v>41</v>
      </c>
      <c r="L182" s="107">
        <v>20</v>
      </c>
      <c r="M182" s="107">
        <v>0</v>
      </c>
      <c r="N182" s="107">
        <v>9.6999999999999993</v>
      </c>
      <c r="O182" s="107">
        <v>187</v>
      </c>
    </row>
    <row r="183" spans="2:15" x14ac:dyDescent="0.3">
      <c r="B183" s="75">
        <v>19800</v>
      </c>
      <c r="C183" s="75" t="s">
        <v>106</v>
      </c>
      <c r="D183" s="89" t="s">
        <v>187</v>
      </c>
      <c r="E183" s="92" t="s">
        <v>197</v>
      </c>
      <c r="F183" s="118">
        <v>37684</v>
      </c>
      <c r="G183" s="108">
        <v>42.768000000000001</v>
      </c>
      <c r="H183" s="108">
        <v>227</v>
      </c>
      <c r="I183" s="108">
        <v>22</v>
      </c>
      <c r="J183" s="108">
        <v>10</v>
      </c>
      <c r="K183" s="108">
        <v>17</v>
      </c>
      <c r="L183" s="108">
        <v>20</v>
      </c>
      <c r="M183" s="108">
        <v>4</v>
      </c>
      <c r="N183" s="108">
        <v>12.7</v>
      </c>
      <c r="O183" s="108">
        <v>170</v>
      </c>
    </row>
    <row r="184" spans="2:15" x14ac:dyDescent="0.3">
      <c r="B184" s="75">
        <v>23295</v>
      </c>
      <c r="C184" s="75" t="s">
        <v>107</v>
      </c>
      <c r="D184" s="89" t="s">
        <v>149</v>
      </c>
      <c r="E184" s="90" t="s">
        <v>150</v>
      </c>
      <c r="F184" s="117">
        <v>41610</v>
      </c>
      <c r="G184" s="107">
        <v>43.12</v>
      </c>
      <c r="H184" s="107">
        <v>232</v>
      </c>
      <c r="I184" s="107">
        <v>10</v>
      </c>
      <c r="J184" s="107">
        <v>16</v>
      </c>
      <c r="K184" s="107">
        <v>23</v>
      </c>
      <c r="L184" s="107">
        <v>22</v>
      </c>
      <c r="M184" s="107">
        <v>4</v>
      </c>
      <c r="N184" s="107">
        <v>11.5</v>
      </c>
      <c r="O184" s="107">
        <v>175</v>
      </c>
    </row>
    <row r="185" spans="2:15" x14ac:dyDescent="0.3">
      <c r="B185" s="75">
        <v>78885</v>
      </c>
      <c r="C185" s="75" t="s">
        <v>107</v>
      </c>
      <c r="D185" s="91" t="s">
        <v>117</v>
      </c>
      <c r="E185" s="88" t="s">
        <v>118</v>
      </c>
      <c r="F185" s="116">
        <v>41543</v>
      </c>
      <c r="G185" s="108">
        <v>43.207999999999998</v>
      </c>
      <c r="H185" s="108">
        <v>232</v>
      </c>
      <c r="I185" s="108">
        <v>15</v>
      </c>
      <c r="J185" s="108">
        <v>12</v>
      </c>
      <c r="K185" s="108">
        <v>33</v>
      </c>
      <c r="L185" s="108">
        <v>13</v>
      </c>
      <c r="M185" s="108">
        <v>0</v>
      </c>
      <c r="N185" s="108">
        <v>11.4</v>
      </c>
      <c r="O185" s="108">
        <v>180</v>
      </c>
    </row>
    <row r="186" spans="2:15" x14ac:dyDescent="0.3">
      <c r="B186" s="75">
        <v>78896</v>
      </c>
      <c r="C186" s="75" t="s">
        <v>106</v>
      </c>
      <c r="D186" s="89" t="s">
        <v>117</v>
      </c>
      <c r="E186" s="86" t="s">
        <v>118</v>
      </c>
      <c r="F186" s="115">
        <v>51435</v>
      </c>
      <c r="G186" s="107">
        <v>43.471999999999994</v>
      </c>
      <c r="H186" s="107">
        <v>237</v>
      </c>
      <c r="I186" s="107">
        <v>10</v>
      </c>
      <c r="J186" s="107">
        <v>10</v>
      </c>
      <c r="K186" s="107">
        <v>35</v>
      </c>
      <c r="L186" s="107">
        <v>21</v>
      </c>
      <c r="M186" s="107">
        <v>0</v>
      </c>
      <c r="N186" s="107">
        <v>10.9</v>
      </c>
      <c r="O186" s="107">
        <v>172</v>
      </c>
    </row>
    <row r="187" spans="2:15" x14ac:dyDescent="0.3">
      <c r="B187" s="75">
        <v>35051</v>
      </c>
      <c r="C187" s="75" t="s">
        <v>101</v>
      </c>
      <c r="D187" s="91" t="s">
        <v>186</v>
      </c>
      <c r="E187" s="96" t="s">
        <v>198</v>
      </c>
      <c r="F187" s="123">
        <v>48176</v>
      </c>
      <c r="G187" s="108">
        <v>44.088000000000001</v>
      </c>
      <c r="H187" s="108">
        <v>239</v>
      </c>
      <c r="I187" s="108">
        <v>13</v>
      </c>
      <c r="J187" s="108">
        <v>10</v>
      </c>
      <c r="K187" s="108">
        <v>25</v>
      </c>
      <c r="L187" s="108">
        <v>12</v>
      </c>
      <c r="M187" s="108">
        <v>0</v>
      </c>
      <c r="N187" s="108">
        <v>10.1</v>
      </c>
      <c r="O187" s="108">
        <v>171</v>
      </c>
    </row>
    <row r="188" spans="2:15" x14ac:dyDescent="0.3">
      <c r="B188" s="80">
        <v>78904</v>
      </c>
      <c r="C188" s="80" t="s">
        <v>107</v>
      </c>
      <c r="D188" s="97" t="s">
        <v>117</v>
      </c>
      <c r="E188" s="86" t="s">
        <v>118</v>
      </c>
      <c r="F188" s="115">
        <v>39426</v>
      </c>
      <c r="G188" s="107">
        <v>43.207999999999998</v>
      </c>
      <c r="H188" s="107">
        <v>231</v>
      </c>
      <c r="I188" s="107">
        <v>14</v>
      </c>
      <c r="J188" s="107">
        <v>15</v>
      </c>
      <c r="K188" s="107">
        <v>20</v>
      </c>
      <c r="L188" s="107">
        <v>46</v>
      </c>
      <c r="M188" s="107">
        <v>0</v>
      </c>
      <c r="N188" s="107">
        <v>10.1</v>
      </c>
      <c r="O188" s="107">
        <v>171</v>
      </c>
    </row>
    <row r="189" spans="2:15" x14ac:dyDescent="0.3">
      <c r="B189" s="75">
        <v>32360</v>
      </c>
      <c r="C189" s="75" t="s">
        <v>106</v>
      </c>
      <c r="D189" s="91" t="s">
        <v>117</v>
      </c>
      <c r="E189" s="92" t="s">
        <v>165</v>
      </c>
      <c r="F189" s="118">
        <v>45895</v>
      </c>
      <c r="G189" s="108">
        <v>44</v>
      </c>
      <c r="H189" s="108">
        <v>237</v>
      </c>
      <c r="I189" s="108">
        <v>16</v>
      </c>
      <c r="J189" s="108">
        <v>10</v>
      </c>
      <c r="K189" s="108">
        <v>21</v>
      </c>
      <c r="L189" s="108">
        <v>28</v>
      </c>
      <c r="M189" s="108">
        <v>4</v>
      </c>
      <c r="N189" s="108">
        <v>11.1</v>
      </c>
      <c r="O189" s="108">
        <v>190</v>
      </c>
    </row>
    <row r="190" spans="2:15" x14ac:dyDescent="0.3">
      <c r="B190" s="75">
        <v>39822</v>
      </c>
      <c r="C190" s="75" t="s">
        <v>100</v>
      </c>
      <c r="D190" s="89" t="s">
        <v>190</v>
      </c>
      <c r="E190" s="90" t="s">
        <v>165</v>
      </c>
      <c r="F190" s="117">
        <v>43912</v>
      </c>
      <c r="G190" s="107">
        <v>42.064</v>
      </c>
      <c r="H190" s="107">
        <v>228</v>
      </c>
      <c r="I190" s="107">
        <v>11</v>
      </c>
      <c r="J190" s="107">
        <v>11</v>
      </c>
      <c r="K190" s="107">
        <v>36</v>
      </c>
      <c r="L190" s="107">
        <v>17</v>
      </c>
      <c r="M190" s="107">
        <v>0</v>
      </c>
      <c r="N190" s="107">
        <v>11.3</v>
      </c>
      <c r="O190" s="107">
        <v>168</v>
      </c>
    </row>
    <row r="191" spans="2:15" x14ac:dyDescent="0.3">
      <c r="B191" s="75">
        <v>37589</v>
      </c>
      <c r="C191" s="75" t="s">
        <v>106</v>
      </c>
      <c r="D191" s="91" t="s">
        <v>157</v>
      </c>
      <c r="E191" s="92" t="s">
        <v>129</v>
      </c>
      <c r="F191" s="118">
        <v>39407</v>
      </c>
      <c r="G191" s="108">
        <v>44.175999999999995</v>
      </c>
      <c r="H191" s="108">
        <v>239</v>
      </c>
      <c r="I191" s="108">
        <v>16</v>
      </c>
      <c r="J191" s="108">
        <v>8</v>
      </c>
      <c r="K191" s="108">
        <v>24</v>
      </c>
      <c r="L191" s="108">
        <v>18</v>
      </c>
      <c r="M191" s="108">
        <v>0</v>
      </c>
      <c r="N191" s="108">
        <v>13.4</v>
      </c>
      <c r="O191" s="108">
        <v>168</v>
      </c>
    </row>
    <row r="192" spans="2:15" x14ac:dyDescent="0.3">
      <c r="B192" s="75">
        <v>78895</v>
      </c>
      <c r="C192" s="75" t="s">
        <v>100</v>
      </c>
      <c r="D192" s="89" t="s">
        <v>117</v>
      </c>
      <c r="E192" s="86" t="s">
        <v>118</v>
      </c>
      <c r="F192" s="115">
        <v>41416</v>
      </c>
      <c r="G192" s="107">
        <v>42.68</v>
      </c>
      <c r="H192" s="107">
        <v>225</v>
      </c>
      <c r="I192" s="107">
        <v>19</v>
      </c>
      <c r="J192" s="107">
        <v>16</v>
      </c>
      <c r="K192" s="107">
        <v>45</v>
      </c>
      <c r="L192" s="107">
        <v>21</v>
      </c>
      <c r="M192" s="107">
        <v>2</v>
      </c>
      <c r="N192" s="107">
        <v>10.8</v>
      </c>
      <c r="O192" s="107">
        <v>182</v>
      </c>
    </row>
    <row r="193" spans="2:15" x14ac:dyDescent="0.3">
      <c r="B193" s="75">
        <v>78894</v>
      </c>
      <c r="C193" s="75" t="s">
        <v>106</v>
      </c>
      <c r="D193" s="91" t="s">
        <v>117</v>
      </c>
      <c r="E193" s="88" t="s">
        <v>118</v>
      </c>
      <c r="F193" s="116">
        <v>45259</v>
      </c>
      <c r="G193" s="108">
        <v>43.471999999999994</v>
      </c>
      <c r="H193" s="108">
        <v>234</v>
      </c>
      <c r="I193" s="108">
        <v>18</v>
      </c>
      <c r="J193" s="108">
        <v>8</v>
      </c>
      <c r="K193" s="108">
        <v>37</v>
      </c>
      <c r="L193" s="108">
        <v>24</v>
      </c>
      <c r="M193" s="108">
        <v>0</v>
      </c>
      <c r="N193" s="108">
        <v>11.1</v>
      </c>
      <c r="O193" s="108">
        <v>183</v>
      </c>
    </row>
    <row r="194" spans="2:15" x14ac:dyDescent="0.3">
      <c r="B194" s="75">
        <v>37965</v>
      </c>
      <c r="C194" s="75" t="s">
        <v>107</v>
      </c>
      <c r="D194" s="89" t="s">
        <v>145</v>
      </c>
      <c r="E194" s="90" t="s">
        <v>199</v>
      </c>
      <c r="F194" s="117">
        <v>43365</v>
      </c>
      <c r="G194" s="107">
        <v>42.855999999999995</v>
      </c>
      <c r="H194" s="107">
        <v>228</v>
      </c>
      <c r="I194" s="107">
        <v>16</v>
      </c>
      <c r="J194" s="107">
        <v>15</v>
      </c>
      <c r="K194" s="107">
        <v>23</v>
      </c>
      <c r="L194" s="107">
        <v>17</v>
      </c>
      <c r="M194" s="107">
        <v>0</v>
      </c>
      <c r="N194" s="107">
        <v>13.1</v>
      </c>
      <c r="O194" s="107">
        <v>169</v>
      </c>
    </row>
    <row r="195" spans="2:15" x14ac:dyDescent="0.3">
      <c r="B195" s="75">
        <v>37577</v>
      </c>
      <c r="C195" s="75" t="s">
        <v>109</v>
      </c>
      <c r="D195" s="91" t="s">
        <v>157</v>
      </c>
      <c r="E195" s="92" t="s">
        <v>129</v>
      </c>
      <c r="F195" s="118">
        <v>44949</v>
      </c>
      <c r="G195" s="108">
        <v>43.735999999999997</v>
      </c>
      <c r="H195" s="108">
        <v>238</v>
      </c>
      <c r="I195" s="108">
        <v>12</v>
      </c>
      <c r="J195" s="108">
        <v>9</v>
      </c>
      <c r="K195" s="108">
        <v>12</v>
      </c>
      <c r="L195" s="108">
        <v>35</v>
      </c>
      <c r="M195" s="108">
        <v>2</v>
      </c>
      <c r="N195" s="108">
        <v>12.1</v>
      </c>
      <c r="O195" s="108">
        <v>165</v>
      </c>
    </row>
    <row r="196" spans="2:15" x14ac:dyDescent="0.3">
      <c r="B196" s="75">
        <v>773</v>
      </c>
      <c r="C196" s="75" t="s">
        <v>101</v>
      </c>
      <c r="D196" s="89" t="s">
        <v>200</v>
      </c>
      <c r="E196" s="90" t="s">
        <v>173</v>
      </c>
      <c r="F196" s="117">
        <v>43149</v>
      </c>
      <c r="G196" s="107">
        <v>42.943999999999996</v>
      </c>
      <c r="H196" s="107">
        <v>234</v>
      </c>
      <c r="I196" s="107">
        <v>8</v>
      </c>
      <c r="J196" s="107">
        <v>12</v>
      </c>
      <c r="K196" s="107">
        <v>38</v>
      </c>
      <c r="L196" s="107">
        <v>19</v>
      </c>
      <c r="M196" s="107">
        <v>2</v>
      </c>
      <c r="N196" s="107">
        <v>10.8</v>
      </c>
      <c r="O196" s="107">
        <v>185</v>
      </c>
    </row>
    <row r="197" spans="2:15" x14ac:dyDescent="0.3">
      <c r="B197" s="75">
        <v>89248</v>
      </c>
      <c r="C197" s="75" t="s">
        <v>109</v>
      </c>
      <c r="D197" s="91" t="s">
        <v>157</v>
      </c>
      <c r="E197" s="92" t="s">
        <v>160</v>
      </c>
      <c r="F197" s="118">
        <v>49586</v>
      </c>
      <c r="G197" s="108">
        <v>44.263999999999996</v>
      </c>
      <c r="H197" s="108">
        <v>243</v>
      </c>
      <c r="I197" s="108">
        <v>9</v>
      </c>
      <c r="J197" s="108">
        <v>8</v>
      </c>
      <c r="K197" s="108">
        <v>24</v>
      </c>
      <c r="L197" s="108">
        <v>19</v>
      </c>
      <c r="M197" s="108">
        <v>2</v>
      </c>
      <c r="N197" s="108">
        <v>11.2</v>
      </c>
      <c r="O197" s="108">
        <v>174</v>
      </c>
    </row>
    <row r="198" spans="2:15" x14ac:dyDescent="0.3">
      <c r="B198" s="75">
        <v>28914</v>
      </c>
      <c r="C198" s="75" t="s">
        <v>103</v>
      </c>
      <c r="D198" s="89" t="s">
        <v>74</v>
      </c>
      <c r="E198" s="90" t="s">
        <v>174</v>
      </c>
      <c r="F198" s="117">
        <v>40578</v>
      </c>
      <c r="G198" s="107">
        <v>44.704000000000001</v>
      </c>
      <c r="H198" s="107">
        <v>240</v>
      </c>
      <c r="I198" s="107">
        <v>12</v>
      </c>
      <c r="J198" s="107">
        <v>16</v>
      </c>
      <c r="K198" s="107">
        <v>32</v>
      </c>
      <c r="L198" s="107">
        <v>5</v>
      </c>
      <c r="M198" s="107">
        <v>0</v>
      </c>
      <c r="N198" s="107">
        <v>11.5</v>
      </c>
      <c r="O198" s="107">
        <v>183</v>
      </c>
    </row>
    <row r="199" spans="2:15" x14ac:dyDescent="0.3">
      <c r="B199" s="75">
        <v>78897</v>
      </c>
      <c r="C199" s="75" t="s">
        <v>109</v>
      </c>
      <c r="D199" s="91" t="s">
        <v>117</v>
      </c>
      <c r="E199" s="88" t="s">
        <v>118</v>
      </c>
      <c r="F199" s="116">
        <v>53109</v>
      </c>
      <c r="G199" s="108">
        <v>42.855999999999995</v>
      </c>
      <c r="H199" s="108">
        <v>229</v>
      </c>
      <c r="I199" s="108">
        <v>18</v>
      </c>
      <c r="J199" s="108">
        <v>11</v>
      </c>
      <c r="K199" s="108">
        <v>21</v>
      </c>
      <c r="L199" s="108">
        <v>33</v>
      </c>
      <c r="M199" s="108">
        <v>0</v>
      </c>
      <c r="N199" s="108">
        <v>11.9</v>
      </c>
      <c r="O199" s="108">
        <v>181</v>
      </c>
    </row>
    <row r="200" spans="2:15" x14ac:dyDescent="0.3">
      <c r="B200" s="75">
        <v>37813</v>
      </c>
      <c r="C200" s="75" t="s">
        <v>105</v>
      </c>
      <c r="D200" s="89" t="s">
        <v>157</v>
      </c>
      <c r="E200" s="95" t="s">
        <v>201</v>
      </c>
      <c r="F200" s="121">
        <v>39977</v>
      </c>
      <c r="G200" s="107">
        <v>42.152000000000001</v>
      </c>
      <c r="H200" s="107">
        <v>229</v>
      </c>
      <c r="I200" s="107">
        <v>11</v>
      </c>
      <c r="J200" s="107">
        <v>10</v>
      </c>
      <c r="K200" s="107">
        <v>27</v>
      </c>
      <c r="L200" s="107">
        <v>18</v>
      </c>
      <c r="M200" s="107">
        <v>3</v>
      </c>
      <c r="N200" s="107">
        <v>13.2</v>
      </c>
      <c r="O200" s="107">
        <v>167</v>
      </c>
    </row>
    <row r="201" spans="2:15" x14ac:dyDescent="0.3">
      <c r="B201" s="75">
        <v>2582</v>
      </c>
      <c r="C201" s="75" t="s">
        <v>107</v>
      </c>
      <c r="D201" s="91" t="s">
        <v>145</v>
      </c>
      <c r="E201" s="96" t="s">
        <v>202</v>
      </c>
      <c r="F201" s="123">
        <v>19346</v>
      </c>
      <c r="G201" s="108">
        <v>42.768000000000001</v>
      </c>
      <c r="H201" s="108">
        <v>229</v>
      </c>
      <c r="I201" s="108">
        <v>20</v>
      </c>
      <c r="J201" s="108">
        <v>8</v>
      </c>
      <c r="K201" s="108">
        <v>24</v>
      </c>
      <c r="L201" s="108">
        <v>27</v>
      </c>
      <c r="M201" s="108">
        <v>3</v>
      </c>
      <c r="N201" s="108">
        <v>11.3</v>
      </c>
      <c r="O201" s="108">
        <v>164</v>
      </c>
    </row>
    <row r="202" spans="2:15" x14ac:dyDescent="0.3">
      <c r="B202" s="75">
        <v>14643</v>
      </c>
      <c r="C202" s="75" t="s">
        <v>101</v>
      </c>
      <c r="D202" s="89" t="s">
        <v>203</v>
      </c>
      <c r="E202" s="90" t="s">
        <v>204</v>
      </c>
      <c r="F202" s="117">
        <v>40027</v>
      </c>
      <c r="G202" s="107">
        <v>43.031999999999996</v>
      </c>
      <c r="H202" s="107">
        <v>233</v>
      </c>
      <c r="I202" s="107">
        <v>12</v>
      </c>
      <c r="J202" s="107">
        <v>11</v>
      </c>
      <c r="K202" s="107">
        <v>19</v>
      </c>
      <c r="L202" s="107">
        <v>41</v>
      </c>
      <c r="M202" s="107">
        <v>3</v>
      </c>
      <c r="N202" s="107">
        <v>11.8</v>
      </c>
      <c r="O202" s="107">
        <v>160</v>
      </c>
    </row>
    <row r="203" spans="2:15" x14ac:dyDescent="0.3">
      <c r="B203" s="75">
        <v>28996</v>
      </c>
      <c r="C203" s="75" t="s">
        <v>109</v>
      </c>
      <c r="D203" s="91" t="s">
        <v>117</v>
      </c>
      <c r="E203" s="91" t="s">
        <v>156</v>
      </c>
      <c r="F203" s="122">
        <v>46939</v>
      </c>
      <c r="G203" s="108">
        <v>42.943999999999996</v>
      </c>
      <c r="H203" s="108">
        <v>228</v>
      </c>
      <c r="I203" s="108">
        <v>16</v>
      </c>
      <c r="J203" s="108">
        <v>16</v>
      </c>
      <c r="K203" s="108">
        <v>37</v>
      </c>
      <c r="L203" s="108">
        <v>17</v>
      </c>
      <c r="M203" s="108">
        <v>2</v>
      </c>
      <c r="N203" s="108">
        <v>10.199999999999999</v>
      </c>
      <c r="O203" s="108">
        <v>178</v>
      </c>
    </row>
    <row r="204" spans="2:15" x14ac:dyDescent="0.3">
      <c r="B204" s="75">
        <v>39825</v>
      </c>
      <c r="C204" s="75" t="s">
        <v>105</v>
      </c>
      <c r="D204" s="89" t="s">
        <v>153</v>
      </c>
      <c r="E204" s="90" t="s">
        <v>165</v>
      </c>
      <c r="F204" s="117">
        <v>36727</v>
      </c>
      <c r="G204" s="107">
        <v>43.207999999999998</v>
      </c>
      <c r="H204" s="107">
        <v>231</v>
      </c>
      <c r="I204" s="107">
        <v>17</v>
      </c>
      <c r="J204" s="107">
        <v>12</v>
      </c>
      <c r="K204" s="107">
        <v>31</v>
      </c>
      <c r="L204" s="107">
        <v>16</v>
      </c>
      <c r="M204" s="107">
        <v>0</v>
      </c>
      <c r="N204" s="107">
        <v>12.9</v>
      </c>
      <c r="O204" s="107">
        <v>161</v>
      </c>
    </row>
    <row r="205" spans="2:15" x14ac:dyDescent="0.3">
      <c r="B205" s="75">
        <v>35052</v>
      </c>
      <c r="C205" s="75" t="s">
        <v>110</v>
      </c>
      <c r="D205" s="91" t="s">
        <v>186</v>
      </c>
      <c r="E205" s="96" t="s">
        <v>198</v>
      </c>
      <c r="F205" s="123">
        <v>38695</v>
      </c>
      <c r="G205" s="108">
        <v>44.44</v>
      </c>
      <c r="H205" s="108">
        <v>240</v>
      </c>
      <c r="I205" s="108">
        <v>14</v>
      </c>
      <c r="J205" s="108">
        <v>11</v>
      </c>
      <c r="K205" s="108">
        <v>48</v>
      </c>
      <c r="L205" s="108">
        <v>12</v>
      </c>
      <c r="M205" s="108">
        <v>0</v>
      </c>
      <c r="N205" s="108">
        <v>10.9</v>
      </c>
      <c r="O205" s="108">
        <v>191</v>
      </c>
    </row>
    <row r="206" spans="2:15" x14ac:dyDescent="0.3">
      <c r="B206" s="75">
        <v>62874</v>
      </c>
      <c r="C206" s="75" t="s">
        <v>110</v>
      </c>
      <c r="D206" s="89" t="s">
        <v>149</v>
      </c>
      <c r="E206" s="90" t="s">
        <v>150</v>
      </c>
      <c r="F206" s="117">
        <v>39951</v>
      </c>
      <c r="G206" s="107">
        <v>43.12</v>
      </c>
      <c r="H206" s="107">
        <v>230</v>
      </c>
      <c r="I206" s="107">
        <v>14</v>
      </c>
      <c r="J206" s="107">
        <v>16</v>
      </c>
      <c r="K206" s="107">
        <v>25</v>
      </c>
      <c r="L206" s="107">
        <v>38</v>
      </c>
      <c r="M206" s="107">
        <v>2</v>
      </c>
      <c r="N206" s="107">
        <v>9.8000000000000007</v>
      </c>
      <c r="O206" s="107">
        <v>171</v>
      </c>
    </row>
    <row r="207" spans="2:15" x14ac:dyDescent="0.3">
      <c r="B207" s="80">
        <v>83413</v>
      </c>
      <c r="C207" s="80" t="s">
        <v>105</v>
      </c>
      <c r="D207" s="98" t="s">
        <v>74</v>
      </c>
      <c r="E207" s="92" t="s">
        <v>140</v>
      </c>
      <c r="F207" s="125">
        <v>40255</v>
      </c>
      <c r="G207" s="110">
        <v>42.503999999999998</v>
      </c>
      <c r="H207" s="110">
        <v>234</v>
      </c>
      <c r="I207" s="110">
        <v>8</v>
      </c>
      <c r="J207" s="110">
        <v>7</v>
      </c>
      <c r="K207" s="110">
        <v>40</v>
      </c>
      <c r="L207" s="110">
        <v>18</v>
      </c>
      <c r="M207" s="110"/>
      <c r="N207" s="110">
        <v>13</v>
      </c>
      <c r="O207" s="110">
        <v>180</v>
      </c>
    </row>
    <row r="208" spans="2:15" x14ac:dyDescent="0.3">
      <c r="B208" s="75">
        <v>78900</v>
      </c>
      <c r="C208" s="75" t="s">
        <v>103</v>
      </c>
      <c r="D208" s="89" t="s">
        <v>117</v>
      </c>
      <c r="E208" s="86" t="s">
        <v>118</v>
      </c>
      <c r="F208" s="115">
        <v>39501</v>
      </c>
      <c r="G208" s="107">
        <v>44.527999999999999</v>
      </c>
      <c r="H208" s="107">
        <v>242</v>
      </c>
      <c r="I208" s="107">
        <v>13</v>
      </c>
      <c r="J208" s="107">
        <v>9</v>
      </c>
      <c r="K208" s="107">
        <v>26</v>
      </c>
      <c r="L208" s="107">
        <v>38</v>
      </c>
      <c r="M208" s="107">
        <v>0</v>
      </c>
      <c r="N208" s="107">
        <v>10.199999999999999</v>
      </c>
      <c r="O208" s="107">
        <v>183</v>
      </c>
    </row>
    <row r="209" spans="2:15" x14ac:dyDescent="0.3">
      <c r="B209" s="75">
        <v>78899</v>
      </c>
      <c r="C209" s="75" t="s">
        <v>107</v>
      </c>
      <c r="D209" s="91" t="s">
        <v>117</v>
      </c>
      <c r="E209" s="88" t="s">
        <v>118</v>
      </c>
      <c r="F209" s="116">
        <v>51065</v>
      </c>
      <c r="G209" s="108">
        <v>42.152000000000001</v>
      </c>
      <c r="H209" s="108">
        <v>228</v>
      </c>
      <c r="I209" s="108">
        <v>13</v>
      </c>
      <c r="J209" s="108">
        <v>10</v>
      </c>
      <c r="K209" s="108">
        <v>38</v>
      </c>
      <c r="L209" s="108">
        <v>9</v>
      </c>
      <c r="M209" s="108">
        <v>0</v>
      </c>
      <c r="N209" s="108">
        <v>10.1</v>
      </c>
      <c r="O209" s="108">
        <v>175</v>
      </c>
    </row>
    <row r="210" spans="2:15" x14ac:dyDescent="0.3">
      <c r="B210" s="75">
        <v>37964</v>
      </c>
      <c r="C210" s="75" t="s">
        <v>105</v>
      </c>
      <c r="D210" s="89" t="s">
        <v>157</v>
      </c>
      <c r="E210" s="90" t="s">
        <v>205</v>
      </c>
      <c r="F210" s="117">
        <v>39591</v>
      </c>
      <c r="G210" s="107">
        <v>43.207999999999998</v>
      </c>
      <c r="H210" s="107">
        <v>232</v>
      </c>
      <c r="I210" s="107">
        <v>15</v>
      </c>
      <c r="J210" s="107">
        <v>12</v>
      </c>
      <c r="K210" s="107">
        <v>33</v>
      </c>
      <c r="L210" s="107">
        <v>13</v>
      </c>
      <c r="M210" s="107">
        <v>2</v>
      </c>
      <c r="N210" s="107">
        <v>10.199999999999999</v>
      </c>
      <c r="O210" s="107">
        <v>188</v>
      </c>
    </row>
    <row r="211" spans="2:15" x14ac:dyDescent="0.3">
      <c r="B211" s="75">
        <v>39786</v>
      </c>
      <c r="C211" s="75" t="s">
        <v>110</v>
      </c>
      <c r="D211" s="91" t="s">
        <v>157</v>
      </c>
      <c r="E211" s="96" t="s">
        <v>206</v>
      </c>
      <c r="F211" s="123">
        <v>50358</v>
      </c>
      <c r="G211" s="108">
        <v>43.823999999999998</v>
      </c>
      <c r="H211" s="108">
        <v>235</v>
      </c>
      <c r="I211" s="108">
        <v>16</v>
      </c>
      <c r="J211" s="108">
        <v>12</v>
      </c>
      <c r="K211" s="108">
        <v>37</v>
      </c>
      <c r="L211" s="108">
        <v>12</v>
      </c>
      <c r="M211" s="108">
        <v>0</v>
      </c>
      <c r="N211" s="108">
        <v>11.6</v>
      </c>
      <c r="O211" s="108">
        <v>175</v>
      </c>
    </row>
    <row r="212" spans="2:15" x14ac:dyDescent="0.3">
      <c r="B212" s="75">
        <v>87107</v>
      </c>
      <c r="C212" s="75" t="s">
        <v>103</v>
      </c>
      <c r="D212" s="89" t="s">
        <v>117</v>
      </c>
      <c r="E212" s="86" t="s">
        <v>119</v>
      </c>
      <c r="F212" s="115">
        <v>52503</v>
      </c>
      <c r="G212" s="107">
        <v>43.735999999999997</v>
      </c>
      <c r="H212" s="107">
        <v>235</v>
      </c>
      <c r="I212" s="107">
        <v>8</v>
      </c>
      <c r="J212" s="107">
        <v>19</v>
      </c>
      <c r="K212" s="107">
        <v>35</v>
      </c>
      <c r="L212" s="107">
        <v>19</v>
      </c>
      <c r="M212" s="107">
        <v>2</v>
      </c>
      <c r="N212" s="107">
        <v>9.6999999999999993</v>
      </c>
      <c r="O212" s="107">
        <v>181</v>
      </c>
    </row>
    <row r="213" spans="2:15" x14ac:dyDescent="0.3">
      <c r="B213" s="75">
        <v>89243</v>
      </c>
      <c r="C213" s="75" t="s">
        <v>105</v>
      </c>
      <c r="D213" s="91" t="s">
        <v>157</v>
      </c>
      <c r="E213" s="92" t="s">
        <v>160</v>
      </c>
      <c r="F213" s="118">
        <v>35352</v>
      </c>
      <c r="G213" s="108">
        <v>42.327999999999996</v>
      </c>
      <c r="H213" s="108">
        <v>229</v>
      </c>
      <c r="I213" s="108">
        <v>8</v>
      </c>
      <c r="J213" s="108">
        <v>15</v>
      </c>
      <c r="K213" s="108">
        <v>38</v>
      </c>
      <c r="L213" s="108">
        <v>19</v>
      </c>
      <c r="M213" s="108">
        <v>4</v>
      </c>
      <c r="N213" s="108">
        <v>11.9</v>
      </c>
      <c r="O213" s="108">
        <v>175</v>
      </c>
    </row>
    <row r="214" spans="2:15" x14ac:dyDescent="0.3">
      <c r="B214" s="75">
        <v>83832</v>
      </c>
      <c r="C214" s="75" t="s">
        <v>109</v>
      </c>
      <c r="D214" s="89" t="s">
        <v>149</v>
      </c>
      <c r="E214" s="90" t="s">
        <v>150</v>
      </c>
      <c r="F214" s="117">
        <v>40047</v>
      </c>
      <c r="G214" s="107">
        <v>42.943999999999996</v>
      </c>
      <c r="H214" s="107">
        <v>231</v>
      </c>
      <c r="I214" s="107">
        <v>10</v>
      </c>
      <c r="J214" s="107">
        <v>16</v>
      </c>
      <c r="K214" s="107">
        <v>18</v>
      </c>
      <c r="L214" s="107">
        <v>45</v>
      </c>
      <c r="M214" s="107">
        <v>4</v>
      </c>
      <c r="N214" s="107">
        <v>12.2</v>
      </c>
      <c r="O214" s="107">
        <v>177</v>
      </c>
    </row>
    <row r="215" spans="2:15" x14ac:dyDescent="0.3">
      <c r="B215" s="75">
        <v>13554</v>
      </c>
      <c r="C215" s="75" t="s">
        <v>109</v>
      </c>
      <c r="D215" s="91" t="s">
        <v>207</v>
      </c>
      <c r="E215" s="99" t="s">
        <v>208</v>
      </c>
      <c r="F215" s="126">
        <v>39186</v>
      </c>
      <c r="G215" s="108">
        <v>43.823999999999998</v>
      </c>
      <c r="H215" s="108">
        <v>235</v>
      </c>
      <c r="I215" s="108">
        <v>16</v>
      </c>
      <c r="J215" s="108">
        <v>12</v>
      </c>
      <c r="K215" s="108">
        <v>15</v>
      </c>
      <c r="L215" s="108">
        <v>33</v>
      </c>
      <c r="M215" s="108">
        <v>0</v>
      </c>
      <c r="N215" s="108">
        <v>11.4</v>
      </c>
      <c r="O215" s="108">
        <v>170</v>
      </c>
    </row>
    <row r="216" spans="2:15" x14ac:dyDescent="0.3">
      <c r="B216" s="75">
        <v>14644</v>
      </c>
      <c r="C216" s="75" t="s">
        <v>105</v>
      </c>
      <c r="D216" s="89" t="s">
        <v>159</v>
      </c>
      <c r="E216" s="90" t="s">
        <v>204</v>
      </c>
      <c r="F216" s="117">
        <v>40931</v>
      </c>
      <c r="G216" s="107">
        <v>44.44</v>
      </c>
      <c r="H216" s="107">
        <v>239</v>
      </c>
      <c r="I216" s="107">
        <v>16</v>
      </c>
      <c r="J216" s="107">
        <v>11</v>
      </c>
      <c r="K216" s="107">
        <v>24</v>
      </c>
      <c r="L216" s="107">
        <v>21</v>
      </c>
      <c r="M216" s="107">
        <v>4</v>
      </c>
      <c r="N216" s="107">
        <v>11.7</v>
      </c>
      <c r="O216" s="107">
        <v>176</v>
      </c>
    </row>
    <row r="217" spans="2:15" x14ac:dyDescent="0.3">
      <c r="B217" s="75">
        <v>28995</v>
      </c>
      <c r="C217" s="75" t="s">
        <v>106</v>
      </c>
      <c r="D217" s="100" t="s">
        <v>117</v>
      </c>
      <c r="E217" s="91" t="s">
        <v>156</v>
      </c>
      <c r="F217" s="122">
        <v>51626</v>
      </c>
      <c r="G217" s="108">
        <v>43.823999999999998</v>
      </c>
      <c r="H217" s="108">
        <v>234</v>
      </c>
      <c r="I217" s="108">
        <v>17</v>
      </c>
      <c r="J217" s="108">
        <v>13</v>
      </c>
      <c r="K217" s="108">
        <v>22</v>
      </c>
      <c r="L217" s="108">
        <v>16</v>
      </c>
      <c r="M217" s="108">
        <v>0</v>
      </c>
      <c r="N217" s="108">
        <v>11.3</v>
      </c>
      <c r="O217" s="108">
        <v>165</v>
      </c>
    </row>
    <row r="218" spans="2:15" x14ac:dyDescent="0.3">
      <c r="B218" s="75">
        <v>36087</v>
      </c>
      <c r="C218" s="75" t="s">
        <v>110</v>
      </c>
      <c r="D218" s="101" t="s">
        <v>179</v>
      </c>
      <c r="E218" s="90" t="s">
        <v>180</v>
      </c>
      <c r="F218" s="117">
        <v>39104</v>
      </c>
      <c r="G218" s="107">
        <v>44.44</v>
      </c>
      <c r="H218" s="107">
        <v>240</v>
      </c>
      <c r="I218" s="107">
        <v>14</v>
      </c>
      <c r="J218" s="107">
        <v>11</v>
      </c>
      <c r="K218" s="107">
        <v>29</v>
      </c>
      <c r="L218" s="107">
        <v>6</v>
      </c>
      <c r="M218" s="107">
        <v>0</v>
      </c>
      <c r="N218" s="107">
        <v>11.9</v>
      </c>
      <c r="O218" s="107">
        <v>174</v>
      </c>
    </row>
    <row r="219" spans="2:15" x14ac:dyDescent="0.3">
      <c r="B219" s="75">
        <v>78902</v>
      </c>
      <c r="C219" s="75" t="s">
        <v>109</v>
      </c>
      <c r="D219" s="100" t="s">
        <v>117</v>
      </c>
      <c r="E219" s="88" t="s">
        <v>118</v>
      </c>
      <c r="F219" s="116">
        <v>51863</v>
      </c>
      <c r="G219" s="108">
        <v>42.855999999999995</v>
      </c>
      <c r="H219" s="108">
        <v>228</v>
      </c>
      <c r="I219" s="108">
        <v>17</v>
      </c>
      <c r="J219" s="108">
        <v>14</v>
      </c>
      <c r="K219" s="108">
        <v>37</v>
      </c>
      <c r="L219" s="108">
        <v>15</v>
      </c>
      <c r="M219" s="108">
        <v>0</v>
      </c>
      <c r="N219" s="108">
        <v>10.199999999999999</v>
      </c>
      <c r="O219" s="108">
        <v>182</v>
      </c>
    </row>
    <row r="220" spans="2:15" x14ac:dyDescent="0.3">
      <c r="B220" s="75">
        <v>87106</v>
      </c>
      <c r="C220" s="75" t="s">
        <v>109</v>
      </c>
      <c r="D220" s="89" t="s">
        <v>117</v>
      </c>
      <c r="E220" s="86" t="s">
        <v>119</v>
      </c>
      <c r="F220" s="115">
        <v>52377</v>
      </c>
      <c r="G220" s="107">
        <v>43.207999999999998</v>
      </c>
      <c r="H220" s="107">
        <v>236</v>
      </c>
      <c r="I220" s="107">
        <v>8</v>
      </c>
      <c r="J220" s="107">
        <v>11</v>
      </c>
      <c r="K220" s="107">
        <v>27</v>
      </c>
      <c r="L220" s="107">
        <v>14</v>
      </c>
      <c r="M220" s="107">
        <v>2</v>
      </c>
      <c r="N220" s="107">
        <v>10.1</v>
      </c>
      <c r="O220" s="107">
        <v>178</v>
      </c>
    </row>
    <row r="221" spans="2:15" x14ac:dyDescent="0.3">
      <c r="B221" s="81">
        <v>78901</v>
      </c>
      <c r="C221" s="81" t="s">
        <v>110</v>
      </c>
      <c r="D221" s="91" t="s">
        <v>117</v>
      </c>
      <c r="E221" s="88" t="s">
        <v>118</v>
      </c>
      <c r="F221" s="116">
        <v>56317</v>
      </c>
      <c r="G221" s="108">
        <v>44.527999999999999</v>
      </c>
      <c r="H221" s="108">
        <v>241</v>
      </c>
      <c r="I221" s="108">
        <v>10</v>
      </c>
      <c r="J221" s="108">
        <v>14</v>
      </c>
      <c r="K221" s="108">
        <v>36</v>
      </c>
      <c r="L221" s="108">
        <v>10</v>
      </c>
      <c r="M221" s="108">
        <v>0</v>
      </c>
      <c r="N221" s="108">
        <v>9.6999999999999993</v>
      </c>
      <c r="O221" s="108">
        <v>182</v>
      </c>
    </row>
    <row r="222" spans="2:15" x14ac:dyDescent="0.3">
      <c r="B222" s="82">
        <v>89244</v>
      </c>
      <c r="C222" s="82" t="s">
        <v>109</v>
      </c>
      <c r="D222" s="89" t="s">
        <v>157</v>
      </c>
      <c r="E222" s="89" t="s">
        <v>160</v>
      </c>
      <c r="F222" s="120">
        <v>45877</v>
      </c>
      <c r="G222" s="107">
        <v>43.823999999999998</v>
      </c>
      <c r="H222" s="107">
        <v>234</v>
      </c>
      <c r="I222" s="107">
        <v>18</v>
      </c>
      <c r="J222" s="107">
        <v>12</v>
      </c>
      <c r="K222" s="107">
        <v>28</v>
      </c>
      <c r="L222" s="107">
        <v>21</v>
      </c>
      <c r="M222" s="107">
        <v>2</v>
      </c>
      <c r="N222" s="107">
        <v>13.5</v>
      </c>
      <c r="O222" s="107">
        <v>162</v>
      </c>
    </row>
    <row r="223" spans="2:15" x14ac:dyDescent="0.3">
      <c r="B223" s="81">
        <v>89245</v>
      </c>
      <c r="C223" s="81" t="s">
        <v>106</v>
      </c>
      <c r="D223" s="91" t="s">
        <v>157</v>
      </c>
      <c r="E223" s="91" t="s">
        <v>160</v>
      </c>
      <c r="F223" s="122">
        <v>48544</v>
      </c>
      <c r="G223" s="108">
        <v>43.12</v>
      </c>
      <c r="H223" s="108">
        <v>234</v>
      </c>
      <c r="I223" s="108">
        <v>10</v>
      </c>
      <c r="J223" s="108">
        <v>12</v>
      </c>
      <c r="K223" s="108">
        <v>24</v>
      </c>
      <c r="L223" s="108">
        <v>32</v>
      </c>
      <c r="M223" s="108">
        <v>0</v>
      </c>
      <c r="N223" s="108">
        <v>10.4</v>
      </c>
      <c r="O223" s="108">
        <v>171</v>
      </c>
    </row>
    <row r="224" spans="2:15" x14ac:dyDescent="0.3">
      <c r="B224" s="82">
        <v>9053</v>
      </c>
      <c r="C224" s="82" t="s">
        <v>106</v>
      </c>
      <c r="D224" s="89" t="s">
        <v>147</v>
      </c>
      <c r="E224" s="89" t="s">
        <v>209</v>
      </c>
      <c r="F224" s="120">
        <v>39718</v>
      </c>
      <c r="G224" s="107">
        <v>43.031999999999996</v>
      </c>
      <c r="H224" s="107">
        <v>231</v>
      </c>
      <c r="I224" s="107">
        <v>17</v>
      </c>
      <c r="J224" s="107">
        <v>10</v>
      </c>
      <c r="K224" s="107">
        <v>34</v>
      </c>
      <c r="L224" s="107">
        <v>29</v>
      </c>
      <c r="M224" s="107">
        <v>0</v>
      </c>
      <c r="N224" s="107">
        <v>8.6</v>
      </c>
      <c r="O224" s="107">
        <v>192</v>
      </c>
    </row>
    <row r="225" spans="2:15" x14ac:dyDescent="0.3">
      <c r="B225" s="81">
        <v>36093</v>
      </c>
      <c r="C225" s="81" t="s">
        <v>98</v>
      </c>
      <c r="D225" s="91" t="s">
        <v>210</v>
      </c>
      <c r="E225" s="91" t="s">
        <v>180</v>
      </c>
      <c r="F225" s="122">
        <v>49861</v>
      </c>
      <c r="G225" s="108">
        <v>43.559999999999995</v>
      </c>
      <c r="H225" s="108">
        <v>236</v>
      </c>
      <c r="I225" s="108">
        <v>13</v>
      </c>
      <c r="J225" s="108">
        <v>10</v>
      </c>
      <c r="K225" s="108">
        <v>27</v>
      </c>
      <c r="L225" s="108">
        <v>23</v>
      </c>
      <c r="M225" s="108">
        <v>2</v>
      </c>
      <c r="N225" s="108">
        <v>14.7</v>
      </c>
      <c r="O225" s="108">
        <v>173</v>
      </c>
    </row>
    <row r="226" spans="2:15" x14ac:dyDescent="0.3">
      <c r="B226" s="82">
        <v>83399</v>
      </c>
      <c r="C226" s="82" t="s">
        <v>70</v>
      </c>
      <c r="D226" s="89" t="s">
        <v>187</v>
      </c>
      <c r="E226" s="89" t="s">
        <v>170</v>
      </c>
      <c r="F226" s="120">
        <v>41760</v>
      </c>
      <c r="G226" s="107">
        <v>44</v>
      </c>
      <c r="H226" s="107">
        <v>239</v>
      </c>
      <c r="I226" s="107">
        <v>12</v>
      </c>
      <c r="J226" s="107">
        <v>10</v>
      </c>
      <c r="K226" s="107">
        <v>31</v>
      </c>
      <c r="L226" s="107">
        <v>10</v>
      </c>
      <c r="M226" s="107">
        <v>0</v>
      </c>
      <c r="N226" s="107">
        <v>12.6</v>
      </c>
      <c r="O226" s="107">
        <v>180</v>
      </c>
    </row>
    <row r="227" spans="2:15" x14ac:dyDescent="0.3">
      <c r="B227" s="81">
        <v>16</v>
      </c>
      <c r="C227" s="81" t="s">
        <v>105</v>
      </c>
      <c r="D227" s="91" t="s">
        <v>211</v>
      </c>
      <c r="E227" s="91" t="s">
        <v>142</v>
      </c>
      <c r="F227" s="122">
        <v>43860</v>
      </c>
      <c r="G227" s="108">
        <v>41.711999999999996</v>
      </c>
      <c r="H227" s="108">
        <v>222</v>
      </c>
      <c r="I227" s="108">
        <v>13</v>
      </c>
      <c r="J227" s="108">
        <v>17</v>
      </c>
      <c r="K227" s="108">
        <v>46</v>
      </c>
      <c r="L227" s="108">
        <v>24</v>
      </c>
      <c r="M227" s="108">
        <v>0</v>
      </c>
      <c r="N227" s="108">
        <v>12.1</v>
      </c>
      <c r="O227" s="108">
        <v>175</v>
      </c>
    </row>
    <row r="228" spans="2:15" x14ac:dyDescent="0.3">
      <c r="B228" s="82">
        <v>78909</v>
      </c>
      <c r="C228" s="82" t="s">
        <v>106</v>
      </c>
      <c r="D228" s="89" t="s">
        <v>117</v>
      </c>
      <c r="E228" s="86" t="s">
        <v>118</v>
      </c>
      <c r="F228" s="115">
        <v>51788</v>
      </c>
      <c r="G228" s="107">
        <v>41.623999999999995</v>
      </c>
      <c r="H228" s="107">
        <v>227</v>
      </c>
      <c r="I228" s="107">
        <v>8</v>
      </c>
      <c r="J228" s="107">
        <v>11</v>
      </c>
      <c r="K228" s="107">
        <v>40</v>
      </c>
      <c r="L228" s="107">
        <v>18</v>
      </c>
      <c r="M228" s="107">
        <v>0</v>
      </c>
      <c r="N228" s="107">
        <v>10.7</v>
      </c>
      <c r="O228" s="107">
        <v>179</v>
      </c>
    </row>
    <row r="229" spans="2:15" x14ac:dyDescent="0.3">
      <c r="B229" s="81">
        <v>39835</v>
      </c>
      <c r="C229" s="81" t="s">
        <v>105</v>
      </c>
      <c r="D229" s="91" t="s">
        <v>153</v>
      </c>
      <c r="E229" s="91" t="s">
        <v>165</v>
      </c>
      <c r="F229" s="122">
        <v>46786</v>
      </c>
      <c r="G229" s="108">
        <v>42.152000000000001</v>
      </c>
      <c r="H229" s="108">
        <v>228</v>
      </c>
      <c r="I229" s="108">
        <v>10</v>
      </c>
      <c r="J229" s="108">
        <v>13</v>
      </c>
      <c r="K229" s="108">
        <v>36</v>
      </c>
      <c r="L229" s="108">
        <v>32</v>
      </c>
      <c r="M229" s="108">
        <v>2</v>
      </c>
      <c r="N229" s="108">
        <v>12.4</v>
      </c>
      <c r="O229" s="108">
        <v>163</v>
      </c>
    </row>
    <row r="230" spans="2:15" x14ac:dyDescent="0.3">
      <c r="B230" s="82">
        <v>87037</v>
      </c>
      <c r="C230" s="82" t="s">
        <v>105</v>
      </c>
      <c r="D230" s="89" t="s">
        <v>171</v>
      </c>
      <c r="E230" s="89" t="s">
        <v>156</v>
      </c>
      <c r="F230" s="120">
        <v>58887</v>
      </c>
      <c r="G230" s="107">
        <v>42.064</v>
      </c>
      <c r="H230" s="107">
        <v>230</v>
      </c>
      <c r="I230" s="107">
        <v>10</v>
      </c>
      <c r="J230" s="107">
        <v>8</v>
      </c>
      <c r="K230" s="107">
        <v>47</v>
      </c>
      <c r="L230" s="107">
        <v>13</v>
      </c>
      <c r="M230" s="107">
        <v>2</v>
      </c>
      <c r="N230" s="107">
        <v>11.7</v>
      </c>
      <c r="O230" s="107">
        <v>182</v>
      </c>
    </row>
    <row r="231" spans="2:15" x14ac:dyDescent="0.3">
      <c r="B231" s="81">
        <v>37590</v>
      </c>
      <c r="C231" s="81" t="s">
        <v>111</v>
      </c>
      <c r="D231" s="91" t="s">
        <v>157</v>
      </c>
      <c r="E231" s="91" t="s">
        <v>129</v>
      </c>
      <c r="F231" s="122">
        <v>45125</v>
      </c>
      <c r="G231" s="108">
        <v>43.12</v>
      </c>
      <c r="H231" s="108">
        <v>232</v>
      </c>
      <c r="I231" s="108">
        <v>15</v>
      </c>
      <c r="J231" s="108">
        <v>11</v>
      </c>
      <c r="K231" s="108">
        <v>20</v>
      </c>
      <c r="L231" s="108">
        <v>27</v>
      </c>
      <c r="M231" s="108">
        <v>3</v>
      </c>
      <c r="N231" s="108">
        <v>12.4</v>
      </c>
      <c r="O231" s="108">
        <v>168</v>
      </c>
    </row>
    <row r="232" spans="2:15" x14ac:dyDescent="0.3">
      <c r="B232" s="82">
        <v>18946</v>
      </c>
      <c r="C232" s="82" t="s">
        <v>106</v>
      </c>
      <c r="D232" s="89" t="s">
        <v>187</v>
      </c>
      <c r="E232" s="89" t="s">
        <v>170</v>
      </c>
      <c r="F232" s="120">
        <v>41007</v>
      </c>
      <c r="G232" s="107">
        <v>44.704000000000001</v>
      </c>
      <c r="H232" s="107">
        <v>243</v>
      </c>
      <c r="I232" s="107">
        <v>12</v>
      </c>
      <c r="J232" s="107">
        <v>10</v>
      </c>
      <c r="K232" s="107">
        <v>28</v>
      </c>
      <c r="L232" s="107">
        <v>24</v>
      </c>
      <c r="M232" s="107">
        <v>0</v>
      </c>
      <c r="N232" s="107">
        <v>12.2</v>
      </c>
      <c r="O232" s="107">
        <v>174</v>
      </c>
    </row>
    <row r="233" spans="2:15" x14ac:dyDescent="0.3">
      <c r="B233" s="81">
        <v>78903</v>
      </c>
      <c r="C233" s="81" t="s">
        <v>77</v>
      </c>
      <c r="D233" s="91" t="s">
        <v>117</v>
      </c>
      <c r="E233" s="88" t="s">
        <v>118</v>
      </c>
      <c r="F233" s="116">
        <v>50395</v>
      </c>
      <c r="G233" s="108">
        <v>41.095999999999997</v>
      </c>
      <c r="H233" s="108">
        <v>221</v>
      </c>
      <c r="I233" s="108">
        <v>10</v>
      </c>
      <c r="J233" s="108">
        <v>15</v>
      </c>
      <c r="K233" s="108">
        <v>34</v>
      </c>
      <c r="L233" s="108">
        <v>26</v>
      </c>
      <c r="M233" s="108">
        <v>0</v>
      </c>
      <c r="N233" s="108">
        <v>10.199999999999999</v>
      </c>
      <c r="O233" s="108">
        <v>182</v>
      </c>
    </row>
    <row r="234" spans="2:15" x14ac:dyDescent="0.3">
      <c r="B234" s="82">
        <v>66427</v>
      </c>
      <c r="C234" s="82" t="s">
        <v>111</v>
      </c>
      <c r="D234" s="89" t="s">
        <v>117</v>
      </c>
      <c r="E234" s="86" t="s">
        <v>118</v>
      </c>
      <c r="F234" s="115">
        <v>40843</v>
      </c>
      <c r="G234" s="107">
        <v>41.975999999999999</v>
      </c>
      <c r="H234" s="107">
        <v>227</v>
      </c>
      <c r="I234" s="107">
        <v>10</v>
      </c>
      <c r="J234" s="107">
        <v>13</v>
      </c>
      <c r="K234" s="107">
        <v>48</v>
      </c>
      <c r="L234" s="107">
        <v>16</v>
      </c>
      <c r="M234" s="107">
        <v>0</v>
      </c>
      <c r="N234" s="107">
        <v>10.1</v>
      </c>
      <c r="O234" s="107">
        <v>168</v>
      </c>
    </row>
    <row r="235" spans="2:15" x14ac:dyDescent="0.3">
      <c r="B235" s="81">
        <v>36092</v>
      </c>
      <c r="C235" s="81" t="s">
        <v>112</v>
      </c>
      <c r="D235" s="91" t="s">
        <v>179</v>
      </c>
      <c r="E235" s="91" t="s">
        <v>180</v>
      </c>
      <c r="F235" s="122">
        <v>35922</v>
      </c>
      <c r="G235" s="108">
        <v>42.768000000000001</v>
      </c>
      <c r="H235" s="108">
        <v>229</v>
      </c>
      <c r="I235" s="108">
        <v>12</v>
      </c>
      <c r="J235" s="108">
        <v>16</v>
      </c>
      <c r="K235" s="108">
        <v>32</v>
      </c>
      <c r="L235" s="108">
        <v>10</v>
      </c>
      <c r="M235" s="108">
        <v>0</v>
      </c>
      <c r="N235" s="108">
        <v>12.2</v>
      </c>
      <c r="O235" s="108">
        <v>137</v>
      </c>
    </row>
    <row r="236" spans="2:15" x14ac:dyDescent="0.3">
      <c r="B236" s="82">
        <v>87145</v>
      </c>
      <c r="C236" s="82" t="s">
        <v>106</v>
      </c>
      <c r="D236" s="89" t="s">
        <v>144</v>
      </c>
      <c r="E236" s="89" t="s">
        <v>140</v>
      </c>
      <c r="F236" s="120">
        <v>36079</v>
      </c>
      <c r="G236" s="107">
        <v>42.327999999999996</v>
      </c>
      <c r="H236" s="107">
        <v>229</v>
      </c>
      <c r="I236" s="107">
        <v>12</v>
      </c>
      <c r="J236" s="107">
        <v>11</v>
      </c>
      <c r="K236" s="107">
        <v>38</v>
      </c>
      <c r="L236" s="107">
        <v>20</v>
      </c>
      <c r="M236" s="107">
        <v>2</v>
      </c>
      <c r="N236" s="107">
        <v>9.8000000000000007</v>
      </c>
      <c r="O236" s="107">
        <v>176</v>
      </c>
    </row>
    <row r="237" spans="2:15" x14ac:dyDescent="0.3">
      <c r="B237" s="81">
        <v>31508</v>
      </c>
      <c r="C237" s="81" t="s">
        <v>70</v>
      </c>
      <c r="D237" s="91" t="s">
        <v>179</v>
      </c>
      <c r="E237" s="91" t="s">
        <v>209</v>
      </c>
      <c r="F237" s="122">
        <v>46794</v>
      </c>
      <c r="G237" s="108">
        <v>43.295999999999999</v>
      </c>
      <c r="H237" s="108">
        <v>228</v>
      </c>
      <c r="I237" s="108">
        <v>19</v>
      </c>
      <c r="J237" s="108">
        <v>17</v>
      </c>
      <c r="K237" s="108">
        <v>36</v>
      </c>
      <c r="L237" s="108">
        <v>28</v>
      </c>
      <c r="M237" s="108">
        <v>0</v>
      </c>
      <c r="N237" s="108">
        <v>8.8000000000000007</v>
      </c>
      <c r="O237" s="108">
        <v>186</v>
      </c>
    </row>
    <row r="238" spans="2:15" x14ac:dyDescent="0.3">
      <c r="B238" s="82">
        <v>30275</v>
      </c>
      <c r="C238" s="82" t="s">
        <v>77</v>
      </c>
      <c r="D238" s="89" t="s">
        <v>171</v>
      </c>
      <c r="E238" s="89" t="s">
        <v>156</v>
      </c>
      <c r="F238" s="120">
        <v>53583</v>
      </c>
      <c r="G238" s="107">
        <v>41.095999999999997</v>
      </c>
      <c r="H238" s="107">
        <v>220</v>
      </c>
      <c r="I238" s="107">
        <v>13</v>
      </c>
      <c r="J238" s="107">
        <v>14</v>
      </c>
      <c r="K238" s="107">
        <v>48</v>
      </c>
      <c r="L238" s="107">
        <v>25</v>
      </c>
      <c r="M238" s="107">
        <v>0</v>
      </c>
      <c r="N238" s="107">
        <v>12.3</v>
      </c>
      <c r="O238" s="107">
        <v>184</v>
      </c>
    </row>
    <row r="239" spans="2:15" x14ac:dyDescent="0.3">
      <c r="B239" s="81">
        <v>70332</v>
      </c>
      <c r="C239" s="81" t="s">
        <v>104</v>
      </c>
      <c r="D239" s="91" t="s">
        <v>117</v>
      </c>
      <c r="E239" s="88" t="s">
        <v>118</v>
      </c>
      <c r="F239" s="116">
        <v>43112</v>
      </c>
      <c r="G239" s="108">
        <v>44.44</v>
      </c>
      <c r="H239" s="108">
        <v>239</v>
      </c>
      <c r="I239" s="108">
        <v>18</v>
      </c>
      <c r="J239" s="108">
        <v>9</v>
      </c>
      <c r="K239" s="108">
        <v>25</v>
      </c>
      <c r="L239" s="108">
        <v>31</v>
      </c>
      <c r="M239" s="108">
        <v>0</v>
      </c>
      <c r="N239" s="108">
        <v>8.5</v>
      </c>
      <c r="O239" s="108">
        <v>186</v>
      </c>
    </row>
    <row r="240" spans="2:15" x14ac:dyDescent="0.3">
      <c r="B240" s="82">
        <v>87081</v>
      </c>
      <c r="C240" s="82" t="s">
        <v>104</v>
      </c>
      <c r="D240" s="89" t="s">
        <v>153</v>
      </c>
      <c r="E240" s="95" t="s">
        <v>183</v>
      </c>
      <c r="F240" s="121">
        <v>36414</v>
      </c>
      <c r="G240" s="107">
        <v>41.975999999999999</v>
      </c>
      <c r="H240" s="107">
        <v>221</v>
      </c>
      <c r="I240" s="107">
        <v>18</v>
      </c>
      <c r="J240" s="107">
        <v>17</v>
      </c>
      <c r="K240" s="107">
        <v>46</v>
      </c>
      <c r="L240" s="107">
        <v>9</v>
      </c>
      <c r="M240" s="107">
        <v>0</v>
      </c>
      <c r="N240" s="107">
        <v>11.9</v>
      </c>
      <c r="O240" s="107">
        <v>162</v>
      </c>
    </row>
    <row r="241" spans="2:15" x14ac:dyDescent="0.3">
      <c r="B241" s="83">
        <v>77598</v>
      </c>
      <c r="C241" s="83" t="s">
        <v>110</v>
      </c>
      <c r="D241" s="98" t="s">
        <v>207</v>
      </c>
      <c r="E241" s="102" t="s">
        <v>132</v>
      </c>
      <c r="F241" s="127">
        <v>51963</v>
      </c>
      <c r="G241" s="110">
        <v>44.879999999999995</v>
      </c>
      <c r="H241" s="110">
        <v>236</v>
      </c>
      <c r="I241" s="110">
        <v>20</v>
      </c>
      <c r="J241" s="110">
        <v>18</v>
      </c>
      <c r="K241" s="110">
        <v>15</v>
      </c>
      <c r="L241" s="110">
        <v>24</v>
      </c>
      <c r="M241" s="110">
        <v>2</v>
      </c>
      <c r="N241" s="110">
        <v>10.7</v>
      </c>
      <c r="O241" s="110">
        <v>172</v>
      </c>
    </row>
    <row r="242" spans="2:15" x14ac:dyDescent="0.3">
      <c r="B242" s="82">
        <v>39833</v>
      </c>
      <c r="C242" s="82" t="s">
        <v>113</v>
      </c>
      <c r="D242" s="89" t="s">
        <v>153</v>
      </c>
      <c r="E242" s="89" t="s">
        <v>165</v>
      </c>
      <c r="F242" s="120">
        <v>42901</v>
      </c>
      <c r="G242" s="107">
        <v>42.327999999999996</v>
      </c>
      <c r="H242" s="107">
        <v>228</v>
      </c>
      <c r="I242" s="107">
        <v>13</v>
      </c>
      <c r="J242" s="107">
        <v>12</v>
      </c>
      <c r="K242" s="107">
        <v>25</v>
      </c>
      <c r="L242" s="107">
        <v>22</v>
      </c>
      <c r="M242" s="107">
        <v>0</v>
      </c>
      <c r="N242" s="107">
        <v>12.2</v>
      </c>
      <c r="O242" s="107">
        <v>184</v>
      </c>
    </row>
    <row r="243" spans="2:15" x14ac:dyDescent="0.3">
      <c r="B243" s="81">
        <v>89077</v>
      </c>
      <c r="C243" s="81" t="s">
        <v>104</v>
      </c>
      <c r="D243" s="91" t="s">
        <v>212</v>
      </c>
      <c r="E243" s="91" t="s">
        <v>160</v>
      </c>
      <c r="F243" s="122">
        <v>47210</v>
      </c>
      <c r="G243" s="108">
        <v>44</v>
      </c>
      <c r="H243" s="108">
        <v>234</v>
      </c>
      <c r="I243" s="108">
        <v>15</v>
      </c>
      <c r="J243" s="108">
        <v>17</v>
      </c>
      <c r="K243" s="108">
        <v>19</v>
      </c>
      <c r="L243" s="108">
        <v>28</v>
      </c>
      <c r="M243" s="108">
        <v>2</v>
      </c>
      <c r="N243" s="108">
        <v>9.4</v>
      </c>
      <c r="O243" s="108">
        <v>180</v>
      </c>
    </row>
    <row r="244" spans="2:15" x14ac:dyDescent="0.3">
      <c r="B244" s="82">
        <v>78898</v>
      </c>
      <c r="C244" s="82" t="s">
        <v>104</v>
      </c>
      <c r="D244" s="89" t="s">
        <v>117</v>
      </c>
      <c r="E244" s="86" t="s">
        <v>118</v>
      </c>
      <c r="F244" s="115">
        <v>40616</v>
      </c>
      <c r="G244" s="107">
        <v>42.239999999999995</v>
      </c>
      <c r="H244" s="107">
        <v>225</v>
      </c>
      <c r="I244" s="107">
        <v>12</v>
      </c>
      <c r="J244" s="107">
        <v>18</v>
      </c>
      <c r="K244" s="107">
        <v>41</v>
      </c>
      <c r="L244" s="107">
        <v>14</v>
      </c>
      <c r="M244" s="107">
        <v>2</v>
      </c>
      <c r="N244" s="107">
        <v>9.1999999999999993</v>
      </c>
      <c r="O244" s="107">
        <v>186</v>
      </c>
    </row>
    <row r="245" spans="2:15" x14ac:dyDescent="0.3">
      <c r="B245" s="83">
        <v>31509</v>
      </c>
      <c r="C245" s="83" t="s">
        <v>109</v>
      </c>
      <c r="D245" s="98" t="s">
        <v>179</v>
      </c>
      <c r="E245" s="98" t="s">
        <v>209</v>
      </c>
      <c r="F245" s="128">
        <v>48562</v>
      </c>
      <c r="G245" s="110">
        <v>43.295999999999999</v>
      </c>
      <c r="H245" s="110">
        <v>230</v>
      </c>
      <c r="I245" s="110">
        <v>20</v>
      </c>
      <c r="J245" s="110">
        <v>12</v>
      </c>
      <c r="K245" s="110">
        <v>31</v>
      </c>
      <c r="L245" s="110">
        <v>19</v>
      </c>
      <c r="M245" s="110">
        <v>4</v>
      </c>
      <c r="N245" s="110">
        <v>10.4</v>
      </c>
      <c r="O245" s="110">
        <v>175</v>
      </c>
    </row>
    <row r="246" spans="2:15" x14ac:dyDescent="0.3">
      <c r="B246" s="82">
        <v>31510</v>
      </c>
      <c r="C246" s="82" t="s">
        <v>101</v>
      </c>
      <c r="D246" s="89" t="s">
        <v>213</v>
      </c>
      <c r="E246" s="89" t="s">
        <v>209</v>
      </c>
      <c r="F246" s="120">
        <v>42814</v>
      </c>
      <c r="G246" s="107">
        <v>44.263999999999996</v>
      </c>
      <c r="H246" s="107">
        <v>243</v>
      </c>
      <c r="I246" s="107">
        <v>9</v>
      </c>
      <c r="J246" s="107">
        <v>8</v>
      </c>
      <c r="K246" s="107">
        <v>24</v>
      </c>
      <c r="L246" s="107">
        <v>19</v>
      </c>
      <c r="M246" s="107">
        <v>2</v>
      </c>
      <c r="N246" s="107">
        <v>11.2</v>
      </c>
      <c r="O246" s="107">
        <v>174</v>
      </c>
    </row>
    <row r="247" spans="2:15" x14ac:dyDescent="0.3">
      <c r="B247" s="81">
        <v>31512</v>
      </c>
      <c r="C247" s="81" t="s">
        <v>114</v>
      </c>
      <c r="D247" s="91" t="s">
        <v>214</v>
      </c>
      <c r="E247" s="91" t="s">
        <v>209</v>
      </c>
      <c r="F247" s="122">
        <v>39199</v>
      </c>
      <c r="G247" s="108">
        <v>43.295999999999999</v>
      </c>
      <c r="H247" s="108">
        <v>228</v>
      </c>
      <c r="I247" s="108">
        <v>19</v>
      </c>
      <c r="J247" s="108">
        <v>17</v>
      </c>
      <c r="K247" s="108">
        <v>36</v>
      </c>
      <c r="L247" s="108">
        <v>28</v>
      </c>
      <c r="M247" s="108">
        <v>0</v>
      </c>
      <c r="N247" s="108">
        <v>8.8000000000000007</v>
      </c>
      <c r="O247" s="108">
        <v>186</v>
      </c>
    </row>
    <row r="248" spans="2:15" x14ac:dyDescent="0.3">
      <c r="B248" s="82">
        <v>31511</v>
      </c>
      <c r="C248" s="82" t="s">
        <v>114</v>
      </c>
      <c r="D248" s="89" t="s">
        <v>214</v>
      </c>
      <c r="E248" s="89" t="s">
        <v>209</v>
      </c>
      <c r="F248" s="120">
        <v>37453</v>
      </c>
      <c r="G248" s="107">
        <v>44.44</v>
      </c>
      <c r="H248" s="107">
        <v>239</v>
      </c>
      <c r="I248" s="107">
        <v>18</v>
      </c>
      <c r="J248" s="107">
        <v>9</v>
      </c>
      <c r="K248" s="107">
        <v>25</v>
      </c>
      <c r="L248" s="107">
        <v>31</v>
      </c>
      <c r="M248" s="107">
        <v>0</v>
      </c>
      <c r="N248" s="107">
        <v>8.5</v>
      </c>
      <c r="O248" s="107">
        <v>186</v>
      </c>
    </row>
    <row r="249" spans="2:15" x14ac:dyDescent="0.3">
      <c r="B249" s="81">
        <v>35056</v>
      </c>
      <c r="C249" s="81" t="s">
        <v>114</v>
      </c>
      <c r="D249" s="91" t="s">
        <v>186</v>
      </c>
      <c r="E249" s="91" t="s">
        <v>215</v>
      </c>
      <c r="F249" s="122">
        <v>45324</v>
      </c>
      <c r="G249" s="108">
        <v>41.975999999999999</v>
      </c>
      <c r="H249" s="108">
        <v>221</v>
      </c>
      <c r="I249" s="108">
        <v>18</v>
      </c>
      <c r="J249" s="108">
        <v>17</v>
      </c>
      <c r="K249" s="108">
        <v>46</v>
      </c>
      <c r="L249" s="108">
        <v>9</v>
      </c>
      <c r="M249" s="108">
        <v>0</v>
      </c>
      <c r="N249" s="108">
        <v>11.9</v>
      </c>
      <c r="O249" s="108">
        <v>162</v>
      </c>
    </row>
    <row r="250" spans="2:15" x14ac:dyDescent="0.3">
      <c r="B250" s="82">
        <v>87036</v>
      </c>
      <c r="C250" s="82" t="s">
        <v>101</v>
      </c>
      <c r="D250" s="89" t="s">
        <v>59</v>
      </c>
      <c r="E250" s="89" t="s">
        <v>156</v>
      </c>
      <c r="F250" s="120">
        <v>55150</v>
      </c>
      <c r="G250" s="107">
        <v>43.295999999999999</v>
      </c>
      <c r="H250" s="107">
        <v>230</v>
      </c>
      <c r="I250" s="107">
        <v>20</v>
      </c>
      <c r="J250" s="107">
        <v>12</v>
      </c>
      <c r="K250" s="107">
        <v>31</v>
      </c>
      <c r="L250" s="107">
        <v>19</v>
      </c>
      <c r="M250" s="107">
        <v>4</v>
      </c>
      <c r="N250" s="107">
        <v>10.4</v>
      </c>
      <c r="O250" s="107">
        <v>175</v>
      </c>
    </row>
    <row r="251" spans="2:15" x14ac:dyDescent="0.3">
      <c r="B251" s="83">
        <v>87130</v>
      </c>
      <c r="C251" s="83" t="s">
        <v>113</v>
      </c>
      <c r="D251" s="98" t="s">
        <v>59</v>
      </c>
      <c r="E251" s="98" t="s">
        <v>156</v>
      </c>
      <c r="F251" s="128">
        <v>55466</v>
      </c>
      <c r="G251" s="110">
        <v>41.975999999999999</v>
      </c>
      <c r="H251" s="110">
        <v>224</v>
      </c>
      <c r="I251" s="110">
        <v>17</v>
      </c>
      <c r="J251" s="110">
        <v>12</v>
      </c>
      <c r="K251" s="110">
        <v>37</v>
      </c>
      <c r="L251" s="110">
        <v>18</v>
      </c>
      <c r="M251" s="110">
        <v>0</v>
      </c>
      <c r="N251" s="110">
        <v>9.8000000000000007</v>
      </c>
      <c r="O251" s="110">
        <v>163</v>
      </c>
    </row>
    <row r="252" spans="2:15" x14ac:dyDescent="0.3">
      <c r="B252" s="82">
        <v>30581</v>
      </c>
      <c r="C252" s="82" t="s">
        <v>115</v>
      </c>
      <c r="D252" s="89" t="s">
        <v>59</v>
      </c>
      <c r="E252" s="89" t="s">
        <v>216</v>
      </c>
      <c r="F252" s="120">
        <v>37207</v>
      </c>
      <c r="G252" s="107">
        <v>39.599999999999994</v>
      </c>
      <c r="H252" s="107">
        <v>208</v>
      </c>
      <c r="I252" s="107">
        <v>16</v>
      </c>
      <c r="J252" s="107">
        <v>18</v>
      </c>
      <c r="K252" s="107">
        <v>43</v>
      </c>
      <c r="L252" s="107">
        <v>21</v>
      </c>
      <c r="M252" s="107">
        <v>0</v>
      </c>
      <c r="N252" s="107">
        <v>10</v>
      </c>
      <c r="O252" s="107">
        <v>179</v>
      </c>
    </row>
    <row r="253" spans="2:15" x14ac:dyDescent="0.3">
      <c r="B253" s="81">
        <v>87102</v>
      </c>
      <c r="C253" s="81" t="s">
        <v>115</v>
      </c>
      <c r="D253" s="91"/>
      <c r="E253" s="92" t="s">
        <v>140</v>
      </c>
      <c r="F253" s="118">
        <v>33966</v>
      </c>
      <c r="G253" s="108">
        <v>38.896000000000001</v>
      </c>
      <c r="H253" s="108">
        <v>205</v>
      </c>
      <c r="I253" s="108">
        <v>16</v>
      </c>
      <c r="J253" s="108">
        <v>16</v>
      </c>
      <c r="K253" s="108">
        <v>54</v>
      </c>
      <c r="L253" s="108">
        <v>8</v>
      </c>
      <c r="M253" s="108">
        <v>0</v>
      </c>
      <c r="N253" s="108">
        <v>8.9</v>
      </c>
      <c r="O253" s="108">
        <v>184</v>
      </c>
    </row>
    <row r="254" spans="2:15" x14ac:dyDescent="0.3">
      <c r="B254" s="82">
        <v>28967</v>
      </c>
      <c r="C254" s="82" t="s">
        <v>115</v>
      </c>
      <c r="D254" s="89"/>
      <c r="E254" s="89" t="s">
        <v>216</v>
      </c>
      <c r="F254" s="120">
        <v>27874</v>
      </c>
      <c r="G254" s="107">
        <v>36.96</v>
      </c>
      <c r="H254" s="107">
        <v>191</v>
      </c>
      <c r="I254" s="107">
        <v>21</v>
      </c>
      <c r="J254" s="107">
        <v>17</v>
      </c>
      <c r="K254" s="107">
        <v>58</v>
      </c>
      <c r="L254" s="107">
        <v>29</v>
      </c>
      <c r="M254" s="107">
        <v>0</v>
      </c>
      <c r="N254" s="107">
        <v>9.5</v>
      </c>
      <c r="O254" s="107">
        <v>185</v>
      </c>
    </row>
    <row r="255" spans="2:15" x14ac:dyDescent="0.3">
      <c r="B255" s="81">
        <v>87080</v>
      </c>
      <c r="C255" s="81" t="s">
        <v>115</v>
      </c>
      <c r="D255" s="91" t="s">
        <v>217</v>
      </c>
      <c r="E255" s="91" t="s">
        <v>218</v>
      </c>
      <c r="F255" s="122">
        <v>41837</v>
      </c>
      <c r="G255" s="108">
        <v>41.36</v>
      </c>
      <c r="H255" s="108">
        <v>215</v>
      </c>
      <c r="I255" s="108">
        <v>24</v>
      </c>
      <c r="J255" s="108">
        <v>16</v>
      </c>
      <c r="K255" s="108">
        <v>31</v>
      </c>
      <c r="L255" s="108">
        <v>30</v>
      </c>
      <c r="M255" s="108">
        <v>2</v>
      </c>
      <c r="N255" s="108">
        <v>8.8000000000000007</v>
      </c>
      <c r="O255" s="108">
        <v>177</v>
      </c>
    </row>
    <row r="256" spans="2:15" x14ac:dyDescent="0.3">
      <c r="B256" s="82">
        <v>87090</v>
      </c>
      <c r="C256" s="82" t="s">
        <v>115</v>
      </c>
      <c r="D256" s="89" t="s">
        <v>59</v>
      </c>
      <c r="E256" s="89" t="s">
        <v>219</v>
      </c>
      <c r="F256" s="120">
        <v>30444</v>
      </c>
      <c r="G256" s="107">
        <v>37.839999999999996</v>
      </c>
      <c r="H256" s="107">
        <v>204</v>
      </c>
      <c r="I256" s="107">
        <v>12</v>
      </c>
      <c r="J256" s="107">
        <v>10</v>
      </c>
      <c r="K256" s="107">
        <v>71</v>
      </c>
      <c r="L256" s="107">
        <v>9</v>
      </c>
      <c r="M256" s="107">
        <v>0</v>
      </c>
      <c r="N256" s="107">
        <v>8.1</v>
      </c>
      <c r="O256" s="107">
        <v>176</v>
      </c>
    </row>
  </sheetData>
  <autoFilter ref="B3:T256" xr:uid="{AE6D9078-D3A6-499A-9650-FDCDB672D1BE}"/>
  <conditionalFormatting sqref="R8:R54">
    <cfRule type="duplicateValues" dxfId="3" priority="3"/>
  </conditionalFormatting>
  <conditionalFormatting sqref="V8:V54">
    <cfRule type="duplicateValues" dxfId="2" priority="2"/>
  </conditionalFormatting>
  <conditionalFormatting pivot="1" sqref="W7:W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{AB0EE11F-E3AE-4829-978A-8CFF44DF0118}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B0EE11F-E3AE-4829-978A-8CFF44DF01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W7:W36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Summary</vt:lpstr>
      <vt:lpstr>Source data</vt:lpstr>
      <vt:lpstr>Flow Chart</vt:lpstr>
      <vt:lpstr>Offloading BIN Report</vt:lpstr>
      <vt:lpstr>'Source data'!POWER_USER_EXCEL_CHART_0EE9BCE2_A1E6_452E_AF52_6DEA27115F68</vt:lpstr>
      <vt:lpstr>'Flow Chart'!Print_Area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HAVALER</dc:creator>
  <cp:lastModifiedBy>sailokesh rachamallu</cp:lastModifiedBy>
  <cp:lastPrinted>2020-10-10T06:57:44Z</cp:lastPrinted>
  <dcterms:created xsi:type="dcterms:W3CDTF">2015-06-05T18:17:20Z</dcterms:created>
  <dcterms:modified xsi:type="dcterms:W3CDTF">2026-09-16T22:30:06Z</dcterms:modified>
</cp:coreProperties>
</file>