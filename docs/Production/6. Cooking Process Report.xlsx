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13_ncr:1_{F652C49A-4FDE-48BB-B295-F6672A228E18}" xr6:coauthVersionLast="47" xr6:coauthVersionMax="47" xr10:uidLastSave="{00000000-0000-0000-0000-000000000000}"/>
  <bookViews>
    <workbookView xWindow="-108" yWindow="-108" windowWidth="23256" windowHeight="13896" firstSheet="3" activeTab="3" xr2:uid="{00000000-000D-0000-FFFF-FFFF00000000}"/>
  </bookViews>
  <sheets>
    <sheet name="Sheet2" sheetId="2" state="hidden" r:id="rId1"/>
    <sheet name="Sheet3" sheetId="3" state="hidden" r:id="rId2"/>
    <sheet name="Sheet4" sheetId="4" state="hidden" r:id="rId3"/>
    <sheet name="Sheet1" sheetId="1" r:id="rId4"/>
  </sheet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" i="2" l="1"/>
  <c r="K5" i="2"/>
  <c r="L5" i="2"/>
  <c r="M5" i="2"/>
  <c r="N5" i="2"/>
  <c r="O5" i="2"/>
  <c r="P5" i="2"/>
  <c r="Q5" i="2"/>
  <c r="R5" i="2"/>
  <c r="S5" i="2"/>
  <c r="L6" i="2"/>
  <c r="M6" i="2"/>
  <c r="N6" i="2"/>
  <c r="O6" i="2"/>
  <c r="P6" i="2"/>
  <c r="Q6" i="2"/>
  <c r="R6" i="2"/>
  <c r="S6" i="2"/>
  <c r="L7" i="2"/>
  <c r="M7" i="2"/>
  <c r="N7" i="2"/>
  <c r="O7" i="2"/>
  <c r="P7" i="2"/>
  <c r="Q7" i="2"/>
  <c r="R7" i="2"/>
  <c r="S7" i="2"/>
  <c r="L8" i="2"/>
  <c r="M8" i="2"/>
  <c r="N8" i="2"/>
  <c r="O8" i="2"/>
  <c r="P8" i="2"/>
  <c r="Q8" i="2"/>
  <c r="R8" i="2"/>
  <c r="S8" i="2"/>
  <c r="L9" i="2"/>
  <c r="M9" i="2"/>
  <c r="N9" i="2"/>
  <c r="O9" i="2"/>
  <c r="P9" i="2"/>
  <c r="Q9" i="2"/>
  <c r="R9" i="2"/>
  <c r="S9" i="2"/>
  <c r="S4" i="2"/>
  <c r="R4" i="2"/>
  <c r="Q4" i="2"/>
  <c r="P4" i="2"/>
  <c r="O4" i="2"/>
  <c r="N4" i="2"/>
  <c r="M4" i="2"/>
  <c r="L4" i="2"/>
  <c r="K9" i="2"/>
  <c r="K8" i="2"/>
  <c r="K7" i="2"/>
  <c r="K6" i="2"/>
  <c r="K4" i="2"/>
  <c r="C73" i="1"/>
  <c r="C74" i="1"/>
  <c r="C75" i="1"/>
  <c r="C76" i="1"/>
  <c r="C77" i="1"/>
  <c r="C78" i="1"/>
  <c r="C79" i="1"/>
  <c r="C80" i="1"/>
  <c r="C81" i="1"/>
  <c r="C82" i="1"/>
  <c r="D76" i="1"/>
  <c r="D77" i="1"/>
  <c r="D78" i="1"/>
  <c r="D79" i="1"/>
  <c r="D80" i="1"/>
  <c r="Q63" i="1" l="1"/>
  <c r="Q61" i="1"/>
  <c r="Q62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R96" i="1" s="1"/>
  <c r="Q97" i="1"/>
  <c r="R97" i="1" s="1"/>
  <c r="Q98" i="1"/>
  <c r="Q99" i="1"/>
  <c r="Q100" i="1"/>
  <c r="Q101" i="1"/>
  <c r="Q102" i="1"/>
  <c r="Q103" i="1"/>
  <c r="Q104" i="1"/>
  <c r="Q105" i="1"/>
  <c r="Q106" i="1"/>
  <c r="Q107" i="1"/>
  <c r="R107" i="1" s="1"/>
  <c r="Q108" i="1"/>
  <c r="R108" i="1" s="1"/>
  <c r="Q109" i="1"/>
  <c r="Q110" i="1"/>
  <c r="Q111" i="1"/>
  <c r="Q112" i="1"/>
  <c r="R112" i="1" s="1"/>
  <c r="Q113" i="1"/>
  <c r="Q114" i="1"/>
  <c r="Q115" i="1"/>
  <c r="Q116" i="1"/>
  <c r="Q117" i="1"/>
  <c r="Q118" i="1"/>
  <c r="Q119" i="1"/>
  <c r="Q120" i="1"/>
  <c r="Q121" i="1"/>
  <c r="Q122" i="1"/>
  <c r="R122" i="1"/>
  <c r="Q123" i="1"/>
  <c r="Q124" i="1"/>
  <c r="Q125" i="1"/>
  <c r="Q126" i="1"/>
  <c r="R126" i="1" s="1"/>
  <c r="Q127" i="1"/>
  <c r="Q128" i="1"/>
  <c r="Q129" i="1"/>
  <c r="Q130" i="1"/>
  <c r="Q131" i="1"/>
  <c r="Q132" i="1"/>
  <c r="Q133" i="1"/>
  <c r="Q134" i="1"/>
  <c r="Q135" i="1"/>
  <c r="Q136" i="1"/>
  <c r="R136" i="1" s="1"/>
  <c r="Q137" i="1"/>
  <c r="Q138" i="1"/>
  <c r="Q139" i="1"/>
  <c r="Q140" i="1"/>
  <c r="Q141" i="1"/>
  <c r="Q142" i="1"/>
  <c r="Q143" i="1"/>
  <c r="Q144" i="1"/>
  <c r="Q145" i="1"/>
  <c r="Q60" i="1"/>
  <c r="Q59" i="1"/>
  <c r="Q58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4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R121" i="1" l="1"/>
  <c r="R43" i="1"/>
  <c r="R7" i="1"/>
  <c r="R119" i="1"/>
  <c r="R98" i="1"/>
  <c r="R30" i="1"/>
  <c r="R91" i="1"/>
  <c r="R53" i="1"/>
  <c r="R5" i="1"/>
  <c r="R117" i="1"/>
  <c r="R90" i="1"/>
  <c r="R52" i="1"/>
  <c r="R89" i="1"/>
  <c r="R115" i="1"/>
  <c r="R88" i="1"/>
  <c r="R50" i="1"/>
  <c r="R14" i="1"/>
  <c r="R124" i="1"/>
  <c r="R62" i="1"/>
  <c r="R25" i="1"/>
  <c r="R123" i="1"/>
  <c r="R113" i="1"/>
  <c r="R86" i="1"/>
  <c r="R36" i="1"/>
  <c r="R144" i="1"/>
  <c r="R85" i="1"/>
  <c r="R23" i="1"/>
  <c r="R132" i="1"/>
  <c r="R95" i="1"/>
  <c r="R4" i="1"/>
  <c r="R22" i="1"/>
  <c r="R10" i="1"/>
  <c r="R142" i="1"/>
  <c r="R131" i="1"/>
  <c r="R111" i="1"/>
  <c r="R101" i="1"/>
  <c r="R94" i="1"/>
  <c r="R83" i="1"/>
  <c r="R71" i="1"/>
  <c r="R55" i="1"/>
  <c r="R31" i="1"/>
  <c r="R139" i="1"/>
  <c r="R68" i="1"/>
  <c r="R54" i="1"/>
  <c r="R6" i="1"/>
  <c r="R138" i="1"/>
  <c r="R118" i="1"/>
  <c r="R67" i="1"/>
  <c r="R29" i="1"/>
  <c r="R137" i="1"/>
  <c r="R66" i="1"/>
  <c r="R28" i="1"/>
  <c r="R16" i="1"/>
  <c r="R116" i="1"/>
  <c r="R77" i="1"/>
  <c r="R39" i="1"/>
  <c r="R15" i="1"/>
  <c r="R64" i="1"/>
  <c r="R38" i="1"/>
  <c r="R60" i="1"/>
  <c r="R114" i="1"/>
  <c r="R75" i="1"/>
  <c r="R49" i="1"/>
  <c r="R13" i="1"/>
  <c r="R134" i="1"/>
  <c r="R104" i="1"/>
  <c r="R61" i="1"/>
  <c r="R24" i="1"/>
  <c r="R73" i="1"/>
  <c r="R35" i="1"/>
  <c r="R143" i="1"/>
  <c r="R102" i="1"/>
  <c r="R84" i="1"/>
  <c r="R46" i="1"/>
  <c r="R57" i="1"/>
  <c r="R45" i="1"/>
  <c r="R33" i="1"/>
  <c r="R21" i="1"/>
  <c r="R9" i="1"/>
  <c r="R141" i="1"/>
  <c r="R130" i="1"/>
  <c r="R110" i="1"/>
  <c r="R100" i="1"/>
  <c r="R93" i="1"/>
  <c r="R82" i="1"/>
  <c r="R70" i="1"/>
  <c r="R19" i="1"/>
  <c r="R128" i="1"/>
  <c r="R80" i="1"/>
  <c r="R42" i="1"/>
  <c r="R18" i="1"/>
  <c r="R127" i="1"/>
  <c r="R79" i="1"/>
  <c r="R41" i="1"/>
  <c r="R17" i="1"/>
  <c r="R78" i="1"/>
  <c r="R40" i="1"/>
  <c r="R58" i="1"/>
  <c r="R65" i="1"/>
  <c r="R51" i="1"/>
  <c r="R27" i="1"/>
  <c r="R59" i="1"/>
  <c r="R125" i="1"/>
  <c r="R106" i="1"/>
  <c r="R76" i="1"/>
  <c r="R26" i="1"/>
  <c r="R135" i="1"/>
  <c r="R105" i="1"/>
  <c r="R87" i="1"/>
  <c r="R37" i="1"/>
  <c r="R145" i="1"/>
  <c r="R74" i="1"/>
  <c r="R48" i="1"/>
  <c r="R12" i="1"/>
  <c r="R133" i="1"/>
  <c r="R103" i="1"/>
  <c r="R63" i="1"/>
  <c r="R47" i="1"/>
  <c r="R11" i="1"/>
  <c r="R72" i="1"/>
  <c r="R34" i="1"/>
  <c r="R56" i="1"/>
  <c r="R44" i="1"/>
  <c r="R32" i="1"/>
  <c r="R20" i="1"/>
  <c r="R8" i="1"/>
  <c r="R140" i="1"/>
  <c r="R129" i="1"/>
  <c r="R120" i="1"/>
  <c r="R109" i="1"/>
  <c r="R99" i="1"/>
  <c r="R92" i="1"/>
  <c r="R81" i="1"/>
  <c r="R69" i="1"/>
  <c r="Q1" i="1"/>
</calcChain>
</file>

<file path=xl/sharedStrings.xml><?xml version="1.0" encoding="utf-8"?>
<sst xmlns="http://schemas.openxmlformats.org/spreadsheetml/2006/main" count="314" uniqueCount="164">
  <si>
    <t>Cooking Report</t>
  </si>
  <si>
    <t>Date</t>
  </si>
  <si>
    <t>Lot No</t>
  </si>
  <si>
    <t>Total Qty</t>
  </si>
  <si>
    <t>No of Bags</t>
  </si>
  <si>
    <t>ANG26E01</t>
  </si>
  <si>
    <t>ANG26E02</t>
  </si>
  <si>
    <t>ANG26E03</t>
  </si>
  <si>
    <t>ANG26E04</t>
  </si>
  <si>
    <t>ANG26E05</t>
  </si>
  <si>
    <t>ANG26E06</t>
  </si>
  <si>
    <t>ANG26E07</t>
  </si>
  <si>
    <t>Size A++ (&gt;25mm)</t>
  </si>
  <si>
    <t>Size A+ (25mm)</t>
  </si>
  <si>
    <t>Size A (24mm)</t>
  </si>
  <si>
    <t>Size AB (23mm)</t>
  </si>
  <si>
    <t>Size B (22mm)</t>
  </si>
  <si>
    <t>Size BC (21mm)</t>
  </si>
  <si>
    <t>Size C (20mm)</t>
  </si>
  <si>
    <t>Size D (19mm)</t>
  </si>
  <si>
    <t>Size E (18mm)</t>
  </si>
  <si>
    <t>ANG26E08</t>
  </si>
  <si>
    <t>ANG26E09</t>
  </si>
  <si>
    <t>ANG26E10</t>
  </si>
  <si>
    <t>ANG26E11</t>
  </si>
  <si>
    <t>ANG26E12</t>
  </si>
  <si>
    <t>ANG26E13</t>
  </si>
  <si>
    <t>ANG26E14</t>
  </si>
  <si>
    <t>ANG26E15</t>
  </si>
  <si>
    <t>ANG26E16</t>
  </si>
  <si>
    <t>Month</t>
  </si>
  <si>
    <t>Grand Total</t>
  </si>
  <si>
    <t>ANG26E17</t>
  </si>
  <si>
    <t>ANG26E18</t>
  </si>
  <si>
    <t>ANG26F01</t>
  </si>
  <si>
    <t>ANG26F02</t>
  </si>
  <si>
    <t>Week</t>
  </si>
  <si>
    <t>ANG26F03</t>
  </si>
  <si>
    <t>ANG26F04</t>
  </si>
  <si>
    <t>ANG26F05</t>
  </si>
  <si>
    <t>ANG26F06</t>
  </si>
  <si>
    <t>ANG26F07</t>
  </si>
  <si>
    <t>ANG26F08</t>
  </si>
  <si>
    <t>ANG26F09</t>
  </si>
  <si>
    <t>ANG26F10</t>
  </si>
  <si>
    <t>ANG26F11</t>
  </si>
  <si>
    <t>ANG26F12</t>
  </si>
  <si>
    <t>ANG26F13</t>
  </si>
  <si>
    <t>ANA-01</t>
  </si>
  <si>
    <t>ANA-02</t>
  </si>
  <si>
    <t>Adjusted Quantity</t>
  </si>
  <si>
    <t>BIN No</t>
  </si>
  <si>
    <t>Monthly Vol.</t>
  </si>
  <si>
    <t>ANA-05A</t>
  </si>
  <si>
    <t>ANG26F14</t>
  </si>
  <si>
    <t>ANG26F15</t>
  </si>
  <si>
    <t>ANG26F16</t>
  </si>
  <si>
    <t>ANG26F17</t>
  </si>
  <si>
    <t>ANA-02A</t>
  </si>
  <si>
    <t>ANG26F18</t>
  </si>
  <si>
    <t>ANG26F19</t>
  </si>
  <si>
    <t>ANG26F20A</t>
  </si>
  <si>
    <t>ANG26F20B</t>
  </si>
  <si>
    <t>ANG26F21</t>
  </si>
  <si>
    <t>ANG26F22</t>
  </si>
  <si>
    <t>ANG26F23</t>
  </si>
  <si>
    <t>ANG26F24</t>
  </si>
  <si>
    <t>ANG26F25</t>
  </si>
  <si>
    <t>ANG26G01</t>
  </si>
  <si>
    <t>ANG26G02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</si>
  <si>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</si>
  <si>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</si>
  <si>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</si>
  <si>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</si>
  <si>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</si>
  <si>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</si>
  <si>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</si>
  <si>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</si>
  <si>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ANG26G11</t>
  </si>
  <si>
    <t>ANG26G12</t>
  </si>
  <si>
    <t>ANG26G13</t>
  </si>
  <si>
    <t>ANG26G14</t>
  </si>
  <si>
    <t>ANG26G15</t>
  </si>
  <si>
    <t>ANA-03B</t>
  </si>
  <si>
    <t>ANG26G16</t>
  </si>
  <si>
    <t>ANG26G17</t>
  </si>
  <si>
    <t>ANG26G18</t>
  </si>
  <si>
    <t>ANG26G19</t>
  </si>
  <si>
    <t>ANG26G20</t>
  </si>
  <si>
    <t>ANG26G21</t>
  </si>
  <si>
    <t>ANG26G22</t>
  </si>
  <si>
    <t>ANG26G23</t>
  </si>
  <si>
    <t>ANG26G24</t>
  </si>
  <si>
    <t>ANG26G25</t>
  </si>
  <si>
    <t>ANG26G26</t>
  </si>
  <si>
    <t>ANG26H01</t>
  </si>
  <si>
    <t>ANG26H02</t>
  </si>
  <si>
    <t>ANG26H03</t>
  </si>
  <si>
    <t>ANG26H04</t>
  </si>
  <si>
    <t>ANG26H05</t>
  </si>
  <si>
    <t>ANG26H06</t>
  </si>
  <si>
    <t>ANG26H07</t>
  </si>
  <si>
    <t>ANG26H08</t>
  </si>
  <si>
    <t>ANG26H09</t>
  </si>
  <si>
    <t>ANG26H10</t>
  </si>
  <si>
    <t>ANG26H11</t>
  </si>
  <si>
    <t>ANG26H12</t>
  </si>
  <si>
    <t>ANG26H13</t>
  </si>
  <si>
    <t>ANG26H14</t>
  </si>
  <si>
    <t>A++ (&gt;25mm)</t>
  </si>
  <si>
    <t>A+ (25mm)</t>
  </si>
  <si>
    <t>A (24mm)</t>
  </si>
  <si>
    <t>AB (23mm)</t>
  </si>
  <si>
    <t>B (22mm)</t>
  </si>
  <si>
    <t>BC (21mm)</t>
  </si>
  <si>
    <t>C (20mm)</t>
  </si>
  <si>
    <t>D (19mm)</t>
  </si>
  <si>
    <t>E (18mm)</t>
  </si>
  <si>
    <t>A++ (&gt;25mm) %</t>
  </si>
  <si>
    <t>A+ (25mm) %</t>
  </si>
  <si>
    <t>A (24mm) %</t>
  </si>
  <si>
    <t>AB (23mm) %</t>
  </si>
  <si>
    <t>B (22mm) %</t>
  </si>
  <si>
    <t>BC (21mm) %</t>
  </si>
  <si>
    <t>C (20mm) %</t>
  </si>
  <si>
    <t>D (19mm) %</t>
  </si>
  <si>
    <t>E (18mm) %</t>
  </si>
  <si>
    <t>Nut Count</t>
  </si>
  <si>
    <t>(Multiple Items)</t>
  </si>
  <si>
    <t>Aug-26</t>
  </si>
  <si>
    <t>Row Labels</t>
  </si>
  <si>
    <t>Sum of Size A++ (&gt;25mm)</t>
  </si>
  <si>
    <t>Sum of Size A+ (25mm)</t>
  </si>
  <si>
    <t>Sum of Size A (24mm)</t>
  </si>
  <si>
    <t>Sum of Size AB (23mm)</t>
  </si>
  <si>
    <t>Sum of Size B (22mm)</t>
  </si>
  <si>
    <t>Sum of Size BC (21mm)</t>
  </si>
  <si>
    <t>Sum of Size C (20mm)</t>
  </si>
  <si>
    <t>Sum of Size D (19mm)</t>
  </si>
  <si>
    <t>Sum of Size E (18mm)</t>
  </si>
  <si>
    <t>ANG26H15</t>
  </si>
  <si>
    <t>ANG26H16</t>
  </si>
  <si>
    <t>ANG26H17</t>
  </si>
  <si>
    <t>ANG26H18</t>
  </si>
  <si>
    <t>ANG26H19</t>
  </si>
  <si>
    <t>ANG26H20</t>
  </si>
  <si>
    <t>ANA-07</t>
  </si>
  <si>
    <t>ANG26H21</t>
  </si>
  <si>
    <t>ANG26H22</t>
  </si>
  <si>
    <t>ANG26H23</t>
  </si>
  <si>
    <t>ANG26H24</t>
  </si>
  <si>
    <t>ANG26I01</t>
  </si>
  <si>
    <t>ANG26I02</t>
  </si>
  <si>
    <t>ANG26I03</t>
  </si>
  <si>
    <t>ANG26I04</t>
  </si>
  <si>
    <t>ANG26I05</t>
  </si>
  <si>
    <t>ANG26I06</t>
  </si>
  <si>
    <t>ANG26I07</t>
  </si>
  <si>
    <t>ANG26I08</t>
  </si>
  <si>
    <t>ANG26I09</t>
  </si>
  <si>
    <t>ANG26I10</t>
  </si>
  <si>
    <t>ANG26I11</t>
  </si>
  <si>
    <t>ANG26I12</t>
  </si>
  <si>
    <t>ANG26I13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</si>
</sst>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16" fontId="0" fillId="0" borderId="0" xfId="0" applyNumberFormat="1" applyAlignment="1">
      <alignment horizontal="center"/>
    </xf>
    <xf numFmtId="0" fontId="2" fillId="3" borderId="1" xfId="0" applyFont="1" applyFill="1" applyBorder="1"/>
    <xf numFmtId="164" fontId="0" fillId="0" borderId="0" xfId="0" applyNumberFormat="1"/>
    <xf numFmtId="164" fontId="2" fillId="3" borderId="1" xfId="0" applyNumberFormat="1" applyFont="1" applyFill="1" applyBorder="1"/>
    <xf numFmtId="0" fontId="2" fillId="3" borderId="0" xfId="0" applyFont="1" applyFill="1"/>
    <xf numFmtId="1" fontId="2" fillId="3" borderId="1" xfId="0" applyNumberFormat="1" applyFont="1" applyFill="1" applyBorder="1"/>
    <xf numFmtId="0" fontId="0" fillId="3" borderId="5" xfId="0" applyFill="1" applyBorder="1"/>
    <xf numFmtId="0" fontId="0" fillId="0" borderId="5" xfId="0" applyBorder="1"/>
    <xf numFmtId="0" fontId="0" fillId="0" borderId="3" xfId="0" applyBorder="1"/>
    <xf numFmtId="0" fontId="0" fillId="0" borderId="0" xfId="0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164" fontId="0" fillId="3" borderId="5" xfId="0" applyNumberFormat="1" applyFill="1" applyBorder="1" applyAlignment="1">
      <alignment wrapText="1"/>
    </xf>
    <xf numFmtId="164" fontId="0" fillId="3" borderId="4" xfId="0" applyNumberFormat="1" applyFill="1" applyBorder="1" applyAlignment="1">
      <alignment wrapText="1"/>
    </xf>
    <xf numFmtId="164" fontId="0" fillId="0" borderId="5" xfId="0" applyNumberFormat="1" applyBorder="1" applyAlignment="1">
      <alignment wrapText="1"/>
    </xf>
    <xf numFmtId="164" fontId="0" fillId="0" borderId="4" xfId="0" applyNumberFormat="1" applyBorder="1" applyAlignment="1">
      <alignment wrapText="1"/>
    </xf>
    <xf numFmtId="164" fontId="0" fillId="0" borderId="3" xfId="0" applyNumberFormat="1" applyBorder="1" applyAlignment="1">
      <alignment wrapText="1"/>
    </xf>
    <xf numFmtId="164" fontId="0" fillId="0" borderId="2" xfId="0" applyNumberForma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9">
    <dxf>
      <numFmt numFmtId="1" formatCode="0"/>
    </dxf>
    <dxf>
      <numFmt numFmtId="1" formatCode="0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21" formatCode="dd/mmm"/>
      <alignment horizontal="center" vertical="bottom" textRotation="0" wrapText="0" indent="0" justifyLastLine="0" shrinkToFit="0" readingOrder="0"/>
    </dxf>
    <dxf>
      <numFmt numFmtId="21" formatCode="dd/mmm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54.512190046298" createdVersion="8" refreshedVersion="8" minRefreshableVersion="3" recordCount="145" xr:uid="{CEC832D0-9B90-4C09-8914-9597AD6A7DAA}">
  <cacheSource type="worksheet">
    <worksheetSource name="Table1"/>
  </cacheSource>
  <cacheFields count="19">
    <cacheField name="Date" numFmtId="0">
      <sharedItems containsNonDate="0" containsDate="1" containsString="0" containsBlank="1" minDate="2026-05-08T00:00:00" maxDate="2026-08-20T00:00:00" count="85">
        <d v="2026-05-08T00:00:00"/>
        <d v="2026-05-11T00:00:00"/>
        <d v="2026-05-12T00:00:00"/>
        <d v="2026-05-13T00:00:00"/>
        <d v="2026-05-14T00:00:00"/>
        <d v="2026-05-16T00:00:00"/>
        <d v="2026-05-17T00:00:00"/>
        <d v="2026-05-18T00:00:00"/>
        <d v="2026-05-19T00:00:00"/>
        <d v="2026-05-20T00:00:00"/>
        <d v="2026-05-21T00:00:00"/>
        <d v="2026-05-24T00:00:00"/>
        <d v="2026-05-25T00:00:00"/>
        <d v="2026-05-26T00:00:00"/>
        <d v="2026-05-27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6T00:00:00"/>
        <d v="2026-06-07T00:00:00"/>
        <d v="2026-06-08T00:00:00"/>
        <d v="2026-06-09T00:00:00"/>
        <d v="2026-06-10T00:00:00"/>
        <d v="2026-06-11T00:00:00"/>
        <d v="2026-06-13T00:00:00"/>
        <d v="2026-06-14T00:00:00"/>
        <d v="2026-06-15T00:00:00"/>
        <d v="2026-06-16T00:00:00"/>
        <d v="2026-06-17T00:00:00"/>
        <d v="2026-06-18T00:00:00"/>
        <d v="2026-06-21T00:00:00"/>
        <d v="2026-06-22T00:00:00"/>
        <d v="2026-06-23T00:00:00"/>
        <d v="2026-06-24T00:00:00"/>
        <d v="2026-06-25T00:00:00"/>
        <d v="2026-06-27T00:00:00"/>
        <d v="2026-06-28T00:00:00"/>
        <d v="2026-06-29T00:00:00"/>
        <d v="2026-06-30T00:00:00"/>
        <d v="2026-07-01T00:00:00"/>
        <d v="2026-07-02T00:00:00"/>
        <d v="2026-07-04T00:00:00"/>
        <d v="2026-07-06T00:00:00"/>
        <d v="2026-07-07T00:00:00"/>
        <d v="2026-07-08T00:00:00"/>
        <d v="2026-07-09T00:00:00"/>
        <d v="2026-07-10T00:00:00"/>
        <d v="2026-07-11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7T00:00:00"/>
        <d v="2026-07-28T00:00:00"/>
        <d v="2026-07-29T00:00:00"/>
        <d v="2026-07-30T00:00:00"/>
        <d v="2026-07-31T00:00:00"/>
        <d v="2026-08-02T00:00:00"/>
        <d v="2026-08-03T00:00:00"/>
        <d v="2026-08-04T00:00:00"/>
        <d v="2026-08-05T00:00:00"/>
        <d v="2026-08-06T00:00:00"/>
        <d v="2026-08-08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m/>
      </sharedItems>
      <fieldGroup par="18"/>
    </cacheField>
    <cacheField name="Week" numFmtId="1">
      <sharedItems containsSemiMixedTypes="0" containsString="0" containsNumber="1" containsInteger="1" minValue="0" maxValue="34"/>
    </cacheField>
    <cacheField name="Month" numFmtId="16">
      <sharedItems containsBlank="1" count="6">
        <s v="May-26"/>
        <s v="Jun-26"/>
        <s v="Jul-26"/>
        <s v="Aug-26"/>
        <s v="Jan-00"/>
        <m u="1"/>
      </sharedItems>
    </cacheField>
    <cacheField name="BIN No" numFmtId="0">
      <sharedItems containsBlank="1" count="7">
        <s v="ANA-01"/>
        <s v="ANA-02"/>
        <s v="ANA-05A"/>
        <s v="ANA-02A"/>
        <s v="ANA-03B"/>
        <m/>
        <s v="ANA-03" u="1"/>
      </sharedItems>
    </cacheField>
    <cacheField name="Lot No" numFmtId="0">
      <sharedItems containsBlank="1" count="85">
        <s v="ANG26E01"/>
        <s v="ANG26E02"/>
        <s v="ANG26E03"/>
        <s v="ANG26E04"/>
        <s v="ANG26E05"/>
        <s v="ANG26E06"/>
        <s v="ANG26E07"/>
        <s v="ANG26E08"/>
        <s v="ANG26E09"/>
        <s v="ANG26E10"/>
        <s v="ANG26E11"/>
        <s v="ANG26E12"/>
        <s v="ANG26E13"/>
        <s v="ANG26E14"/>
        <s v="ANG26E15"/>
        <s v="ANG26E16"/>
        <s v="ANG26E17"/>
        <s v="ANG26E18"/>
        <s v="ANG26F01"/>
        <s v="ANG26F02"/>
        <s v="ANG26F03"/>
        <s v="ANG26F04"/>
        <s v="ANG26F05"/>
        <s v="ANG26F06"/>
        <s v="ANG26F07"/>
        <s v="ANG26F08"/>
        <s v="ANG26F09"/>
        <s v="ANG26F10"/>
        <s v="ANG26F11"/>
        <s v="ANG26F12"/>
        <s v="ANG26F13"/>
        <s v="ANG26F14"/>
        <s v="ANG26F15"/>
        <s v="ANG26F16"/>
        <s v="ANG26F17"/>
        <s v="ANG26F18"/>
        <s v="ANG26F19"/>
        <s v="ANG26F20A"/>
        <s v="ANG26F20B"/>
        <s v="ANG26F21"/>
        <s v="ANG26F22"/>
        <s v="ANG26F23"/>
        <s v="ANG26F24"/>
        <s v="ANG26F25"/>
        <s v="ANG26G01"/>
        <s v="ANG26G02"/>
        <s v="ANG26G03"/>
        <s v="ANG26G04"/>
        <s v="ANG26G05"/>
        <s v="ANG26G06"/>
        <s v="ANG26G07"/>
        <s v="ANG26G08"/>
        <s v="ANG26G09"/>
        <s v="ANG26G10"/>
        <s v="ANG26G11"/>
        <s v="ANG26G12"/>
        <s v="ANG26G13"/>
        <s v="ANG26G14"/>
        <s v="ANG26G15"/>
        <m/>
        <s v="ANG26G16"/>
        <s v="ANG26G17"/>
        <s v="ANG26G18"/>
        <s v="ANG26G19"/>
        <s v="ANG26G20"/>
        <s v="ANG26G21"/>
        <s v="ANG26G22"/>
        <s v="ANG26G23"/>
        <s v="ANG26G24"/>
        <s v="ANG26G25"/>
        <s v="ANG26G26"/>
        <s v="ANG26H01"/>
        <s v="ANG26H02"/>
        <s v="ANG26H03"/>
        <s v="ANG26H04"/>
        <s v="ANG26H05"/>
        <s v="ANG26H06"/>
        <s v="ANG26H07"/>
        <s v="ANG26H08"/>
        <s v="ANG26H09"/>
        <s v="ANG26H10"/>
        <s v="ANG26H11"/>
        <s v="ANG26H12"/>
        <s v="ANG26H13"/>
        <s v="ANG26H14"/>
      </sharedItems>
    </cacheField>
    <cacheField name="Size A++ (&gt;25mm)" numFmtId="0">
      <sharedItems containsString="0" containsBlank="1" containsNumber="1" containsInteger="1" minValue="0" maxValue="12093"/>
    </cacheField>
    <cacheField name="Size A+ (25mm)" numFmtId="0">
      <sharedItems containsString="0" containsBlank="1" containsNumber="1" containsInteger="1" minValue="0" maxValue="12507"/>
    </cacheField>
    <cacheField name="Size A (24mm)" numFmtId="0">
      <sharedItems containsString="0" containsBlank="1" containsNumber="1" minValue="0" maxValue="27399"/>
    </cacheField>
    <cacheField name="Size AB (23mm)" numFmtId="0">
      <sharedItems containsString="0" containsBlank="1" containsNumber="1" minValue="0" maxValue="36162"/>
    </cacheField>
    <cacheField name="Size B (22mm)" numFmtId="0">
      <sharedItems containsString="0" containsBlank="1" containsNumber="1" minValue="0" maxValue="48656"/>
    </cacheField>
    <cacheField name="Size BC (21mm)" numFmtId="0">
      <sharedItems containsString="0" containsBlank="1" containsNumber="1" minValue="0" maxValue="36161"/>
    </cacheField>
    <cacheField name="Size C (20mm)" numFmtId="0">
      <sharedItems containsString="0" containsBlank="1" containsNumber="1" containsInteger="1" minValue="0" maxValue="26794"/>
    </cacheField>
    <cacheField name="Size D (19mm)" numFmtId="0">
      <sharedItems containsString="0" containsBlank="1" containsNumber="1" containsInteger="1" minValue="0" maxValue="14444"/>
    </cacheField>
    <cacheField name="Size E (18mm)" numFmtId="0">
      <sharedItems containsString="0" containsBlank="1" containsNumber="1" containsInteger="1" minValue="0" maxValue="9029"/>
    </cacheField>
    <cacheField name="Adjusted Quantity" numFmtId="0">
      <sharedItems containsString="0" containsBlank="1" containsNumber="1" minValue="0" maxValue="27273.450000000012"/>
    </cacheField>
    <cacheField name="Total Qty" numFmtId="0">
      <sharedItems containsSemiMixedTypes="0" containsString="0" containsNumber="1" minValue="0" maxValue="154017"/>
    </cacheField>
    <cacheField name="No of Bags" numFmtId="1">
      <sharedItems containsSemiMixedTypes="0" containsString="0" containsNumber="1" minValue="0" maxValue="1925.2125000000001"/>
    </cacheField>
    <cacheField name="Days (Date)" numFmtId="0" databaseField="0">
      <fieldGroup base="0">
        <rangePr groupBy="days" startDate="2026-05-08T00:00:00" endDate="2026-08-20T00:00:00"/>
        <groupItems count="368">
          <s v="&lt;08-05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-08-26"/>
        </groupItems>
      </fieldGroup>
    </cacheField>
    <cacheField name="Months (Date)" numFmtId="0" databaseField="0">
      <fieldGroup base="0">
        <rangePr groupBy="months" startDate="2026-05-08T00:00:00" endDate="2026-08-20T00:00:00"/>
        <groupItems count="14">
          <s v="&lt;08-05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-08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">
  <r>
    <x v="0"/>
    <n v="19"/>
    <x v="0"/>
    <x v="0"/>
    <x v="0"/>
    <m/>
    <m/>
    <n v="6323"/>
    <n v="680"/>
    <n v="801"/>
    <n v="5734"/>
    <n v="3228"/>
    <n v="3251"/>
    <m/>
    <m/>
    <n v="20017"/>
    <n v="250.21250000000001"/>
  </r>
  <r>
    <x v="1"/>
    <n v="20"/>
    <x v="0"/>
    <x v="0"/>
    <x v="1"/>
    <m/>
    <m/>
    <n v="3680"/>
    <m/>
    <n v="2031"/>
    <n v="2170"/>
    <n v="3686"/>
    <n v="1635"/>
    <m/>
    <n v="801"/>
    <n v="14003"/>
    <n v="175.03749999999999"/>
  </r>
  <r>
    <x v="2"/>
    <n v="20"/>
    <x v="0"/>
    <x v="0"/>
    <x v="2"/>
    <m/>
    <m/>
    <n v="3965.1"/>
    <n v="3939.1"/>
    <n v="7275.9"/>
    <n v="8052.9"/>
    <n v="1603"/>
    <m/>
    <m/>
    <n v="1643"/>
    <n v="26479"/>
    <n v="330.98750000000001"/>
  </r>
  <r>
    <x v="3"/>
    <n v="20"/>
    <x v="0"/>
    <x v="0"/>
    <x v="3"/>
    <m/>
    <m/>
    <n v="1600"/>
    <n v="4293"/>
    <n v="4040"/>
    <n v="3994"/>
    <n v="3207"/>
    <n v="814"/>
    <m/>
    <n v="805"/>
    <n v="18753"/>
    <n v="234.41249999999999"/>
  </r>
  <r>
    <x v="4"/>
    <n v="20"/>
    <x v="0"/>
    <x v="0"/>
    <x v="4"/>
    <m/>
    <m/>
    <n v="1696"/>
    <n v="1695"/>
    <n v="2437"/>
    <n v="6440"/>
    <m/>
    <m/>
    <m/>
    <n v="832"/>
    <n v="13100"/>
    <n v="163.75"/>
  </r>
  <r>
    <x v="5"/>
    <n v="20"/>
    <x v="0"/>
    <x v="0"/>
    <x v="5"/>
    <m/>
    <m/>
    <n v="6490"/>
    <n v="4036"/>
    <n v="8049"/>
    <n v="7248"/>
    <n v="3242"/>
    <n v="801"/>
    <m/>
    <n v="2407"/>
    <n v="32273"/>
    <n v="403.41250000000002"/>
  </r>
  <r>
    <x v="6"/>
    <n v="21"/>
    <x v="0"/>
    <x v="0"/>
    <x v="6"/>
    <m/>
    <m/>
    <n v="4020"/>
    <n v="3280"/>
    <n v="3200"/>
    <n v="3249"/>
    <n v="3632"/>
    <n v="3234"/>
    <m/>
    <n v="1623"/>
    <n v="22238"/>
    <n v="277.97500000000002"/>
  </r>
  <r>
    <x v="7"/>
    <n v="21"/>
    <x v="0"/>
    <x v="0"/>
    <x v="7"/>
    <m/>
    <m/>
    <n v="6409"/>
    <n v="6452"/>
    <n v="6490"/>
    <n v="7933"/>
    <n v="7250"/>
    <n v="1661"/>
    <n v="800"/>
    <n v="3219"/>
    <n v="40214"/>
    <n v="502.67500000000001"/>
  </r>
  <r>
    <x v="8"/>
    <n v="21"/>
    <x v="0"/>
    <x v="0"/>
    <x v="8"/>
    <n v="2413"/>
    <n v="2402"/>
    <n v="6472"/>
    <n v="4248"/>
    <n v="6535"/>
    <n v="8081"/>
    <n v="7227"/>
    <n v="1609"/>
    <n v="800"/>
    <n v="4108"/>
    <n v="43895"/>
    <n v="548.6875"/>
  </r>
  <r>
    <x v="9"/>
    <n v="21"/>
    <x v="0"/>
    <x v="0"/>
    <x v="9"/>
    <n v="5657"/>
    <n v="6420"/>
    <n v="12923"/>
    <n v="6721"/>
    <n v="11576"/>
    <n v="11331"/>
    <n v="14483"/>
    <n v="4860"/>
    <n v="2353"/>
    <n v="5024"/>
    <n v="81348"/>
    <n v="1016.85"/>
  </r>
  <r>
    <x v="10"/>
    <n v="21"/>
    <x v="0"/>
    <x v="0"/>
    <x v="10"/>
    <n v="2427"/>
    <n v="2411"/>
    <n v="6564"/>
    <n v="4197"/>
    <n v="7987"/>
    <n v="8024"/>
    <n v="7267"/>
    <n v="2419"/>
    <n v="805"/>
    <n v="3318"/>
    <n v="45419"/>
    <n v="567.73749999999995"/>
  </r>
  <r>
    <x v="11"/>
    <n v="22"/>
    <x v="0"/>
    <x v="0"/>
    <x v="11"/>
    <n v="4067"/>
    <n v="4010"/>
    <m/>
    <n v="16939"/>
    <n v="9646"/>
    <n v="13711"/>
    <n v="7172"/>
    <n v="3236"/>
    <n v="1638"/>
    <n v="3234"/>
    <n v="63653"/>
    <n v="795.66250000000002"/>
  </r>
  <r>
    <x v="12"/>
    <n v="22"/>
    <x v="0"/>
    <x v="0"/>
    <x v="12"/>
    <n v="4105"/>
    <n v="3979"/>
    <m/>
    <n v="17623"/>
    <n v="9640"/>
    <n v="11217"/>
    <n v="9329"/>
    <n v="3245"/>
    <n v="1605"/>
    <n v="2432"/>
    <n v="63175"/>
    <n v="789.6875"/>
  </r>
  <r>
    <x v="13"/>
    <n v="22"/>
    <x v="0"/>
    <x v="0"/>
    <x v="13"/>
    <n v="4188"/>
    <n v="3997"/>
    <n v="11393"/>
    <n v="6497"/>
    <n v="9743"/>
    <n v="11274"/>
    <n v="9595"/>
    <n v="3241"/>
    <n v="1602"/>
    <n v="2503"/>
    <n v="64033"/>
    <n v="800.41250000000002"/>
  </r>
  <r>
    <x v="14"/>
    <n v="22"/>
    <x v="0"/>
    <x v="0"/>
    <x v="14"/>
    <n v="4062"/>
    <n v="4112"/>
    <n v="11401"/>
    <n v="4936"/>
    <n v="9765"/>
    <n v="10491"/>
    <n v="10535"/>
    <n v="3227"/>
    <n v="1601"/>
    <m/>
    <n v="60130"/>
    <n v="751.625"/>
  </r>
  <r>
    <x v="15"/>
    <n v="22"/>
    <x v="0"/>
    <x v="0"/>
    <x v="15"/>
    <n v="5750"/>
    <n v="5550"/>
    <n v="0"/>
    <n v="21707"/>
    <n v="12944"/>
    <n v="13641"/>
    <n v="14507"/>
    <n v="4056"/>
    <n v="2411"/>
    <n v="4963"/>
    <n v="85529"/>
    <n v="1069.1125"/>
  </r>
  <r>
    <x v="16"/>
    <n v="22"/>
    <x v="0"/>
    <x v="0"/>
    <x v="16"/>
    <n v="5690"/>
    <n v="6390"/>
    <n v="8024"/>
    <n v="13782"/>
    <n v="12867"/>
    <n v="19197"/>
    <n v="8789"/>
    <n v="4822"/>
    <n v="2417"/>
    <n v="4836"/>
    <n v="86814"/>
    <n v="1085.175"/>
  </r>
  <r>
    <x v="17"/>
    <n v="23"/>
    <x v="0"/>
    <x v="0"/>
    <x v="17"/>
    <n v="760"/>
    <n v="2473"/>
    <n v="3651"/>
    <n v="5826"/>
    <n v="12908"/>
    <n v="10281"/>
    <n v="0"/>
    <n v="4561"/>
    <n v="3196"/>
    <n v="808"/>
    <n v="44464"/>
    <n v="555.79999999999995"/>
  </r>
  <r>
    <x v="18"/>
    <n v="23"/>
    <x v="1"/>
    <x v="0"/>
    <x v="18"/>
    <m/>
    <m/>
    <m/>
    <m/>
    <n v="12991"/>
    <m/>
    <m/>
    <m/>
    <n v="1604"/>
    <n v="1652"/>
    <n v="16247"/>
    <n v="203.08750000000001"/>
  </r>
  <r>
    <x v="18"/>
    <n v="23"/>
    <x v="1"/>
    <x v="0"/>
    <x v="18"/>
    <n v="2417"/>
    <n v="1607"/>
    <n v="6460"/>
    <n v="6507"/>
    <m/>
    <n v="9672"/>
    <n v="8018"/>
    <n v="3239"/>
    <n v="1600"/>
    <m/>
    <n v="39520"/>
    <n v="494"/>
  </r>
  <r>
    <x v="19"/>
    <n v="23"/>
    <x v="1"/>
    <x v="0"/>
    <x v="19"/>
    <n v="4028"/>
    <n v="4089"/>
    <n v="13223"/>
    <n v="6595"/>
    <n v="13112"/>
    <n v="12959"/>
    <n v="17053"/>
    <n v="4027"/>
    <n v="3209"/>
    <m/>
    <n v="78295"/>
    <n v="978.6875"/>
  </r>
  <r>
    <x v="20"/>
    <n v="23"/>
    <x v="1"/>
    <x v="0"/>
    <x v="20"/>
    <n v="3589"/>
    <n v="5003"/>
    <n v="12993"/>
    <n v="6656"/>
    <n v="13056"/>
    <n v="13016"/>
    <n v="17191"/>
    <n v="4046"/>
    <n v="2166"/>
    <m/>
    <n v="77716"/>
    <n v="971.45"/>
  </r>
  <r>
    <x v="21"/>
    <n v="23"/>
    <x v="1"/>
    <x v="0"/>
    <x v="21"/>
    <n v="4520"/>
    <n v="4430"/>
    <n v="13601"/>
    <n v="7634"/>
    <n v="23590"/>
    <n v="12574"/>
    <n v="8957"/>
    <n v="6246"/>
    <n v="5167"/>
    <m/>
    <n v="86719"/>
    <n v="1083.9875"/>
  </r>
  <r>
    <x v="22"/>
    <n v="23"/>
    <x v="1"/>
    <x v="1"/>
    <x v="22"/>
    <n v="6479"/>
    <n v="6442"/>
    <n v="6626"/>
    <n v="13135"/>
    <n v="8073"/>
    <n v="13019"/>
    <n v="16914"/>
    <n v="4902"/>
    <n v="4133"/>
    <m/>
    <n v="79723"/>
    <n v="996.53750000000002"/>
  </r>
  <r>
    <x v="23"/>
    <n v="24"/>
    <x v="1"/>
    <x v="1"/>
    <x v="23"/>
    <n v="5642"/>
    <n v="6484"/>
    <n v="9895"/>
    <n v="10041"/>
    <n v="14759"/>
    <n v="12866"/>
    <n v="16927"/>
    <n v="4918"/>
    <n v="2311"/>
    <m/>
    <n v="83843"/>
    <n v="1048.0374999999999"/>
  </r>
  <r>
    <x v="24"/>
    <n v="24"/>
    <x v="1"/>
    <x v="1"/>
    <x v="24"/>
    <n v="4083"/>
    <n v="3212"/>
    <n v="11404"/>
    <n v="9791"/>
    <n v="14664"/>
    <n v="12913"/>
    <n v="16934"/>
    <n v="4985"/>
    <n v="2097"/>
    <m/>
    <n v="80083"/>
    <n v="1001.0375"/>
  </r>
  <r>
    <x v="25"/>
    <n v="24"/>
    <x v="1"/>
    <x v="1"/>
    <x v="25"/>
    <n v="4074"/>
    <n v="4931"/>
    <n v="14641"/>
    <n v="7350"/>
    <n v="14608"/>
    <n v="14477"/>
    <n v="21666"/>
    <n v="4805"/>
    <n v="2767"/>
    <m/>
    <n v="89319"/>
    <n v="1116.4875"/>
  </r>
  <r>
    <x v="26"/>
    <n v="24"/>
    <x v="1"/>
    <x v="1"/>
    <x v="26"/>
    <n v="4094"/>
    <n v="3783"/>
    <n v="7170"/>
    <n v="14572"/>
    <n v="14754"/>
    <n v="14542"/>
    <n v="21702"/>
    <n v="4816"/>
    <n v="2298"/>
    <m/>
    <n v="87731"/>
    <n v="1096.6375"/>
  </r>
  <r>
    <x v="27"/>
    <n v="24"/>
    <x v="1"/>
    <x v="1"/>
    <x v="27"/>
    <n v="616"/>
    <n v="0"/>
    <n v="11295"/>
    <n v="23017"/>
    <n v="27376"/>
    <n v="11282"/>
    <n v="5778"/>
    <n v="3587"/>
    <n v="484"/>
    <n v="27273.450000000012"/>
    <n v="110708.45000000001"/>
    <n v="1383.8556250000001"/>
  </r>
  <r>
    <x v="28"/>
    <n v="24"/>
    <x v="1"/>
    <x v="2"/>
    <x v="28"/>
    <m/>
    <m/>
    <m/>
    <m/>
    <m/>
    <n v="14440"/>
    <n v="19365"/>
    <n v="4126"/>
    <n v="3206"/>
    <m/>
    <n v="41137"/>
    <n v="514.21249999999998"/>
  </r>
  <r>
    <x v="29"/>
    <n v="25"/>
    <x v="1"/>
    <x v="2"/>
    <x v="29"/>
    <n v="5746"/>
    <n v="6457"/>
    <n v="7232"/>
    <n v="14457"/>
    <n v="14554"/>
    <n v="14514"/>
    <n v="15337"/>
    <n v="4009"/>
    <n v="2401"/>
    <m/>
    <n v="84707"/>
    <n v="1058.8375000000001"/>
  </r>
  <r>
    <x v="30"/>
    <n v="25"/>
    <x v="1"/>
    <x v="2"/>
    <x v="30"/>
    <n v="3722"/>
    <n v="4029"/>
    <n v="7231"/>
    <n v="14448"/>
    <n v="14714"/>
    <n v="14448"/>
    <n v="21839"/>
    <n v="4804"/>
    <n v="3200"/>
    <m/>
    <n v="88435"/>
    <n v="1105.4375"/>
  </r>
  <r>
    <x v="31"/>
    <n v="25"/>
    <x v="1"/>
    <x v="2"/>
    <x v="31"/>
    <n v="3206"/>
    <n v="6420"/>
    <n v="14458"/>
    <n v="10436"/>
    <n v="20890"/>
    <n v="19260"/>
    <n v="16857"/>
    <n v="3206"/>
    <n v="2400"/>
    <m/>
    <n v="97133"/>
    <n v="1214.1624999999999"/>
  </r>
  <r>
    <x v="32"/>
    <n v="25"/>
    <x v="1"/>
    <x v="2"/>
    <x v="32"/>
    <n v="5515"/>
    <n v="6127"/>
    <n v="16091"/>
    <n v="8027"/>
    <n v="16044"/>
    <n v="14449"/>
    <n v="21896"/>
    <n v="5613"/>
    <n v="3203"/>
    <m/>
    <n v="96965"/>
    <n v="1212.0625"/>
  </r>
  <r>
    <x v="33"/>
    <n v="25"/>
    <x v="1"/>
    <x v="2"/>
    <x v="33"/>
    <n v="2860"/>
    <n v="3236"/>
    <n v="17711"/>
    <n v="8829"/>
    <n v="12843"/>
    <n v="17659"/>
    <n v="16893"/>
    <n v="5614"/>
    <n v="4000"/>
    <m/>
    <n v="89645"/>
    <n v="1120.5625"/>
  </r>
  <r>
    <x v="34"/>
    <n v="26"/>
    <x v="1"/>
    <x v="2"/>
    <x v="34"/>
    <n v="801"/>
    <n v="1609"/>
    <n v="17672"/>
    <n v="8831"/>
    <n v="17732"/>
    <n v="17692"/>
    <n v="26458"/>
    <n v="5620"/>
    <n v="1284"/>
    <m/>
    <n v="97699"/>
    <n v="1221.2375"/>
  </r>
  <r>
    <x v="35"/>
    <n v="26"/>
    <x v="1"/>
    <x v="2"/>
    <x v="35"/>
    <n v="4831"/>
    <n v="5625"/>
    <n v="17655"/>
    <n v="8824"/>
    <n v="17870"/>
    <n v="17675"/>
    <n v="26794"/>
    <n v="5679"/>
    <n v="4001"/>
    <m/>
    <n v="108954"/>
    <n v="1361.925"/>
  </r>
  <r>
    <x v="36"/>
    <n v="26"/>
    <x v="1"/>
    <x v="2"/>
    <x v="36"/>
    <n v="1094"/>
    <n v="0"/>
    <n v="27399"/>
    <n v="17794"/>
    <n v="29189"/>
    <n v="11274"/>
    <n v="14047"/>
    <n v="8920"/>
    <n v="9029"/>
    <m/>
    <n v="118746"/>
    <n v="1484.325"/>
  </r>
  <r>
    <x v="37"/>
    <n v="26"/>
    <x v="1"/>
    <x v="2"/>
    <x v="37"/>
    <m/>
    <m/>
    <m/>
    <m/>
    <n v="16586"/>
    <m/>
    <m/>
    <m/>
    <m/>
    <m/>
    <n v="16586"/>
    <n v="207.32499999999999"/>
  </r>
  <r>
    <x v="37"/>
    <n v="26"/>
    <x v="1"/>
    <x v="3"/>
    <x v="38"/>
    <m/>
    <m/>
    <n v="4089"/>
    <n v="7416"/>
    <n v="7093"/>
    <n v="8098"/>
    <n v="6478"/>
    <n v="3234"/>
    <n v="800"/>
    <m/>
    <n v="37208"/>
    <n v="465.1"/>
  </r>
  <r>
    <x v="38"/>
    <n v="26"/>
    <x v="1"/>
    <x v="3"/>
    <x v="39"/>
    <n v="4574"/>
    <n v="5623"/>
    <n v="17668"/>
    <n v="8828"/>
    <n v="17999"/>
    <n v="17757"/>
    <n v="26708"/>
    <n v="5617"/>
    <n v="4000"/>
    <m/>
    <n v="108774"/>
    <n v="1359.675"/>
  </r>
  <r>
    <x v="39"/>
    <n v="26"/>
    <x v="1"/>
    <x v="3"/>
    <x v="40"/>
    <n v="6392"/>
    <n v="6410"/>
    <n v="17654"/>
    <n v="8911"/>
    <n v="17715"/>
    <n v="17844"/>
    <n v="26570"/>
    <n v="5622"/>
    <n v="4004"/>
    <m/>
    <n v="111122"/>
    <n v="1389.0250000000001"/>
  </r>
  <r>
    <x v="40"/>
    <n v="27"/>
    <x v="1"/>
    <x v="3"/>
    <x v="41"/>
    <n v="352"/>
    <n v="1891"/>
    <n v="17656"/>
    <n v="8846"/>
    <n v="17702"/>
    <n v="17653"/>
    <n v="26699"/>
    <n v="5663"/>
    <n v="4007"/>
    <m/>
    <n v="100469"/>
    <n v="1255.8625"/>
  </r>
  <r>
    <x v="41"/>
    <n v="27"/>
    <x v="1"/>
    <x v="3"/>
    <x v="42"/>
    <n v="3055"/>
    <n v="4003"/>
    <n v="17813"/>
    <n v="8831"/>
    <n v="17749"/>
    <n v="17670"/>
    <n v="26556"/>
    <n v="5612"/>
    <n v="4003"/>
    <m/>
    <n v="105292"/>
    <n v="1316.15"/>
  </r>
  <r>
    <x v="42"/>
    <n v="27"/>
    <x v="1"/>
    <x v="3"/>
    <x v="43"/>
    <n v="4003"/>
    <n v="4899"/>
    <n v="12861"/>
    <n v="13651"/>
    <n v="17687"/>
    <n v="20893"/>
    <n v="23468"/>
    <n v="5615"/>
    <n v="4003"/>
    <m/>
    <n v="107080"/>
    <n v="1338.5"/>
  </r>
  <r>
    <x v="43"/>
    <n v="27"/>
    <x v="2"/>
    <x v="3"/>
    <x v="44"/>
    <n v="0"/>
    <n v="3209"/>
    <n v="17664"/>
    <n v="17648"/>
    <n v="17712"/>
    <n v="26491"/>
    <n v="17763"/>
    <n v="8119"/>
    <n v="5608"/>
    <m/>
    <n v="114214"/>
    <n v="1427.675"/>
  </r>
  <r>
    <x v="44"/>
    <n v="27"/>
    <x v="2"/>
    <x v="3"/>
    <x v="45"/>
    <n v="7963"/>
    <m/>
    <n v="8823"/>
    <n v="17649"/>
    <n v="26553"/>
    <n v="26514"/>
    <n v="17827"/>
    <n v="8022"/>
    <n v="5605"/>
    <m/>
    <n v="118956"/>
    <n v="1486.95"/>
  </r>
  <r>
    <x v="45"/>
    <n v="27"/>
    <x v="2"/>
    <x v="3"/>
    <x v="46"/>
    <m/>
    <n v="8813"/>
    <n v="17766"/>
    <n v="20900"/>
    <n v="20965"/>
    <n v="31393"/>
    <n v="17847"/>
    <n v="8043"/>
    <n v="5607"/>
    <m/>
    <n v="131334"/>
    <n v="1641.675"/>
  </r>
  <r>
    <x v="46"/>
    <n v="28"/>
    <x v="2"/>
    <x v="3"/>
    <x v="47"/>
    <n v="8826"/>
    <m/>
    <n v="17668"/>
    <n v="20877"/>
    <n v="21024"/>
    <n v="31400"/>
    <n v="17927"/>
    <n v="7229"/>
    <n v="5609"/>
    <m/>
    <n v="130560"/>
    <n v="1632"/>
  </r>
  <r>
    <x v="47"/>
    <n v="28"/>
    <x v="2"/>
    <x v="3"/>
    <x v="48"/>
    <m/>
    <n v="8816"/>
    <n v="8824"/>
    <n v="23262"/>
    <n v="27521"/>
    <n v="31339"/>
    <n v="17985"/>
    <n v="7293"/>
    <n v="5672"/>
    <m/>
    <n v="130712"/>
    <n v="1633.9"/>
  </r>
  <r>
    <x v="48"/>
    <n v="28"/>
    <x v="2"/>
    <x v="3"/>
    <x v="49"/>
    <n v="10417"/>
    <n v="0"/>
    <n v="8824"/>
    <n v="20866"/>
    <n v="41996"/>
    <n v="26122"/>
    <n v="4928"/>
    <n v="7235"/>
    <n v="5618"/>
    <m/>
    <n v="126006"/>
    <n v="1575.075"/>
  </r>
  <r>
    <x v="49"/>
    <n v="28"/>
    <x v="2"/>
    <x v="3"/>
    <x v="50"/>
    <m/>
    <n v="8813"/>
    <n v="8828"/>
    <n v="11218"/>
    <n v="21958"/>
    <n v="5630"/>
    <n v="14023"/>
    <n v="7300"/>
    <n v="3219"/>
    <m/>
    <n v="80989"/>
    <n v="1012.3625"/>
  </r>
  <r>
    <x v="50"/>
    <n v="28"/>
    <x v="2"/>
    <x v="3"/>
    <x v="51"/>
    <n v="10417"/>
    <n v="0"/>
    <n v="8827"/>
    <n v="20869"/>
    <n v="31506"/>
    <n v="31361"/>
    <n v="17954"/>
    <n v="7279"/>
    <n v="5823"/>
    <m/>
    <n v="134036"/>
    <n v="1675.45"/>
  </r>
  <r>
    <x v="51"/>
    <n v="28"/>
    <x v="2"/>
    <x v="3"/>
    <x v="52"/>
    <n v="0"/>
    <n v="10417"/>
    <n v="8845"/>
    <n v="20858"/>
    <n v="31526"/>
    <n v="31375"/>
    <n v="17995"/>
    <n v="7303"/>
    <n v="5614"/>
    <m/>
    <n v="133933"/>
    <n v="1674.1624999999999"/>
  </r>
  <r>
    <x v="52"/>
    <n v="29"/>
    <x v="2"/>
    <x v="3"/>
    <x v="53"/>
    <n v="10432"/>
    <n v="0"/>
    <n v="10445"/>
    <n v="20870"/>
    <n v="31454"/>
    <n v="31467"/>
    <n v="17861"/>
    <n v="7339"/>
    <n v="5682"/>
    <m/>
    <n v="135550"/>
    <n v="1694.375"/>
  </r>
  <r>
    <x v="53"/>
    <n v="29"/>
    <x v="2"/>
    <x v="3"/>
    <x v="54"/>
    <n v="0"/>
    <n v="10416"/>
    <n v="20864"/>
    <n v="10429"/>
    <n v="31440"/>
    <n v="31289"/>
    <n v="17826"/>
    <n v="7220"/>
    <n v="5603"/>
    <m/>
    <n v="135087"/>
    <n v="1688.5875000000001"/>
  </r>
  <r>
    <x v="54"/>
    <n v="29"/>
    <x v="2"/>
    <x v="3"/>
    <x v="55"/>
    <n v="10414"/>
    <n v="0"/>
    <n v="20870"/>
    <n v="20868"/>
    <n v="21074"/>
    <n v="31370"/>
    <n v="17844"/>
    <n v="7240"/>
    <n v="3218"/>
    <m/>
    <n v="132898"/>
    <n v="1661.2249999999999"/>
  </r>
  <r>
    <x v="55"/>
    <n v="29"/>
    <x v="2"/>
    <x v="3"/>
    <x v="56"/>
    <n v="7211"/>
    <n v="10416"/>
    <n v="20866"/>
    <n v="20849"/>
    <n v="10601"/>
    <n v="31300"/>
    <n v="17980"/>
    <n v="7114"/>
    <n v="3132"/>
    <m/>
    <n v="129469"/>
    <n v="1618.3625"/>
  </r>
  <r>
    <x v="56"/>
    <n v="29"/>
    <x v="2"/>
    <x v="3"/>
    <x v="57"/>
    <n v="0"/>
    <n v="10417"/>
    <n v="20895"/>
    <n v="31286"/>
    <n v="21053"/>
    <n v="9322"/>
    <n v="4830"/>
    <n v="0"/>
    <n v="0"/>
    <m/>
    <n v="97803"/>
    <n v="1222.5374999999999"/>
  </r>
  <r>
    <x v="57"/>
    <n v="29"/>
    <x v="2"/>
    <x v="3"/>
    <x v="58"/>
    <n v="11220"/>
    <n v="12507"/>
    <n v="9930"/>
    <n v="13934"/>
    <n v="6530"/>
    <n v="0"/>
    <n v="0"/>
    <n v="0"/>
    <n v="0"/>
    <n v="0"/>
    <n v="54121"/>
    <n v="676.51250000000005"/>
  </r>
  <r>
    <x v="58"/>
    <n v="30"/>
    <x v="2"/>
    <x v="4"/>
    <x v="59"/>
    <n v="0"/>
    <n v="0"/>
    <n v="0"/>
    <n v="0"/>
    <n v="0"/>
    <n v="0"/>
    <n v="0"/>
    <n v="0"/>
    <n v="0"/>
    <m/>
    <n v="0"/>
    <n v="0"/>
  </r>
  <r>
    <x v="59"/>
    <n v="30"/>
    <x v="2"/>
    <x v="4"/>
    <x v="60"/>
    <n v="0"/>
    <n v="10456"/>
    <n v="24099"/>
    <n v="24089"/>
    <n v="24135"/>
    <n v="36135"/>
    <n v="19632"/>
    <n v="7209"/>
    <n v="5612"/>
    <m/>
    <n v="151367"/>
    <n v="1892.0875000000001"/>
  </r>
  <r>
    <x v="60"/>
    <n v="30"/>
    <x v="2"/>
    <x v="4"/>
    <x v="61"/>
    <n v="10415"/>
    <n v="0"/>
    <n v="24108"/>
    <n v="24069"/>
    <n v="24236"/>
    <n v="36149"/>
    <n v="19459"/>
    <n v="7309"/>
    <n v="5542"/>
    <m/>
    <n v="151287"/>
    <n v="1891.0875000000001"/>
  </r>
  <r>
    <x v="61"/>
    <n v="30"/>
    <x v="2"/>
    <x v="4"/>
    <x v="62"/>
    <n v="0"/>
    <n v="10460"/>
    <n v="24145"/>
    <n v="24049"/>
    <n v="24078"/>
    <n v="36161"/>
    <n v="19662"/>
    <n v="7358"/>
    <n v="5604"/>
    <m/>
    <n v="151517"/>
    <n v="1893.9625000000001"/>
  </r>
  <r>
    <x v="62"/>
    <n v="30"/>
    <x v="2"/>
    <x v="4"/>
    <x v="63"/>
    <n v="10411"/>
    <n v="12115"/>
    <n v="12040"/>
    <n v="24170"/>
    <n v="36228"/>
    <n v="24091"/>
    <n v="19507"/>
    <n v="7614"/>
    <n v="5602"/>
    <m/>
    <n v="151778"/>
    <n v="1897.2249999999999"/>
  </r>
  <r>
    <x v="63"/>
    <n v="30"/>
    <x v="2"/>
    <x v="4"/>
    <x v="64"/>
    <n v="8820"/>
    <n v="8824"/>
    <n v="0"/>
    <n v="0"/>
    <n v="8850"/>
    <n v="17657"/>
    <n v="17820"/>
    <n v="7263"/>
    <n v="5606"/>
    <m/>
    <n v="74840"/>
    <n v="935.5"/>
  </r>
  <r>
    <x v="64"/>
    <n v="30"/>
    <x v="2"/>
    <x v="4"/>
    <x v="65"/>
    <n v="0"/>
    <n v="10585"/>
    <n v="20871"/>
    <n v="24112"/>
    <n v="36579"/>
    <n v="26906"/>
    <n v="9063"/>
    <n v="4103"/>
    <n v="1627"/>
    <m/>
    <n v="133846"/>
    <n v="1673.075"/>
  </r>
  <r>
    <x v="65"/>
    <n v="31"/>
    <x v="2"/>
    <x v="4"/>
    <x v="66"/>
    <n v="11291"/>
    <n v="0"/>
    <n v="22471"/>
    <n v="20070"/>
    <n v="31334"/>
    <n v="31411"/>
    <n v="19443"/>
    <n v="7211"/>
    <n v="0"/>
    <m/>
    <n v="143231"/>
    <n v="1790.3875"/>
  </r>
  <r>
    <x v="66"/>
    <n v="31"/>
    <x v="2"/>
    <x v="4"/>
    <x v="67"/>
    <n v="0"/>
    <n v="11223"/>
    <n v="22604"/>
    <n v="22660"/>
    <n v="32202"/>
    <n v="29705"/>
    <n v="14490"/>
    <n v="0"/>
    <n v="8006"/>
    <m/>
    <n v="140890"/>
    <n v="1761.125"/>
  </r>
  <r>
    <x v="67"/>
    <n v="31"/>
    <x v="2"/>
    <x v="4"/>
    <x v="68"/>
    <n v="11247"/>
    <n v="11265"/>
    <n v="11243"/>
    <n v="22621"/>
    <n v="33351"/>
    <n v="25679"/>
    <n v="16038"/>
    <n v="7259"/>
    <n v="0"/>
    <m/>
    <n v="138703"/>
    <n v="1733.7874999999999"/>
  </r>
  <r>
    <x v="68"/>
    <n v="31"/>
    <x v="2"/>
    <x v="4"/>
    <x v="69"/>
    <n v="11228"/>
    <n v="11258"/>
    <n v="11529"/>
    <n v="25739"/>
    <n v="27321"/>
    <n v="25716"/>
    <n v="13046"/>
    <n v="0"/>
    <n v="7215"/>
    <m/>
    <n v="133052"/>
    <n v="1663.15"/>
  </r>
  <r>
    <x v="69"/>
    <n v="31"/>
    <x v="2"/>
    <x v="4"/>
    <x v="70"/>
    <n v="11231"/>
    <n v="11290"/>
    <n v="11363"/>
    <n v="33742"/>
    <n v="21067"/>
    <n v="28084"/>
    <n v="15512"/>
    <n v="7273"/>
    <n v="0"/>
    <m/>
    <n v="139562"/>
    <n v="1744.5250000000001"/>
  </r>
  <r>
    <x v="70"/>
    <n v="32"/>
    <x v="3"/>
    <x v="4"/>
    <x v="71"/>
    <n v="11221"/>
    <n v="11237"/>
    <n v="22611"/>
    <n v="22474"/>
    <n v="11417"/>
    <m/>
    <m/>
    <m/>
    <m/>
    <m/>
    <n v="78960"/>
    <n v="987"/>
  </r>
  <r>
    <x v="71"/>
    <n v="32"/>
    <x v="3"/>
    <x v="4"/>
    <x v="72"/>
    <n v="9620"/>
    <n v="8095"/>
    <n v="22619"/>
    <n v="22575"/>
    <n v="21209"/>
    <n v="28238"/>
    <n v="17269"/>
    <n v="0"/>
    <n v="7214"/>
    <m/>
    <n v="136839"/>
    <n v="1710.4875"/>
  </r>
  <r>
    <x v="72"/>
    <n v="32"/>
    <x v="3"/>
    <x v="4"/>
    <x v="73"/>
    <n v="12093"/>
    <n v="11243"/>
    <n v="22508"/>
    <n v="22673"/>
    <n v="17876"/>
    <n v="31413"/>
    <n v="19772"/>
    <n v="7320"/>
    <n v="0"/>
    <m/>
    <n v="144898"/>
    <n v="1811.2249999999999"/>
  </r>
  <r>
    <x v="73"/>
    <n v="32"/>
    <x v="3"/>
    <x v="4"/>
    <x v="74"/>
    <n v="12018"/>
    <n v="12019"/>
    <n v="22479"/>
    <n v="22674"/>
    <n v="22632"/>
    <n v="31388"/>
    <n v="19275"/>
    <n v="7396"/>
    <n v="0"/>
    <m/>
    <n v="149881"/>
    <n v="1873.5125"/>
  </r>
  <r>
    <x v="74"/>
    <n v="32"/>
    <x v="3"/>
    <x v="4"/>
    <x v="75"/>
    <n v="12015"/>
    <n v="9614"/>
    <n v="22528"/>
    <n v="24054"/>
    <n v="22592"/>
    <n v="31456"/>
    <n v="17833"/>
    <n v="0"/>
    <n v="7213"/>
    <m/>
    <n v="147305"/>
    <n v="1841.3125"/>
  </r>
  <r>
    <x v="75"/>
    <n v="32"/>
    <x v="3"/>
    <x v="4"/>
    <x v="76"/>
    <n v="745"/>
    <n v="956"/>
    <n v="18385"/>
    <n v="24160"/>
    <n v="19500"/>
    <n v="16077"/>
    <n v="2887"/>
    <n v="7219"/>
    <n v="0"/>
    <m/>
    <n v="89929"/>
    <n v="1124.1125"/>
  </r>
  <r>
    <x v="76"/>
    <n v="33"/>
    <x v="3"/>
    <x v="4"/>
    <x v="77"/>
    <n v="4817"/>
    <n v="4805"/>
    <n v="16061"/>
    <n v="24348"/>
    <n v="19552"/>
    <n v="24161"/>
    <n v="19773"/>
    <n v="0"/>
    <n v="7382"/>
    <m/>
    <n v="120899"/>
    <n v="1511.2375"/>
  </r>
  <r>
    <x v="77"/>
    <n v="33"/>
    <x v="3"/>
    <x v="4"/>
    <x v="78"/>
    <n v="7209"/>
    <n v="0"/>
    <n v="10522"/>
    <n v="36162"/>
    <n v="30758"/>
    <n v="28890"/>
    <n v="19477"/>
    <n v="7221"/>
    <n v="0"/>
    <m/>
    <n v="140239"/>
    <n v="1752.9875"/>
  </r>
  <r>
    <x v="78"/>
    <n v="33"/>
    <x v="3"/>
    <x v="4"/>
    <x v="79"/>
    <n v="0"/>
    <n v="12012"/>
    <n v="11223"/>
    <n v="36100"/>
    <n v="33720"/>
    <n v="21086"/>
    <n v="20334"/>
    <n v="7217"/>
    <n v="7217"/>
    <m/>
    <n v="148909"/>
    <n v="1861.3625"/>
  </r>
  <r>
    <x v="79"/>
    <n v="33"/>
    <x v="3"/>
    <x v="4"/>
    <x v="80"/>
    <n v="0"/>
    <n v="12014"/>
    <n v="11328"/>
    <n v="36119"/>
    <n v="36237"/>
    <n v="20868"/>
    <n v="21192"/>
    <n v="7219"/>
    <n v="7255"/>
    <m/>
    <n v="152232"/>
    <n v="1902.9"/>
  </r>
  <r>
    <x v="80"/>
    <n v="33"/>
    <x v="3"/>
    <x v="4"/>
    <x v="81"/>
    <n v="12030"/>
    <n v="0"/>
    <n v="22469"/>
    <n v="22462"/>
    <n v="36217"/>
    <n v="20935"/>
    <n v="21376"/>
    <n v="14432"/>
    <m/>
    <m/>
    <n v="149921"/>
    <n v="1874.0125"/>
  </r>
  <r>
    <x v="81"/>
    <n v="34"/>
    <x v="3"/>
    <x v="4"/>
    <x v="82"/>
    <n v="8010"/>
    <n v="0"/>
    <n v="11241"/>
    <n v="24229"/>
    <n v="48656"/>
    <n v="20872"/>
    <n v="11553"/>
    <n v="7223"/>
    <n v="7242"/>
    <m/>
    <n v="139026"/>
    <n v="1737.825"/>
  </r>
  <r>
    <x v="82"/>
    <n v="34"/>
    <x v="3"/>
    <x v="4"/>
    <x v="83"/>
    <n v="0"/>
    <n v="12018"/>
    <n v="12044"/>
    <n v="24077"/>
    <n v="48436"/>
    <n v="20883"/>
    <n v="18744"/>
    <n v="14444"/>
    <n v="0"/>
    <m/>
    <n v="150646"/>
    <n v="1883.075"/>
  </r>
  <r>
    <x v="83"/>
    <n v="34"/>
    <x v="3"/>
    <x v="4"/>
    <x v="84"/>
    <n v="0"/>
    <n v="12017"/>
    <n v="12055"/>
    <n v="24071"/>
    <n v="46968"/>
    <n v="33749"/>
    <n v="10746"/>
    <n v="7365"/>
    <n v="7046"/>
    <m/>
    <n v="154017"/>
    <n v="1925.2125000000001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  <r>
    <x v="84"/>
    <n v="0"/>
    <x v="4"/>
    <x v="5"/>
    <x v="59"/>
    <m/>
    <m/>
    <m/>
    <m/>
    <m/>
    <m/>
    <m/>
    <m/>
    <m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FD3A0-FC2F-4EA2-8010-BFDD4849CE6A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Vol.">
  <location ref="A3:J9" firstHeaderRow="0" firstDataRow="1" firstDataCol="1" rowPageCount="1" colPageCount="1"/>
  <pivotFields count="19">
    <pivotField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84"/>
        <item x="75"/>
        <item x="76"/>
        <item x="77"/>
        <item x="78"/>
        <item x="79"/>
        <item x="80"/>
        <item x="81"/>
        <item x="82"/>
        <item x="83"/>
        <item t="default"/>
      </items>
    </pivotField>
    <pivotField numFmtId="1" showAll="0"/>
    <pivotField axis="axisPage" multipleItemSelectionAllowed="1" showAll="0">
      <items count="7">
        <item h="1" x="4"/>
        <item x="0"/>
        <item x="1"/>
        <item x="2"/>
        <item m="1" x="5"/>
        <item x="3"/>
        <item t="default"/>
      </items>
    </pivotField>
    <pivotField axis="axisRow" showAll="0">
      <items count="8">
        <item x="0"/>
        <item x="1"/>
        <item m="1" x="6"/>
        <item x="5"/>
        <item x="2"/>
        <item x="3"/>
        <item x="4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numFmtId="1"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"/>
  </rowFields>
  <rowItems count="6">
    <i>
      <x/>
    </i>
    <i>
      <x v="1"/>
    </i>
    <i>
      <x v="4"/>
    </i>
    <i>
      <x v="5"/>
    </i>
    <i>
      <x v="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2" hier="-1"/>
  </pageFields>
  <dataFields count="9">
    <dataField name="A++ (&gt;25mm)" fld="5" baseField="0" baseItem="0"/>
    <dataField name="A+ (25mm)" fld="6" baseField="0" baseItem="0"/>
    <dataField name="A (24mm)" fld="7" baseField="0" baseItem="0"/>
    <dataField name="AB (23mm)" fld="8" baseField="0" baseItem="0"/>
    <dataField name="B (22mm)" fld="9" baseField="0" baseItem="0"/>
    <dataField name="BC (21mm)" fld="10" baseField="0" baseItem="0"/>
    <dataField name="C (20mm)" fld="11" baseField="0" baseItem="0"/>
    <dataField name="D (19mm)" fld="12" baseField="0" baseItem="0"/>
    <dataField name="E (18mm)" fld="1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8AEF46-1E4D-488F-AE88-728A6DD327E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8" firstHeaderRow="0" firstDataRow="1" firstDataCol="1" rowPageCount="1" colPageCount="1"/>
  <pivotFields count="19">
    <pivotField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t="default"/>
      </items>
    </pivotField>
    <pivotField numFmtId="1" showAll="0"/>
    <pivotField axis="axisPage" showAll="0">
      <items count="7">
        <item x="3"/>
        <item x="4"/>
        <item x="2"/>
        <item x="1"/>
        <item x="0"/>
        <item m="1" x="5"/>
        <item t="default"/>
      </items>
    </pivotField>
    <pivotField showAll="0"/>
    <pivotField axis="axisRow" showAll="0">
      <items count="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5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numFmtI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5"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2" item="0" hier="-1"/>
  </pageFields>
  <dataFields count="9">
    <dataField name="Sum of Size A++ (&gt;25mm)" fld="5" baseField="0" baseItem="0"/>
    <dataField name="Sum of Size A+ (25mm)" fld="6" baseField="0" baseItem="0"/>
    <dataField name="Sum of Size A (24mm)" fld="7" baseField="0" baseItem="0"/>
    <dataField name="Sum of Size AB (23mm)" fld="8" baseField="0" baseItem="0"/>
    <dataField name="Sum of Size B (22mm)" fld="9" baseField="0" baseItem="0"/>
    <dataField name="Sum of Size BC (21mm)" fld="10" baseField="0" baseItem="0"/>
    <dataField name="Sum of Size C (20mm)" fld="11" baseField="0" baseItem="0"/>
    <dataField name="Sum of Size D (19mm)" fld="12" baseField="0" baseItem="0"/>
    <dataField name="Sum of Size E (18mm)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741388-7F2B-4806-9CC4-898923778739}" name="Table1" displayName="Table1" ref="B3:R145" totalsRowShown="0" headerRowDxfId="18" dataDxfId="17">
  <autoFilter ref="B3:R145" xr:uid="{7C741388-7F2B-4806-9CC4-898923778739}"/>
  <tableColumns count="17">
    <tableColumn id="1" xr3:uid="{0E58E5B4-5215-4792-82B8-267234E99844}" name="Date" dataDxfId="16"/>
    <tableColumn id="16" xr3:uid="{84C2BBBE-2771-4857-96D2-8BB72875415E}" name="Week" dataDxfId="15">
      <calculatedColumnFormula>WEEKNUM(Table1[[#This Row],[Date]])</calculatedColumnFormula>
    </tableColumn>
    <tableColumn id="14" xr3:uid="{185050E6-BAED-40B8-889B-2804944DB0A9}" name="Month" dataDxfId="14">
      <calculatedColumnFormula>TEXT(Table1[[#This Row],[Date]],"mmm-yy")</calculatedColumnFormula>
    </tableColumn>
    <tableColumn id="17" xr3:uid="{DE7D8C88-4C09-4F80-9693-CA08465A05FE}" name="BIN No" dataDxfId="13"/>
    <tableColumn id="2" xr3:uid="{4AB8B01E-7F39-4585-A59B-EAAC2ECD9201}" name="Lot No" dataDxfId="12"/>
    <tableColumn id="3" xr3:uid="{6A1F5C16-01B1-430D-B66A-8734387BB419}" name="Size A++ (&gt;25mm)" dataDxfId="11"/>
    <tableColumn id="4" xr3:uid="{711ED774-8BB1-4AB5-8D84-3DF2D478211C}" name="Size A+ (25mm)" dataDxfId="10"/>
    <tableColumn id="5" xr3:uid="{54F9E1B4-7880-4A14-A707-07142916D80C}" name="Size A (24mm)" dataDxfId="9"/>
    <tableColumn id="6" xr3:uid="{B377FE63-4FD4-4102-9F75-915FDEC510C5}" name="Size AB (23mm)" dataDxfId="8"/>
    <tableColumn id="7" xr3:uid="{6542D7B4-8570-4BF5-82DC-F1B20A3E0946}" name="Size B (22mm)" dataDxfId="7"/>
    <tableColumn id="8" xr3:uid="{72527354-17F3-4058-94FF-4A15F689F880}" name="Size BC (21mm)" dataDxfId="6"/>
    <tableColumn id="9" xr3:uid="{9538CDC4-D524-452A-8914-7FCA42AC2965}" name="Size C (20mm)" dataDxfId="5"/>
    <tableColumn id="10" xr3:uid="{1C31E0B9-99BB-483F-8B4E-D3F7B3D063ED}" name="Size D (19mm)" dataDxfId="4"/>
    <tableColumn id="11" xr3:uid="{C9BE7811-CE0E-4FB6-B11C-0082A18DE140}" name="Size E (18mm)" dataDxfId="3"/>
    <tableColumn id="15" xr3:uid="{0508926F-C629-4F00-B91A-73FFEC7C4415}" name="Adjusted Quantity"/>
    <tableColumn id="12" xr3:uid="{B446DB5F-5840-4636-88C3-EB6651DFE01C}" name="Total Qty" dataDxfId="2">
      <calculatedColumnFormula>SUM(Table1[[#This Row],[Size A++ (&gt;25mm)]:[Adjusted Quantity]])</calculatedColumnFormula>
    </tableColumn>
    <tableColumn id="13" xr3:uid="{3840FE05-0228-4542-88A5-A0228607AE32}" name="No of Bags" dataDxfId="1">
      <calculatedColumnFormula>Table1[[#This Row],[Total Qty]]/80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D73C-9127-4636-ADFE-56C96DDD79A3}">
  <dimension ref="A1:T9"/>
  <sheetViews>
    <sheetView showGridLines="0" workbookViewId="0">
      <selection activeCell="C6" sqref="C6:L20"/>
    </sheetView>
  </sheetViews>
  <sheetFormatPr defaultRowHeight="14.4" x14ac:dyDescent="0.3"/>
  <cols>
    <col min="1" max="1" width="14.21875" bestFit="1" customWidth="1"/>
    <col min="2" max="2" width="16.109375" bestFit="1" customWidth="1"/>
    <col min="3" max="3" width="10.33203125" bestFit="1" customWidth="1"/>
    <col min="4" max="4" width="9.33203125" bestFit="1" customWidth="1"/>
    <col min="5" max="5" width="10.44140625" bestFit="1" customWidth="1"/>
    <col min="6" max="6" width="9.21875" bestFit="1" customWidth="1"/>
    <col min="7" max="7" width="10.33203125" bestFit="1" customWidth="1"/>
    <col min="8" max="8" width="9.21875" bestFit="1" customWidth="1"/>
    <col min="9" max="9" width="9.33203125" bestFit="1" customWidth="1"/>
    <col min="10" max="10" width="9.109375" bestFit="1" customWidth="1"/>
    <col min="11" max="11" width="13.88671875" bestFit="1" customWidth="1"/>
    <col min="12" max="12" width="11.77734375" bestFit="1" customWidth="1"/>
    <col min="13" max="13" width="11.5546875" bestFit="1" customWidth="1"/>
    <col min="14" max="14" width="11.88671875" bestFit="1" customWidth="1"/>
    <col min="15" max="15" width="11.5546875" bestFit="1" customWidth="1"/>
    <col min="16" max="16" width="11.88671875" bestFit="1" customWidth="1"/>
    <col min="17" max="17" width="11.5546875" bestFit="1" customWidth="1"/>
    <col min="18" max="18" width="10.88671875" bestFit="1" customWidth="1"/>
    <col min="19" max="19" width="10.6640625" bestFit="1" customWidth="1"/>
    <col min="20" max="20" width="9.6640625" bestFit="1" customWidth="1"/>
    <col min="21" max="25" width="6" bestFit="1" customWidth="1"/>
    <col min="26" max="27" width="7" bestFit="1" customWidth="1"/>
    <col min="28" max="33" width="6" bestFit="1" customWidth="1"/>
    <col min="34" max="34" width="7" bestFit="1" customWidth="1"/>
    <col min="35" max="35" width="6" bestFit="1" customWidth="1"/>
    <col min="36" max="37" width="7" bestFit="1" customWidth="1"/>
    <col min="38" max="38" width="6" bestFit="1" customWidth="1"/>
    <col min="39" max="45" width="7" bestFit="1" customWidth="1"/>
    <col min="46" max="47" width="6" bestFit="1" customWidth="1"/>
    <col min="48" max="55" width="7" bestFit="1" customWidth="1"/>
    <col min="56" max="56" width="11" bestFit="1" customWidth="1"/>
    <col min="57" max="57" width="7" bestFit="1" customWidth="1"/>
    <col min="58" max="58" width="9.6640625" bestFit="1" customWidth="1"/>
    <col min="59" max="59" width="7" bestFit="1" customWidth="1"/>
    <col min="60" max="60" width="9.6640625" bestFit="1" customWidth="1"/>
    <col min="61" max="61" width="7" bestFit="1" customWidth="1"/>
    <col min="62" max="62" width="9.6640625" bestFit="1" customWidth="1"/>
    <col min="63" max="63" width="7" bestFit="1" customWidth="1"/>
    <col min="64" max="64" width="9.6640625" bestFit="1" customWidth="1"/>
    <col min="65" max="65" width="7" bestFit="1" customWidth="1"/>
    <col min="66" max="66" width="9.6640625" bestFit="1" customWidth="1"/>
    <col min="67" max="67" width="7" bestFit="1" customWidth="1"/>
    <col min="68" max="68" width="9.6640625" bestFit="1" customWidth="1"/>
    <col min="69" max="69" width="7" bestFit="1" customWidth="1"/>
    <col min="70" max="70" width="9.6640625" bestFit="1" customWidth="1"/>
    <col min="71" max="71" width="7" bestFit="1" customWidth="1"/>
    <col min="72" max="72" width="9.6640625" bestFit="1" customWidth="1"/>
    <col min="73" max="73" width="7" bestFit="1" customWidth="1"/>
    <col min="74" max="74" width="9.6640625" bestFit="1" customWidth="1"/>
    <col min="75" max="75" width="7" bestFit="1" customWidth="1"/>
    <col min="76" max="76" width="9.6640625" bestFit="1" customWidth="1"/>
    <col min="77" max="77" width="7" bestFit="1" customWidth="1"/>
    <col min="78" max="78" width="9.6640625" bestFit="1" customWidth="1"/>
    <col min="79" max="79" width="7" bestFit="1" customWidth="1"/>
    <col min="80" max="80" width="9.6640625" bestFit="1" customWidth="1"/>
    <col min="81" max="81" width="7" bestFit="1" customWidth="1"/>
    <col min="82" max="82" width="9.6640625" bestFit="1" customWidth="1"/>
    <col min="83" max="83" width="7" bestFit="1" customWidth="1"/>
    <col min="84" max="84" width="9.6640625" bestFit="1" customWidth="1"/>
    <col min="85" max="85" width="7" bestFit="1" customWidth="1"/>
    <col min="86" max="86" width="9.6640625" bestFit="1" customWidth="1"/>
    <col min="87" max="87" width="8" bestFit="1" customWidth="1"/>
    <col min="88" max="88" width="10.6640625" bestFit="1" customWidth="1"/>
    <col min="89" max="89" width="8" bestFit="1" customWidth="1"/>
    <col min="90" max="90" width="10.6640625" bestFit="1" customWidth="1"/>
    <col min="91" max="91" width="8" bestFit="1" customWidth="1"/>
    <col min="92" max="92" width="10.6640625" bestFit="1" customWidth="1"/>
    <col min="93" max="93" width="8" bestFit="1" customWidth="1"/>
    <col min="94" max="94" width="10.6640625" bestFit="1" customWidth="1"/>
    <col min="95" max="95" width="8" bestFit="1" customWidth="1"/>
    <col min="96" max="96" width="10.6640625" bestFit="1" customWidth="1"/>
    <col min="97" max="97" width="8" bestFit="1" customWidth="1"/>
    <col min="98" max="98" width="10.6640625" bestFit="1" customWidth="1"/>
    <col min="99" max="99" width="8" bestFit="1" customWidth="1"/>
    <col min="100" max="100" width="10.6640625" bestFit="1" customWidth="1"/>
    <col min="101" max="101" width="8" bestFit="1" customWidth="1"/>
    <col min="102" max="102" width="10.6640625" bestFit="1" customWidth="1"/>
    <col min="103" max="103" width="8" bestFit="1" customWidth="1"/>
    <col min="104" max="104" width="10.6640625" bestFit="1" customWidth="1"/>
    <col min="105" max="105" width="8" bestFit="1" customWidth="1"/>
    <col min="106" max="106" width="10.6640625" bestFit="1" customWidth="1"/>
    <col min="107" max="107" width="8" bestFit="1" customWidth="1"/>
    <col min="108" max="108" width="10.6640625" bestFit="1" customWidth="1"/>
    <col min="109" max="109" width="8" bestFit="1" customWidth="1"/>
    <col min="110" max="110" width="10.6640625" bestFit="1" customWidth="1"/>
    <col min="111" max="111" width="8" bestFit="1" customWidth="1"/>
    <col min="112" max="112" width="10.6640625" bestFit="1" customWidth="1"/>
    <col min="113" max="113" width="8" bestFit="1" customWidth="1"/>
    <col min="114" max="114" width="10.6640625" bestFit="1" customWidth="1"/>
    <col min="115" max="115" width="9" bestFit="1" customWidth="1"/>
    <col min="116" max="117" width="7" bestFit="1" customWidth="1"/>
    <col min="118" max="118" width="11.6640625" bestFit="1" customWidth="1"/>
    <col min="119" max="119" width="11" bestFit="1" customWidth="1"/>
  </cols>
  <sheetData>
    <row r="1" spans="1:20" x14ac:dyDescent="0.3">
      <c r="A1" s="9" t="s">
        <v>30</v>
      </c>
      <c r="B1" t="s">
        <v>128</v>
      </c>
    </row>
    <row r="3" spans="1:20" x14ac:dyDescent="0.3">
      <c r="A3" s="9" t="s">
        <v>52</v>
      </c>
      <c r="B3" t="s">
        <v>109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116</v>
      </c>
      <c r="J3" t="s">
        <v>117</v>
      </c>
      <c r="K3" s="13" t="s">
        <v>118</v>
      </c>
      <c r="L3" s="13" t="s">
        <v>119</v>
      </c>
      <c r="M3" s="13" t="s">
        <v>120</v>
      </c>
      <c r="N3" s="13" t="s">
        <v>121</v>
      </c>
      <c r="O3" s="13" t="s">
        <v>122</v>
      </c>
      <c r="P3" s="13" t="s">
        <v>123</v>
      </c>
      <c r="Q3" s="13" t="s">
        <v>124</v>
      </c>
      <c r="R3" s="13" t="s">
        <v>125</v>
      </c>
      <c r="S3" s="13" t="s">
        <v>126</v>
      </c>
      <c r="T3" s="16" t="s">
        <v>127</v>
      </c>
    </row>
    <row r="4" spans="1:20" x14ac:dyDescent="0.3">
      <c r="A4" s="10" t="s">
        <v>48</v>
      </c>
      <c r="B4" s="5">
        <v>53673</v>
      </c>
      <c r="C4" s="5">
        <v>56873</v>
      </c>
      <c r="D4" s="5">
        <v>140888.1</v>
      </c>
      <c r="E4" s="5">
        <v>154243.1</v>
      </c>
      <c r="F4" s="5">
        <v>200683.9</v>
      </c>
      <c r="G4" s="5">
        <v>210289.9</v>
      </c>
      <c r="H4" s="5">
        <v>165971</v>
      </c>
      <c r="I4" s="5">
        <v>64230</v>
      </c>
      <c r="J4" s="5">
        <v>32974</v>
      </c>
      <c r="K4" s="14">
        <f t="shared" ref="K4:S4" si="0">B4/SUM($B4:$J4)%</f>
        <v>4.9705230287101809</v>
      </c>
      <c r="L4" s="14">
        <f t="shared" si="0"/>
        <v>5.2668670693241317</v>
      </c>
      <c r="M4" s="14">
        <f t="shared" si="0"/>
        <v>13.047296508881987</v>
      </c>
      <c r="N4" s="14">
        <f t="shared" si="0"/>
        <v>14.284069840881772</v>
      </c>
      <c r="O4" s="14">
        <f t="shared" si="0"/>
        <v>18.584836816301884</v>
      </c>
      <c r="P4" s="14">
        <f t="shared" si="0"/>
        <v>19.474424583219889</v>
      </c>
      <c r="Q4" s="14">
        <f t="shared" si="0"/>
        <v>15.370161488980632</v>
      </c>
      <c r="R4" s="14">
        <f t="shared" si="0"/>
        <v>5.9481805401981429</v>
      </c>
      <c r="S4" s="14">
        <f t="shared" si="0"/>
        <v>3.053640123501379</v>
      </c>
      <c r="T4" s="5">
        <v>178.54166666666666</v>
      </c>
    </row>
    <row r="5" spans="1:20" x14ac:dyDescent="0.3">
      <c r="A5" s="10" t="s">
        <v>49</v>
      </c>
      <c r="B5" s="5">
        <v>24988</v>
      </c>
      <c r="C5" s="5">
        <v>24852</v>
      </c>
      <c r="D5" s="5">
        <v>61031</v>
      </c>
      <c r="E5" s="5">
        <v>77906</v>
      </c>
      <c r="F5" s="5">
        <v>94234</v>
      </c>
      <c r="G5" s="5">
        <v>79099</v>
      </c>
      <c r="H5" s="5">
        <v>99921</v>
      </c>
      <c r="I5" s="5">
        <v>28013</v>
      </c>
      <c r="J5" s="5">
        <v>14090</v>
      </c>
      <c r="K5" s="14">
        <f>B5/SUM($B5:$J5)%</f>
        <v>4.9566186767803799</v>
      </c>
      <c r="L5" s="14">
        <f t="shared" ref="L5:L9" si="1">C5/SUM($B5:$J5)%</f>
        <v>4.9296417222405156</v>
      </c>
      <c r="M5" s="14">
        <f t="shared" ref="M5:M9" si="2">D5/SUM($B5:$J5)%</f>
        <v>12.106106709724001</v>
      </c>
      <c r="N5" s="14">
        <f t="shared" ref="N5:N9" si="3">E5/SUM($B5:$J5)%</f>
        <v>15.453431032225559</v>
      </c>
      <c r="O5" s="14">
        <f t="shared" ref="O5:O9" si="4">F5/SUM($B5:$J5)%</f>
        <v>18.692252456688102</v>
      </c>
      <c r="P5" s="14">
        <f t="shared" ref="P5:P9" si="5">G5/SUM($B5:$J5)%</f>
        <v>15.690074464328928</v>
      </c>
      <c r="Q5" s="14">
        <f t="shared" ref="Q5:Q9" si="6">H5/SUM($B5:$J5)%</f>
        <v>19.820325548366107</v>
      </c>
      <c r="R5" s="14">
        <f t="shared" ref="R5:R9" si="7">I5/SUM($B5:$J5)%</f>
        <v>5.556657555332511</v>
      </c>
      <c r="S5" s="14">
        <f t="shared" ref="S5:S9" si="8">J5/SUM($B5:$J5)%</f>
        <v>2.7948918343138929</v>
      </c>
      <c r="T5" s="5">
        <v>185.14285714285714</v>
      </c>
    </row>
    <row r="6" spans="1:20" x14ac:dyDescent="0.3">
      <c r="A6" s="10" t="s">
        <v>53</v>
      </c>
      <c r="B6" s="5">
        <v>27775</v>
      </c>
      <c r="C6" s="5">
        <v>33503</v>
      </c>
      <c r="D6" s="5">
        <v>125449</v>
      </c>
      <c r="E6" s="5">
        <v>91646</v>
      </c>
      <c r="F6" s="5">
        <v>160422</v>
      </c>
      <c r="G6" s="5">
        <v>141411</v>
      </c>
      <c r="H6" s="5">
        <v>179486</v>
      </c>
      <c r="I6" s="5">
        <v>47591</v>
      </c>
      <c r="J6" s="5">
        <v>32724</v>
      </c>
      <c r="K6" s="14">
        <f>B6/SUM($B6:$J6)%</f>
        <v>3.3065200647137467</v>
      </c>
      <c r="L6" s="14">
        <f t="shared" si="1"/>
        <v>3.9884191441261803</v>
      </c>
      <c r="M6" s="14">
        <f t="shared" si="2"/>
        <v>14.93428030956885</v>
      </c>
      <c r="N6" s="14">
        <f t="shared" si="3"/>
        <v>10.910147177344951</v>
      </c>
      <c r="O6" s="14">
        <f t="shared" si="4"/>
        <v>19.097697995373849</v>
      </c>
      <c r="P6" s="14">
        <f t="shared" si="5"/>
        <v>16.834502569621446</v>
      </c>
      <c r="Q6" s="14">
        <f t="shared" si="6"/>
        <v>21.36720289235685</v>
      </c>
      <c r="R6" s="14">
        <f t="shared" si="7"/>
        <v>5.6655480251950285</v>
      </c>
      <c r="S6" s="14">
        <f t="shared" si="8"/>
        <v>3.8956818216991049</v>
      </c>
      <c r="T6" s="5">
        <v>186.2</v>
      </c>
    </row>
    <row r="7" spans="1:20" x14ac:dyDescent="0.3">
      <c r="A7" s="10" t="s">
        <v>58</v>
      </c>
      <c r="B7" s="5">
        <v>95276</v>
      </c>
      <c r="C7" s="5">
        <v>106650</v>
      </c>
      <c r="D7" s="5">
        <v>297680</v>
      </c>
      <c r="E7" s="5">
        <v>348866</v>
      </c>
      <c r="F7" s="5">
        <v>458858</v>
      </c>
      <c r="G7" s="5">
        <v>476288</v>
      </c>
      <c r="H7" s="5">
        <v>357069</v>
      </c>
      <c r="I7" s="5">
        <v>128099</v>
      </c>
      <c r="J7" s="5">
        <v>86827</v>
      </c>
      <c r="K7" s="14">
        <f>B7/SUM($B7:$J7)%</f>
        <v>4.0446372133283353</v>
      </c>
      <c r="L7" s="14">
        <f t="shared" si="1"/>
        <v>4.5274839288117361</v>
      </c>
      <c r="M7" s="14">
        <f t="shared" si="2"/>
        <v>12.637050313442828</v>
      </c>
      <c r="N7" s="14">
        <f t="shared" si="3"/>
        <v>14.809987888502906</v>
      </c>
      <c r="O7" s="14">
        <f t="shared" si="4"/>
        <v>19.479345715955887</v>
      </c>
      <c r="P7" s="14">
        <f t="shared" si="5"/>
        <v>20.219280501508525</v>
      </c>
      <c r="Q7" s="14">
        <f t="shared" si="6"/>
        <v>15.158219962277334</v>
      </c>
      <c r="R7" s="14">
        <f t="shared" si="7"/>
        <v>5.4380324781702258</v>
      </c>
      <c r="S7" s="14">
        <f t="shared" si="8"/>
        <v>3.6859619980022185</v>
      </c>
      <c r="T7" s="5">
        <v>183.22222222222223</v>
      </c>
    </row>
    <row r="8" spans="1:20" x14ac:dyDescent="0.3">
      <c r="A8" s="10" t="s">
        <v>83</v>
      </c>
      <c r="B8" s="5">
        <v>164421</v>
      </c>
      <c r="C8" s="5">
        <v>203506</v>
      </c>
      <c r="D8" s="5">
        <v>422546</v>
      </c>
      <c r="E8" s="5">
        <v>611499</v>
      </c>
      <c r="F8" s="5">
        <v>715151</v>
      </c>
      <c r="G8" s="5">
        <v>647710</v>
      </c>
      <c r="H8" s="5">
        <v>403903</v>
      </c>
      <c r="I8" s="5">
        <v>149655</v>
      </c>
      <c r="J8" s="5">
        <v>95383</v>
      </c>
      <c r="K8" s="14">
        <f>B8/SUM($B8:$J8)%</f>
        <v>4.8163996796507327</v>
      </c>
      <c r="L8" s="14">
        <f t="shared" si="1"/>
        <v>5.9613202279940039</v>
      </c>
      <c r="M8" s="14">
        <f t="shared" si="2"/>
        <v>12.377679366003726</v>
      </c>
      <c r="N8" s="14">
        <f t="shared" si="3"/>
        <v>17.912697208426803</v>
      </c>
      <c r="O8" s="14">
        <f t="shared" si="4"/>
        <v>20.948984906440792</v>
      </c>
      <c r="P8" s="14">
        <f t="shared" si="5"/>
        <v>18.973429406867591</v>
      </c>
      <c r="Q8" s="14">
        <f t="shared" si="6"/>
        <v>11.831568229179789</v>
      </c>
      <c r="R8" s="14">
        <f t="shared" si="7"/>
        <v>4.3838578652248215</v>
      </c>
      <c r="S8" s="14">
        <f t="shared" si="8"/>
        <v>2.7940631102117481</v>
      </c>
      <c r="T8" s="5">
        <v>177.65625</v>
      </c>
    </row>
    <row r="9" spans="1:20" x14ac:dyDescent="0.3">
      <c r="A9" s="10" t="s">
        <v>31</v>
      </c>
      <c r="B9" s="5">
        <v>366133</v>
      </c>
      <c r="C9" s="5">
        <v>425384</v>
      </c>
      <c r="D9" s="5">
        <v>1047594.1</v>
      </c>
      <c r="E9" s="5">
        <v>1284160.1000000001</v>
      </c>
      <c r="F9" s="5">
        <v>1629348.9</v>
      </c>
      <c r="G9" s="5">
        <v>1554797.9</v>
      </c>
      <c r="H9" s="5">
        <v>1206350</v>
      </c>
      <c r="I9" s="5">
        <v>417588</v>
      </c>
      <c r="J9" s="5">
        <v>261998</v>
      </c>
      <c r="K9" s="15">
        <f>B9/SUM($B9:$J9)%</f>
        <v>4.4686583784857827</v>
      </c>
      <c r="L9" s="15">
        <f t="shared" si="1"/>
        <v>5.19181766099695</v>
      </c>
      <c r="M9" s="15">
        <f t="shared" si="2"/>
        <v>12.785900621406082</v>
      </c>
      <c r="N9" s="15">
        <f t="shared" si="3"/>
        <v>15.673191955333557</v>
      </c>
      <c r="O9" s="15">
        <f t="shared" si="4"/>
        <v>19.886226080308504</v>
      </c>
      <c r="P9" s="15">
        <f t="shared" si="5"/>
        <v>18.976330084114515</v>
      </c>
      <c r="Q9" s="15">
        <f t="shared" si="6"/>
        <v>14.723518598122332</v>
      </c>
      <c r="R9" s="15">
        <f t="shared" si="7"/>
        <v>5.0966673721164746</v>
      </c>
      <c r="S9" s="15">
        <f t="shared" si="8"/>
        <v>3.197689249115808</v>
      </c>
      <c r="T9" s="17">
        <f>AVERAGE(T4:T8)</f>
        <v>182.15259920634921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5665-D6C4-4046-8C23-91F7C632519C}">
  <dimension ref="A1:J18"/>
  <sheetViews>
    <sheetView workbookViewId="0">
      <selection activeCell="C6" sqref="C6:L20"/>
    </sheetView>
  </sheetViews>
  <sheetFormatPr defaultRowHeight="14.4" x14ac:dyDescent="0.3"/>
  <cols>
    <col min="1" max="1" width="12.5546875" bestFit="1" customWidth="1"/>
    <col min="2" max="2" width="22.77734375" bestFit="1" customWidth="1"/>
    <col min="3" max="3" width="20.6640625" bestFit="1" customWidth="1"/>
    <col min="4" max="4" width="19.6640625" bestFit="1" customWidth="1"/>
    <col min="5" max="5" width="20.77734375" bestFit="1" customWidth="1"/>
    <col min="6" max="6" width="19.5546875" bestFit="1" customWidth="1"/>
    <col min="7" max="7" width="20.6640625" bestFit="1" customWidth="1"/>
    <col min="8" max="8" width="19.5546875" bestFit="1" customWidth="1"/>
    <col min="9" max="9" width="19.6640625" bestFit="1" customWidth="1"/>
    <col min="10" max="10" width="19.44140625" bestFit="1" customWidth="1"/>
  </cols>
  <sheetData>
    <row r="1" spans="1:10" x14ac:dyDescent="0.3">
      <c r="A1" s="9" t="s">
        <v>30</v>
      </c>
      <c r="B1" t="s">
        <v>129</v>
      </c>
    </row>
    <row r="3" spans="1:10" x14ac:dyDescent="0.3">
      <c r="A3" s="9" t="s">
        <v>130</v>
      </c>
      <c r="B3" t="s">
        <v>131</v>
      </c>
      <c r="C3" t="s">
        <v>132</v>
      </c>
      <c r="D3" t="s">
        <v>133</v>
      </c>
      <c r="E3" t="s">
        <v>134</v>
      </c>
      <c r="F3" t="s">
        <v>135</v>
      </c>
      <c r="G3" t="s">
        <v>136</v>
      </c>
      <c r="H3" t="s">
        <v>137</v>
      </c>
      <c r="I3" t="s">
        <v>138</v>
      </c>
      <c r="J3" t="s">
        <v>139</v>
      </c>
    </row>
    <row r="4" spans="1:10" x14ac:dyDescent="0.3">
      <c r="A4" s="10" t="s">
        <v>95</v>
      </c>
      <c r="B4">
        <v>11221</v>
      </c>
      <c r="C4">
        <v>11237</v>
      </c>
      <c r="D4">
        <v>22611</v>
      </c>
      <c r="E4">
        <v>22474</v>
      </c>
      <c r="F4">
        <v>11417</v>
      </c>
    </row>
    <row r="5" spans="1:10" x14ac:dyDescent="0.3">
      <c r="A5" s="10" t="s">
        <v>96</v>
      </c>
      <c r="B5">
        <v>9620</v>
      </c>
      <c r="C5">
        <v>8095</v>
      </c>
      <c r="D5">
        <v>22619</v>
      </c>
      <c r="E5">
        <v>22575</v>
      </c>
      <c r="F5">
        <v>21209</v>
      </c>
      <c r="G5">
        <v>28238</v>
      </c>
      <c r="H5">
        <v>17269</v>
      </c>
      <c r="I5">
        <v>0</v>
      </c>
      <c r="J5">
        <v>7214</v>
      </c>
    </row>
    <row r="6" spans="1:10" x14ac:dyDescent="0.3">
      <c r="A6" s="10" t="s">
        <v>97</v>
      </c>
      <c r="B6">
        <v>12093</v>
      </c>
      <c r="C6">
        <v>11243</v>
      </c>
      <c r="D6">
        <v>22508</v>
      </c>
      <c r="E6">
        <v>22673</v>
      </c>
      <c r="F6">
        <v>17876</v>
      </c>
      <c r="G6">
        <v>31413</v>
      </c>
      <c r="H6">
        <v>19772</v>
      </c>
      <c r="I6">
        <v>7320</v>
      </c>
      <c r="J6">
        <v>0</v>
      </c>
    </row>
    <row r="7" spans="1:10" x14ac:dyDescent="0.3">
      <c r="A7" s="10" t="s">
        <v>98</v>
      </c>
      <c r="B7">
        <v>12018</v>
      </c>
      <c r="C7">
        <v>12019</v>
      </c>
      <c r="D7">
        <v>22479</v>
      </c>
      <c r="E7">
        <v>22674</v>
      </c>
      <c r="F7">
        <v>22632</v>
      </c>
      <c r="G7">
        <v>31388</v>
      </c>
      <c r="H7">
        <v>19275</v>
      </c>
      <c r="I7">
        <v>7396</v>
      </c>
      <c r="J7">
        <v>0</v>
      </c>
    </row>
    <row r="8" spans="1:10" x14ac:dyDescent="0.3">
      <c r="A8" s="10" t="s">
        <v>99</v>
      </c>
      <c r="B8">
        <v>12015</v>
      </c>
      <c r="C8">
        <v>9614</v>
      </c>
      <c r="D8">
        <v>22528</v>
      </c>
      <c r="E8">
        <v>24054</v>
      </c>
      <c r="F8">
        <v>22592</v>
      </c>
      <c r="G8">
        <v>31456</v>
      </c>
      <c r="H8">
        <v>17833</v>
      </c>
      <c r="I8">
        <v>0</v>
      </c>
      <c r="J8">
        <v>7213</v>
      </c>
    </row>
    <row r="9" spans="1:10" x14ac:dyDescent="0.3">
      <c r="A9" s="10" t="s">
        <v>100</v>
      </c>
      <c r="B9">
        <v>745</v>
      </c>
      <c r="C9">
        <v>956</v>
      </c>
      <c r="D9">
        <v>18385</v>
      </c>
      <c r="E9">
        <v>24160</v>
      </c>
      <c r="F9">
        <v>19500</v>
      </c>
      <c r="G9">
        <v>16077</v>
      </c>
      <c r="H9">
        <v>2887</v>
      </c>
      <c r="I9">
        <v>7219</v>
      </c>
      <c r="J9">
        <v>0</v>
      </c>
    </row>
    <row r="10" spans="1:10" x14ac:dyDescent="0.3">
      <c r="A10" s="10" t="s">
        <v>101</v>
      </c>
      <c r="B10">
        <v>4817</v>
      </c>
      <c r="C10">
        <v>4805</v>
      </c>
      <c r="D10">
        <v>16061</v>
      </c>
      <c r="E10">
        <v>24348</v>
      </c>
      <c r="F10">
        <v>19552</v>
      </c>
      <c r="G10">
        <v>24161</v>
      </c>
      <c r="H10">
        <v>19773</v>
      </c>
      <c r="I10">
        <v>0</v>
      </c>
      <c r="J10">
        <v>7382</v>
      </c>
    </row>
    <row r="11" spans="1:10" x14ac:dyDescent="0.3">
      <c r="A11" s="10" t="s">
        <v>102</v>
      </c>
      <c r="B11">
        <v>7209</v>
      </c>
      <c r="C11">
        <v>0</v>
      </c>
      <c r="D11">
        <v>10522</v>
      </c>
      <c r="E11">
        <v>36162</v>
      </c>
      <c r="F11">
        <v>30758</v>
      </c>
      <c r="G11">
        <v>28890</v>
      </c>
      <c r="H11">
        <v>19477</v>
      </c>
      <c r="I11">
        <v>7221</v>
      </c>
      <c r="J11">
        <v>0</v>
      </c>
    </row>
    <row r="12" spans="1:10" x14ac:dyDescent="0.3">
      <c r="A12" s="10" t="s">
        <v>103</v>
      </c>
      <c r="B12">
        <v>0</v>
      </c>
      <c r="C12">
        <v>12012</v>
      </c>
      <c r="D12">
        <v>11223</v>
      </c>
      <c r="E12">
        <v>36100</v>
      </c>
      <c r="F12">
        <v>33720</v>
      </c>
      <c r="G12">
        <v>21086</v>
      </c>
      <c r="H12">
        <v>20334</v>
      </c>
      <c r="I12">
        <v>7217</v>
      </c>
      <c r="J12">
        <v>7217</v>
      </c>
    </row>
    <row r="13" spans="1:10" x14ac:dyDescent="0.3">
      <c r="A13" s="10" t="s">
        <v>104</v>
      </c>
      <c r="B13">
        <v>0</v>
      </c>
      <c r="C13">
        <v>12014</v>
      </c>
      <c r="D13">
        <v>11328</v>
      </c>
      <c r="E13">
        <v>36119</v>
      </c>
      <c r="F13">
        <v>36237</v>
      </c>
      <c r="G13">
        <v>20868</v>
      </c>
      <c r="H13">
        <v>21192</v>
      </c>
      <c r="I13">
        <v>7219</v>
      </c>
      <c r="J13">
        <v>7255</v>
      </c>
    </row>
    <row r="14" spans="1:10" x14ac:dyDescent="0.3">
      <c r="A14" s="10" t="s">
        <v>105</v>
      </c>
      <c r="B14">
        <v>12030</v>
      </c>
      <c r="C14">
        <v>0</v>
      </c>
      <c r="D14">
        <v>22469</v>
      </c>
      <c r="E14">
        <v>22462</v>
      </c>
      <c r="F14">
        <v>36217</v>
      </c>
      <c r="G14">
        <v>20935</v>
      </c>
      <c r="H14">
        <v>21376</v>
      </c>
      <c r="I14">
        <v>14432</v>
      </c>
    </row>
    <row r="15" spans="1:10" x14ac:dyDescent="0.3">
      <c r="A15" s="10" t="s">
        <v>106</v>
      </c>
      <c r="B15">
        <v>8010</v>
      </c>
      <c r="C15">
        <v>0</v>
      </c>
      <c r="D15">
        <v>11241</v>
      </c>
      <c r="E15">
        <v>24229</v>
      </c>
      <c r="F15">
        <v>48656</v>
      </c>
      <c r="G15">
        <v>20872</v>
      </c>
      <c r="H15">
        <v>11553</v>
      </c>
      <c r="I15">
        <v>7223</v>
      </c>
      <c r="J15">
        <v>7242</v>
      </c>
    </row>
    <row r="16" spans="1:10" x14ac:dyDescent="0.3">
      <c r="A16" s="10" t="s">
        <v>107</v>
      </c>
      <c r="B16">
        <v>0</v>
      </c>
      <c r="C16">
        <v>12018</v>
      </c>
      <c r="D16">
        <v>12044</v>
      </c>
      <c r="E16">
        <v>24077</v>
      </c>
      <c r="F16">
        <v>48436</v>
      </c>
      <c r="G16">
        <v>20883</v>
      </c>
      <c r="H16">
        <v>18744</v>
      </c>
      <c r="I16">
        <v>14444</v>
      </c>
      <c r="J16">
        <v>0</v>
      </c>
    </row>
    <row r="17" spans="1:10" x14ac:dyDescent="0.3">
      <c r="A17" s="10" t="s">
        <v>108</v>
      </c>
      <c r="B17">
        <v>0</v>
      </c>
      <c r="C17">
        <v>12017</v>
      </c>
      <c r="D17">
        <v>12055</v>
      </c>
      <c r="E17">
        <v>24071</v>
      </c>
      <c r="F17">
        <v>46968</v>
      </c>
      <c r="G17">
        <v>33749</v>
      </c>
      <c r="H17">
        <v>10746</v>
      </c>
      <c r="I17">
        <v>7365</v>
      </c>
      <c r="J17">
        <v>7046</v>
      </c>
    </row>
    <row r="18" spans="1:10" x14ac:dyDescent="0.3">
      <c r="A18" s="10" t="s">
        <v>31</v>
      </c>
      <c r="B18">
        <v>89778</v>
      </c>
      <c r="C18">
        <v>106030</v>
      </c>
      <c r="D18">
        <v>238073</v>
      </c>
      <c r="E18">
        <v>366178</v>
      </c>
      <c r="F18">
        <v>415770</v>
      </c>
      <c r="G18">
        <v>330016</v>
      </c>
      <c r="H18">
        <v>220231</v>
      </c>
      <c r="I18">
        <v>87056</v>
      </c>
      <c r="J18">
        <v>50569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5057-48A1-4074-9BBC-7AD1C0B07CB6}">
  <dimension ref="C6:L20"/>
  <sheetViews>
    <sheetView workbookViewId="0">
      <selection activeCell="C6" sqref="C6:L20"/>
    </sheetView>
  </sheetViews>
  <sheetFormatPr defaultRowHeight="14.4" x14ac:dyDescent="0.3"/>
  <cols>
    <col min="3" max="3" width="9.88671875" bestFit="1" customWidth="1"/>
    <col min="4" max="12" width="11.77734375" style="31" customWidth="1"/>
  </cols>
  <sheetData>
    <row r="6" spans="3:12" s="21" customFormat="1" ht="36" customHeight="1" x14ac:dyDescent="0.3">
      <c r="C6" s="22" t="s">
        <v>2</v>
      </c>
      <c r="D6" s="23" t="s">
        <v>109</v>
      </c>
      <c r="E6" s="23" t="s">
        <v>110</v>
      </c>
      <c r="F6" s="23" t="s">
        <v>111</v>
      </c>
      <c r="G6" s="23" t="s">
        <v>112</v>
      </c>
      <c r="H6" s="23" t="s">
        <v>113</v>
      </c>
      <c r="I6" s="23" t="s">
        <v>114</v>
      </c>
      <c r="J6" s="23" t="s">
        <v>115</v>
      </c>
      <c r="K6" s="23" t="s">
        <v>116</v>
      </c>
      <c r="L6" s="24" t="s">
        <v>117</v>
      </c>
    </row>
    <row r="7" spans="3:12" x14ac:dyDescent="0.3">
      <c r="C7" s="18" t="s">
        <v>95</v>
      </c>
      <c r="D7" s="25">
        <v>14.210992907801417</v>
      </c>
      <c r="E7" s="25">
        <v>14.231256332320161</v>
      </c>
      <c r="F7" s="25">
        <v>28.636018237082066</v>
      </c>
      <c r="G7" s="25">
        <v>28.462512664640322</v>
      </c>
      <c r="H7" s="25">
        <v>14.459219858156027</v>
      </c>
      <c r="I7" s="25">
        <v>0</v>
      </c>
      <c r="J7" s="25">
        <v>0</v>
      </c>
      <c r="K7" s="25">
        <v>0</v>
      </c>
      <c r="L7" s="26">
        <v>0</v>
      </c>
    </row>
    <row r="8" spans="3:12" x14ac:dyDescent="0.3">
      <c r="C8" s="19" t="s">
        <v>96</v>
      </c>
      <c r="D8" s="27">
        <v>7.0301595305431928</v>
      </c>
      <c r="E8" s="27">
        <v>5.9157111642148799</v>
      </c>
      <c r="F8" s="27">
        <v>16.529644326544332</v>
      </c>
      <c r="G8" s="27">
        <v>16.497489750728956</v>
      </c>
      <c r="H8" s="27">
        <v>15.499236328824384</v>
      </c>
      <c r="I8" s="27">
        <v>20.635929815330424</v>
      </c>
      <c r="J8" s="27">
        <v>12.619940221720414</v>
      </c>
      <c r="K8" s="27">
        <v>0</v>
      </c>
      <c r="L8" s="28">
        <v>5.2718888620934088</v>
      </c>
    </row>
    <row r="9" spans="3:12" x14ac:dyDescent="0.3">
      <c r="C9" s="18" t="s">
        <v>97</v>
      </c>
      <c r="D9" s="25">
        <v>8.3458708884870738</v>
      </c>
      <c r="E9" s="25">
        <v>7.7592513354221593</v>
      </c>
      <c r="F9" s="25">
        <v>15.533685765158939</v>
      </c>
      <c r="G9" s="25">
        <v>15.647558972518599</v>
      </c>
      <c r="H9" s="25">
        <v>12.336954271280486</v>
      </c>
      <c r="I9" s="25">
        <v>21.679388259327251</v>
      </c>
      <c r="J9" s="25">
        <v>13.645460944940579</v>
      </c>
      <c r="K9" s="25">
        <v>5.0518295628649117</v>
      </c>
      <c r="L9" s="26">
        <v>0</v>
      </c>
    </row>
    <row r="10" spans="3:12" x14ac:dyDescent="0.3">
      <c r="C10" s="19" t="s">
        <v>98</v>
      </c>
      <c r="D10" s="27">
        <v>8.0183612332450416</v>
      </c>
      <c r="E10" s="27">
        <v>8.0190284292205156</v>
      </c>
      <c r="F10" s="27">
        <v>14.997898332677257</v>
      </c>
      <c r="G10" s="27">
        <v>15.128001547894664</v>
      </c>
      <c r="H10" s="27">
        <v>15.099979316924761</v>
      </c>
      <c r="I10" s="27">
        <v>20.94194727817402</v>
      </c>
      <c r="J10" s="27">
        <v>12.86020242725896</v>
      </c>
      <c r="K10" s="27">
        <v>4.9345814346047865</v>
      </c>
      <c r="L10" s="28">
        <v>0</v>
      </c>
    </row>
    <row r="11" spans="3:12" x14ac:dyDescent="0.3">
      <c r="C11" s="18" t="s">
        <v>99</v>
      </c>
      <c r="D11" s="25">
        <v>8.1565459420929365</v>
      </c>
      <c r="E11" s="25">
        <v>6.5265944808390755</v>
      </c>
      <c r="F11" s="25">
        <v>15.293438783476461</v>
      </c>
      <c r="G11" s="25">
        <v>16.329384610162588</v>
      </c>
      <c r="H11" s="25">
        <v>15.336886052747701</v>
      </c>
      <c r="I11" s="25">
        <v>21.354332846814433</v>
      </c>
      <c r="J11" s="25">
        <v>12.106174264281593</v>
      </c>
      <c r="K11" s="25">
        <v>0</v>
      </c>
      <c r="L11" s="26">
        <v>4.8966430195852144</v>
      </c>
    </row>
    <row r="12" spans="3:12" x14ac:dyDescent="0.3">
      <c r="C12" s="19" t="s">
        <v>100</v>
      </c>
      <c r="D12" s="27">
        <v>0.82843131803978698</v>
      </c>
      <c r="E12" s="27">
        <v>1.0630608591221964</v>
      </c>
      <c r="F12" s="27">
        <v>20.443905747867763</v>
      </c>
      <c r="G12" s="27">
        <v>26.865638448109063</v>
      </c>
      <c r="H12" s="27">
        <v>21.68377275406154</v>
      </c>
      <c r="I12" s="27">
        <v>17.877436644463966</v>
      </c>
      <c r="J12" s="27">
        <v>3.2103103559474699</v>
      </c>
      <c r="K12" s="27">
        <v>8.0274438723882184</v>
      </c>
      <c r="L12" s="28">
        <v>0</v>
      </c>
    </row>
    <row r="13" spans="3:12" x14ac:dyDescent="0.3">
      <c r="C13" s="18" t="s">
        <v>101</v>
      </c>
      <c r="D13" s="25">
        <v>3.9843174881512669</v>
      </c>
      <c r="E13" s="25">
        <v>3.9743918477406761</v>
      </c>
      <c r="F13" s="25">
        <v>13.284642552874713</v>
      </c>
      <c r="G13" s="25">
        <v>20.139124393088444</v>
      </c>
      <c r="H13" s="25">
        <v>16.172176775655714</v>
      </c>
      <c r="I13" s="25">
        <v>19.984449830023408</v>
      </c>
      <c r="J13" s="25">
        <v>16.354973986550757</v>
      </c>
      <c r="K13" s="25">
        <v>0</v>
      </c>
      <c r="L13" s="26">
        <v>6.1059231259150195</v>
      </c>
    </row>
    <row r="14" spans="3:12" x14ac:dyDescent="0.3">
      <c r="C14" s="19" t="s">
        <v>102</v>
      </c>
      <c r="D14" s="27">
        <v>5.1405101291366879</v>
      </c>
      <c r="E14" s="27">
        <v>0</v>
      </c>
      <c r="F14" s="27">
        <v>7.5029057537489567</v>
      </c>
      <c r="G14" s="27">
        <v>25.78597964902773</v>
      </c>
      <c r="H14" s="27">
        <v>21.932557990288007</v>
      </c>
      <c r="I14" s="27">
        <v>20.600546210397962</v>
      </c>
      <c r="J14" s="27">
        <v>13.888433317408138</v>
      </c>
      <c r="K14" s="27">
        <v>5.1490669499925126</v>
      </c>
      <c r="L14" s="28">
        <v>0</v>
      </c>
    </row>
    <row r="15" spans="3:12" x14ac:dyDescent="0.3">
      <c r="C15" s="18" t="s">
        <v>103</v>
      </c>
      <c r="D15" s="25">
        <v>0</v>
      </c>
      <c r="E15" s="25">
        <v>8.0666715913745985</v>
      </c>
      <c r="F15" s="25">
        <v>7.536817788045048</v>
      </c>
      <c r="G15" s="25">
        <v>24.242994043341909</v>
      </c>
      <c r="H15" s="25">
        <v>22.644702469293328</v>
      </c>
      <c r="I15" s="25">
        <v>14.160326105205193</v>
      </c>
      <c r="J15" s="25">
        <v>13.655319691892364</v>
      </c>
      <c r="K15" s="25">
        <v>4.8465841554237823</v>
      </c>
      <c r="L15" s="26">
        <v>4.8465841554237823</v>
      </c>
    </row>
    <row r="16" spans="3:12" x14ac:dyDescent="0.3">
      <c r="C16" s="19" t="s">
        <v>104</v>
      </c>
      <c r="D16" s="27">
        <v>0</v>
      </c>
      <c r="E16" s="27">
        <v>7.8919018340427769</v>
      </c>
      <c r="F16" s="27">
        <v>7.4412738451836677</v>
      </c>
      <c r="G16" s="27">
        <v>23.726286194755374</v>
      </c>
      <c r="H16" s="27">
        <v>23.803799463976038</v>
      </c>
      <c r="I16" s="27">
        <v>13.708024594040676</v>
      </c>
      <c r="J16" s="27">
        <v>13.920857638341479</v>
      </c>
      <c r="K16" s="27">
        <v>4.7421041568132853</v>
      </c>
      <c r="L16" s="28">
        <v>4.7657522728467079</v>
      </c>
    </row>
    <row r="17" spans="3:12" x14ac:dyDescent="0.3">
      <c r="C17" s="18" t="s">
        <v>105</v>
      </c>
      <c r="D17" s="25">
        <v>8.0242260924086679</v>
      </c>
      <c r="E17" s="25">
        <v>0</v>
      </c>
      <c r="F17" s="25">
        <v>14.9872266060125</v>
      </c>
      <c r="G17" s="25">
        <v>14.982557480272943</v>
      </c>
      <c r="H17" s="25">
        <v>24.15738955850081</v>
      </c>
      <c r="I17" s="25">
        <v>13.964021051086906</v>
      </c>
      <c r="J17" s="25">
        <v>14.258175972678943</v>
      </c>
      <c r="K17" s="25">
        <v>9.6264032390392273</v>
      </c>
      <c r="L17" s="26">
        <v>0</v>
      </c>
    </row>
    <row r="18" spans="3:12" x14ac:dyDescent="0.3">
      <c r="C18" s="19" t="s">
        <v>106</v>
      </c>
      <c r="D18" s="27">
        <v>5.7615122351214882</v>
      </c>
      <c r="E18" s="27">
        <v>0</v>
      </c>
      <c r="F18" s="27">
        <v>8.0855379569289205</v>
      </c>
      <c r="G18" s="27">
        <v>17.427675398846258</v>
      </c>
      <c r="H18" s="27">
        <v>34.997770201257318</v>
      </c>
      <c r="I18" s="27">
        <v>15.013019147497591</v>
      </c>
      <c r="J18" s="27">
        <v>8.3099564110310311</v>
      </c>
      <c r="K18" s="27">
        <v>5.1954310704472544</v>
      </c>
      <c r="L18" s="28">
        <v>5.2090975788701392</v>
      </c>
    </row>
    <row r="19" spans="3:12" x14ac:dyDescent="0.3">
      <c r="C19" s="18" t="s">
        <v>107</v>
      </c>
      <c r="D19" s="25">
        <v>0</v>
      </c>
      <c r="E19" s="25">
        <v>7.9776429510242552</v>
      </c>
      <c r="F19" s="25">
        <v>7.9949019555779772</v>
      </c>
      <c r="G19" s="25">
        <v>15.982502024613995</v>
      </c>
      <c r="H19" s="25">
        <v>32.152197867849132</v>
      </c>
      <c r="I19" s="25">
        <v>13.862299695975997</v>
      </c>
      <c r="J19" s="25">
        <v>12.442414667498639</v>
      </c>
      <c r="K19" s="25">
        <v>9.5880408374600048</v>
      </c>
      <c r="L19" s="26">
        <v>0</v>
      </c>
    </row>
    <row r="20" spans="3:12" x14ac:dyDescent="0.3">
      <c r="C20" s="20" t="s">
        <v>108</v>
      </c>
      <c r="D20" s="29">
        <v>0</v>
      </c>
      <c r="E20" s="29">
        <v>7.8023854509567121</v>
      </c>
      <c r="F20" s="29">
        <v>7.8270580520332169</v>
      </c>
      <c r="G20" s="29">
        <v>15.628794224014232</v>
      </c>
      <c r="H20" s="29">
        <v>30.495334930559611</v>
      </c>
      <c r="I20" s="29">
        <v>21.912516150814518</v>
      </c>
      <c r="J20" s="29">
        <v>6.9771518728452051</v>
      </c>
      <c r="K20" s="29">
        <v>4.7819396560119989</v>
      </c>
      <c r="L20" s="30">
        <v>4.5748196627644999</v>
      </c>
    </row>
  </sheetData>
  <conditionalFormatting sqref="D7:D20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{AD457752-2FAD-47A0-8176-8A4E4484FB87}</x14:id>
        </ext>
      </extLst>
    </cfRule>
  </conditionalFormatting>
  <conditionalFormatting sqref="E7:E20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{D1F70F92-C84D-4393-BA99-00FA473916B1}</x14:id>
        </ext>
      </extLst>
    </cfRule>
  </conditionalFormatting>
  <conditionalFormatting sqref="F7:F20"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{6E1512EC-C8E1-4691-ADA2-581942F53D8A}</x14:id>
        </ext>
      </extLst>
    </cfRule>
  </conditionalFormatting>
  <conditionalFormatting sqref="G7:G2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{C7EB7CC5-773B-4A4C-8B75-513E9D2ADD55}</x14:id>
        </ext>
      </extLst>
    </cfRule>
  </conditionalFormatting>
  <conditionalFormatting sqref="H7:H2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{1F866F98-63D1-47FF-9FD0-A08197BADEC6}</x14:id>
        </ext>
      </extLst>
    </cfRule>
  </conditionalFormatting>
  <conditionalFormatting sqref="I7:I20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{9287C4BB-0F55-4977-A8F7-1DD6E65DF8E0}</x14:id>
        </ext>
      </extLst>
    </cfRule>
  </conditionalFormatting>
  <conditionalFormatting sqref="J7:J20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{199258A3-FD06-4F59-B5C8-01F5D8936655}</x14:id>
        </ext>
      </extLst>
    </cfRule>
  </conditionalFormatting>
  <conditionalFormatting sqref="K7:K20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{840A1264-7E02-4082-BB0B-FAF0EA03C316}</x14:id>
        </ext>
      </extLst>
    </cfRule>
  </conditionalFormatting>
  <conditionalFormatting sqref="L7:L20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{BFCBA1B3-99B9-4137-B58A-C3F36629A93F}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D457752-2FAD-47A0-8176-8A4E4484FB8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D7:D20</xm:sqref>
        </x14:conditionalFormatting>
        <x14:conditionalFormatting xmlns:xm="http://schemas.microsoft.com/office/excel/2006/main">
          <x14:cfRule type="dataBar" id="{D1F70F92-C84D-4393-BA99-00FA473916B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E7:E20</xm:sqref>
        </x14:conditionalFormatting>
        <x14:conditionalFormatting xmlns:xm="http://schemas.microsoft.com/office/excel/2006/main">
          <x14:cfRule type="dataBar" id="{6E1512EC-C8E1-4691-ADA2-581942F53D8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F7:F20</xm:sqref>
        </x14:conditionalFormatting>
        <x14:conditionalFormatting xmlns:xm="http://schemas.microsoft.com/office/excel/2006/main">
          <x14:cfRule type="dataBar" id="{C7EB7CC5-773B-4A4C-8B75-513E9D2ADD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G7:G20</xm:sqref>
        </x14:conditionalFormatting>
        <x14:conditionalFormatting xmlns:xm="http://schemas.microsoft.com/office/excel/2006/main">
          <x14:cfRule type="dataBar" id="{1F866F98-63D1-47FF-9FD0-A08197BADEC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H7:H20</xm:sqref>
        </x14:conditionalFormatting>
        <x14:conditionalFormatting xmlns:xm="http://schemas.microsoft.com/office/excel/2006/main">
          <x14:cfRule type="dataBar" id="{9287C4BB-0F55-4977-A8F7-1DD6E65DF8E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I7:I20</xm:sqref>
        </x14:conditionalFormatting>
        <x14:conditionalFormatting xmlns:xm="http://schemas.microsoft.com/office/excel/2006/main">
          <x14:cfRule type="dataBar" id="{199258A3-FD06-4F59-B5C8-01F5D893665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J7:J20</xm:sqref>
        </x14:conditionalFormatting>
        <x14:conditionalFormatting xmlns:xm="http://schemas.microsoft.com/office/excel/2006/main">
          <x14:cfRule type="dataBar" id="{840A1264-7E02-4082-BB0B-FAF0EA03C3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K7:K20</xm:sqref>
        </x14:conditionalFormatting>
        <x14:conditionalFormatting xmlns:xm="http://schemas.microsoft.com/office/excel/2006/main">
          <x14:cfRule type="dataBar" id="{BFCBA1B3-99B9-4137-B58A-C3F36629A93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L7:L20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5"/>
  <sheetViews>
    <sheetView tabSelected="1" zoomScale="120" zoomScaleNormal="120" workbookViewId="0">
      <pane xSplit="6" ySplit="3" topLeftCell="L97" activePane="bottomRight" state="frozen"/>
      <selection pane="topRight" activeCell="F1" sqref="F1"/>
      <selection pane="bottomLeft" activeCell="A4" sqref="A4"/>
      <selection pane="bottomRight" activeCell="F114" sqref="F114"/>
    </sheetView>
  </sheetViews>
  <sheetFormatPr defaultRowHeight="14.4" x14ac:dyDescent="0.3"/>
  <cols>
    <col min="1" max="1" width="10.109375" customWidth="1"/>
    <col min="2" max="5" width="10" customWidth="1"/>
    <col min="6" max="6" width="13.33203125" customWidth="1"/>
    <col min="7" max="7" width="17.88671875" customWidth="1"/>
    <col min="8" max="8" width="15.88671875" customWidth="1"/>
    <col min="9" max="9" width="14.88671875" customWidth="1"/>
    <col min="10" max="10" width="16" customWidth="1"/>
    <col min="11" max="11" width="14.6640625" customWidth="1"/>
    <col min="12" max="12" width="15.88671875" customWidth="1"/>
    <col min="13" max="13" width="14.6640625" customWidth="1"/>
    <col min="14" max="14" width="14.88671875" customWidth="1"/>
    <col min="15" max="16" width="14.6640625" customWidth="1"/>
    <col min="17" max="17" width="10.5546875" customWidth="1"/>
    <col min="18" max="18" width="13.33203125" customWidth="1"/>
    <col min="27" max="27" width="8.88671875" customWidth="1"/>
  </cols>
  <sheetData>
    <row r="1" spans="2:18" x14ac:dyDescent="0.3">
      <c r="Q1">
        <f>SUM(Table1[Total Qty])</f>
        <v>11553600.449999999</v>
      </c>
    </row>
    <row r="2" spans="2:18" ht="21" x14ac:dyDescent="0.4">
      <c r="B2" s="6" t="s">
        <v>0</v>
      </c>
      <c r="C2" s="6"/>
      <c r="D2" s="6"/>
      <c r="E2" s="6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6"/>
      <c r="R2" s="8"/>
    </row>
    <row r="3" spans="2:18" ht="37.200000000000003" customHeight="1" x14ac:dyDescent="0.3">
      <c r="B3" s="1" t="s">
        <v>1</v>
      </c>
      <c r="C3" s="1" t="s">
        <v>36</v>
      </c>
      <c r="D3" s="1" t="s">
        <v>30</v>
      </c>
      <c r="E3" s="1" t="s">
        <v>51</v>
      </c>
      <c r="F3" s="1" t="s">
        <v>2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2" t="s">
        <v>20</v>
      </c>
      <c r="P3" s="1" t="s">
        <v>50</v>
      </c>
      <c r="Q3" s="1" t="s">
        <v>3</v>
      </c>
      <c r="R3" s="1" t="s">
        <v>4</v>
      </c>
    </row>
    <row r="4" spans="2:18" x14ac:dyDescent="0.3">
      <c r="B4" s="3">
        <v>46150</v>
      </c>
      <c r="C4" s="11">
        <f>WEEKNUM(Table1[[#This Row],[Date]])</f>
        <v>19</v>
      </c>
      <c r="D4" s="12" t="str">
        <f>TEXT(Table1[[#This Row],[Date]],"mmm-yy")</f>
        <v>May-26</v>
      </c>
      <c r="E4" s="12" t="s">
        <v>48</v>
      </c>
      <c r="F4" s="4" t="s">
        <v>5</v>
      </c>
      <c r="I4">
        <v>6323</v>
      </c>
      <c r="J4">
        <v>680</v>
      </c>
      <c r="K4">
        <v>801</v>
      </c>
      <c r="L4">
        <v>5734</v>
      </c>
      <c r="M4">
        <v>3228</v>
      </c>
      <c r="N4">
        <v>3251</v>
      </c>
      <c r="Q4">
        <f>SUM(Table1[[#This Row],[Size A++ (&gt;25mm)]:[Adjusted Quantity]])</f>
        <v>20017</v>
      </c>
      <c r="R4" s="5">
        <f>Table1[[#This Row],[Total Qty]]/80</f>
        <v>250.21250000000001</v>
      </c>
    </row>
    <row r="5" spans="2:18" x14ac:dyDescent="0.3">
      <c r="B5" s="3">
        <v>46153</v>
      </c>
      <c r="C5" s="11">
        <f>WEEKNUM(Table1[[#This Row],[Date]])</f>
        <v>20</v>
      </c>
      <c r="D5" s="12" t="str">
        <f>TEXT(Table1[[#This Row],[Date]],"mmm-yy")</f>
        <v>May-26</v>
      </c>
      <c r="E5" s="12" t="s">
        <v>48</v>
      </c>
      <c r="F5" s="4" t="s">
        <v>6</v>
      </c>
      <c r="I5">
        <v>3680</v>
      </c>
      <c r="K5">
        <v>2031</v>
      </c>
      <c r="L5">
        <v>2170</v>
      </c>
      <c r="M5">
        <v>3686</v>
      </c>
      <c r="N5">
        <v>1635</v>
      </c>
      <c r="P5">
        <v>801</v>
      </c>
      <c r="Q5">
        <f>SUM(Table1[[#This Row],[Size A++ (&gt;25mm)]:[Adjusted Quantity]])</f>
        <v>14003</v>
      </c>
      <c r="R5" s="5">
        <f>Table1[[#This Row],[Total Qty]]/80</f>
        <v>175.03749999999999</v>
      </c>
    </row>
    <row r="6" spans="2:18" x14ac:dyDescent="0.3">
      <c r="B6" s="3">
        <v>46154</v>
      </c>
      <c r="C6" s="11">
        <f>WEEKNUM(Table1[[#This Row],[Date]])</f>
        <v>20</v>
      </c>
      <c r="D6" s="12" t="str">
        <f>TEXT(Table1[[#This Row],[Date]],"mmm-yy")</f>
        <v>May-26</v>
      </c>
      <c r="E6" s="12" t="s">
        <v>48</v>
      </c>
      <c r="F6" s="4" t="s">
        <v>7</v>
      </c>
      <c r="I6">
        <v>3965.1</v>
      </c>
      <c r="J6">
        <v>3939.1</v>
      </c>
      <c r="K6">
        <v>7275.9</v>
      </c>
      <c r="L6">
        <v>8052.9</v>
      </c>
      <c r="M6">
        <v>1603</v>
      </c>
      <c r="P6">
        <v>1643</v>
      </c>
      <c r="Q6">
        <f>SUM(Table1[[#This Row],[Size A++ (&gt;25mm)]:[Adjusted Quantity]])</f>
        <v>26479</v>
      </c>
      <c r="R6" s="5">
        <f>Table1[[#This Row],[Total Qty]]/80</f>
        <v>330.98750000000001</v>
      </c>
    </row>
    <row r="7" spans="2:18" x14ac:dyDescent="0.3">
      <c r="B7" s="3">
        <v>46155</v>
      </c>
      <c r="C7" s="11">
        <f>WEEKNUM(Table1[[#This Row],[Date]])</f>
        <v>20</v>
      </c>
      <c r="D7" s="12" t="str">
        <f>TEXT(Table1[[#This Row],[Date]],"mmm-yy")</f>
        <v>May-26</v>
      </c>
      <c r="E7" s="12" t="s">
        <v>48</v>
      </c>
      <c r="F7" s="4" t="s">
        <v>8</v>
      </c>
      <c r="I7">
        <v>1600</v>
      </c>
      <c r="J7">
        <v>4293</v>
      </c>
      <c r="K7">
        <v>4040</v>
      </c>
      <c r="L7">
        <v>3994</v>
      </c>
      <c r="M7">
        <v>3207</v>
      </c>
      <c r="N7">
        <v>814</v>
      </c>
      <c r="P7">
        <v>805</v>
      </c>
      <c r="Q7">
        <f>SUM(Table1[[#This Row],[Size A++ (&gt;25mm)]:[Adjusted Quantity]])</f>
        <v>18753</v>
      </c>
      <c r="R7" s="5">
        <f>Table1[[#This Row],[Total Qty]]/80</f>
        <v>234.41249999999999</v>
      </c>
    </row>
    <row r="8" spans="2:18" x14ac:dyDescent="0.3">
      <c r="B8" s="3">
        <v>46156</v>
      </c>
      <c r="C8" s="11">
        <f>WEEKNUM(Table1[[#This Row],[Date]])</f>
        <v>20</v>
      </c>
      <c r="D8" s="12" t="str">
        <f>TEXT(Table1[[#This Row],[Date]],"mmm-yy")</f>
        <v>May-26</v>
      </c>
      <c r="E8" s="12" t="s">
        <v>48</v>
      </c>
      <c r="F8" s="4" t="s">
        <v>9</v>
      </c>
      <c r="I8">
        <v>1696</v>
      </c>
      <c r="J8">
        <v>1695</v>
      </c>
      <c r="K8">
        <v>2437</v>
      </c>
      <c r="L8">
        <v>6440</v>
      </c>
      <c r="P8">
        <v>832</v>
      </c>
      <c r="Q8">
        <f>SUM(Table1[[#This Row],[Size A++ (&gt;25mm)]:[Adjusted Quantity]])</f>
        <v>13100</v>
      </c>
      <c r="R8" s="5">
        <f>Table1[[#This Row],[Total Qty]]/80</f>
        <v>163.75</v>
      </c>
    </row>
    <row r="9" spans="2:18" x14ac:dyDescent="0.3">
      <c r="B9" s="3">
        <v>46158</v>
      </c>
      <c r="C9" s="11">
        <f>WEEKNUM(Table1[[#This Row],[Date]])</f>
        <v>20</v>
      </c>
      <c r="D9" s="12" t="str">
        <f>TEXT(Table1[[#This Row],[Date]],"mmm-yy")</f>
        <v>May-26</v>
      </c>
      <c r="E9" s="12" t="s">
        <v>48</v>
      </c>
      <c r="F9" s="4" t="s">
        <v>10</v>
      </c>
      <c r="I9">
        <v>6490</v>
      </c>
      <c r="J9">
        <v>4036</v>
      </c>
      <c r="K9">
        <v>8049</v>
      </c>
      <c r="L9">
        <v>7248</v>
      </c>
      <c r="M9">
        <v>3242</v>
      </c>
      <c r="N9">
        <v>801</v>
      </c>
      <c r="P9">
        <v>2407</v>
      </c>
      <c r="Q9">
        <f>SUM(Table1[[#This Row],[Size A++ (&gt;25mm)]:[Adjusted Quantity]])</f>
        <v>32273</v>
      </c>
      <c r="R9" s="5">
        <f>Table1[[#This Row],[Total Qty]]/80</f>
        <v>403.41250000000002</v>
      </c>
    </row>
    <row r="10" spans="2:18" x14ac:dyDescent="0.3">
      <c r="B10" s="3">
        <v>46159</v>
      </c>
      <c r="C10" s="11">
        <f>WEEKNUM(Table1[[#This Row],[Date]])</f>
        <v>21</v>
      </c>
      <c r="D10" s="12" t="str">
        <f>TEXT(Table1[[#This Row],[Date]],"mmm-yy")</f>
        <v>May-26</v>
      </c>
      <c r="E10" s="12" t="s">
        <v>48</v>
      </c>
      <c r="F10" s="4" t="s">
        <v>11</v>
      </c>
      <c r="I10">
        <v>4020</v>
      </c>
      <c r="J10">
        <v>3280</v>
      </c>
      <c r="K10">
        <v>3200</v>
      </c>
      <c r="L10">
        <v>3249</v>
      </c>
      <c r="M10">
        <v>3632</v>
      </c>
      <c r="N10">
        <v>3234</v>
      </c>
      <c r="P10">
        <v>1623</v>
      </c>
      <c r="Q10">
        <f>SUM(Table1[[#This Row],[Size A++ (&gt;25mm)]:[Adjusted Quantity]])</f>
        <v>22238</v>
      </c>
      <c r="R10" s="5">
        <f>Table1[[#This Row],[Total Qty]]/80</f>
        <v>277.97500000000002</v>
      </c>
    </row>
    <row r="11" spans="2:18" x14ac:dyDescent="0.3">
      <c r="B11" s="3">
        <v>46160</v>
      </c>
      <c r="C11" s="11">
        <f>WEEKNUM(Table1[[#This Row],[Date]])</f>
        <v>21</v>
      </c>
      <c r="D11" s="12" t="str">
        <f>TEXT(Table1[[#This Row],[Date]],"mmm-yy")</f>
        <v>May-26</v>
      </c>
      <c r="E11" s="12" t="s">
        <v>48</v>
      </c>
      <c r="F11" s="4" t="s">
        <v>21</v>
      </c>
      <c r="I11">
        <v>6409</v>
      </c>
      <c r="J11">
        <v>6452</v>
      </c>
      <c r="K11">
        <v>6490</v>
      </c>
      <c r="L11">
        <v>7933</v>
      </c>
      <c r="M11">
        <v>7250</v>
      </c>
      <c r="N11">
        <v>1661</v>
      </c>
      <c r="O11">
        <v>800</v>
      </c>
      <c r="P11">
        <v>3219</v>
      </c>
      <c r="Q11">
        <f>SUM(Table1[[#This Row],[Size A++ (&gt;25mm)]:[Adjusted Quantity]])</f>
        <v>40214</v>
      </c>
      <c r="R11" s="5">
        <f>Table1[[#This Row],[Total Qty]]/80</f>
        <v>502.67500000000001</v>
      </c>
    </row>
    <row r="12" spans="2:18" x14ac:dyDescent="0.3">
      <c r="B12" s="3">
        <v>46161</v>
      </c>
      <c r="C12" s="11">
        <f>WEEKNUM(Table1[[#This Row],[Date]])</f>
        <v>21</v>
      </c>
      <c r="D12" s="12" t="str">
        <f>TEXT(Table1[[#This Row],[Date]],"mmm-yy")</f>
        <v>May-26</v>
      </c>
      <c r="E12" s="12" t="s">
        <v>48</v>
      </c>
      <c r="F12" s="4" t="s">
        <v>22</v>
      </c>
      <c r="G12">
        <v>2413</v>
      </c>
      <c r="H12">
        <v>2402</v>
      </c>
      <c r="I12">
        <v>6472</v>
      </c>
      <c r="J12">
        <v>4248</v>
      </c>
      <c r="K12">
        <v>6535</v>
      </c>
      <c r="L12">
        <v>8081</v>
      </c>
      <c r="M12">
        <v>7227</v>
      </c>
      <c r="N12">
        <v>1609</v>
      </c>
      <c r="O12">
        <v>800</v>
      </c>
      <c r="P12">
        <v>4108</v>
      </c>
      <c r="Q12">
        <f>SUM(Table1[[#This Row],[Size A++ (&gt;25mm)]:[Adjusted Quantity]])</f>
        <v>43895</v>
      </c>
      <c r="R12" s="5">
        <f>Table1[[#This Row],[Total Qty]]/80</f>
        <v>548.6875</v>
      </c>
    </row>
    <row r="13" spans="2:18" x14ac:dyDescent="0.3">
      <c r="B13" s="3">
        <v>46162</v>
      </c>
      <c r="C13" s="11">
        <f>WEEKNUM(Table1[[#This Row],[Date]])</f>
        <v>21</v>
      </c>
      <c r="D13" s="12" t="str">
        <f>TEXT(Table1[[#This Row],[Date]],"mmm-yy")</f>
        <v>May-26</v>
      </c>
      <c r="E13" s="12" t="s">
        <v>48</v>
      </c>
      <c r="F13" s="4" t="s">
        <v>23</v>
      </c>
      <c r="G13">
        <v>5657</v>
      </c>
      <c r="H13">
        <v>6420</v>
      </c>
      <c r="I13">
        <v>12923</v>
      </c>
      <c r="J13">
        <v>6721</v>
      </c>
      <c r="K13">
        <v>11576</v>
      </c>
      <c r="L13">
        <v>11331</v>
      </c>
      <c r="M13">
        <v>14483</v>
      </c>
      <c r="N13">
        <v>4860</v>
      </c>
      <c r="O13">
        <v>2353</v>
      </c>
      <c r="P13">
        <v>5024</v>
      </c>
      <c r="Q13">
        <f>SUM(Table1[[#This Row],[Size A++ (&gt;25mm)]:[Adjusted Quantity]])</f>
        <v>81348</v>
      </c>
      <c r="R13" s="5">
        <f>Table1[[#This Row],[Total Qty]]/80</f>
        <v>1016.85</v>
      </c>
    </row>
    <row r="14" spans="2:18" x14ac:dyDescent="0.3">
      <c r="B14" s="3">
        <v>46163</v>
      </c>
      <c r="C14" s="11">
        <f>WEEKNUM(Table1[[#This Row],[Date]])</f>
        <v>21</v>
      </c>
      <c r="D14" s="12" t="str">
        <f>TEXT(Table1[[#This Row],[Date]],"mmm-yy")</f>
        <v>May-26</v>
      </c>
      <c r="E14" s="12" t="s">
        <v>48</v>
      </c>
      <c r="F14" s="4" t="s">
        <v>24</v>
      </c>
      <c r="G14">
        <v>2427</v>
      </c>
      <c r="H14">
        <v>2411</v>
      </c>
      <c r="I14">
        <v>6564</v>
      </c>
      <c r="J14">
        <v>4197</v>
      </c>
      <c r="K14">
        <v>7987</v>
      </c>
      <c r="L14">
        <v>8024</v>
      </c>
      <c r="M14">
        <v>7267</v>
      </c>
      <c r="N14">
        <v>2419</v>
      </c>
      <c r="O14">
        <v>805</v>
      </c>
      <c r="P14">
        <v>3318</v>
      </c>
      <c r="Q14">
        <f>SUM(Table1[[#This Row],[Size A++ (&gt;25mm)]:[Adjusted Quantity]])</f>
        <v>45419</v>
      </c>
      <c r="R14" s="5">
        <f>Table1[[#This Row],[Total Qty]]/80</f>
        <v>567.73749999999995</v>
      </c>
    </row>
    <row r="15" spans="2:18" x14ac:dyDescent="0.3">
      <c r="B15" s="3">
        <v>46166</v>
      </c>
      <c r="C15" s="11">
        <f>WEEKNUM(Table1[[#This Row],[Date]])</f>
        <v>22</v>
      </c>
      <c r="D15" s="12" t="str">
        <f>TEXT(Table1[[#This Row],[Date]],"mmm-yy")</f>
        <v>May-26</v>
      </c>
      <c r="E15" s="12" t="s">
        <v>48</v>
      </c>
      <c r="F15" s="4" t="s">
        <v>25</v>
      </c>
      <c r="G15">
        <v>4067</v>
      </c>
      <c r="H15">
        <v>4010</v>
      </c>
      <c r="J15">
        <v>16939</v>
      </c>
      <c r="K15">
        <v>9646</v>
      </c>
      <c r="L15">
        <v>13711</v>
      </c>
      <c r="M15">
        <v>7172</v>
      </c>
      <c r="N15">
        <v>3236</v>
      </c>
      <c r="O15">
        <v>1638</v>
      </c>
      <c r="P15">
        <v>3234</v>
      </c>
      <c r="Q15">
        <f>SUM(Table1[[#This Row],[Size A++ (&gt;25mm)]:[Adjusted Quantity]])</f>
        <v>63653</v>
      </c>
      <c r="R15" s="5">
        <f>Table1[[#This Row],[Total Qty]]/80</f>
        <v>795.66250000000002</v>
      </c>
    </row>
    <row r="16" spans="2:18" x14ac:dyDescent="0.3">
      <c r="B16" s="3">
        <v>46167</v>
      </c>
      <c r="C16" s="11">
        <f>WEEKNUM(Table1[[#This Row],[Date]])</f>
        <v>22</v>
      </c>
      <c r="D16" s="12" t="str">
        <f>TEXT(Table1[[#This Row],[Date]],"mmm-yy")</f>
        <v>May-26</v>
      </c>
      <c r="E16" s="12" t="s">
        <v>48</v>
      </c>
      <c r="F16" s="4" t="s">
        <v>26</v>
      </c>
      <c r="G16">
        <v>4105</v>
      </c>
      <c r="H16">
        <v>3979</v>
      </c>
      <c r="J16">
        <v>17623</v>
      </c>
      <c r="K16">
        <v>9640</v>
      </c>
      <c r="L16">
        <v>11217</v>
      </c>
      <c r="M16">
        <v>9329</v>
      </c>
      <c r="N16">
        <v>3245</v>
      </c>
      <c r="O16">
        <v>1605</v>
      </c>
      <c r="P16">
        <v>2432</v>
      </c>
      <c r="Q16">
        <f>SUM(Table1[[#This Row],[Size A++ (&gt;25mm)]:[Adjusted Quantity]])</f>
        <v>63175</v>
      </c>
      <c r="R16" s="5">
        <f>Table1[[#This Row],[Total Qty]]/80</f>
        <v>789.6875</v>
      </c>
    </row>
    <row r="17" spans="2:18" x14ac:dyDescent="0.3">
      <c r="B17" s="3">
        <v>46168</v>
      </c>
      <c r="C17" s="11">
        <f>WEEKNUM(Table1[[#This Row],[Date]])</f>
        <v>22</v>
      </c>
      <c r="D17" s="12" t="str">
        <f>TEXT(Table1[[#This Row],[Date]],"mmm-yy")</f>
        <v>May-26</v>
      </c>
      <c r="E17" s="12" t="s">
        <v>48</v>
      </c>
      <c r="F17" s="4" t="s">
        <v>27</v>
      </c>
      <c r="G17">
        <v>4188</v>
      </c>
      <c r="H17">
        <v>3997</v>
      </c>
      <c r="I17">
        <v>11393</v>
      </c>
      <c r="J17">
        <v>6497</v>
      </c>
      <c r="K17">
        <v>9743</v>
      </c>
      <c r="L17">
        <v>11274</v>
      </c>
      <c r="M17">
        <v>9595</v>
      </c>
      <c r="N17">
        <v>3241</v>
      </c>
      <c r="O17">
        <v>1602</v>
      </c>
      <c r="P17">
        <v>2503</v>
      </c>
      <c r="Q17">
        <f>SUM(Table1[[#This Row],[Size A++ (&gt;25mm)]:[Adjusted Quantity]])</f>
        <v>64033</v>
      </c>
      <c r="R17" s="5">
        <f>Table1[[#This Row],[Total Qty]]/80</f>
        <v>800.41250000000002</v>
      </c>
    </row>
    <row r="18" spans="2:18" x14ac:dyDescent="0.3">
      <c r="B18" s="3">
        <v>46169</v>
      </c>
      <c r="C18" s="11">
        <f>WEEKNUM(Table1[[#This Row],[Date]])</f>
        <v>22</v>
      </c>
      <c r="D18" s="12" t="str">
        <f>TEXT(Table1[[#This Row],[Date]],"mmm-yy")</f>
        <v>May-26</v>
      </c>
      <c r="E18" s="12" t="s">
        <v>48</v>
      </c>
      <c r="F18" s="4" t="s">
        <v>28</v>
      </c>
      <c r="G18">
        <v>4062</v>
      </c>
      <c r="H18">
        <v>4112</v>
      </c>
      <c r="I18">
        <v>11401</v>
      </c>
      <c r="J18">
        <v>4936</v>
      </c>
      <c r="K18">
        <v>9765</v>
      </c>
      <c r="L18">
        <v>10491</v>
      </c>
      <c r="M18">
        <v>10535</v>
      </c>
      <c r="N18">
        <v>3227</v>
      </c>
      <c r="O18">
        <v>1601</v>
      </c>
      <c r="Q18">
        <f>SUM(Table1[[#This Row],[Size A++ (&gt;25mm)]:[Adjusted Quantity]])</f>
        <v>60130</v>
      </c>
      <c r="R18" s="5">
        <f>Table1[[#This Row],[Total Qty]]/80</f>
        <v>751.625</v>
      </c>
    </row>
    <row r="19" spans="2:18" x14ac:dyDescent="0.3">
      <c r="B19" s="3">
        <v>46171</v>
      </c>
      <c r="C19" s="11">
        <f>WEEKNUM(Table1[[#This Row],[Date]])</f>
        <v>22</v>
      </c>
      <c r="D19" s="12" t="str">
        <f>TEXT(Table1[[#This Row],[Date]],"mmm-yy")</f>
        <v>May-26</v>
      </c>
      <c r="E19" s="12" t="s">
        <v>48</v>
      </c>
      <c r="F19" s="4" t="s">
        <v>29</v>
      </c>
      <c r="G19">
        <v>5750</v>
      </c>
      <c r="H19">
        <v>5550</v>
      </c>
      <c r="I19">
        <v>0</v>
      </c>
      <c r="J19">
        <v>21707</v>
      </c>
      <c r="K19">
        <v>12944</v>
      </c>
      <c r="L19">
        <v>13641</v>
      </c>
      <c r="M19">
        <v>14507</v>
      </c>
      <c r="N19">
        <v>4056</v>
      </c>
      <c r="O19">
        <v>2411</v>
      </c>
      <c r="P19">
        <v>4963</v>
      </c>
      <c r="Q19">
        <f>SUM(Table1[[#This Row],[Size A++ (&gt;25mm)]:[Adjusted Quantity]])</f>
        <v>85529</v>
      </c>
      <c r="R19" s="5">
        <f>Table1[[#This Row],[Total Qty]]/80</f>
        <v>1069.1125</v>
      </c>
    </row>
    <row r="20" spans="2:18" x14ac:dyDescent="0.3">
      <c r="B20" s="3">
        <v>46172</v>
      </c>
      <c r="C20" s="11">
        <f>WEEKNUM(Table1[[#This Row],[Date]])</f>
        <v>22</v>
      </c>
      <c r="D20" s="12" t="str">
        <f>TEXT(Table1[[#This Row],[Date]],"mmm-yy")</f>
        <v>May-26</v>
      </c>
      <c r="E20" s="12" t="s">
        <v>48</v>
      </c>
      <c r="F20" s="4" t="s">
        <v>32</v>
      </c>
      <c r="G20">
        <v>5690</v>
      </c>
      <c r="H20">
        <v>6390</v>
      </c>
      <c r="I20">
        <v>8024</v>
      </c>
      <c r="J20">
        <v>13782</v>
      </c>
      <c r="K20">
        <v>12867</v>
      </c>
      <c r="L20">
        <v>19197</v>
      </c>
      <c r="M20">
        <v>8789</v>
      </c>
      <c r="N20">
        <v>4822</v>
      </c>
      <c r="O20">
        <v>2417</v>
      </c>
      <c r="P20">
        <v>4836</v>
      </c>
      <c r="Q20">
        <f>SUM(Table1[[#This Row],[Size A++ (&gt;25mm)]:[Adjusted Quantity]])</f>
        <v>86814</v>
      </c>
      <c r="R20" s="5">
        <f>Table1[[#This Row],[Total Qty]]/80</f>
        <v>1085.175</v>
      </c>
    </row>
    <row r="21" spans="2:18" x14ac:dyDescent="0.3">
      <c r="B21" s="3">
        <v>46173</v>
      </c>
      <c r="C21" s="11">
        <f>WEEKNUM(Table1[[#This Row],[Date]])</f>
        <v>23</v>
      </c>
      <c r="D21" s="12" t="str">
        <f>TEXT(Table1[[#This Row],[Date]],"mmm-yy")</f>
        <v>May-26</v>
      </c>
      <c r="E21" s="12" t="s">
        <v>48</v>
      </c>
      <c r="F21" s="4" t="s">
        <v>33</v>
      </c>
      <c r="G21">
        <v>760</v>
      </c>
      <c r="H21">
        <v>2473</v>
      </c>
      <c r="I21">
        <v>3651</v>
      </c>
      <c r="J21">
        <v>5826</v>
      </c>
      <c r="K21">
        <v>12908</v>
      </c>
      <c r="L21">
        <v>10281</v>
      </c>
      <c r="M21">
        <v>0</v>
      </c>
      <c r="N21">
        <v>4561</v>
      </c>
      <c r="O21">
        <v>3196</v>
      </c>
      <c r="P21">
        <v>808</v>
      </c>
      <c r="Q21">
        <f>SUM(Table1[[#This Row],[Size A++ (&gt;25mm)]:[Adjusted Quantity]])</f>
        <v>44464</v>
      </c>
      <c r="R21" s="5">
        <f>Table1[[#This Row],[Total Qty]]/80</f>
        <v>555.79999999999995</v>
      </c>
    </row>
    <row r="22" spans="2:18" x14ac:dyDescent="0.3">
      <c r="B22" s="3">
        <v>46174</v>
      </c>
      <c r="C22" s="11">
        <f>WEEKNUM(Table1[[#This Row],[Date]])</f>
        <v>23</v>
      </c>
      <c r="D22" s="12" t="str">
        <f>TEXT(Table1[[#This Row],[Date]],"mmm-yy")</f>
        <v>Jun-26</v>
      </c>
      <c r="E22" s="12" t="s">
        <v>48</v>
      </c>
      <c r="F22" s="4" t="s">
        <v>34</v>
      </c>
      <c r="K22">
        <v>12991</v>
      </c>
      <c r="O22">
        <v>1604</v>
      </c>
      <c r="P22">
        <v>1652</v>
      </c>
      <c r="Q22">
        <f>SUM(Table1[[#This Row],[Size A++ (&gt;25mm)]:[Adjusted Quantity]])</f>
        <v>16247</v>
      </c>
      <c r="R22" s="5">
        <f>Table1[[#This Row],[Total Qty]]/80</f>
        <v>203.08750000000001</v>
      </c>
    </row>
    <row r="23" spans="2:18" x14ac:dyDescent="0.3">
      <c r="B23" s="3">
        <v>46174</v>
      </c>
      <c r="C23" s="11">
        <f>WEEKNUM(Table1[[#This Row],[Date]])</f>
        <v>23</v>
      </c>
      <c r="D23" s="12" t="str">
        <f>TEXT(Table1[[#This Row],[Date]],"mmm-yy")</f>
        <v>Jun-26</v>
      </c>
      <c r="E23" s="12" t="s">
        <v>48</v>
      </c>
      <c r="F23" s="4" t="s">
        <v>34</v>
      </c>
      <c r="G23">
        <v>2417</v>
      </c>
      <c r="H23">
        <v>1607</v>
      </c>
      <c r="I23">
        <v>6460</v>
      </c>
      <c r="J23">
        <v>6507</v>
      </c>
      <c r="L23">
        <v>9672</v>
      </c>
      <c r="M23">
        <v>8018</v>
      </c>
      <c r="N23">
        <v>3239</v>
      </c>
      <c r="O23">
        <v>1600</v>
      </c>
      <c r="Q23">
        <f>SUM(Table1[[#This Row],[Size A++ (&gt;25mm)]:[Adjusted Quantity]])</f>
        <v>39520</v>
      </c>
      <c r="R23" s="5">
        <f>Table1[[#This Row],[Total Qty]]/80</f>
        <v>494</v>
      </c>
    </row>
    <row r="24" spans="2:18" x14ac:dyDescent="0.3">
      <c r="B24" s="3">
        <v>46175</v>
      </c>
      <c r="C24" s="11">
        <f>WEEKNUM(Table1[[#This Row],[Date]])</f>
        <v>23</v>
      </c>
      <c r="D24" s="12" t="str">
        <f>TEXT(Table1[[#This Row],[Date]],"mmm-yy")</f>
        <v>Jun-26</v>
      </c>
      <c r="E24" s="12" t="s">
        <v>48</v>
      </c>
      <c r="F24" s="4" t="s">
        <v>35</v>
      </c>
      <c r="G24">
        <v>4028</v>
      </c>
      <c r="H24">
        <v>4089</v>
      </c>
      <c r="I24">
        <v>13223</v>
      </c>
      <c r="J24">
        <v>6595</v>
      </c>
      <c r="K24">
        <v>13112</v>
      </c>
      <c r="L24">
        <v>12959</v>
      </c>
      <c r="M24">
        <v>17053</v>
      </c>
      <c r="N24">
        <v>4027</v>
      </c>
      <c r="O24">
        <v>3209</v>
      </c>
      <c r="Q24">
        <f>SUM(Table1[[#This Row],[Size A++ (&gt;25mm)]:[Adjusted Quantity]])</f>
        <v>78295</v>
      </c>
      <c r="R24" s="5">
        <f>Table1[[#This Row],[Total Qty]]/80</f>
        <v>978.6875</v>
      </c>
    </row>
    <row r="25" spans="2:18" x14ac:dyDescent="0.3">
      <c r="B25" s="3">
        <v>46176</v>
      </c>
      <c r="C25" s="11">
        <f>WEEKNUM(Table1[[#This Row],[Date]])</f>
        <v>23</v>
      </c>
      <c r="D25" s="12" t="str">
        <f>TEXT(Table1[[#This Row],[Date]],"mmm-yy")</f>
        <v>Jun-26</v>
      </c>
      <c r="E25" s="12" t="s">
        <v>48</v>
      </c>
      <c r="F25" s="4" t="s">
        <v>37</v>
      </c>
      <c r="G25">
        <v>3589</v>
      </c>
      <c r="H25">
        <v>5003</v>
      </c>
      <c r="I25">
        <v>12993</v>
      </c>
      <c r="J25">
        <v>6656</v>
      </c>
      <c r="K25">
        <v>13056</v>
      </c>
      <c r="L25">
        <v>13016</v>
      </c>
      <c r="M25">
        <v>17191</v>
      </c>
      <c r="N25">
        <v>4046</v>
      </c>
      <c r="O25">
        <v>2166</v>
      </c>
      <c r="Q25">
        <f>SUM(Table1[[#This Row],[Size A++ (&gt;25mm)]:[Adjusted Quantity]])</f>
        <v>77716</v>
      </c>
      <c r="R25" s="5">
        <f>Table1[[#This Row],[Total Qty]]/80</f>
        <v>971.45</v>
      </c>
    </row>
    <row r="26" spans="2:18" x14ac:dyDescent="0.3">
      <c r="B26" s="3">
        <v>46177</v>
      </c>
      <c r="C26" s="11">
        <f>WEEKNUM(Table1[[#This Row],[Date]])</f>
        <v>23</v>
      </c>
      <c r="D26" s="12" t="str">
        <f>TEXT(Table1[[#This Row],[Date]],"mmm-yy")</f>
        <v>Jun-26</v>
      </c>
      <c r="E26" s="12" t="s">
        <v>48</v>
      </c>
      <c r="F26" s="4" t="s">
        <v>38</v>
      </c>
      <c r="G26">
        <v>4520</v>
      </c>
      <c r="H26">
        <v>4430</v>
      </c>
      <c r="I26">
        <v>13601</v>
      </c>
      <c r="J26">
        <v>7634</v>
      </c>
      <c r="K26">
        <v>23590</v>
      </c>
      <c r="L26">
        <v>12574</v>
      </c>
      <c r="M26">
        <v>8957</v>
      </c>
      <c r="N26">
        <v>6246</v>
      </c>
      <c r="O26">
        <v>5167</v>
      </c>
      <c r="Q26">
        <f>SUM(Table1[[#This Row],[Size A++ (&gt;25mm)]:[Adjusted Quantity]])</f>
        <v>86719</v>
      </c>
      <c r="R26" s="5">
        <f>Table1[[#This Row],[Total Qty]]/80</f>
        <v>1083.9875</v>
      </c>
    </row>
    <row r="27" spans="2:18" x14ac:dyDescent="0.3">
      <c r="B27" s="3">
        <v>46179</v>
      </c>
      <c r="C27" s="11">
        <f>WEEKNUM(Table1[[#This Row],[Date]])</f>
        <v>23</v>
      </c>
      <c r="D27" s="12" t="str">
        <f>TEXT(Table1[[#This Row],[Date]],"mmm-yy")</f>
        <v>Jun-26</v>
      </c>
      <c r="E27" s="12" t="s">
        <v>49</v>
      </c>
      <c r="F27" s="4" t="s">
        <v>39</v>
      </c>
      <c r="G27">
        <v>6479</v>
      </c>
      <c r="H27">
        <v>6442</v>
      </c>
      <c r="I27">
        <v>6626</v>
      </c>
      <c r="J27">
        <v>13135</v>
      </c>
      <c r="K27">
        <v>8073</v>
      </c>
      <c r="L27">
        <v>13019</v>
      </c>
      <c r="M27">
        <v>16914</v>
      </c>
      <c r="N27">
        <v>4902</v>
      </c>
      <c r="O27">
        <v>4133</v>
      </c>
      <c r="Q27">
        <f>SUM(Table1[[#This Row],[Size A++ (&gt;25mm)]:[Adjusted Quantity]])</f>
        <v>79723</v>
      </c>
      <c r="R27" s="5">
        <f>Table1[[#This Row],[Total Qty]]/80</f>
        <v>996.53750000000002</v>
      </c>
    </row>
    <row r="28" spans="2:18" x14ac:dyDescent="0.3">
      <c r="B28" s="3">
        <v>46180</v>
      </c>
      <c r="C28" s="11">
        <f>WEEKNUM(Table1[[#This Row],[Date]])</f>
        <v>24</v>
      </c>
      <c r="D28" s="12" t="str">
        <f>TEXT(Table1[[#This Row],[Date]],"mmm-yy")</f>
        <v>Jun-26</v>
      </c>
      <c r="E28" s="12" t="s">
        <v>49</v>
      </c>
      <c r="F28" s="4" t="s">
        <v>40</v>
      </c>
      <c r="G28">
        <v>5642</v>
      </c>
      <c r="H28">
        <v>6484</v>
      </c>
      <c r="I28">
        <v>9895</v>
      </c>
      <c r="J28">
        <v>10041</v>
      </c>
      <c r="K28">
        <v>14759</v>
      </c>
      <c r="L28">
        <v>12866</v>
      </c>
      <c r="M28">
        <v>16927</v>
      </c>
      <c r="N28">
        <v>4918</v>
      </c>
      <c r="O28">
        <v>2311</v>
      </c>
      <c r="Q28">
        <f>SUM(Table1[[#This Row],[Size A++ (&gt;25mm)]:[Adjusted Quantity]])</f>
        <v>83843</v>
      </c>
      <c r="R28" s="5">
        <f>Table1[[#This Row],[Total Qty]]/80</f>
        <v>1048.0374999999999</v>
      </c>
    </row>
    <row r="29" spans="2:18" x14ac:dyDescent="0.3">
      <c r="B29" s="3">
        <v>46181</v>
      </c>
      <c r="C29" s="11">
        <f>WEEKNUM(Table1[[#This Row],[Date]])</f>
        <v>24</v>
      </c>
      <c r="D29" s="12" t="str">
        <f>TEXT(Table1[[#This Row],[Date]],"mmm-yy")</f>
        <v>Jun-26</v>
      </c>
      <c r="E29" s="12" t="s">
        <v>49</v>
      </c>
      <c r="F29" s="4" t="s">
        <v>41</v>
      </c>
      <c r="G29">
        <v>4083</v>
      </c>
      <c r="H29">
        <v>3212</v>
      </c>
      <c r="I29">
        <v>11404</v>
      </c>
      <c r="J29">
        <v>9791</v>
      </c>
      <c r="K29">
        <v>14664</v>
      </c>
      <c r="L29">
        <v>12913</v>
      </c>
      <c r="M29">
        <v>16934</v>
      </c>
      <c r="N29">
        <v>4985</v>
      </c>
      <c r="O29">
        <v>2097</v>
      </c>
      <c r="Q29">
        <f>SUM(Table1[[#This Row],[Size A++ (&gt;25mm)]:[Adjusted Quantity]])</f>
        <v>80083</v>
      </c>
      <c r="R29" s="5">
        <f>Table1[[#This Row],[Total Qty]]/80</f>
        <v>1001.0375</v>
      </c>
    </row>
    <row r="30" spans="2:18" x14ac:dyDescent="0.3">
      <c r="B30" s="3">
        <v>46182</v>
      </c>
      <c r="C30" s="11">
        <f>WEEKNUM(Table1[[#This Row],[Date]])</f>
        <v>24</v>
      </c>
      <c r="D30" s="12" t="str">
        <f>TEXT(Table1[[#This Row],[Date]],"mmm-yy")</f>
        <v>Jun-26</v>
      </c>
      <c r="E30" s="12" t="s">
        <v>49</v>
      </c>
      <c r="F30" s="4" t="s">
        <v>42</v>
      </c>
      <c r="G30">
        <v>4074</v>
      </c>
      <c r="H30">
        <v>4931</v>
      </c>
      <c r="I30">
        <v>14641</v>
      </c>
      <c r="J30">
        <v>7350</v>
      </c>
      <c r="K30">
        <v>14608</v>
      </c>
      <c r="L30">
        <v>14477</v>
      </c>
      <c r="M30">
        <v>21666</v>
      </c>
      <c r="N30">
        <v>4805</v>
      </c>
      <c r="O30">
        <v>2767</v>
      </c>
      <c r="Q30">
        <f>SUM(Table1[[#This Row],[Size A++ (&gt;25mm)]:[Adjusted Quantity]])</f>
        <v>89319</v>
      </c>
      <c r="R30" s="5">
        <f>Table1[[#This Row],[Total Qty]]/80</f>
        <v>1116.4875</v>
      </c>
    </row>
    <row r="31" spans="2:18" x14ac:dyDescent="0.3">
      <c r="B31" s="3">
        <v>46183</v>
      </c>
      <c r="C31" s="11">
        <f>WEEKNUM(Table1[[#This Row],[Date]])</f>
        <v>24</v>
      </c>
      <c r="D31" s="12" t="str">
        <f>TEXT(Table1[[#This Row],[Date]],"mmm-yy")</f>
        <v>Jun-26</v>
      </c>
      <c r="E31" s="12" t="s">
        <v>49</v>
      </c>
      <c r="F31" s="4" t="s">
        <v>43</v>
      </c>
      <c r="G31">
        <v>4094</v>
      </c>
      <c r="H31">
        <v>3783</v>
      </c>
      <c r="I31">
        <v>7170</v>
      </c>
      <c r="J31">
        <v>14572</v>
      </c>
      <c r="K31">
        <v>14754</v>
      </c>
      <c r="L31">
        <v>14542</v>
      </c>
      <c r="M31">
        <v>21702</v>
      </c>
      <c r="N31">
        <v>4816</v>
      </c>
      <c r="O31">
        <v>2298</v>
      </c>
      <c r="Q31">
        <f>SUM(Table1[[#This Row],[Size A++ (&gt;25mm)]:[Adjusted Quantity]])</f>
        <v>87731</v>
      </c>
      <c r="R31" s="5">
        <f>Table1[[#This Row],[Total Qty]]/80</f>
        <v>1096.6375</v>
      </c>
    </row>
    <row r="32" spans="2:18" x14ac:dyDescent="0.3">
      <c r="B32" s="3">
        <v>46184</v>
      </c>
      <c r="C32" s="11">
        <f>WEEKNUM(Table1[[#This Row],[Date]])</f>
        <v>24</v>
      </c>
      <c r="D32" s="12" t="str">
        <f>TEXT(Table1[[#This Row],[Date]],"mmm-yy")</f>
        <v>Jun-26</v>
      </c>
      <c r="E32" s="12" t="s">
        <v>49</v>
      </c>
      <c r="F32" s="4" t="s">
        <v>44</v>
      </c>
      <c r="G32">
        <v>616</v>
      </c>
      <c r="H32">
        <v>0</v>
      </c>
      <c r="I32">
        <v>11295</v>
      </c>
      <c r="J32">
        <v>23017</v>
      </c>
      <c r="K32">
        <v>27376</v>
      </c>
      <c r="L32">
        <v>11282</v>
      </c>
      <c r="M32">
        <v>5778</v>
      </c>
      <c r="N32">
        <v>3587</v>
      </c>
      <c r="O32">
        <v>484</v>
      </c>
      <c r="P32">
        <v>27273.450000000012</v>
      </c>
      <c r="Q32">
        <f>SUM(Table1[[#This Row],[Size A++ (&gt;25mm)]:[Adjusted Quantity]])</f>
        <v>110708.45000000001</v>
      </c>
      <c r="R32" s="5">
        <f>Table1[[#This Row],[Total Qty]]/80</f>
        <v>1383.8556250000001</v>
      </c>
    </row>
    <row r="33" spans="2:18" x14ac:dyDescent="0.3">
      <c r="B33" s="3">
        <v>46186</v>
      </c>
      <c r="C33" s="11">
        <f>WEEKNUM(Table1[[#This Row],[Date]])</f>
        <v>24</v>
      </c>
      <c r="D33" s="12" t="str">
        <f>TEXT(Table1[[#This Row],[Date]],"mmm-yy")</f>
        <v>Jun-26</v>
      </c>
      <c r="E33" s="12" t="s">
        <v>53</v>
      </c>
      <c r="F33" s="4" t="s">
        <v>45</v>
      </c>
      <c r="L33">
        <v>14440</v>
      </c>
      <c r="M33">
        <v>19365</v>
      </c>
      <c r="N33">
        <v>4126</v>
      </c>
      <c r="O33">
        <v>3206</v>
      </c>
      <c r="Q33">
        <f>SUM(Table1[[#This Row],[Size A++ (&gt;25mm)]:[Adjusted Quantity]])</f>
        <v>41137</v>
      </c>
      <c r="R33" s="5">
        <f>Table1[[#This Row],[Total Qty]]/80</f>
        <v>514.21249999999998</v>
      </c>
    </row>
    <row r="34" spans="2:18" x14ac:dyDescent="0.3">
      <c r="B34" s="3">
        <v>46187</v>
      </c>
      <c r="C34" s="11">
        <f>WEEKNUM(Table1[[#This Row],[Date]])</f>
        <v>25</v>
      </c>
      <c r="D34" s="12" t="str">
        <f>TEXT(Table1[[#This Row],[Date]],"mmm-yy")</f>
        <v>Jun-26</v>
      </c>
      <c r="E34" s="12" t="s">
        <v>53</v>
      </c>
      <c r="F34" s="4" t="s">
        <v>46</v>
      </c>
      <c r="G34">
        <v>5746</v>
      </c>
      <c r="H34">
        <v>6457</v>
      </c>
      <c r="I34">
        <v>7232</v>
      </c>
      <c r="J34">
        <v>14457</v>
      </c>
      <c r="K34">
        <v>14554</v>
      </c>
      <c r="L34">
        <v>14514</v>
      </c>
      <c r="M34">
        <v>15337</v>
      </c>
      <c r="N34">
        <v>4009</v>
      </c>
      <c r="O34">
        <v>2401</v>
      </c>
      <c r="Q34">
        <f>SUM(Table1[[#This Row],[Size A++ (&gt;25mm)]:[Adjusted Quantity]])</f>
        <v>84707</v>
      </c>
      <c r="R34" s="5">
        <f>Table1[[#This Row],[Total Qty]]/80</f>
        <v>1058.8375000000001</v>
      </c>
    </row>
    <row r="35" spans="2:18" x14ac:dyDescent="0.3">
      <c r="B35" s="3">
        <v>46188</v>
      </c>
      <c r="C35" s="11">
        <f>WEEKNUM(Table1[[#This Row],[Date]])</f>
        <v>25</v>
      </c>
      <c r="D35" s="12" t="str">
        <f>TEXT(Table1[[#This Row],[Date]],"mmm-yy")</f>
        <v>Jun-26</v>
      </c>
      <c r="E35" s="12" t="s">
        <v>53</v>
      </c>
      <c r="F35" s="4" t="s">
        <v>47</v>
      </c>
      <c r="G35">
        <v>3722</v>
      </c>
      <c r="H35">
        <v>4029</v>
      </c>
      <c r="I35">
        <v>7231</v>
      </c>
      <c r="J35">
        <v>14448</v>
      </c>
      <c r="K35">
        <v>14714</v>
      </c>
      <c r="L35">
        <v>14448</v>
      </c>
      <c r="M35">
        <v>21839</v>
      </c>
      <c r="N35">
        <v>4804</v>
      </c>
      <c r="O35">
        <v>3200</v>
      </c>
      <c r="Q35">
        <f>SUM(Table1[[#This Row],[Size A++ (&gt;25mm)]:[Adjusted Quantity]])</f>
        <v>88435</v>
      </c>
      <c r="R35" s="5">
        <f>Table1[[#This Row],[Total Qty]]/80</f>
        <v>1105.4375</v>
      </c>
    </row>
    <row r="36" spans="2:18" x14ac:dyDescent="0.3">
      <c r="B36" s="3">
        <v>46189</v>
      </c>
      <c r="C36" s="11">
        <f>WEEKNUM(Table1[[#This Row],[Date]])</f>
        <v>25</v>
      </c>
      <c r="D36" s="12" t="str">
        <f>TEXT(Table1[[#This Row],[Date]],"mmm-yy")</f>
        <v>Jun-26</v>
      </c>
      <c r="E36" t="s">
        <v>53</v>
      </c>
      <c r="F36" t="s">
        <v>54</v>
      </c>
      <c r="G36">
        <v>3206</v>
      </c>
      <c r="H36">
        <v>6420</v>
      </c>
      <c r="I36">
        <v>14458</v>
      </c>
      <c r="J36">
        <v>10436</v>
      </c>
      <c r="K36">
        <v>20890</v>
      </c>
      <c r="L36">
        <v>19260</v>
      </c>
      <c r="M36">
        <v>16857</v>
      </c>
      <c r="N36">
        <v>3206</v>
      </c>
      <c r="O36">
        <v>2400</v>
      </c>
      <c r="Q36">
        <f>SUM(Table1[[#This Row],[Size A++ (&gt;25mm)]:[Adjusted Quantity]])</f>
        <v>97133</v>
      </c>
      <c r="R36" s="5">
        <f>Table1[[#This Row],[Total Qty]]/80</f>
        <v>1214.1624999999999</v>
      </c>
    </row>
    <row r="37" spans="2:18" x14ac:dyDescent="0.3">
      <c r="B37" s="3">
        <v>46190</v>
      </c>
      <c r="C37" s="11">
        <f>WEEKNUM(Table1[[#This Row],[Date]])</f>
        <v>25</v>
      </c>
      <c r="D37" s="12" t="str">
        <f>TEXT(Table1[[#This Row],[Date]],"mmm-yy")</f>
        <v>Jun-26</v>
      </c>
      <c r="E37" t="s">
        <v>53</v>
      </c>
      <c r="F37" t="s">
        <v>55</v>
      </c>
      <c r="G37">
        <v>5515</v>
      </c>
      <c r="H37">
        <v>6127</v>
      </c>
      <c r="I37">
        <v>16091</v>
      </c>
      <c r="J37">
        <v>8027</v>
      </c>
      <c r="K37">
        <v>16044</v>
      </c>
      <c r="L37">
        <v>14449</v>
      </c>
      <c r="M37">
        <v>21896</v>
      </c>
      <c r="N37">
        <v>5613</v>
      </c>
      <c r="O37">
        <v>3203</v>
      </c>
      <c r="Q37">
        <f>SUM(Table1[[#This Row],[Size A++ (&gt;25mm)]:[Adjusted Quantity]])</f>
        <v>96965</v>
      </c>
      <c r="R37" s="5">
        <f>Table1[[#This Row],[Total Qty]]/80</f>
        <v>1212.0625</v>
      </c>
    </row>
    <row r="38" spans="2:18" x14ac:dyDescent="0.3">
      <c r="B38" s="3">
        <v>46191</v>
      </c>
      <c r="C38" s="11">
        <f>WEEKNUM(Table1[[#This Row],[Date]])</f>
        <v>25</v>
      </c>
      <c r="D38" s="12" t="str">
        <f>TEXT(Table1[[#This Row],[Date]],"mmm-yy")</f>
        <v>Jun-26</v>
      </c>
      <c r="E38" t="s">
        <v>53</v>
      </c>
      <c r="F38" t="s">
        <v>56</v>
      </c>
      <c r="G38">
        <v>2860</v>
      </c>
      <c r="H38">
        <v>3236</v>
      </c>
      <c r="I38">
        <v>17711</v>
      </c>
      <c r="J38">
        <v>8829</v>
      </c>
      <c r="K38">
        <v>12843</v>
      </c>
      <c r="L38">
        <v>17659</v>
      </c>
      <c r="M38">
        <v>16893</v>
      </c>
      <c r="N38">
        <v>5614</v>
      </c>
      <c r="O38">
        <v>4000</v>
      </c>
      <c r="Q38">
        <f>SUM(Table1[[#This Row],[Size A++ (&gt;25mm)]:[Adjusted Quantity]])</f>
        <v>89645</v>
      </c>
      <c r="R38" s="5">
        <f>Table1[[#This Row],[Total Qty]]/80</f>
        <v>1120.5625</v>
      </c>
    </row>
    <row r="39" spans="2:18" x14ac:dyDescent="0.3">
      <c r="B39" s="3">
        <v>46194</v>
      </c>
      <c r="C39" s="11">
        <f>WEEKNUM(Table1[[#This Row],[Date]])</f>
        <v>26</v>
      </c>
      <c r="D39" s="12" t="str">
        <f>TEXT(Table1[[#This Row],[Date]],"mmm-yy")</f>
        <v>Jun-26</v>
      </c>
      <c r="E39" t="s">
        <v>53</v>
      </c>
      <c r="F39" t="s">
        <v>57</v>
      </c>
      <c r="G39">
        <v>801</v>
      </c>
      <c r="H39">
        <v>1609</v>
      </c>
      <c r="I39">
        <v>17672</v>
      </c>
      <c r="J39">
        <v>8831</v>
      </c>
      <c r="K39">
        <v>17732</v>
      </c>
      <c r="L39">
        <v>17692</v>
      </c>
      <c r="M39">
        <v>26458</v>
      </c>
      <c r="N39">
        <v>5620</v>
      </c>
      <c r="O39">
        <v>1284</v>
      </c>
      <c r="Q39">
        <f>SUM(Table1[[#This Row],[Size A++ (&gt;25mm)]:[Adjusted Quantity]])</f>
        <v>97699</v>
      </c>
      <c r="R39" s="5">
        <f>Table1[[#This Row],[Total Qty]]/80</f>
        <v>1221.2375</v>
      </c>
    </row>
    <row r="40" spans="2:18" x14ac:dyDescent="0.3">
      <c r="B40" s="3">
        <v>46195</v>
      </c>
      <c r="C40" s="11">
        <f>WEEKNUM(Table1[[#This Row],[Date]])</f>
        <v>26</v>
      </c>
      <c r="D40" s="12" t="str">
        <f>TEXT(Table1[[#This Row],[Date]],"mmm-yy")</f>
        <v>Jun-26</v>
      </c>
      <c r="E40" t="s">
        <v>53</v>
      </c>
      <c r="F40" t="s">
        <v>59</v>
      </c>
      <c r="G40">
        <v>4831</v>
      </c>
      <c r="H40">
        <v>5625</v>
      </c>
      <c r="I40">
        <v>17655</v>
      </c>
      <c r="J40">
        <v>8824</v>
      </c>
      <c r="K40">
        <v>17870</v>
      </c>
      <c r="L40">
        <v>17675</v>
      </c>
      <c r="M40">
        <v>26794</v>
      </c>
      <c r="N40">
        <v>5679</v>
      </c>
      <c r="O40">
        <v>4001</v>
      </c>
      <c r="Q40">
        <f>SUM(Table1[[#This Row],[Size A++ (&gt;25mm)]:[Adjusted Quantity]])</f>
        <v>108954</v>
      </c>
      <c r="R40" s="5">
        <f>Table1[[#This Row],[Total Qty]]/80</f>
        <v>1361.925</v>
      </c>
    </row>
    <row r="41" spans="2:18" x14ac:dyDescent="0.3">
      <c r="B41" s="3">
        <v>46196</v>
      </c>
      <c r="C41" s="11">
        <f>WEEKNUM(Table1[[#This Row],[Date]])</f>
        <v>26</v>
      </c>
      <c r="D41" s="12" t="str">
        <f>TEXT(Table1[[#This Row],[Date]],"mmm-yy")</f>
        <v>Jun-26</v>
      </c>
      <c r="E41" t="s">
        <v>53</v>
      </c>
      <c r="F41" t="s">
        <v>60</v>
      </c>
      <c r="G41">
        <v>1094</v>
      </c>
      <c r="H41">
        <v>0</v>
      </c>
      <c r="I41">
        <v>27399</v>
      </c>
      <c r="J41">
        <v>17794</v>
      </c>
      <c r="K41">
        <v>29189</v>
      </c>
      <c r="L41">
        <v>11274</v>
      </c>
      <c r="M41">
        <v>14047</v>
      </c>
      <c r="N41">
        <v>8920</v>
      </c>
      <c r="O41">
        <v>9029</v>
      </c>
      <c r="Q41">
        <f>SUM(Table1[[#This Row],[Size A++ (&gt;25mm)]:[Adjusted Quantity]])</f>
        <v>118746</v>
      </c>
      <c r="R41" s="5">
        <f>Table1[[#This Row],[Total Qty]]/80</f>
        <v>1484.325</v>
      </c>
    </row>
    <row r="42" spans="2:18" x14ac:dyDescent="0.3">
      <c r="B42" s="3">
        <v>46197</v>
      </c>
      <c r="C42" s="11">
        <f>WEEKNUM(Table1[[#This Row],[Date]])</f>
        <v>26</v>
      </c>
      <c r="D42" s="12" t="str">
        <f>TEXT(Table1[[#This Row],[Date]],"mmm-yy")</f>
        <v>Jun-26</v>
      </c>
      <c r="E42" t="s">
        <v>53</v>
      </c>
      <c r="F42" t="s">
        <v>61</v>
      </c>
      <c r="K42">
        <v>16586</v>
      </c>
      <c r="Q42">
        <f>SUM(Table1[[#This Row],[Size A++ (&gt;25mm)]:[Adjusted Quantity]])</f>
        <v>16586</v>
      </c>
      <c r="R42" s="5">
        <f>Table1[[#This Row],[Total Qty]]/80</f>
        <v>207.32499999999999</v>
      </c>
    </row>
    <row r="43" spans="2:18" x14ac:dyDescent="0.3">
      <c r="B43" s="3">
        <v>46197</v>
      </c>
      <c r="C43" s="11">
        <f>WEEKNUM(Table1[[#This Row],[Date]])</f>
        <v>26</v>
      </c>
      <c r="D43" s="12" t="str">
        <f>TEXT(Table1[[#This Row],[Date]],"mmm-yy")</f>
        <v>Jun-26</v>
      </c>
      <c r="E43" t="s">
        <v>58</v>
      </c>
      <c r="F43" t="s">
        <v>62</v>
      </c>
      <c r="I43">
        <v>4089</v>
      </c>
      <c r="J43">
        <v>7416</v>
      </c>
      <c r="K43">
        <v>7093</v>
      </c>
      <c r="L43">
        <v>8098</v>
      </c>
      <c r="M43">
        <v>6478</v>
      </c>
      <c r="N43">
        <v>3234</v>
      </c>
      <c r="O43">
        <v>800</v>
      </c>
      <c r="Q43">
        <f>SUM(Table1[[#This Row],[Size A++ (&gt;25mm)]:[Adjusted Quantity]])</f>
        <v>37208</v>
      </c>
      <c r="R43" s="5">
        <f>Table1[[#This Row],[Total Qty]]/80</f>
        <v>465.1</v>
      </c>
    </row>
    <row r="44" spans="2:18" x14ac:dyDescent="0.3">
      <c r="B44" s="3">
        <v>46198</v>
      </c>
      <c r="C44" s="11">
        <f>WEEKNUM(Table1[[#This Row],[Date]])</f>
        <v>26</v>
      </c>
      <c r="D44" s="12" t="str">
        <f>TEXT(Table1[[#This Row],[Date]],"mmm-yy")</f>
        <v>Jun-26</v>
      </c>
      <c r="E44" t="s">
        <v>58</v>
      </c>
      <c r="F44" t="s">
        <v>63</v>
      </c>
      <c r="G44">
        <v>4574</v>
      </c>
      <c r="H44">
        <v>5623</v>
      </c>
      <c r="I44">
        <v>17668</v>
      </c>
      <c r="J44">
        <v>8828</v>
      </c>
      <c r="K44">
        <v>17999</v>
      </c>
      <c r="L44">
        <v>17757</v>
      </c>
      <c r="M44">
        <v>26708</v>
      </c>
      <c r="N44">
        <v>5617</v>
      </c>
      <c r="O44">
        <v>4000</v>
      </c>
      <c r="Q44">
        <f>SUM(Table1[[#This Row],[Size A++ (&gt;25mm)]:[Adjusted Quantity]])</f>
        <v>108774</v>
      </c>
      <c r="R44" s="5">
        <f>Table1[[#This Row],[Total Qty]]/80</f>
        <v>1359.675</v>
      </c>
    </row>
    <row r="45" spans="2:18" x14ac:dyDescent="0.3">
      <c r="B45" s="3">
        <v>46200</v>
      </c>
      <c r="C45" s="11">
        <f>WEEKNUM(Table1[[#This Row],[Date]])</f>
        <v>26</v>
      </c>
      <c r="D45" s="12" t="str">
        <f>TEXT(Table1[[#This Row],[Date]],"mmm-yy")</f>
        <v>Jun-26</v>
      </c>
      <c r="E45" t="s">
        <v>58</v>
      </c>
      <c r="F45" t="s">
        <v>64</v>
      </c>
      <c r="G45">
        <v>6392</v>
      </c>
      <c r="H45">
        <v>6410</v>
      </c>
      <c r="I45">
        <v>17654</v>
      </c>
      <c r="J45">
        <v>8911</v>
      </c>
      <c r="K45">
        <v>17715</v>
      </c>
      <c r="L45">
        <v>17844</v>
      </c>
      <c r="M45">
        <v>26570</v>
      </c>
      <c r="N45">
        <v>5622</v>
      </c>
      <c r="O45">
        <v>4004</v>
      </c>
      <c r="Q45">
        <f>SUM(Table1[[#This Row],[Size A++ (&gt;25mm)]:[Adjusted Quantity]])</f>
        <v>111122</v>
      </c>
      <c r="R45" s="5">
        <f>Table1[[#This Row],[Total Qty]]/80</f>
        <v>1389.0250000000001</v>
      </c>
    </row>
    <row r="46" spans="2:18" x14ac:dyDescent="0.3">
      <c r="B46" s="3">
        <v>46201</v>
      </c>
      <c r="C46" s="11">
        <f>WEEKNUM(Table1[[#This Row],[Date]])</f>
        <v>27</v>
      </c>
      <c r="D46" s="12" t="str">
        <f>TEXT(Table1[[#This Row],[Date]],"mmm-yy")</f>
        <v>Jun-26</v>
      </c>
      <c r="E46" t="s">
        <v>58</v>
      </c>
      <c r="F46" t="s">
        <v>65</v>
      </c>
      <c r="G46">
        <v>352</v>
      </c>
      <c r="H46">
        <v>1891</v>
      </c>
      <c r="I46">
        <v>17656</v>
      </c>
      <c r="J46">
        <v>8846</v>
      </c>
      <c r="K46">
        <v>17702</v>
      </c>
      <c r="L46">
        <v>17653</v>
      </c>
      <c r="M46">
        <v>26699</v>
      </c>
      <c r="N46">
        <v>5663</v>
      </c>
      <c r="O46">
        <v>4007</v>
      </c>
      <c r="Q46">
        <f>SUM(Table1[[#This Row],[Size A++ (&gt;25mm)]:[Adjusted Quantity]])</f>
        <v>100469</v>
      </c>
      <c r="R46" s="5">
        <f>Table1[[#This Row],[Total Qty]]/80</f>
        <v>1255.8625</v>
      </c>
    </row>
    <row r="47" spans="2:18" x14ac:dyDescent="0.3">
      <c r="B47" s="3">
        <v>46202</v>
      </c>
      <c r="C47" s="11">
        <f>WEEKNUM(Table1[[#This Row],[Date]])</f>
        <v>27</v>
      </c>
      <c r="D47" s="12" t="str">
        <f>TEXT(Table1[[#This Row],[Date]],"mmm-yy")</f>
        <v>Jun-26</v>
      </c>
      <c r="E47" t="s">
        <v>58</v>
      </c>
      <c r="F47" t="s">
        <v>66</v>
      </c>
      <c r="G47">
        <v>3055</v>
      </c>
      <c r="H47">
        <v>4003</v>
      </c>
      <c r="I47">
        <v>17813</v>
      </c>
      <c r="J47">
        <v>8831</v>
      </c>
      <c r="K47">
        <v>17749</v>
      </c>
      <c r="L47">
        <v>17670</v>
      </c>
      <c r="M47">
        <v>26556</v>
      </c>
      <c r="N47">
        <v>5612</v>
      </c>
      <c r="O47">
        <v>4003</v>
      </c>
      <c r="Q47">
        <f>SUM(Table1[[#This Row],[Size A++ (&gt;25mm)]:[Adjusted Quantity]])</f>
        <v>105292</v>
      </c>
      <c r="R47" s="5">
        <f>Table1[[#This Row],[Total Qty]]/80</f>
        <v>1316.15</v>
      </c>
    </row>
    <row r="48" spans="2:18" x14ac:dyDescent="0.3">
      <c r="B48" s="3">
        <v>46203</v>
      </c>
      <c r="C48" s="11">
        <f>WEEKNUM(Table1[[#This Row],[Date]])</f>
        <v>27</v>
      </c>
      <c r="D48" s="12" t="str">
        <f>TEXT(Table1[[#This Row],[Date]],"mmm-yy")</f>
        <v>Jun-26</v>
      </c>
      <c r="E48" t="s">
        <v>58</v>
      </c>
      <c r="F48" t="s">
        <v>67</v>
      </c>
      <c r="G48">
        <v>4003</v>
      </c>
      <c r="H48">
        <v>4899</v>
      </c>
      <c r="I48">
        <v>12861</v>
      </c>
      <c r="J48">
        <v>13651</v>
      </c>
      <c r="K48">
        <v>17687</v>
      </c>
      <c r="L48">
        <v>20893</v>
      </c>
      <c r="M48">
        <v>23468</v>
      </c>
      <c r="N48">
        <v>5615</v>
      </c>
      <c r="O48">
        <v>4003</v>
      </c>
      <c r="Q48">
        <f>SUM(Table1[[#This Row],[Size A++ (&gt;25mm)]:[Adjusted Quantity]])</f>
        <v>107080</v>
      </c>
      <c r="R48" s="5">
        <f>Table1[[#This Row],[Total Qty]]/80</f>
        <v>1338.5</v>
      </c>
    </row>
    <row r="49" spans="2:18" x14ac:dyDescent="0.3">
      <c r="B49" s="3">
        <v>46204</v>
      </c>
      <c r="C49" s="11">
        <f>WEEKNUM(Table1[[#This Row],[Date]])</f>
        <v>27</v>
      </c>
      <c r="D49" s="12" t="str">
        <f>TEXT(Table1[[#This Row],[Date]],"mmm-yy")</f>
        <v>Jul-26</v>
      </c>
      <c r="E49" t="s">
        <v>58</v>
      </c>
      <c r="F49" t="s">
        <v>68</v>
      </c>
      <c r="G49">
        <v>0</v>
      </c>
      <c r="H49">
        <v>3209</v>
      </c>
      <c r="I49">
        <v>17664</v>
      </c>
      <c r="J49">
        <v>17648</v>
      </c>
      <c r="K49">
        <v>17712</v>
      </c>
      <c r="L49">
        <v>26491</v>
      </c>
      <c r="M49">
        <v>17763</v>
      </c>
      <c r="N49">
        <v>8119</v>
      </c>
      <c r="O49">
        <v>5608</v>
      </c>
      <c r="Q49">
        <f>SUM(Table1[[#This Row],[Size A++ (&gt;25mm)]:[Adjusted Quantity]])</f>
        <v>114214</v>
      </c>
      <c r="R49" s="5">
        <f>Table1[[#This Row],[Total Qty]]/80</f>
        <v>1427.675</v>
      </c>
    </row>
    <row r="50" spans="2:18" x14ac:dyDescent="0.3">
      <c r="B50" s="3">
        <v>46205</v>
      </c>
      <c r="C50" s="11">
        <f>WEEKNUM(Table1[[#This Row],[Date]])</f>
        <v>27</v>
      </c>
      <c r="D50" s="12" t="str">
        <f>TEXT(Table1[[#This Row],[Date]],"mmm-yy")</f>
        <v>Jul-26</v>
      </c>
      <c r="E50" t="s">
        <v>58</v>
      </c>
      <c r="F50" t="s">
        <v>69</v>
      </c>
      <c r="G50">
        <v>7963</v>
      </c>
      <c r="I50">
        <v>8823</v>
      </c>
      <c r="J50">
        <v>17649</v>
      </c>
      <c r="K50">
        <v>26553</v>
      </c>
      <c r="L50">
        <v>26514</v>
      </c>
      <c r="M50">
        <v>17827</v>
      </c>
      <c r="N50">
        <v>8022</v>
      </c>
      <c r="O50">
        <v>5605</v>
      </c>
      <c r="Q50">
        <f>SUM(Table1[[#This Row],[Size A++ (&gt;25mm)]:[Adjusted Quantity]])</f>
        <v>118956</v>
      </c>
      <c r="R50" s="5">
        <f>Table1[[#This Row],[Total Qty]]/80</f>
        <v>1486.95</v>
      </c>
    </row>
    <row r="51" spans="2:18" x14ac:dyDescent="0.3">
      <c r="B51" s="3">
        <v>46207</v>
      </c>
      <c r="C51" s="11">
        <f>WEEKNUM(Table1[[#This Row],[Date]])</f>
        <v>27</v>
      </c>
      <c r="D51" s="12" t="str">
        <f>TEXT(Table1[[#This Row],[Date]],"mmm-yy")</f>
        <v>Jul-26</v>
      </c>
      <c r="E51" s="12" t="s">
        <v>58</v>
      </c>
      <c r="F51" t="s">
        <v>70</v>
      </c>
      <c r="H51">
        <v>8813</v>
      </c>
      <c r="I51">
        <v>17766</v>
      </c>
      <c r="J51">
        <v>20900</v>
      </c>
      <c r="K51">
        <v>20965</v>
      </c>
      <c r="L51">
        <v>31393</v>
      </c>
      <c r="M51">
        <v>17847</v>
      </c>
      <c r="N51">
        <v>8043</v>
      </c>
      <c r="O51">
        <v>5607</v>
      </c>
      <c r="Q51">
        <f>SUM(Table1[[#This Row],[Size A++ (&gt;25mm)]:[Adjusted Quantity]])</f>
        <v>131334</v>
      </c>
      <c r="R51" s="5">
        <f>Table1[[#This Row],[Total Qty]]/80</f>
        <v>1641.675</v>
      </c>
    </row>
    <row r="52" spans="2:18" x14ac:dyDescent="0.3">
      <c r="B52" s="3">
        <v>46209</v>
      </c>
      <c r="C52" s="11">
        <f>WEEKNUM(Table1[[#This Row],[Date]])</f>
        <v>28</v>
      </c>
      <c r="D52" s="12" t="str">
        <f>TEXT(Table1[[#This Row],[Date]],"mmm-yy")</f>
        <v>Jul-26</v>
      </c>
      <c r="E52" s="12" t="s">
        <v>58</v>
      </c>
      <c r="F52" t="s">
        <v>71</v>
      </c>
      <c r="G52">
        <v>8826</v>
      </c>
      <c r="I52">
        <v>17668</v>
      </c>
      <c r="J52">
        <v>20877</v>
      </c>
      <c r="K52">
        <v>21024</v>
      </c>
      <c r="L52">
        <v>31400</v>
      </c>
      <c r="M52">
        <v>17927</v>
      </c>
      <c r="N52">
        <v>7229</v>
      </c>
      <c r="O52">
        <v>5609</v>
      </c>
      <c r="Q52">
        <f>SUM(Table1[[#This Row],[Size A++ (&gt;25mm)]:[Adjusted Quantity]])</f>
        <v>130560</v>
      </c>
      <c r="R52" s="5">
        <f>Table1[[#This Row],[Total Qty]]/80</f>
        <v>1632</v>
      </c>
    </row>
    <row r="53" spans="2:18" x14ac:dyDescent="0.3">
      <c r="B53" s="3">
        <v>46210</v>
      </c>
      <c r="C53" s="11">
        <f>WEEKNUM(Table1[[#This Row],[Date]])</f>
        <v>28</v>
      </c>
      <c r="D53" s="12" t="str">
        <f>TEXT(Table1[[#This Row],[Date]],"mmm-yy")</f>
        <v>Jul-26</v>
      </c>
      <c r="E53" s="12" t="s">
        <v>58</v>
      </c>
      <c r="F53" t="s">
        <v>72</v>
      </c>
      <c r="H53">
        <v>8816</v>
      </c>
      <c r="I53">
        <v>8824</v>
      </c>
      <c r="J53">
        <v>23262</v>
      </c>
      <c r="K53">
        <v>27521</v>
      </c>
      <c r="L53">
        <v>31339</v>
      </c>
      <c r="M53">
        <v>17985</v>
      </c>
      <c r="N53">
        <v>7293</v>
      </c>
      <c r="O53">
        <v>5672</v>
      </c>
      <c r="Q53">
        <f>SUM(Table1[[#This Row],[Size A++ (&gt;25mm)]:[Adjusted Quantity]])</f>
        <v>130712</v>
      </c>
      <c r="R53" s="5">
        <f>Table1[[#This Row],[Total Qty]]/80</f>
        <v>1633.9</v>
      </c>
    </row>
    <row r="54" spans="2:18" x14ac:dyDescent="0.3">
      <c r="B54" s="3">
        <v>46211</v>
      </c>
      <c r="C54" s="11">
        <f>WEEKNUM(Table1[[#This Row],[Date]])</f>
        <v>28</v>
      </c>
      <c r="D54" s="12" t="str">
        <f>TEXT(Table1[[#This Row],[Date]],"mmm-yy")</f>
        <v>Jul-26</v>
      </c>
      <c r="E54" s="12" t="s">
        <v>58</v>
      </c>
      <c r="F54" t="s">
        <v>73</v>
      </c>
      <c r="G54">
        <v>10417</v>
      </c>
      <c r="H54">
        <v>0</v>
      </c>
      <c r="I54">
        <v>8824</v>
      </c>
      <c r="J54">
        <v>20866</v>
      </c>
      <c r="K54">
        <v>41996</v>
      </c>
      <c r="L54">
        <v>26122</v>
      </c>
      <c r="M54">
        <v>4928</v>
      </c>
      <c r="N54">
        <v>7235</v>
      </c>
      <c r="O54">
        <v>5618</v>
      </c>
      <c r="Q54">
        <f>SUM(Table1[[#This Row],[Size A++ (&gt;25mm)]:[Adjusted Quantity]])</f>
        <v>126006</v>
      </c>
      <c r="R54" s="5">
        <f>Table1[[#This Row],[Total Qty]]/80</f>
        <v>1575.075</v>
      </c>
    </row>
    <row r="55" spans="2:18" x14ac:dyDescent="0.3">
      <c r="B55" s="3">
        <v>46212</v>
      </c>
      <c r="C55" s="11">
        <f>WEEKNUM(Table1[[#This Row],[Date]])</f>
        <v>28</v>
      </c>
      <c r="D55" s="12" t="str">
        <f>TEXT(Table1[[#This Row],[Date]],"mmm-yy")</f>
        <v>Jul-26</v>
      </c>
      <c r="E55" s="12" t="s">
        <v>58</v>
      </c>
      <c r="F55" t="s">
        <v>74</v>
      </c>
      <c r="H55">
        <v>8813</v>
      </c>
      <c r="I55">
        <v>8828</v>
      </c>
      <c r="J55">
        <v>11218</v>
      </c>
      <c r="K55">
        <v>21958</v>
      </c>
      <c r="L55">
        <v>5630</v>
      </c>
      <c r="M55">
        <v>14023</v>
      </c>
      <c r="N55">
        <v>7300</v>
      </c>
      <c r="O55">
        <v>3219</v>
      </c>
      <c r="Q55">
        <f>SUM(Table1[[#This Row],[Size A++ (&gt;25mm)]:[Adjusted Quantity]])</f>
        <v>80989</v>
      </c>
      <c r="R55" s="5">
        <f>Table1[[#This Row],[Total Qty]]/80</f>
        <v>1012.3625</v>
      </c>
    </row>
    <row r="56" spans="2:18" x14ac:dyDescent="0.3">
      <c r="B56" s="3">
        <v>46213</v>
      </c>
      <c r="C56" s="11">
        <f>WEEKNUM(Table1[[#This Row],[Date]])</f>
        <v>28</v>
      </c>
      <c r="D56" s="12" t="str">
        <f>TEXT(Table1[[#This Row],[Date]],"mmm-yy")</f>
        <v>Jul-26</v>
      </c>
      <c r="E56" s="12" t="s">
        <v>58</v>
      </c>
      <c r="F56" t="s">
        <v>75</v>
      </c>
      <c r="G56">
        <v>10417</v>
      </c>
      <c r="H56">
        <v>0</v>
      </c>
      <c r="I56">
        <v>8827</v>
      </c>
      <c r="J56">
        <v>20869</v>
      </c>
      <c r="K56">
        <v>31506</v>
      </c>
      <c r="L56">
        <v>31361</v>
      </c>
      <c r="M56">
        <v>17954</v>
      </c>
      <c r="N56">
        <v>7279</v>
      </c>
      <c r="O56">
        <v>5823</v>
      </c>
      <c r="Q56">
        <f>SUM(Table1[[#This Row],[Size A++ (&gt;25mm)]:[Adjusted Quantity]])</f>
        <v>134036</v>
      </c>
      <c r="R56" s="5">
        <f>Table1[[#This Row],[Total Qty]]/80</f>
        <v>1675.45</v>
      </c>
    </row>
    <row r="57" spans="2:18" x14ac:dyDescent="0.3">
      <c r="B57" s="3">
        <v>46214</v>
      </c>
      <c r="C57" s="11">
        <f>WEEKNUM(Table1[[#This Row],[Date]])</f>
        <v>28</v>
      </c>
      <c r="D57" s="12" t="str">
        <f>TEXT(Table1[[#This Row],[Date]],"mmm-yy")</f>
        <v>Jul-26</v>
      </c>
      <c r="E57" s="12" t="s">
        <v>58</v>
      </c>
      <c r="F57" t="s">
        <v>76</v>
      </c>
      <c r="G57">
        <v>0</v>
      </c>
      <c r="H57">
        <v>10417</v>
      </c>
      <c r="I57">
        <v>8845</v>
      </c>
      <c r="J57">
        <v>20858</v>
      </c>
      <c r="K57">
        <v>31526</v>
      </c>
      <c r="L57">
        <v>31375</v>
      </c>
      <c r="M57">
        <v>17995</v>
      </c>
      <c r="N57">
        <v>7303</v>
      </c>
      <c r="O57">
        <v>5614</v>
      </c>
      <c r="Q57">
        <f>SUM(Table1[[#This Row],[Size A++ (&gt;25mm)]:[Adjusted Quantity]])</f>
        <v>133933</v>
      </c>
      <c r="R57" s="5">
        <f>Table1[[#This Row],[Total Qty]]/80</f>
        <v>1674.1624999999999</v>
      </c>
    </row>
    <row r="58" spans="2:18" x14ac:dyDescent="0.3">
      <c r="B58" s="3">
        <v>46216</v>
      </c>
      <c r="C58" s="11">
        <f>WEEKNUM(Table1[[#This Row],[Date]])</f>
        <v>29</v>
      </c>
      <c r="D58" s="12" t="str">
        <f>TEXT(Table1[[#This Row],[Date]],"mmm-yy")</f>
        <v>Jul-26</v>
      </c>
      <c r="E58" s="12" t="s">
        <v>58</v>
      </c>
      <c r="F58" t="s">
        <v>77</v>
      </c>
      <c r="G58">
        <v>10432</v>
      </c>
      <c r="H58">
        <v>0</v>
      </c>
      <c r="I58">
        <v>10445</v>
      </c>
      <c r="J58">
        <v>20870</v>
      </c>
      <c r="K58">
        <v>31454</v>
      </c>
      <c r="L58">
        <v>31467</v>
      </c>
      <c r="M58">
        <v>17861</v>
      </c>
      <c r="N58">
        <v>7339</v>
      </c>
      <c r="O58">
        <v>5682</v>
      </c>
      <c r="Q58">
        <f>SUM(Table1[[#This Row],[Size A++ (&gt;25mm)]:[Adjusted Quantity]])</f>
        <v>135550</v>
      </c>
      <c r="R58" s="5">
        <f>Table1[[#This Row],[Total Qty]]/80</f>
        <v>1694.375</v>
      </c>
    </row>
    <row r="59" spans="2:18" x14ac:dyDescent="0.3">
      <c r="B59" s="3">
        <v>46217</v>
      </c>
      <c r="C59" s="11">
        <f>WEEKNUM(Table1[[#This Row],[Date]])</f>
        <v>29</v>
      </c>
      <c r="D59" s="12" t="str">
        <f>TEXT(Table1[[#This Row],[Date]],"mmm-yy")</f>
        <v>Jul-26</v>
      </c>
      <c r="E59" s="12" t="s">
        <v>58</v>
      </c>
      <c r="F59" t="s">
        <v>78</v>
      </c>
      <c r="G59">
        <v>0</v>
      </c>
      <c r="H59">
        <v>10416</v>
      </c>
      <c r="I59">
        <v>20864</v>
      </c>
      <c r="J59">
        <v>10429</v>
      </c>
      <c r="K59">
        <v>31440</v>
      </c>
      <c r="L59">
        <v>31289</v>
      </c>
      <c r="M59">
        <v>17826</v>
      </c>
      <c r="N59">
        <v>7220</v>
      </c>
      <c r="O59">
        <v>5603</v>
      </c>
      <c r="Q59">
        <f>SUM(Table1[[#This Row],[Size A++ (&gt;25mm)]:[Adjusted Quantity]])</f>
        <v>135087</v>
      </c>
      <c r="R59" s="5">
        <f>Table1[[#This Row],[Total Qty]]/80</f>
        <v>1688.5875000000001</v>
      </c>
    </row>
    <row r="60" spans="2:18" x14ac:dyDescent="0.3">
      <c r="B60" s="3">
        <v>46218</v>
      </c>
      <c r="C60" s="11">
        <f>WEEKNUM(Table1[[#This Row],[Date]])</f>
        <v>29</v>
      </c>
      <c r="D60" s="12" t="str">
        <f>TEXT(Table1[[#This Row],[Date]],"mmm-yy")</f>
        <v>Jul-26</v>
      </c>
      <c r="E60" s="12" t="s">
        <v>58</v>
      </c>
      <c r="F60" t="s">
        <v>79</v>
      </c>
      <c r="G60">
        <v>10414</v>
      </c>
      <c r="H60">
        <v>0</v>
      </c>
      <c r="I60">
        <v>20870</v>
      </c>
      <c r="J60">
        <v>20868</v>
      </c>
      <c r="K60">
        <v>21074</v>
      </c>
      <c r="L60">
        <v>31370</v>
      </c>
      <c r="M60">
        <v>17844</v>
      </c>
      <c r="N60">
        <v>7240</v>
      </c>
      <c r="O60">
        <v>3218</v>
      </c>
      <c r="Q60">
        <f>SUM(Table1[[#This Row],[Size A++ (&gt;25mm)]:[Adjusted Quantity]])</f>
        <v>132898</v>
      </c>
      <c r="R60" s="5">
        <f>Table1[[#This Row],[Total Qty]]/80</f>
        <v>1661.2249999999999</v>
      </c>
    </row>
    <row r="61" spans="2:18" x14ac:dyDescent="0.3">
      <c r="B61" s="3">
        <v>46219</v>
      </c>
      <c r="C61" s="11">
        <f>WEEKNUM(Table1[[#This Row],[Date]])</f>
        <v>29</v>
      </c>
      <c r="D61" s="12" t="str">
        <f>TEXT(Table1[[#This Row],[Date]],"mmm-yy")</f>
        <v>Jul-26</v>
      </c>
      <c r="E61" s="12" t="s">
        <v>58</v>
      </c>
      <c r="F61" t="s">
        <v>80</v>
      </c>
      <c r="G61">
        <v>7211</v>
      </c>
      <c r="H61">
        <v>10416</v>
      </c>
      <c r="I61">
        <v>20866</v>
      </c>
      <c r="J61">
        <v>20849</v>
      </c>
      <c r="K61">
        <v>10601</v>
      </c>
      <c r="L61">
        <v>31300</v>
      </c>
      <c r="M61">
        <v>17980</v>
      </c>
      <c r="N61">
        <v>7114</v>
      </c>
      <c r="O61">
        <v>3132</v>
      </c>
      <c r="Q61">
        <f>SUM(Table1[[#This Row],[Size A++ (&gt;25mm)]:[Adjusted Quantity]])</f>
        <v>129469</v>
      </c>
      <c r="R61" s="5">
        <f>Table1[[#This Row],[Total Qty]]/80</f>
        <v>1618.3625</v>
      </c>
    </row>
    <row r="62" spans="2:18" x14ac:dyDescent="0.3">
      <c r="B62" s="3">
        <v>46220</v>
      </c>
      <c r="C62" s="11">
        <f>WEEKNUM(Table1[[#This Row],[Date]])</f>
        <v>29</v>
      </c>
      <c r="D62" s="12" t="str">
        <f>TEXT(Table1[[#This Row],[Date]],"mmm-yy")</f>
        <v>Jul-26</v>
      </c>
      <c r="E62" s="12" t="s">
        <v>58</v>
      </c>
      <c r="F62" t="s">
        <v>81</v>
      </c>
      <c r="G62">
        <v>0</v>
      </c>
      <c r="H62">
        <v>10417</v>
      </c>
      <c r="I62">
        <v>20895</v>
      </c>
      <c r="J62">
        <v>31286</v>
      </c>
      <c r="K62">
        <v>21053</v>
      </c>
      <c r="L62">
        <v>9322</v>
      </c>
      <c r="M62">
        <v>4830</v>
      </c>
      <c r="N62">
        <v>0</v>
      </c>
      <c r="O62">
        <v>0</v>
      </c>
      <c r="Q62">
        <f>SUM(Table1[[#This Row],[Size A++ (&gt;25mm)]:[Adjusted Quantity]])</f>
        <v>97803</v>
      </c>
      <c r="R62" s="5">
        <f>Table1[[#This Row],[Total Qty]]/80</f>
        <v>1222.5374999999999</v>
      </c>
    </row>
    <row r="63" spans="2:18" x14ac:dyDescent="0.3">
      <c r="B63" s="3">
        <v>46221</v>
      </c>
      <c r="C63" s="11">
        <f>WEEKNUM(Table1[[#This Row],[Date]])</f>
        <v>29</v>
      </c>
      <c r="D63" s="12" t="str">
        <f>TEXT(Table1[[#This Row],[Date]],"mmm-yy")</f>
        <v>Jul-26</v>
      </c>
      <c r="E63" s="12" t="s">
        <v>58</v>
      </c>
      <c r="F63" t="s">
        <v>82</v>
      </c>
      <c r="G63">
        <v>11220</v>
      </c>
      <c r="H63">
        <v>12507</v>
      </c>
      <c r="I63">
        <v>9930</v>
      </c>
      <c r="J63">
        <v>13934</v>
      </c>
      <c r="K63">
        <v>6530</v>
      </c>
      <c r="L63">
        <v>0</v>
      </c>
      <c r="M63">
        <v>0</v>
      </c>
      <c r="N63">
        <v>0</v>
      </c>
      <c r="O63">
        <v>0</v>
      </c>
      <c r="P63">
        <v>0</v>
      </c>
      <c r="Q63">
        <f>SUM(Table1[[#This Row],[Size A++ (&gt;25mm)]:[Adjusted Quantity]])</f>
        <v>54121</v>
      </c>
      <c r="R63" s="5">
        <f>Table1[[#This Row],[Total Qty]]/80</f>
        <v>676.51250000000005</v>
      </c>
    </row>
    <row r="64" spans="2:18" x14ac:dyDescent="0.3">
      <c r="B64" s="3">
        <v>46222</v>
      </c>
      <c r="C64" s="11">
        <f>WEEKNUM(Table1[[#This Row],[Date]])</f>
        <v>30</v>
      </c>
      <c r="D64" s="12" t="str">
        <f>TEXT(Table1[[#This Row],[Date]],"mmm-yy")</f>
        <v>Jul-26</v>
      </c>
      <c r="E64" s="12" t="s">
        <v>83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f>SUM(Table1[[#This Row],[Size A++ (&gt;25mm)]:[Adjusted Quantity]])</f>
        <v>0</v>
      </c>
      <c r="R64" s="5">
        <f>Table1[[#This Row],[Total Qty]]/80</f>
        <v>0</v>
      </c>
    </row>
    <row r="65" spans="2:18" x14ac:dyDescent="0.3">
      <c r="B65" s="3">
        <v>46223</v>
      </c>
      <c r="C65" s="11">
        <f>WEEKNUM(Table1[[#This Row],[Date]])</f>
        <v>30</v>
      </c>
      <c r="D65" s="12" t="str">
        <f>TEXT(Table1[[#This Row],[Date]],"mmm-yy")</f>
        <v>Jul-26</v>
      </c>
      <c r="E65" s="12" t="s">
        <v>83</v>
      </c>
      <c r="F65" t="s">
        <v>84</v>
      </c>
      <c r="G65">
        <v>0</v>
      </c>
      <c r="H65">
        <v>10456</v>
      </c>
      <c r="I65">
        <v>24099</v>
      </c>
      <c r="J65">
        <v>24089</v>
      </c>
      <c r="K65">
        <v>24135</v>
      </c>
      <c r="L65">
        <v>36135</v>
      </c>
      <c r="M65">
        <v>19632</v>
      </c>
      <c r="N65">
        <v>7209</v>
      </c>
      <c r="O65">
        <v>5612</v>
      </c>
      <c r="Q65">
        <f>SUM(Table1[[#This Row],[Size A++ (&gt;25mm)]:[Adjusted Quantity]])</f>
        <v>151367</v>
      </c>
      <c r="R65" s="5">
        <f>Table1[[#This Row],[Total Qty]]/80</f>
        <v>1892.0875000000001</v>
      </c>
    </row>
    <row r="66" spans="2:18" x14ac:dyDescent="0.3">
      <c r="B66" s="3">
        <v>46224</v>
      </c>
      <c r="C66" s="11">
        <f>WEEKNUM(Table1[[#This Row],[Date]])</f>
        <v>30</v>
      </c>
      <c r="D66" s="12" t="str">
        <f>TEXT(Table1[[#This Row],[Date]],"mmm-yy")</f>
        <v>Jul-26</v>
      </c>
      <c r="E66" s="12" t="s">
        <v>83</v>
      </c>
      <c r="F66" t="s">
        <v>85</v>
      </c>
      <c r="G66">
        <v>10415</v>
      </c>
      <c r="H66">
        <v>0</v>
      </c>
      <c r="I66">
        <v>24108</v>
      </c>
      <c r="J66">
        <v>24069</v>
      </c>
      <c r="K66">
        <v>24236</v>
      </c>
      <c r="L66">
        <v>36149</v>
      </c>
      <c r="M66">
        <v>19459</v>
      </c>
      <c r="N66">
        <v>7309</v>
      </c>
      <c r="O66">
        <v>5542</v>
      </c>
      <c r="Q66">
        <f>SUM(Table1[[#This Row],[Size A++ (&gt;25mm)]:[Adjusted Quantity]])</f>
        <v>151287</v>
      </c>
      <c r="R66" s="5">
        <f>Table1[[#This Row],[Total Qty]]/80</f>
        <v>1891.0875000000001</v>
      </c>
    </row>
    <row r="67" spans="2:18" x14ac:dyDescent="0.3">
      <c r="B67" s="3">
        <v>46225</v>
      </c>
      <c r="C67" s="11">
        <f>WEEKNUM(Table1[[#This Row],[Date]])</f>
        <v>30</v>
      </c>
      <c r="D67" s="12" t="str">
        <f>TEXT(Table1[[#This Row],[Date]],"mmm-yy")</f>
        <v>Jul-26</v>
      </c>
      <c r="E67" s="12" t="s">
        <v>83</v>
      </c>
      <c r="F67" t="s">
        <v>86</v>
      </c>
      <c r="G67">
        <v>0</v>
      </c>
      <c r="H67">
        <v>10460</v>
      </c>
      <c r="I67">
        <v>24145</v>
      </c>
      <c r="J67">
        <v>24049</v>
      </c>
      <c r="K67">
        <v>24078</v>
      </c>
      <c r="L67">
        <v>36161</v>
      </c>
      <c r="M67">
        <v>19662</v>
      </c>
      <c r="N67">
        <v>7358</v>
      </c>
      <c r="O67">
        <v>5604</v>
      </c>
      <c r="Q67">
        <f>SUM(Table1[[#This Row],[Size A++ (&gt;25mm)]:[Adjusted Quantity]])</f>
        <v>151517</v>
      </c>
      <c r="R67" s="5">
        <f>Table1[[#This Row],[Total Qty]]/80</f>
        <v>1893.9625000000001</v>
      </c>
    </row>
    <row r="68" spans="2:18" x14ac:dyDescent="0.3">
      <c r="B68" s="3">
        <v>46226</v>
      </c>
      <c r="C68" s="11">
        <f>WEEKNUM(Table1[[#This Row],[Date]])</f>
        <v>30</v>
      </c>
      <c r="D68" s="12" t="str">
        <f>TEXT(Table1[[#This Row],[Date]],"mmm-yy")</f>
        <v>Jul-26</v>
      </c>
      <c r="E68" s="12" t="s">
        <v>83</v>
      </c>
      <c r="F68" t="s">
        <v>87</v>
      </c>
      <c r="G68">
        <v>10411</v>
      </c>
      <c r="H68">
        <v>12115</v>
      </c>
      <c r="I68">
        <v>12040</v>
      </c>
      <c r="J68">
        <v>24170</v>
      </c>
      <c r="K68">
        <v>36228</v>
      </c>
      <c r="L68">
        <v>24091</v>
      </c>
      <c r="M68">
        <v>19507</v>
      </c>
      <c r="N68">
        <v>7614</v>
      </c>
      <c r="O68">
        <v>5602</v>
      </c>
      <c r="Q68">
        <f>SUM(Table1[[#This Row],[Size A++ (&gt;25mm)]:[Adjusted Quantity]])</f>
        <v>151778</v>
      </c>
      <c r="R68" s="5">
        <f>Table1[[#This Row],[Total Qty]]/80</f>
        <v>1897.2249999999999</v>
      </c>
    </row>
    <row r="69" spans="2:18" x14ac:dyDescent="0.3">
      <c r="B69" s="3">
        <v>46227</v>
      </c>
      <c r="C69" s="11">
        <f>WEEKNUM(Table1[[#This Row],[Date]])</f>
        <v>30</v>
      </c>
      <c r="D69" s="12" t="str">
        <f>TEXT(Table1[[#This Row],[Date]],"mmm-yy")</f>
        <v>Jul-26</v>
      </c>
      <c r="E69" s="12" t="s">
        <v>83</v>
      </c>
      <c r="F69" t="s">
        <v>88</v>
      </c>
      <c r="G69">
        <v>8820</v>
      </c>
      <c r="H69">
        <v>8824</v>
      </c>
      <c r="I69">
        <v>0</v>
      </c>
      <c r="J69">
        <v>0</v>
      </c>
      <c r="K69">
        <v>8850</v>
      </c>
      <c r="L69">
        <v>17657</v>
      </c>
      <c r="M69">
        <v>17820</v>
      </c>
      <c r="N69">
        <v>7263</v>
      </c>
      <c r="O69">
        <v>5606</v>
      </c>
      <c r="Q69">
        <f>SUM(Table1[[#This Row],[Size A++ (&gt;25mm)]:[Adjusted Quantity]])</f>
        <v>74840</v>
      </c>
      <c r="R69" s="5">
        <f>Table1[[#This Row],[Total Qty]]/80</f>
        <v>935.5</v>
      </c>
    </row>
    <row r="70" spans="2:18" x14ac:dyDescent="0.3">
      <c r="B70" s="3">
        <v>46228</v>
      </c>
      <c r="C70" s="11">
        <f>WEEKNUM(Table1[[#This Row],[Date]])</f>
        <v>30</v>
      </c>
      <c r="D70" s="12" t="str">
        <f>TEXT(Table1[[#This Row],[Date]],"mmm-yy")</f>
        <v>Jul-26</v>
      </c>
      <c r="E70" s="12" t="s">
        <v>83</v>
      </c>
      <c r="F70" t="s">
        <v>89</v>
      </c>
      <c r="G70">
        <v>0</v>
      </c>
      <c r="H70">
        <v>10585</v>
      </c>
      <c r="I70">
        <v>20871</v>
      </c>
      <c r="J70">
        <v>24112</v>
      </c>
      <c r="K70">
        <v>36579</v>
      </c>
      <c r="L70">
        <v>26906</v>
      </c>
      <c r="M70">
        <v>9063</v>
      </c>
      <c r="N70">
        <v>4103</v>
      </c>
      <c r="O70">
        <v>1627</v>
      </c>
      <c r="Q70">
        <f>SUM(Table1[[#This Row],[Size A++ (&gt;25mm)]:[Adjusted Quantity]])</f>
        <v>133846</v>
      </c>
      <c r="R70" s="5">
        <f>Table1[[#This Row],[Total Qty]]/80</f>
        <v>1673.075</v>
      </c>
    </row>
    <row r="71" spans="2:18" x14ac:dyDescent="0.3">
      <c r="B71" s="3">
        <v>46230</v>
      </c>
      <c r="C71" s="11">
        <f>WEEKNUM(Table1[[#This Row],[Date]])</f>
        <v>31</v>
      </c>
      <c r="D71" s="12" t="str">
        <f>TEXT(Table1[[#This Row],[Date]],"mmm-yy")</f>
        <v>Jul-26</v>
      </c>
      <c r="E71" s="12" t="s">
        <v>83</v>
      </c>
      <c r="F71" t="s">
        <v>90</v>
      </c>
      <c r="G71">
        <v>11291</v>
      </c>
      <c r="H71">
        <v>0</v>
      </c>
      <c r="I71">
        <v>22471</v>
      </c>
      <c r="J71">
        <v>20070</v>
      </c>
      <c r="K71">
        <v>31334</v>
      </c>
      <c r="L71">
        <v>31411</v>
      </c>
      <c r="M71">
        <v>19443</v>
      </c>
      <c r="N71">
        <v>7211</v>
      </c>
      <c r="O71">
        <v>0</v>
      </c>
      <c r="Q71">
        <f>SUM(Table1[[#This Row],[Size A++ (&gt;25mm)]:[Adjusted Quantity]])</f>
        <v>143231</v>
      </c>
      <c r="R71" s="5">
        <f>Table1[[#This Row],[Total Qty]]/80</f>
        <v>1790.3875</v>
      </c>
    </row>
    <row r="72" spans="2:18" x14ac:dyDescent="0.3">
      <c r="B72" s="3">
        <v>46231</v>
      </c>
      <c r="C72" s="11">
        <f>WEEKNUM(Table1[[#This Row],[Date]])</f>
        <v>31</v>
      </c>
      <c r="D72" s="12" t="str">
        <f>TEXT(Table1[[#This Row],[Date]],"mmm-yy")</f>
        <v>Jul-26</v>
      </c>
      <c r="E72" t="s">
        <v>83</v>
      </c>
      <c r="F72" t="s">
        <v>91</v>
      </c>
      <c r="G72">
        <v>0</v>
      </c>
      <c r="H72">
        <v>11223</v>
      </c>
      <c r="I72">
        <v>22604</v>
      </c>
      <c r="J72">
        <v>22660</v>
      </c>
      <c r="K72">
        <v>32202</v>
      </c>
      <c r="L72">
        <v>29705</v>
      </c>
      <c r="M72">
        <v>14490</v>
      </c>
      <c r="N72">
        <v>0</v>
      </c>
      <c r="O72">
        <v>8006</v>
      </c>
      <c r="Q72">
        <f>SUM(Table1[[#This Row],[Size A++ (&gt;25mm)]:[Adjusted Quantity]])</f>
        <v>140890</v>
      </c>
      <c r="R72" s="5">
        <f>Table1[[#This Row],[Total Qty]]/80</f>
        <v>1761.125</v>
      </c>
    </row>
    <row r="73" spans="2:18" x14ac:dyDescent="0.3">
      <c r="B73" s="3">
        <v>46232</v>
      </c>
      <c r="C73" s="11">
        <f>WEEKNUM(Table1[[#This Row],[Date]])</f>
        <v>31</v>
      </c>
      <c r="D73" s="12" t="str">
        <f>TEXT(Table1[[#This Row],[Date]],"mmm-yy")</f>
        <v>Jul-26</v>
      </c>
      <c r="E73" t="s">
        <v>83</v>
      </c>
      <c r="F73" t="s">
        <v>92</v>
      </c>
      <c r="G73">
        <v>11247</v>
      </c>
      <c r="H73">
        <v>11265</v>
      </c>
      <c r="I73">
        <v>11243</v>
      </c>
      <c r="J73">
        <v>22621</v>
      </c>
      <c r="K73">
        <v>33351</v>
      </c>
      <c r="L73">
        <v>25679</v>
      </c>
      <c r="M73">
        <v>16038</v>
      </c>
      <c r="N73">
        <v>7259</v>
      </c>
      <c r="O73">
        <v>0</v>
      </c>
      <c r="Q73">
        <f>SUM(Table1[[#This Row],[Size A++ (&gt;25mm)]:[Adjusted Quantity]])</f>
        <v>138703</v>
      </c>
      <c r="R73" s="5">
        <f>Table1[[#This Row],[Total Qty]]/80</f>
        <v>1733.7874999999999</v>
      </c>
    </row>
    <row r="74" spans="2:18" x14ac:dyDescent="0.3">
      <c r="B74" s="3">
        <v>46233</v>
      </c>
      <c r="C74" s="11">
        <f>WEEKNUM(Table1[[#This Row],[Date]])</f>
        <v>31</v>
      </c>
      <c r="D74" s="12" t="str">
        <f>TEXT(Table1[[#This Row],[Date]],"mmm-yy")</f>
        <v>Jul-26</v>
      </c>
      <c r="E74" t="s">
        <v>83</v>
      </c>
      <c r="F74" t="s">
        <v>93</v>
      </c>
      <c r="G74">
        <v>11228</v>
      </c>
      <c r="H74">
        <v>11258</v>
      </c>
      <c r="I74">
        <v>11529</v>
      </c>
      <c r="J74">
        <v>25739</v>
      </c>
      <c r="K74">
        <v>27321</v>
      </c>
      <c r="L74">
        <v>25716</v>
      </c>
      <c r="M74">
        <v>13046</v>
      </c>
      <c r="N74">
        <v>0</v>
      </c>
      <c r="O74">
        <v>7215</v>
      </c>
      <c r="Q74">
        <f>SUM(Table1[[#This Row],[Size A++ (&gt;25mm)]:[Adjusted Quantity]])</f>
        <v>133052</v>
      </c>
      <c r="R74" s="5">
        <f>Table1[[#This Row],[Total Qty]]/80</f>
        <v>1663.15</v>
      </c>
    </row>
    <row r="75" spans="2:18" x14ac:dyDescent="0.3">
      <c r="B75" s="3">
        <v>46234</v>
      </c>
      <c r="C75" s="11">
        <f>WEEKNUM(Table1[[#This Row],[Date]])</f>
        <v>31</v>
      </c>
      <c r="D75" s="12" t="str">
        <f>TEXT(Table1[[#This Row],[Date]],"mmm-yy")</f>
        <v>Jul-26</v>
      </c>
      <c r="E75" t="s">
        <v>83</v>
      </c>
      <c r="F75" t="s">
        <v>94</v>
      </c>
      <c r="G75">
        <v>11231</v>
      </c>
      <c r="H75">
        <v>11290</v>
      </c>
      <c r="I75">
        <v>11363</v>
      </c>
      <c r="J75">
        <v>33742</v>
      </c>
      <c r="K75">
        <v>21067</v>
      </c>
      <c r="L75">
        <v>28084</v>
      </c>
      <c r="M75">
        <v>15512</v>
      </c>
      <c r="N75">
        <v>7273</v>
      </c>
      <c r="O75">
        <v>0</v>
      </c>
      <c r="Q75">
        <f>SUM(Table1[[#This Row],[Size A++ (&gt;25mm)]:[Adjusted Quantity]])</f>
        <v>139562</v>
      </c>
      <c r="R75" s="5">
        <f>Table1[[#This Row],[Total Qty]]/80</f>
        <v>1744.5250000000001</v>
      </c>
    </row>
    <row r="76" spans="2:18" x14ac:dyDescent="0.3">
      <c r="B76" s="3">
        <v>46236</v>
      </c>
      <c r="C76" s="11">
        <f>WEEKNUM(Table1[[#This Row],[Date]])</f>
        <v>32</v>
      </c>
      <c r="D76" s="12" t="str">
        <f>TEXT(Table1[[#This Row],[Date]],"mmm-yy")</f>
        <v>Aug-26</v>
      </c>
      <c r="E76" s="12" t="s">
        <v>83</v>
      </c>
      <c r="F76" t="s">
        <v>95</v>
      </c>
      <c r="G76">
        <v>11221</v>
      </c>
      <c r="H76">
        <v>11237</v>
      </c>
      <c r="I76">
        <v>22611</v>
      </c>
      <c r="J76">
        <v>22474</v>
      </c>
      <c r="K76">
        <v>11417</v>
      </c>
      <c r="Q76">
        <f>SUM(Table1[[#This Row],[Size A++ (&gt;25mm)]:[Adjusted Quantity]])</f>
        <v>78960</v>
      </c>
      <c r="R76" s="5">
        <f>Table1[[#This Row],[Total Qty]]/80</f>
        <v>987</v>
      </c>
    </row>
    <row r="77" spans="2:18" x14ac:dyDescent="0.3">
      <c r="B77" s="3">
        <v>46237</v>
      </c>
      <c r="C77" s="11">
        <f>WEEKNUM(Table1[[#This Row],[Date]])</f>
        <v>32</v>
      </c>
      <c r="D77" s="12" t="str">
        <f>TEXT(Table1[[#This Row],[Date]],"mmm-yy")</f>
        <v>Aug-26</v>
      </c>
      <c r="E77" s="12" t="s">
        <v>83</v>
      </c>
      <c r="F77" t="s">
        <v>96</v>
      </c>
      <c r="G77">
        <v>9620</v>
      </c>
      <c r="H77">
        <v>8095</v>
      </c>
      <c r="I77">
        <v>22619</v>
      </c>
      <c r="J77">
        <v>22575</v>
      </c>
      <c r="K77">
        <v>21209</v>
      </c>
      <c r="L77">
        <v>28238</v>
      </c>
      <c r="M77">
        <v>17269</v>
      </c>
      <c r="N77">
        <v>0</v>
      </c>
      <c r="O77">
        <v>7214</v>
      </c>
      <c r="Q77">
        <f>SUM(Table1[[#This Row],[Size A++ (&gt;25mm)]:[Adjusted Quantity]])</f>
        <v>136839</v>
      </c>
      <c r="R77" s="5">
        <f>Table1[[#This Row],[Total Qty]]/80</f>
        <v>1710.4875</v>
      </c>
    </row>
    <row r="78" spans="2:18" x14ac:dyDescent="0.3">
      <c r="B78" s="3">
        <v>46238</v>
      </c>
      <c r="C78" s="11">
        <f>WEEKNUM(Table1[[#This Row],[Date]])</f>
        <v>32</v>
      </c>
      <c r="D78" s="12" t="str">
        <f>TEXT(Table1[[#This Row],[Date]],"mmm-yy")</f>
        <v>Aug-26</v>
      </c>
      <c r="E78" s="12" t="s">
        <v>83</v>
      </c>
      <c r="F78" t="s">
        <v>97</v>
      </c>
      <c r="G78">
        <v>12093</v>
      </c>
      <c r="H78">
        <v>11243</v>
      </c>
      <c r="I78">
        <v>22508</v>
      </c>
      <c r="J78">
        <v>22673</v>
      </c>
      <c r="K78">
        <v>17876</v>
      </c>
      <c r="L78">
        <v>31413</v>
      </c>
      <c r="M78">
        <v>19772</v>
      </c>
      <c r="N78">
        <v>7320</v>
      </c>
      <c r="O78">
        <v>0</v>
      </c>
      <c r="Q78">
        <f>SUM(Table1[[#This Row],[Size A++ (&gt;25mm)]:[Adjusted Quantity]])</f>
        <v>144898</v>
      </c>
      <c r="R78" s="5">
        <f>Table1[[#This Row],[Total Qty]]/80</f>
        <v>1811.2249999999999</v>
      </c>
    </row>
    <row r="79" spans="2:18" x14ac:dyDescent="0.3">
      <c r="B79" s="3">
        <v>46239</v>
      </c>
      <c r="C79" s="11">
        <f>WEEKNUM(Table1[[#This Row],[Date]])</f>
        <v>32</v>
      </c>
      <c r="D79" s="12" t="str">
        <f>TEXT(Table1[[#This Row],[Date]],"mmm-yy")</f>
        <v>Aug-26</v>
      </c>
      <c r="E79" s="12" t="s">
        <v>83</v>
      </c>
      <c r="F79" t="s">
        <v>98</v>
      </c>
      <c r="G79">
        <v>12018</v>
      </c>
      <c r="H79">
        <v>12019</v>
      </c>
      <c r="I79">
        <v>22479</v>
      </c>
      <c r="J79">
        <v>22674</v>
      </c>
      <c r="K79">
        <v>22632</v>
      </c>
      <c r="L79">
        <v>31388</v>
      </c>
      <c r="M79">
        <v>19275</v>
      </c>
      <c r="N79">
        <v>7396</v>
      </c>
      <c r="O79">
        <v>0</v>
      </c>
      <c r="Q79">
        <f>SUM(Table1[[#This Row],[Size A++ (&gt;25mm)]:[Adjusted Quantity]])</f>
        <v>149881</v>
      </c>
      <c r="R79" s="5">
        <f>Table1[[#This Row],[Total Qty]]/80</f>
        <v>1873.5125</v>
      </c>
    </row>
    <row r="80" spans="2:18" x14ac:dyDescent="0.3">
      <c r="B80" s="3">
        <v>46240</v>
      </c>
      <c r="C80" s="11">
        <f>WEEKNUM(Table1[[#This Row],[Date]])</f>
        <v>32</v>
      </c>
      <c r="D80" s="12" t="str">
        <f>TEXT(Table1[[#This Row],[Date]],"mmm-yy")</f>
        <v>Aug-26</v>
      </c>
      <c r="E80" s="12" t="s">
        <v>83</v>
      </c>
      <c r="F80" t="s">
        <v>99</v>
      </c>
      <c r="G80">
        <v>12015</v>
      </c>
      <c r="H80">
        <v>9614</v>
      </c>
      <c r="I80">
        <v>22528</v>
      </c>
      <c r="J80">
        <v>24054</v>
      </c>
      <c r="K80">
        <v>22592</v>
      </c>
      <c r="L80">
        <v>31456</v>
      </c>
      <c r="M80">
        <v>17833</v>
      </c>
      <c r="N80">
        <v>0</v>
      </c>
      <c r="O80">
        <v>7213</v>
      </c>
      <c r="Q80">
        <f>SUM(Table1[[#This Row],[Size A++ (&gt;25mm)]:[Adjusted Quantity]])</f>
        <v>147305</v>
      </c>
      <c r="R80" s="5">
        <f>Table1[[#This Row],[Total Qty]]/80</f>
        <v>1841.3125</v>
      </c>
    </row>
    <row r="81" spans="2:18" x14ac:dyDescent="0.3">
      <c r="B81" s="3">
        <v>46242</v>
      </c>
      <c r="C81" s="11">
        <f>WEEKNUM(Table1[[#This Row],[Date]])</f>
        <v>32</v>
      </c>
      <c r="D81" s="12" t="str">
        <f>TEXT(Table1[[#This Row],[Date]],"mmm-yy")</f>
        <v>Aug-26</v>
      </c>
      <c r="E81" s="12" t="s">
        <v>83</v>
      </c>
      <c r="F81" t="s">
        <v>100</v>
      </c>
      <c r="G81">
        <v>745</v>
      </c>
      <c r="H81">
        <v>956</v>
      </c>
      <c r="I81">
        <v>18385</v>
      </c>
      <c r="J81">
        <v>24160</v>
      </c>
      <c r="K81">
        <v>19500</v>
      </c>
      <c r="L81">
        <v>16077</v>
      </c>
      <c r="M81">
        <v>2887</v>
      </c>
      <c r="N81">
        <v>7219</v>
      </c>
      <c r="O81">
        <v>0</v>
      </c>
      <c r="Q81">
        <f>SUM(Table1[[#This Row],[Size A++ (&gt;25mm)]:[Adjusted Quantity]])</f>
        <v>89929</v>
      </c>
      <c r="R81" s="5">
        <f>Table1[[#This Row],[Total Qty]]/80</f>
        <v>1124.1125</v>
      </c>
    </row>
    <row r="82" spans="2:18" x14ac:dyDescent="0.3">
      <c r="B82" s="3">
        <v>46244</v>
      </c>
      <c r="C82" s="11">
        <f>WEEKNUM(Table1[[#This Row],[Date]])</f>
        <v>33</v>
      </c>
      <c r="D82" s="12" t="str">
        <f>TEXT(Table1[[#This Row],[Date]],"mmm-yy")</f>
        <v>Aug-26</v>
      </c>
      <c r="E82" s="12" t="s">
        <v>83</v>
      </c>
      <c r="F82" t="s">
        <v>101</v>
      </c>
      <c r="G82">
        <v>4817</v>
      </c>
      <c r="H82">
        <v>4805</v>
      </c>
      <c r="I82">
        <v>16061</v>
      </c>
      <c r="J82">
        <v>24348</v>
      </c>
      <c r="K82">
        <v>19552</v>
      </c>
      <c r="L82">
        <v>24161</v>
      </c>
      <c r="M82">
        <v>19773</v>
      </c>
      <c r="N82">
        <v>0</v>
      </c>
      <c r="O82">
        <v>7382</v>
      </c>
      <c r="Q82">
        <f>SUM(Table1[[#This Row],[Size A++ (&gt;25mm)]:[Adjusted Quantity]])</f>
        <v>120899</v>
      </c>
      <c r="R82" s="5">
        <f>Table1[[#This Row],[Total Qty]]/80</f>
        <v>1511.2375</v>
      </c>
    </row>
    <row r="83" spans="2:18" x14ac:dyDescent="0.3">
      <c r="B83" s="3">
        <v>46245</v>
      </c>
      <c r="C83" s="11">
        <f>WEEKNUM(Table1[[#This Row],[Date]])</f>
        <v>33</v>
      </c>
      <c r="D83" s="12" t="str">
        <f>TEXT(Table1[[#This Row],[Date]],"mmm-yy")</f>
        <v>Aug-26</v>
      </c>
      <c r="E83" s="12" t="s">
        <v>83</v>
      </c>
      <c r="F83" t="s">
        <v>102</v>
      </c>
      <c r="G83">
        <v>7209</v>
      </c>
      <c r="H83">
        <v>0</v>
      </c>
      <c r="I83">
        <v>10522</v>
      </c>
      <c r="J83">
        <v>36162</v>
      </c>
      <c r="K83">
        <v>30758</v>
      </c>
      <c r="L83">
        <v>28890</v>
      </c>
      <c r="M83">
        <v>19477</v>
      </c>
      <c r="N83">
        <v>7221</v>
      </c>
      <c r="O83">
        <v>0</v>
      </c>
      <c r="Q83">
        <f>SUM(Table1[[#This Row],[Size A++ (&gt;25mm)]:[Adjusted Quantity]])</f>
        <v>140239</v>
      </c>
      <c r="R83" s="5">
        <f>Table1[[#This Row],[Total Qty]]/80</f>
        <v>1752.9875</v>
      </c>
    </row>
    <row r="84" spans="2:18" x14ac:dyDescent="0.3">
      <c r="B84" s="3">
        <v>46246</v>
      </c>
      <c r="C84" s="11">
        <f>WEEKNUM(Table1[[#This Row],[Date]])</f>
        <v>33</v>
      </c>
      <c r="D84" s="12" t="str">
        <f>TEXT(Table1[[#This Row],[Date]],"mmm-yy")</f>
        <v>Aug-26</v>
      </c>
      <c r="E84" s="12" t="s">
        <v>83</v>
      </c>
      <c r="F84" t="s">
        <v>103</v>
      </c>
      <c r="G84">
        <v>0</v>
      </c>
      <c r="H84">
        <v>12012</v>
      </c>
      <c r="I84">
        <v>11223</v>
      </c>
      <c r="J84">
        <v>36100</v>
      </c>
      <c r="K84">
        <v>33720</v>
      </c>
      <c r="L84">
        <v>21086</v>
      </c>
      <c r="M84">
        <v>20334</v>
      </c>
      <c r="N84">
        <v>7217</v>
      </c>
      <c r="O84">
        <v>7217</v>
      </c>
      <c r="Q84">
        <f>SUM(Table1[[#This Row],[Size A++ (&gt;25mm)]:[Adjusted Quantity]])</f>
        <v>148909</v>
      </c>
      <c r="R84" s="5">
        <f>Table1[[#This Row],[Total Qty]]/80</f>
        <v>1861.3625</v>
      </c>
    </row>
    <row r="85" spans="2:18" x14ac:dyDescent="0.3">
      <c r="B85" s="3">
        <v>46247</v>
      </c>
      <c r="C85" s="11">
        <f>WEEKNUM(Table1[[#This Row],[Date]])</f>
        <v>33</v>
      </c>
      <c r="D85" s="12" t="str">
        <f>TEXT(Table1[[#This Row],[Date]],"mmm-yy")</f>
        <v>Aug-26</v>
      </c>
      <c r="E85" s="12" t="s">
        <v>83</v>
      </c>
      <c r="F85" t="s">
        <v>104</v>
      </c>
      <c r="G85">
        <v>0</v>
      </c>
      <c r="H85">
        <v>12014</v>
      </c>
      <c r="I85">
        <v>11328</v>
      </c>
      <c r="J85">
        <v>36119</v>
      </c>
      <c r="K85">
        <v>36237</v>
      </c>
      <c r="L85">
        <v>20868</v>
      </c>
      <c r="M85">
        <v>21192</v>
      </c>
      <c r="N85">
        <v>7219</v>
      </c>
      <c r="O85">
        <v>7255</v>
      </c>
      <c r="Q85">
        <f>SUM(Table1[[#This Row],[Size A++ (&gt;25mm)]:[Adjusted Quantity]])</f>
        <v>152232</v>
      </c>
      <c r="R85" s="5">
        <f>Table1[[#This Row],[Total Qty]]/80</f>
        <v>1902.9</v>
      </c>
    </row>
    <row r="86" spans="2:18" x14ac:dyDescent="0.3">
      <c r="B86" s="3">
        <v>46248</v>
      </c>
      <c r="C86" s="11">
        <f>WEEKNUM(Table1[[#This Row],[Date]])</f>
        <v>33</v>
      </c>
      <c r="D86" s="12" t="str">
        <f>TEXT(Table1[[#This Row],[Date]],"mmm-yy")</f>
        <v>Aug-26</v>
      </c>
      <c r="E86" s="12" t="s">
        <v>83</v>
      </c>
      <c r="F86" t="s">
        <v>105</v>
      </c>
      <c r="G86">
        <v>12030</v>
      </c>
      <c r="H86">
        <v>0</v>
      </c>
      <c r="I86">
        <v>22469</v>
      </c>
      <c r="J86">
        <v>22462</v>
      </c>
      <c r="K86">
        <v>36217</v>
      </c>
      <c r="L86">
        <v>20935</v>
      </c>
      <c r="M86">
        <v>21376</v>
      </c>
      <c r="N86">
        <v>14432</v>
      </c>
      <c r="Q86">
        <f>SUM(Table1[[#This Row],[Size A++ (&gt;25mm)]:[Adjusted Quantity]])</f>
        <v>149921</v>
      </c>
      <c r="R86" s="5">
        <f>Table1[[#This Row],[Total Qty]]/80</f>
        <v>1874.0125</v>
      </c>
    </row>
    <row r="87" spans="2:18" x14ac:dyDescent="0.3">
      <c r="B87" s="3">
        <v>46251</v>
      </c>
      <c r="C87" s="11">
        <f>WEEKNUM(Table1[[#This Row],[Date]])</f>
        <v>34</v>
      </c>
      <c r="D87" s="12" t="str">
        <f>TEXT(Table1[[#This Row],[Date]],"mmm-yy")</f>
        <v>Aug-26</v>
      </c>
      <c r="E87" s="12" t="s">
        <v>83</v>
      </c>
      <c r="F87" t="s">
        <v>106</v>
      </c>
      <c r="G87">
        <v>8010</v>
      </c>
      <c r="H87">
        <v>0</v>
      </c>
      <c r="I87">
        <v>11241</v>
      </c>
      <c r="J87">
        <v>24229</v>
      </c>
      <c r="K87">
        <v>48656</v>
      </c>
      <c r="L87">
        <v>20872</v>
      </c>
      <c r="M87">
        <v>11553</v>
      </c>
      <c r="N87">
        <v>7223</v>
      </c>
      <c r="O87">
        <v>7242</v>
      </c>
      <c r="Q87">
        <f>SUM(Table1[[#This Row],[Size A++ (&gt;25mm)]:[Adjusted Quantity]])</f>
        <v>139026</v>
      </c>
      <c r="R87" s="5">
        <f>Table1[[#This Row],[Total Qty]]/80</f>
        <v>1737.825</v>
      </c>
    </row>
    <row r="88" spans="2:18" x14ac:dyDescent="0.3">
      <c r="B88" s="3">
        <v>46252</v>
      </c>
      <c r="C88" s="11">
        <f>WEEKNUM(Table1[[#This Row],[Date]])</f>
        <v>34</v>
      </c>
      <c r="D88" s="12" t="str">
        <f>TEXT(Table1[[#This Row],[Date]],"mmm-yy")</f>
        <v>Aug-26</v>
      </c>
      <c r="E88" s="12" t="s">
        <v>83</v>
      </c>
      <c r="F88" t="s">
        <v>107</v>
      </c>
      <c r="G88">
        <v>0</v>
      </c>
      <c r="H88">
        <v>12018</v>
      </c>
      <c r="I88">
        <v>12044</v>
      </c>
      <c r="J88">
        <v>24077</v>
      </c>
      <c r="K88">
        <v>48436</v>
      </c>
      <c r="L88">
        <v>20883</v>
      </c>
      <c r="M88">
        <v>18744</v>
      </c>
      <c r="N88">
        <v>14444</v>
      </c>
      <c r="O88">
        <v>0</v>
      </c>
      <c r="Q88">
        <f>SUM(Table1[[#This Row],[Size A++ (&gt;25mm)]:[Adjusted Quantity]])</f>
        <v>150646</v>
      </c>
      <c r="R88" s="5">
        <f>Table1[[#This Row],[Total Qty]]/80</f>
        <v>1883.075</v>
      </c>
    </row>
    <row r="89" spans="2:18" x14ac:dyDescent="0.3">
      <c r="B89" s="3">
        <v>46253</v>
      </c>
      <c r="C89" s="11">
        <f>WEEKNUM(Table1[[#This Row],[Date]])</f>
        <v>34</v>
      </c>
      <c r="D89" s="12" t="str">
        <f>TEXT(Table1[[#This Row],[Date]],"mmm-yy")</f>
        <v>Aug-26</v>
      </c>
      <c r="E89" s="12" t="s">
        <v>83</v>
      </c>
      <c r="F89" t="s">
        <v>108</v>
      </c>
      <c r="G89">
        <v>0</v>
      </c>
      <c r="H89">
        <v>12017</v>
      </c>
      <c r="I89">
        <v>12055</v>
      </c>
      <c r="J89">
        <v>24071</v>
      </c>
      <c r="K89">
        <v>46968</v>
      </c>
      <c r="L89">
        <v>33749</v>
      </c>
      <c r="M89">
        <v>10746</v>
      </c>
      <c r="N89">
        <v>7365</v>
      </c>
      <c r="O89">
        <v>7046</v>
      </c>
      <c r="Q89">
        <f>SUM(Table1[[#This Row],[Size A++ (&gt;25mm)]:[Adjusted Quantity]])</f>
        <v>154017</v>
      </c>
      <c r="R89" s="5">
        <f>Table1[[#This Row],[Total Qty]]/80</f>
        <v>1925.2125000000001</v>
      </c>
    </row>
    <row r="90" spans="2:18" x14ac:dyDescent="0.3">
      <c r="B90" s="3">
        <v>46254</v>
      </c>
      <c r="C90" s="11">
        <f>WEEKNUM(Table1[[#This Row],[Date]])</f>
        <v>34</v>
      </c>
      <c r="D90" s="12" t="str">
        <f>TEXT(Table1[[#This Row],[Date]],"mmm-yy")</f>
        <v>Aug-26</v>
      </c>
      <c r="E90" s="12" t="s">
        <v>83</v>
      </c>
      <c r="F90" t="s">
        <v>140</v>
      </c>
      <c r="G90">
        <v>12011</v>
      </c>
      <c r="H90">
        <v>0</v>
      </c>
      <c r="I90">
        <v>12036</v>
      </c>
      <c r="J90">
        <v>22459</v>
      </c>
      <c r="K90">
        <v>48610</v>
      </c>
      <c r="L90">
        <v>33784</v>
      </c>
      <c r="M90">
        <v>10869</v>
      </c>
      <c r="N90">
        <v>7402</v>
      </c>
      <c r="O90">
        <v>7221</v>
      </c>
      <c r="Q90">
        <f>SUM(Table1[[#This Row],[Size A++ (&gt;25mm)]:[Adjusted Quantity]])</f>
        <v>154392</v>
      </c>
      <c r="R90" s="5">
        <f>Table1[[#This Row],[Total Qty]]/80</f>
        <v>1929.9</v>
      </c>
    </row>
    <row r="91" spans="2:18" x14ac:dyDescent="0.3">
      <c r="B91" s="3">
        <v>46255</v>
      </c>
      <c r="C91" s="11">
        <f>WEEKNUM(Table1[[#This Row],[Date]])</f>
        <v>34</v>
      </c>
      <c r="D91" s="12" t="str">
        <f>TEXT(Table1[[#This Row],[Date]],"mmm-yy")</f>
        <v>Aug-26</v>
      </c>
      <c r="E91" s="12" t="s">
        <v>83</v>
      </c>
      <c r="F91" t="s">
        <v>141</v>
      </c>
      <c r="G91">
        <v>0</v>
      </c>
      <c r="H91">
        <v>12014</v>
      </c>
      <c r="I91">
        <v>12040</v>
      </c>
      <c r="J91">
        <v>24119</v>
      </c>
      <c r="K91">
        <v>45573</v>
      </c>
      <c r="L91">
        <v>33801</v>
      </c>
      <c r="M91">
        <v>10741</v>
      </c>
      <c r="N91">
        <v>7801</v>
      </c>
      <c r="O91">
        <v>7299</v>
      </c>
      <c r="Q91">
        <f>SUM(Table1[[#This Row],[Size A++ (&gt;25mm)]:[Adjusted Quantity]])</f>
        <v>153388</v>
      </c>
      <c r="R91" s="5">
        <f>Table1[[#This Row],[Total Qty]]/80</f>
        <v>1917.35</v>
      </c>
    </row>
    <row r="92" spans="2:18" x14ac:dyDescent="0.3">
      <c r="B92" s="3">
        <v>46256</v>
      </c>
      <c r="C92" s="11">
        <f>WEEKNUM(Table1[[#This Row],[Date]])</f>
        <v>34</v>
      </c>
      <c r="D92" s="12" t="str">
        <f>TEXT(Table1[[#This Row],[Date]],"mmm-yy")</f>
        <v>Aug-26</v>
      </c>
      <c r="E92" s="12" t="s">
        <v>83</v>
      </c>
      <c r="F92" t="s">
        <v>142</v>
      </c>
      <c r="G92">
        <v>0</v>
      </c>
      <c r="H92">
        <v>12015</v>
      </c>
      <c r="I92">
        <v>11224</v>
      </c>
      <c r="J92">
        <v>24205</v>
      </c>
      <c r="K92">
        <v>45883</v>
      </c>
      <c r="L92">
        <v>33834</v>
      </c>
      <c r="M92">
        <v>10723</v>
      </c>
      <c r="N92">
        <v>7373</v>
      </c>
      <c r="O92">
        <v>4815</v>
      </c>
      <c r="Q92">
        <f>SUM(Table1[[#This Row],[Size A++ (&gt;25mm)]:[Adjusted Quantity]])</f>
        <v>150072</v>
      </c>
      <c r="R92" s="5">
        <f>Table1[[#This Row],[Total Qty]]/80</f>
        <v>1875.9</v>
      </c>
    </row>
    <row r="93" spans="2:18" x14ac:dyDescent="0.3">
      <c r="B93" s="3">
        <v>46258</v>
      </c>
      <c r="C93" s="11">
        <f>WEEKNUM(Table1[[#This Row],[Date]])</f>
        <v>35</v>
      </c>
      <c r="D93" s="12" t="str">
        <f>TEXT(Table1[[#This Row],[Date]],"mmm-yy")</f>
        <v>Aug-26</v>
      </c>
      <c r="E93" s="12" t="s">
        <v>83</v>
      </c>
      <c r="F93" t="s">
        <v>143</v>
      </c>
      <c r="G93">
        <v>12059</v>
      </c>
      <c r="H93">
        <v>12021</v>
      </c>
      <c r="I93">
        <v>12049</v>
      </c>
      <c r="J93">
        <v>24070</v>
      </c>
      <c r="K93">
        <v>36188</v>
      </c>
      <c r="L93">
        <v>22526</v>
      </c>
      <c r="M93">
        <v>21377</v>
      </c>
      <c r="N93">
        <v>7241</v>
      </c>
      <c r="O93">
        <v>5558</v>
      </c>
      <c r="Q93">
        <f>SUM(Table1[[#This Row],[Size A++ (&gt;25mm)]:[Adjusted Quantity]])</f>
        <v>153089</v>
      </c>
      <c r="R93" s="5">
        <f>Table1[[#This Row],[Total Qty]]/80</f>
        <v>1913.6125</v>
      </c>
    </row>
    <row r="94" spans="2:18" x14ac:dyDescent="0.3">
      <c r="B94" s="3">
        <v>46259</v>
      </c>
      <c r="C94" s="11">
        <f>WEEKNUM(Table1[[#This Row],[Date]])</f>
        <v>35</v>
      </c>
      <c r="D94" s="12" t="str">
        <f>TEXT(Table1[[#This Row],[Date]],"mmm-yy")</f>
        <v>Aug-26</v>
      </c>
      <c r="E94" s="12" t="s">
        <v>83</v>
      </c>
      <c r="F94" t="s">
        <v>144</v>
      </c>
      <c r="G94">
        <v>12015</v>
      </c>
      <c r="H94">
        <v>12016</v>
      </c>
      <c r="I94">
        <v>12036</v>
      </c>
      <c r="J94">
        <v>24070</v>
      </c>
      <c r="K94">
        <v>36516</v>
      </c>
      <c r="L94">
        <v>22479</v>
      </c>
      <c r="M94">
        <v>22879</v>
      </c>
      <c r="N94">
        <v>7390</v>
      </c>
      <c r="O94">
        <v>5289</v>
      </c>
      <c r="Q94">
        <f>SUM(Table1[[#This Row],[Size A++ (&gt;25mm)]:[Adjusted Quantity]])</f>
        <v>154690</v>
      </c>
      <c r="R94" s="5">
        <f>Table1[[#This Row],[Total Qty]]/80</f>
        <v>1933.625</v>
      </c>
    </row>
    <row r="95" spans="2:18" x14ac:dyDescent="0.3">
      <c r="B95" s="3">
        <v>46260</v>
      </c>
      <c r="C95" s="11">
        <f>WEEKNUM(Table1[[#This Row],[Date]])</f>
        <v>35</v>
      </c>
      <c r="D95" s="12" t="str">
        <f>TEXT(Table1[[#This Row],[Date]],"mmm-yy")</f>
        <v>Aug-26</v>
      </c>
      <c r="E95" s="12" t="s">
        <v>83</v>
      </c>
      <c r="F95" t="s">
        <v>145</v>
      </c>
      <c r="G95">
        <v>7259</v>
      </c>
      <c r="I95">
        <v>9439</v>
      </c>
      <c r="J95">
        <v>8914</v>
      </c>
      <c r="K95">
        <v>9809</v>
      </c>
      <c r="M95">
        <v>9584</v>
      </c>
      <c r="Q95">
        <f>SUM(Table1[[#This Row],[Size A++ (&gt;25mm)]:[Adjusted Quantity]])</f>
        <v>45005</v>
      </c>
      <c r="R95" s="5">
        <f>Table1[[#This Row],[Total Qty]]/80</f>
        <v>562.5625</v>
      </c>
    </row>
    <row r="96" spans="2:18" x14ac:dyDescent="0.3">
      <c r="B96" s="3">
        <v>46261</v>
      </c>
      <c r="C96" s="11">
        <f>WEEKNUM(Table1[[#This Row],[Date]])</f>
        <v>35</v>
      </c>
      <c r="D96" s="12" t="str">
        <f>TEXT(Table1[[#This Row],[Date]],"mmm-yy")</f>
        <v>Aug-26</v>
      </c>
      <c r="E96" s="12" t="s">
        <v>146</v>
      </c>
      <c r="F96" t="s">
        <v>147</v>
      </c>
      <c r="G96">
        <v>0</v>
      </c>
      <c r="H96">
        <v>6316</v>
      </c>
      <c r="I96">
        <v>8186</v>
      </c>
      <c r="J96">
        <v>20713</v>
      </c>
      <c r="K96">
        <v>26720</v>
      </c>
      <c r="L96">
        <v>22539</v>
      </c>
      <c r="M96">
        <v>21360</v>
      </c>
      <c r="N96">
        <v>7228</v>
      </c>
      <c r="O96">
        <v>4016</v>
      </c>
      <c r="Q96">
        <f>SUM(Table1[[#This Row],[Size A++ (&gt;25mm)]:[Adjusted Quantity]])</f>
        <v>117078</v>
      </c>
      <c r="R96" s="5">
        <f>Table1[[#This Row],[Total Qty]]/80</f>
        <v>1463.4749999999999</v>
      </c>
    </row>
    <row r="97" spans="2:18" x14ac:dyDescent="0.3">
      <c r="B97" s="3">
        <v>46262</v>
      </c>
      <c r="C97" s="11">
        <f>WEEKNUM(Table1[[#This Row],[Date]])</f>
        <v>35</v>
      </c>
      <c r="D97" s="12" t="str">
        <f>TEXT(Table1[[#This Row],[Date]],"mmm-yy")</f>
        <v>Aug-26</v>
      </c>
      <c r="E97" s="12" t="s">
        <v>146</v>
      </c>
      <c r="F97" t="s">
        <v>148</v>
      </c>
      <c r="G97">
        <v>0</v>
      </c>
      <c r="H97">
        <v>12033</v>
      </c>
      <c r="I97">
        <v>12037</v>
      </c>
      <c r="J97">
        <v>24069</v>
      </c>
      <c r="K97">
        <v>36509</v>
      </c>
      <c r="L97">
        <v>33768</v>
      </c>
      <c r="M97">
        <v>21436</v>
      </c>
      <c r="N97">
        <v>7316</v>
      </c>
      <c r="O97">
        <v>7289</v>
      </c>
      <c r="Q97">
        <f>SUM(Table1[[#This Row],[Size A++ (&gt;25mm)]:[Adjusted Quantity]])</f>
        <v>154457</v>
      </c>
      <c r="R97" s="5">
        <f>Table1[[#This Row],[Total Qty]]/80</f>
        <v>1930.7125000000001</v>
      </c>
    </row>
    <row r="98" spans="2:18" x14ac:dyDescent="0.3">
      <c r="B98" s="3">
        <v>46263</v>
      </c>
      <c r="C98" s="11">
        <f>WEEKNUM(Table1[[#This Row],[Date]])</f>
        <v>35</v>
      </c>
      <c r="D98" s="12" t="str">
        <f>TEXT(Table1[[#This Row],[Date]],"mmm-yy")</f>
        <v>Aug-26</v>
      </c>
      <c r="E98" s="12" t="s">
        <v>146</v>
      </c>
      <c r="F98" t="s">
        <v>149</v>
      </c>
      <c r="G98">
        <v>12055</v>
      </c>
      <c r="H98">
        <v>0</v>
      </c>
      <c r="I98">
        <v>12038</v>
      </c>
      <c r="J98">
        <v>24088</v>
      </c>
      <c r="K98">
        <v>36233</v>
      </c>
      <c r="L98">
        <v>33750</v>
      </c>
      <c r="M98">
        <v>21350</v>
      </c>
      <c r="N98">
        <v>7239</v>
      </c>
      <c r="O98">
        <v>5609</v>
      </c>
      <c r="Q98">
        <f>SUM(Table1[[#This Row],[Size A++ (&gt;25mm)]:[Adjusted Quantity]])</f>
        <v>152362</v>
      </c>
      <c r="R98" s="5">
        <f>Table1[[#This Row],[Total Qty]]/80</f>
        <v>1904.5250000000001</v>
      </c>
    </row>
    <row r="99" spans="2:18" x14ac:dyDescent="0.3">
      <c r="B99" s="3">
        <v>46265</v>
      </c>
      <c r="C99" s="11">
        <f>WEEKNUM(Table1[[#This Row],[Date]])</f>
        <v>36</v>
      </c>
      <c r="D99" s="12" t="str">
        <f>TEXT(Table1[[#This Row],[Date]],"mmm-yy")</f>
        <v>Aug-26</v>
      </c>
      <c r="E99" s="12" t="s">
        <v>146</v>
      </c>
      <c r="F99" t="s">
        <v>150</v>
      </c>
      <c r="G99">
        <v>0</v>
      </c>
      <c r="H99">
        <v>12072</v>
      </c>
      <c r="I99">
        <v>12077</v>
      </c>
      <c r="J99">
        <v>24161</v>
      </c>
      <c r="K99">
        <v>36308</v>
      </c>
      <c r="L99">
        <v>33977</v>
      </c>
      <c r="M99">
        <v>21481</v>
      </c>
      <c r="N99">
        <v>7241</v>
      </c>
      <c r="O99">
        <v>4812</v>
      </c>
      <c r="Q99">
        <f>SUM(Table1[[#This Row],[Size A++ (&gt;25mm)]:[Adjusted Quantity]])</f>
        <v>152129</v>
      </c>
      <c r="R99" s="5">
        <f>Table1[[#This Row],[Total Qty]]/80</f>
        <v>1901.6125</v>
      </c>
    </row>
    <row r="100" spans="2:18" x14ac:dyDescent="0.3">
      <c r="B100" s="3">
        <v>46266</v>
      </c>
      <c r="C100" s="11">
        <f>WEEKNUM(Table1[[#This Row],[Date]])</f>
        <v>36</v>
      </c>
      <c r="D100" s="12" t="str">
        <f>TEXT(Table1[[#This Row],[Date]],"mmm-yy")</f>
        <v>Sep-26</v>
      </c>
      <c r="E100" s="12" t="s">
        <v>146</v>
      </c>
      <c r="F100" t="s">
        <v>151</v>
      </c>
      <c r="G100">
        <v>12131</v>
      </c>
      <c r="H100">
        <v>0</v>
      </c>
      <c r="I100">
        <v>12132</v>
      </c>
      <c r="J100">
        <v>22468</v>
      </c>
      <c r="K100">
        <v>29491</v>
      </c>
      <c r="L100">
        <v>33797</v>
      </c>
      <c r="M100">
        <v>21323</v>
      </c>
      <c r="N100">
        <v>7234</v>
      </c>
      <c r="O100">
        <v>3207</v>
      </c>
      <c r="Q100">
        <f>SUM(Table1[[#This Row],[Size A++ (&gt;25mm)]:[Adjusted Quantity]])</f>
        <v>141783</v>
      </c>
      <c r="R100" s="5">
        <f>Table1[[#This Row],[Total Qty]]/80</f>
        <v>1772.2874999999999</v>
      </c>
    </row>
    <row r="101" spans="2:18" x14ac:dyDescent="0.3">
      <c r="B101" s="3">
        <v>46267</v>
      </c>
      <c r="C101" s="11">
        <f>WEEKNUM(Table1[[#This Row],[Date]])</f>
        <v>36</v>
      </c>
      <c r="D101" s="12" t="str">
        <f>TEXT(Table1[[#This Row],[Date]],"mmm-yy")</f>
        <v>Sep-26</v>
      </c>
      <c r="E101" s="12" t="s">
        <v>146</v>
      </c>
      <c r="F101" t="s">
        <v>152</v>
      </c>
      <c r="G101">
        <v>0</v>
      </c>
      <c r="H101">
        <v>12017</v>
      </c>
      <c r="I101">
        <v>24319</v>
      </c>
      <c r="J101">
        <v>12041</v>
      </c>
      <c r="K101">
        <v>36815</v>
      </c>
      <c r="L101">
        <v>33736</v>
      </c>
      <c r="M101">
        <v>21253</v>
      </c>
      <c r="N101">
        <v>7254</v>
      </c>
      <c r="O101">
        <v>7264</v>
      </c>
      <c r="Q101">
        <f>SUM(Table1[[#This Row],[Size A++ (&gt;25mm)]:[Adjusted Quantity]])</f>
        <v>154699</v>
      </c>
      <c r="R101" s="5">
        <f>Table1[[#This Row],[Total Qty]]/80</f>
        <v>1933.7375</v>
      </c>
    </row>
    <row r="102" spans="2:18" x14ac:dyDescent="0.3">
      <c r="B102" s="3">
        <v>46268</v>
      </c>
      <c r="C102" s="11">
        <f>WEEKNUM(Table1[[#This Row],[Date]])</f>
        <v>36</v>
      </c>
      <c r="D102" s="12" t="str">
        <f>TEXT(Table1[[#This Row],[Date]],"mmm-yy")</f>
        <v>Sep-26</v>
      </c>
      <c r="E102" s="12" t="s">
        <v>146</v>
      </c>
      <c r="F102" t="s">
        <v>153</v>
      </c>
      <c r="G102">
        <v>12020</v>
      </c>
      <c r="H102">
        <v>0</v>
      </c>
      <c r="I102">
        <v>24130</v>
      </c>
      <c r="J102">
        <v>12135</v>
      </c>
      <c r="K102">
        <v>36270</v>
      </c>
      <c r="L102">
        <v>33718</v>
      </c>
      <c r="M102">
        <v>21290</v>
      </c>
      <c r="N102">
        <v>7298</v>
      </c>
      <c r="O102">
        <v>7363</v>
      </c>
      <c r="Q102">
        <f>SUM(Table1[[#This Row],[Size A++ (&gt;25mm)]:[Adjusted Quantity]])</f>
        <v>154224</v>
      </c>
      <c r="R102" s="5">
        <f>Table1[[#This Row],[Total Qty]]/80</f>
        <v>1927.8</v>
      </c>
    </row>
    <row r="103" spans="2:18" x14ac:dyDescent="0.3">
      <c r="B103" s="3">
        <v>46269</v>
      </c>
      <c r="C103" s="11">
        <f>WEEKNUM(Table1[[#This Row],[Date]])</f>
        <v>36</v>
      </c>
      <c r="D103" s="12" t="str">
        <f>TEXT(Table1[[#This Row],[Date]],"mmm-yy")</f>
        <v>Sep-26</v>
      </c>
      <c r="E103" s="12" t="s">
        <v>146</v>
      </c>
      <c r="F103" t="s">
        <v>154</v>
      </c>
      <c r="G103">
        <v>0</v>
      </c>
      <c r="H103">
        <v>12018</v>
      </c>
      <c r="I103">
        <v>12032</v>
      </c>
      <c r="J103">
        <v>24068</v>
      </c>
      <c r="K103">
        <v>36635</v>
      </c>
      <c r="L103">
        <v>35319</v>
      </c>
      <c r="M103">
        <v>21350</v>
      </c>
      <c r="N103">
        <v>7222</v>
      </c>
      <c r="O103">
        <v>4106</v>
      </c>
      <c r="Q103">
        <f>SUM(Table1[[#This Row],[Size A++ (&gt;25mm)]:[Adjusted Quantity]])</f>
        <v>152750</v>
      </c>
      <c r="R103" s="5">
        <f>Table1[[#This Row],[Total Qty]]/80</f>
        <v>1909.375</v>
      </c>
    </row>
    <row r="104" spans="2:18" x14ac:dyDescent="0.3">
      <c r="B104" s="3">
        <v>46270</v>
      </c>
      <c r="C104" s="11">
        <f>WEEKNUM(Table1[[#This Row],[Date]])</f>
        <v>36</v>
      </c>
      <c r="D104" s="12" t="str">
        <f>TEXT(Table1[[#This Row],[Date]],"mmm-yy")</f>
        <v>Sep-26</v>
      </c>
      <c r="E104" s="12" t="s">
        <v>146</v>
      </c>
      <c r="F104" t="s">
        <v>155</v>
      </c>
      <c r="G104">
        <v>12061</v>
      </c>
      <c r="H104">
        <v>12026</v>
      </c>
      <c r="I104">
        <v>12043</v>
      </c>
      <c r="J104">
        <v>12034</v>
      </c>
      <c r="K104">
        <v>36495</v>
      </c>
      <c r="L104">
        <v>32926</v>
      </c>
      <c r="M104">
        <v>20905</v>
      </c>
      <c r="N104">
        <v>7223</v>
      </c>
      <c r="O104">
        <v>6414</v>
      </c>
      <c r="Q104">
        <f>SUM(Table1[[#This Row],[Size A++ (&gt;25mm)]:[Adjusted Quantity]])</f>
        <v>152127</v>
      </c>
      <c r="R104" s="5">
        <f>Table1[[#This Row],[Total Qty]]/80</f>
        <v>1901.5875000000001</v>
      </c>
    </row>
    <row r="105" spans="2:18" x14ac:dyDescent="0.3">
      <c r="B105" s="3">
        <v>46272</v>
      </c>
      <c r="C105" s="11">
        <f>WEEKNUM(Table1[[#This Row],[Date]])</f>
        <v>37</v>
      </c>
      <c r="D105" s="12" t="str">
        <f>TEXT(Table1[[#This Row],[Date]],"mmm-yy")</f>
        <v>Sep-26</v>
      </c>
      <c r="E105" s="12" t="s">
        <v>146</v>
      </c>
      <c r="F105" t="s">
        <v>156</v>
      </c>
      <c r="G105">
        <v>0</v>
      </c>
      <c r="H105">
        <v>12021</v>
      </c>
      <c r="I105">
        <v>12154</v>
      </c>
      <c r="J105">
        <v>24059</v>
      </c>
      <c r="K105">
        <v>36271</v>
      </c>
      <c r="L105">
        <v>33720</v>
      </c>
      <c r="M105">
        <v>21397</v>
      </c>
      <c r="N105">
        <v>7312</v>
      </c>
      <c r="O105">
        <v>6411</v>
      </c>
      <c r="Q105">
        <f>SUM(Table1[[#This Row],[Size A++ (&gt;25mm)]:[Adjusted Quantity]])</f>
        <v>153345</v>
      </c>
      <c r="R105" s="5">
        <f>Table1[[#This Row],[Total Qty]]/80</f>
        <v>1916.8125</v>
      </c>
    </row>
    <row r="106" spans="2:18" x14ac:dyDescent="0.3">
      <c r="B106" s="3">
        <v>46273</v>
      </c>
      <c r="C106" s="11">
        <f>WEEKNUM(Table1[[#This Row],[Date]])</f>
        <v>37</v>
      </c>
      <c r="D106" s="12" t="str">
        <f>TEXT(Table1[[#This Row],[Date]],"mmm-yy")</f>
        <v>Sep-26</v>
      </c>
      <c r="E106" s="12" t="s">
        <v>146</v>
      </c>
      <c r="F106" t="s">
        <v>157</v>
      </c>
      <c r="G106">
        <v>12016</v>
      </c>
      <c r="H106">
        <v>0</v>
      </c>
      <c r="I106">
        <v>12144</v>
      </c>
      <c r="J106">
        <v>24092</v>
      </c>
      <c r="K106">
        <v>36554</v>
      </c>
      <c r="L106">
        <v>33741</v>
      </c>
      <c r="M106">
        <v>21455</v>
      </c>
      <c r="N106">
        <v>7309</v>
      </c>
      <c r="O106">
        <v>6408</v>
      </c>
      <c r="Q106">
        <f>SUM(Table1[[#This Row],[Size A++ (&gt;25mm)]:[Adjusted Quantity]])</f>
        <v>153719</v>
      </c>
      <c r="R106" s="5">
        <f>Table1[[#This Row],[Total Qty]]/80</f>
        <v>1921.4875</v>
      </c>
    </row>
    <row r="107" spans="2:18" x14ac:dyDescent="0.3">
      <c r="B107" s="3">
        <v>46274</v>
      </c>
      <c r="C107" s="11">
        <f>WEEKNUM(Table1[[#This Row],[Date]])</f>
        <v>37</v>
      </c>
      <c r="D107" s="12" t="str">
        <f>TEXT(Table1[[#This Row],[Date]],"mmm-yy")</f>
        <v>Sep-26</v>
      </c>
      <c r="E107" s="12" t="s">
        <v>146</v>
      </c>
      <c r="F107" t="s">
        <v>158</v>
      </c>
      <c r="G107">
        <v>12015</v>
      </c>
      <c r="H107">
        <v>12093</v>
      </c>
      <c r="I107">
        <v>12052</v>
      </c>
      <c r="J107">
        <v>24077</v>
      </c>
      <c r="K107">
        <v>36375</v>
      </c>
      <c r="L107">
        <v>32343</v>
      </c>
      <c r="M107">
        <v>10530</v>
      </c>
      <c r="N107">
        <v>7499</v>
      </c>
      <c r="O107">
        <v>6428</v>
      </c>
      <c r="Q107">
        <f>SUM(Table1[[#This Row],[Size A++ (&gt;25mm)]:[Adjusted Quantity]])</f>
        <v>153412</v>
      </c>
      <c r="R107" s="5">
        <f>Table1[[#This Row],[Total Qty]]/80</f>
        <v>1917.65</v>
      </c>
    </row>
    <row r="108" spans="2:18" x14ac:dyDescent="0.3">
      <c r="B108" s="3">
        <v>46275</v>
      </c>
      <c r="C108" s="11">
        <f>WEEKNUM(Table1[[#This Row],[Date]])</f>
        <v>37</v>
      </c>
      <c r="D108" s="12" t="str">
        <f>TEXT(Table1[[#This Row],[Date]],"mmm-yy")</f>
        <v>Sep-26</v>
      </c>
      <c r="E108" s="12" t="s">
        <v>146</v>
      </c>
      <c r="F108" t="s">
        <v>159</v>
      </c>
      <c r="G108">
        <v>12231</v>
      </c>
      <c r="H108">
        <v>12161</v>
      </c>
      <c r="I108">
        <v>12091</v>
      </c>
      <c r="J108">
        <v>24071</v>
      </c>
      <c r="K108">
        <v>36491</v>
      </c>
      <c r="L108">
        <v>32410</v>
      </c>
      <c r="M108">
        <v>10894</v>
      </c>
      <c r="N108">
        <v>7299</v>
      </c>
      <c r="O108">
        <v>6404</v>
      </c>
      <c r="Q108">
        <f>SUM(Table1[[#This Row],[Size A++ (&gt;25mm)]:[Adjusted Quantity]])</f>
        <v>154052</v>
      </c>
      <c r="R108" s="5">
        <f>Table1[[#This Row],[Total Qty]]/80</f>
        <v>1925.65</v>
      </c>
    </row>
    <row r="109" spans="2:18" x14ac:dyDescent="0.3">
      <c r="B109" s="3">
        <v>46276</v>
      </c>
      <c r="C109" s="11">
        <f>WEEKNUM(Table1[[#This Row],[Date]])</f>
        <v>37</v>
      </c>
      <c r="D109" s="12" t="str">
        <f>TEXT(Table1[[#This Row],[Date]],"mmm-yy")</f>
        <v>Sep-26</v>
      </c>
      <c r="E109" s="12" t="s">
        <v>146</v>
      </c>
      <c r="F109" t="s">
        <v>160</v>
      </c>
      <c r="G109">
        <v>12065</v>
      </c>
      <c r="H109">
        <v>12135</v>
      </c>
      <c r="I109">
        <v>12051</v>
      </c>
      <c r="J109">
        <v>24077</v>
      </c>
      <c r="K109">
        <v>36468</v>
      </c>
      <c r="L109">
        <v>32405</v>
      </c>
      <c r="M109">
        <v>10852</v>
      </c>
      <c r="N109">
        <v>7257</v>
      </c>
      <c r="O109">
        <v>6486</v>
      </c>
      <c r="Q109">
        <f>SUM(Table1[[#This Row],[Size A++ (&gt;25mm)]:[Adjusted Quantity]])</f>
        <v>153796</v>
      </c>
      <c r="R109" s="5">
        <f>Table1[[#This Row],[Total Qty]]/80</f>
        <v>1922.45</v>
      </c>
    </row>
    <row r="110" spans="2:18" x14ac:dyDescent="0.3">
      <c r="B110" s="3">
        <v>46277</v>
      </c>
      <c r="C110" s="11">
        <f>WEEKNUM(Table1[[#This Row],[Date]])</f>
        <v>37</v>
      </c>
      <c r="D110" s="12" t="str">
        <f>TEXT(Table1[[#This Row],[Date]],"mmm-yy")</f>
        <v>Sep-26</v>
      </c>
      <c r="E110" s="12" t="s">
        <v>146</v>
      </c>
      <c r="F110" t="s">
        <v>161</v>
      </c>
      <c r="G110">
        <v>0</v>
      </c>
      <c r="H110">
        <v>12017</v>
      </c>
      <c r="I110">
        <v>12044</v>
      </c>
      <c r="J110">
        <v>36198</v>
      </c>
      <c r="K110">
        <v>36289</v>
      </c>
      <c r="L110">
        <v>32311</v>
      </c>
      <c r="M110">
        <v>10491</v>
      </c>
      <c r="N110">
        <v>7461</v>
      </c>
      <c r="O110">
        <v>4808</v>
      </c>
      <c r="Q110">
        <f>SUM(Table1[[#This Row],[Size A++ (&gt;25mm)]:[Adjusted Quantity]])</f>
        <v>151619</v>
      </c>
      <c r="R110" s="5">
        <f>Table1[[#This Row],[Total Qty]]/80</f>
        <v>1895.2375</v>
      </c>
    </row>
    <row r="111" spans="2:18" x14ac:dyDescent="0.3">
      <c r="B111" s="3">
        <v>46279</v>
      </c>
      <c r="C111" s="11">
        <f>WEEKNUM(Table1[[#This Row],[Date]])</f>
        <v>38</v>
      </c>
      <c r="D111" s="12" t="str">
        <f>TEXT(Table1[[#This Row],[Date]],"mmm-yy")</f>
        <v>Sep-26</v>
      </c>
      <c r="E111" s="12" t="s">
        <v>146</v>
      </c>
      <c r="F111" t="s">
        <v>162</v>
      </c>
      <c r="G111">
        <v>12015</v>
      </c>
      <c r="H111">
        <v>0</v>
      </c>
      <c r="I111">
        <v>12049</v>
      </c>
      <c r="J111">
        <v>36156</v>
      </c>
      <c r="K111">
        <v>36220</v>
      </c>
      <c r="L111">
        <v>32602</v>
      </c>
      <c r="M111">
        <v>10877</v>
      </c>
      <c r="N111">
        <v>4871</v>
      </c>
      <c r="O111">
        <v>2605</v>
      </c>
      <c r="Q111">
        <f>SUM(Table1[[#This Row],[Size A++ (&gt;25mm)]:[Adjusted Quantity]])</f>
        <v>147395</v>
      </c>
      <c r="R111" s="5">
        <f>Table1[[#This Row],[Total Qty]]/80</f>
        <v>1842.4375</v>
      </c>
    </row>
    <row r="112" spans="2:18" x14ac:dyDescent="0.3">
      <c r="B112" s="3">
        <v>46280</v>
      </c>
      <c r="C112" s="11">
        <f>WEEKNUM(Table1[[#This Row],[Date]])</f>
        <v>38</v>
      </c>
      <c r="D112" s="12" t="str">
        <f>TEXT(Table1[[#This Row],[Date]],"mmm-yy")</f>
        <v>Sep-26</v>
      </c>
      <c r="E112" s="12" t="s">
        <v>146</v>
      </c>
      <c r="F112" t="s">
        <v>163</v>
      </c>
      <c r="G112">
        <v>11216</v>
      </c>
      <c r="H112">
        <v>13886</v>
      </c>
      <c r="I112">
        <v>4763</v>
      </c>
      <c r="J112">
        <v>30621</v>
      </c>
      <c r="K112">
        <v>10799</v>
      </c>
      <c r="L112">
        <v>5574</v>
      </c>
      <c r="M112">
        <v>2323</v>
      </c>
      <c r="N112">
        <v>0</v>
      </c>
      <c r="O112">
        <v>0</v>
      </c>
      <c r="Q112">
        <f>SUM(Table1[[#This Row],[Size A++ (&gt;25mm)]:[Adjusted Quantity]])</f>
        <v>79182</v>
      </c>
      <c r="R112" s="5">
        <f>Table1[[#This Row],[Total Qty]]/80</f>
        <v>989.77499999999998</v>
      </c>
    </row>
    <row r="113" spans="2:18" x14ac:dyDescent="0.3">
      <c r="B113" s="3"/>
      <c r="C113" s="11">
        <f>WEEKNUM(Table1[[#This Row],[Date]])</f>
        <v>0</v>
      </c>
      <c r="D113" s="12" t="str">
        <f>TEXT(Table1[[#This Row],[Date]],"mmm-yy")</f>
        <v>Jan-00</v>
      </c>
      <c r="E113" s="12"/>
      <c r="Q113">
        <f>SUM(Table1[[#This Row],[Size A++ (&gt;25mm)]:[Adjusted Quantity]])</f>
        <v>0</v>
      </c>
      <c r="R113" s="5">
        <f>Table1[[#This Row],[Total Qty]]/80</f>
        <v>0</v>
      </c>
    </row>
    <row r="114" spans="2:18" x14ac:dyDescent="0.3">
      <c r="B114" s="3"/>
      <c r="C114" s="11">
        <f>WEEKNUM(Table1[[#This Row],[Date]])</f>
        <v>0</v>
      </c>
      <c r="D114" s="12" t="str">
        <f>TEXT(Table1[[#This Row],[Date]],"mmm-yy")</f>
        <v>Jan-00</v>
      </c>
      <c r="E114" s="12"/>
      <c r="Q114">
        <f>SUM(Table1[[#This Row],[Size A++ (&gt;25mm)]:[Adjusted Quantity]])</f>
        <v>0</v>
      </c>
      <c r="R114" s="5">
        <f>Table1[[#This Row],[Total Qty]]/80</f>
        <v>0</v>
      </c>
    </row>
    <row r="115" spans="2:18" x14ac:dyDescent="0.3">
      <c r="B115" s="3"/>
      <c r="C115" s="11">
        <f>WEEKNUM(Table1[[#This Row],[Date]])</f>
        <v>0</v>
      </c>
      <c r="D115" s="12" t="str">
        <f>TEXT(Table1[[#This Row],[Date]],"mmm-yy")</f>
        <v>Jan-00</v>
      </c>
      <c r="E115" s="12"/>
      <c r="Q115">
        <f>SUM(Table1[[#This Row],[Size A++ (&gt;25mm)]:[Adjusted Quantity]])</f>
        <v>0</v>
      </c>
      <c r="R115" s="5">
        <f>Table1[[#This Row],[Total Qty]]/80</f>
        <v>0</v>
      </c>
    </row>
    <row r="116" spans="2:18" x14ac:dyDescent="0.3">
      <c r="B116" s="3"/>
      <c r="C116" s="11">
        <f>WEEKNUM(Table1[[#This Row],[Date]])</f>
        <v>0</v>
      </c>
      <c r="D116" s="12" t="str">
        <f>TEXT(Table1[[#This Row],[Date]],"mmm-yy")</f>
        <v>Jan-00</v>
      </c>
      <c r="E116" s="12"/>
      <c r="Q116">
        <f>SUM(Table1[[#This Row],[Size A++ (&gt;25mm)]:[Adjusted Quantity]])</f>
        <v>0</v>
      </c>
      <c r="R116" s="5">
        <f>Table1[[#This Row],[Total Qty]]/80</f>
        <v>0</v>
      </c>
    </row>
    <row r="117" spans="2:18" x14ac:dyDescent="0.3">
      <c r="B117" s="3"/>
      <c r="C117" s="11">
        <f>WEEKNUM(Table1[[#This Row],[Date]])</f>
        <v>0</v>
      </c>
      <c r="D117" s="12" t="str">
        <f>TEXT(Table1[[#This Row],[Date]],"mmm-yy")</f>
        <v>Jan-00</v>
      </c>
      <c r="E117" s="12"/>
      <c r="Q117">
        <f>SUM(Table1[[#This Row],[Size A++ (&gt;25mm)]:[Adjusted Quantity]])</f>
        <v>0</v>
      </c>
      <c r="R117" s="5">
        <f>Table1[[#This Row],[Total Qty]]/80</f>
        <v>0</v>
      </c>
    </row>
    <row r="118" spans="2:18" x14ac:dyDescent="0.3">
      <c r="B118" s="3"/>
      <c r="C118" s="11">
        <f>WEEKNUM(Table1[[#This Row],[Date]])</f>
        <v>0</v>
      </c>
      <c r="D118" s="12" t="str">
        <f>TEXT(Table1[[#This Row],[Date]],"mmm-yy")</f>
        <v>Jan-00</v>
      </c>
      <c r="E118" s="12"/>
      <c r="Q118">
        <f>SUM(Table1[[#This Row],[Size A++ (&gt;25mm)]:[Adjusted Quantity]])</f>
        <v>0</v>
      </c>
      <c r="R118" s="5">
        <f>Table1[[#This Row],[Total Qty]]/80</f>
        <v>0</v>
      </c>
    </row>
    <row r="119" spans="2:18" x14ac:dyDescent="0.3">
      <c r="B119" s="3"/>
      <c r="C119" s="11">
        <f>WEEKNUM(Table1[[#This Row],[Date]])</f>
        <v>0</v>
      </c>
      <c r="D119" s="12" t="str">
        <f>TEXT(Table1[[#This Row],[Date]],"mmm-yy")</f>
        <v>Jan-00</v>
      </c>
      <c r="E119" s="12"/>
      <c r="Q119">
        <f>SUM(Table1[[#This Row],[Size A++ (&gt;25mm)]:[Adjusted Quantity]])</f>
        <v>0</v>
      </c>
      <c r="R119" s="5">
        <f>Table1[[#This Row],[Total Qty]]/80</f>
        <v>0</v>
      </c>
    </row>
    <row r="120" spans="2:18" x14ac:dyDescent="0.3">
      <c r="B120" s="3"/>
      <c r="C120" s="11">
        <f>WEEKNUM(Table1[[#This Row],[Date]])</f>
        <v>0</v>
      </c>
      <c r="D120" s="12" t="str">
        <f>TEXT(Table1[[#This Row],[Date]],"mmm-yy")</f>
        <v>Jan-00</v>
      </c>
      <c r="E120" s="12"/>
      <c r="Q120">
        <f>SUM(Table1[[#This Row],[Size A++ (&gt;25mm)]:[Adjusted Quantity]])</f>
        <v>0</v>
      </c>
      <c r="R120" s="5">
        <f>Table1[[#This Row],[Total Qty]]/80</f>
        <v>0</v>
      </c>
    </row>
    <row r="121" spans="2:18" x14ac:dyDescent="0.3">
      <c r="B121" s="3"/>
      <c r="C121" s="11">
        <f>WEEKNUM(Table1[[#This Row],[Date]])</f>
        <v>0</v>
      </c>
      <c r="D121" s="12" t="str">
        <f>TEXT(Table1[[#This Row],[Date]],"mmm-yy")</f>
        <v>Jan-00</v>
      </c>
      <c r="E121" s="12"/>
      <c r="Q121">
        <f>SUM(Table1[[#This Row],[Size A++ (&gt;25mm)]:[Adjusted Quantity]])</f>
        <v>0</v>
      </c>
      <c r="R121" s="5">
        <f>Table1[[#This Row],[Total Qty]]/80</f>
        <v>0</v>
      </c>
    </row>
    <row r="122" spans="2:18" x14ac:dyDescent="0.3">
      <c r="B122" s="3"/>
      <c r="C122" s="11">
        <f>WEEKNUM(Table1[[#This Row],[Date]])</f>
        <v>0</v>
      </c>
      <c r="D122" s="12" t="str">
        <f>TEXT(Table1[[#This Row],[Date]],"mmm-yy")</f>
        <v>Jan-00</v>
      </c>
      <c r="E122" s="12"/>
      <c r="Q122">
        <f>SUM(Table1[[#This Row],[Size A++ (&gt;25mm)]:[Adjusted Quantity]])</f>
        <v>0</v>
      </c>
      <c r="R122" s="5">
        <f>Table1[[#This Row],[Total Qty]]/80</f>
        <v>0</v>
      </c>
    </row>
    <row r="123" spans="2:18" x14ac:dyDescent="0.3">
      <c r="B123" s="3"/>
      <c r="C123" s="11">
        <f>WEEKNUM(Table1[[#This Row],[Date]])</f>
        <v>0</v>
      </c>
      <c r="D123" s="12" t="str">
        <f>TEXT(Table1[[#This Row],[Date]],"mmm-yy")</f>
        <v>Jan-00</v>
      </c>
      <c r="E123" s="12"/>
      <c r="Q123">
        <f>SUM(Table1[[#This Row],[Size A++ (&gt;25mm)]:[Adjusted Quantity]])</f>
        <v>0</v>
      </c>
      <c r="R123" s="5">
        <f>Table1[[#This Row],[Total Qty]]/80</f>
        <v>0</v>
      </c>
    </row>
    <row r="124" spans="2:18" x14ac:dyDescent="0.3">
      <c r="B124" s="3"/>
      <c r="C124" s="11">
        <f>WEEKNUM(Table1[[#This Row],[Date]])</f>
        <v>0</v>
      </c>
      <c r="D124" s="12" t="str">
        <f>TEXT(Table1[[#This Row],[Date]],"mmm-yy")</f>
        <v>Jan-00</v>
      </c>
      <c r="E124" s="12"/>
      <c r="Q124">
        <f>SUM(Table1[[#This Row],[Size A++ (&gt;25mm)]:[Adjusted Quantity]])</f>
        <v>0</v>
      </c>
      <c r="R124" s="5">
        <f>Table1[[#This Row],[Total Qty]]/80</f>
        <v>0</v>
      </c>
    </row>
    <row r="125" spans="2:18" x14ac:dyDescent="0.3">
      <c r="B125" s="3"/>
      <c r="C125" s="11">
        <f>WEEKNUM(Table1[[#This Row],[Date]])</f>
        <v>0</v>
      </c>
      <c r="D125" s="12" t="str">
        <f>TEXT(Table1[[#This Row],[Date]],"mmm-yy")</f>
        <v>Jan-00</v>
      </c>
      <c r="E125" s="12"/>
      <c r="Q125">
        <f>SUM(Table1[[#This Row],[Size A++ (&gt;25mm)]:[Adjusted Quantity]])</f>
        <v>0</v>
      </c>
      <c r="R125" s="5">
        <f>Table1[[#This Row],[Total Qty]]/80</f>
        <v>0</v>
      </c>
    </row>
    <row r="126" spans="2:18" x14ac:dyDescent="0.3">
      <c r="B126" s="3"/>
      <c r="C126" s="11">
        <f>WEEKNUM(Table1[[#This Row],[Date]])</f>
        <v>0</v>
      </c>
      <c r="D126" s="12" t="str">
        <f>TEXT(Table1[[#This Row],[Date]],"mmm-yy")</f>
        <v>Jan-00</v>
      </c>
      <c r="E126" s="12"/>
      <c r="Q126">
        <f>SUM(Table1[[#This Row],[Size A++ (&gt;25mm)]:[Adjusted Quantity]])</f>
        <v>0</v>
      </c>
      <c r="R126" s="5">
        <f>Table1[[#This Row],[Total Qty]]/80</f>
        <v>0</v>
      </c>
    </row>
    <row r="127" spans="2:18" x14ac:dyDescent="0.3">
      <c r="B127" s="3"/>
      <c r="C127" s="11">
        <f>WEEKNUM(Table1[[#This Row],[Date]])</f>
        <v>0</v>
      </c>
      <c r="D127" s="12" t="str">
        <f>TEXT(Table1[[#This Row],[Date]],"mmm-yy")</f>
        <v>Jan-00</v>
      </c>
      <c r="E127" s="12"/>
      <c r="Q127">
        <f>SUM(Table1[[#This Row],[Size A++ (&gt;25mm)]:[Adjusted Quantity]])</f>
        <v>0</v>
      </c>
      <c r="R127" s="5">
        <f>Table1[[#This Row],[Total Qty]]/80</f>
        <v>0</v>
      </c>
    </row>
    <row r="128" spans="2:18" x14ac:dyDescent="0.3">
      <c r="C128" s="11">
        <f>WEEKNUM(Table1[[#This Row],[Date]])</f>
        <v>0</v>
      </c>
      <c r="D128" s="12" t="str">
        <f>TEXT(Table1[[#This Row],[Date]],"mmm-yy")</f>
        <v>Jan-00</v>
      </c>
      <c r="E128" s="12"/>
      <c r="Q128">
        <f>SUM(Table1[[#This Row],[Size A++ (&gt;25mm)]:[Adjusted Quantity]])</f>
        <v>0</v>
      </c>
      <c r="R128" s="5">
        <f>Table1[[#This Row],[Total Qty]]/80</f>
        <v>0</v>
      </c>
    </row>
    <row r="129" spans="3:18" x14ac:dyDescent="0.3">
      <c r="C129" s="11">
        <f>WEEKNUM(Table1[[#This Row],[Date]])</f>
        <v>0</v>
      </c>
      <c r="D129" s="12" t="str">
        <f>TEXT(Table1[[#This Row],[Date]],"mmm-yy")</f>
        <v>Jan-00</v>
      </c>
      <c r="E129" s="12"/>
      <c r="Q129">
        <f>SUM(Table1[[#This Row],[Size A++ (&gt;25mm)]:[Adjusted Quantity]])</f>
        <v>0</v>
      </c>
      <c r="R129" s="5">
        <f>Table1[[#This Row],[Total Qty]]/80</f>
        <v>0</v>
      </c>
    </row>
    <row r="130" spans="3:18" x14ac:dyDescent="0.3">
      <c r="C130" s="11">
        <f>WEEKNUM(Table1[[#This Row],[Date]])</f>
        <v>0</v>
      </c>
      <c r="D130" s="12" t="str">
        <f>TEXT(Table1[[#This Row],[Date]],"mmm-yy")</f>
        <v>Jan-00</v>
      </c>
      <c r="E130" s="12"/>
      <c r="Q130">
        <f>SUM(Table1[[#This Row],[Size A++ (&gt;25mm)]:[Adjusted Quantity]])</f>
        <v>0</v>
      </c>
      <c r="R130" s="5">
        <f>Table1[[#This Row],[Total Qty]]/80</f>
        <v>0</v>
      </c>
    </row>
    <row r="131" spans="3:18" x14ac:dyDescent="0.3">
      <c r="C131" s="11">
        <f>WEEKNUM(Table1[[#This Row],[Date]])</f>
        <v>0</v>
      </c>
      <c r="D131" s="12" t="str">
        <f>TEXT(Table1[[#This Row],[Date]],"mmm-yy")</f>
        <v>Jan-00</v>
      </c>
      <c r="E131" s="12"/>
      <c r="Q131">
        <f>SUM(Table1[[#This Row],[Size A++ (&gt;25mm)]:[Adjusted Quantity]])</f>
        <v>0</v>
      </c>
      <c r="R131" s="5">
        <f>Table1[[#This Row],[Total Qty]]/80</f>
        <v>0</v>
      </c>
    </row>
    <row r="132" spans="3:18" x14ac:dyDescent="0.3">
      <c r="C132" s="11">
        <f>WEEKNUM(Table1[[#This Row],[Date]])</f>
        <v>0</v>
      </c>
      <c r="D132" s="12" t="str">
        <f>TEXT(Table1[[#This Row],[Date]],"mmm-yy")</f>
        <v>Jan-00</v>
      </c>
      <c r="E132" s="12"/>
      <c r="Q132">
        <f>SUM(Table1[[#This Row],[Size A++ (&gt;25mm)]:[Adjusted Quantity]])</f>
        <v>0</v>
      </c>
      <c r="R132" s="5">
        <f>Table1[[#This Row],[Total Qty]]/80</f>
        <v>0</v>
      </c>
    </row>
    <row r="133" spans="3:18" x14ac:dyDescent="0.3">
      <c r="C133" s="11">
        <f>WEEKNUM(Table1[[#This Row],[Date]])</f>
        <v>0</v>
      </c>
      <c r="D133" s="12" t="str">
        <f>TEXT(Table1[[#This Row],[Date]],"mmm-yy")</f>
        <v>Jan-00</v>
      </c>
      <c r="E133" s="12"/>
      <c r="Q133">
        <f>SUM(Table1[[#This Row],[Size A++ (&gt;25mm)]:[Adjusted Quantity]])</f>
        <v>0</v>
      </c>
      <c r="R133" s="5">
        <f>Table1[[#This Row],[Total Qty]]/80</f>
        <v>0</v>
      </c>
    </row>
    <row r="134" spans="3:18" x14ac:dyDescent="0.3">
      <c r="C134" s="11">
        <f>WEEKNUM(Table1[[#This Row],[Date]])</f>
        <v>0</v>
      </c>
      <c r="D134" s="12" t="str">
        <f>TEXT(Table1[[#This Row],[Date]],"mmm-yy")</f>
        <v>Jan-00</v>
      </c>
      <c r="E134" s="12"/>
      <c r="Q134">
        <f>SUM(Table1[[#This Row],[Size A++ (&gt;25mm)]:[Adjusted Quantity]])</f>
        <v>0</v>
      </c>
      <c r="R134" s="5">
        <f>Table1[[#This Row],[Total Qty]]/80</f>
        <v>0</v>
      </c>
    </row>
    <row r="135" spans="3:18" x14ac:dyDescent="0.3">
      <c r="C135" s="11">
        <f>WEEKNUM(Table1[[#This Row],[Date]])</f>
        <v>0</v>
      </c>
      <c r="D135" s="12" t="str">
        <f>TEXT(Table1[[#This Row],[Date]],"mmm-yy")</f>
        <v>Jan-00</v>
      </c>
      <c r="E135" s="12"/>
      <c r="Q135">
        <f>SUM(Table1[[#This Row],[Size A++ (&gt;25mm)]:[Adjusted Quantity]])</f>
        <v>0</v>
      </c>
      <c r="R135" s="5">
        <f>Table1[[#This Row],[Total Qty]]/80</f>
        <v>0</v>
      </c>
    </row>
    <row r="136" spans="3:18" x14ac:dyDescent="0.3">
      <c r="C136" s="11">
        <f>WEEKNUM(Table1[[#This Row],[Date]])</f>
        <v>0</v>
      </c>
      <c r="D136" s="12" t="str">
        <f>TEXT(Table1[[#This Row],[Date]],"mmm-yy")</f>
        <v>Jan-00</v>
      </c>
      <c r="E136" s="12"/>
      <c r="Q136">
        <f>SUM(Table1[[#This Row],[Size A++ (&gt;25mm)]:[Adjusted Quantity]])</f>
        <v>0</v>
      </c>
      <c r="R136" s="5">
        <f>Table1[[#This Row],[Total Qty]]/80</f>
        <v>0</v>
      </c>
    </row>
    <row r="137" spans="3:18" x14ac:dyDescent="0.3">
      <c r="C137" s="11">
        <f>WEEKNUM(Table1[[#This Row],[Date]])</f>
        <v>0</v>
      </c>
      <c r="D137" s="12" t="str">
        <f>TEXT(Table1[[#This Row],[Date]],"mmm-yy")</f>
        <v>Jan-00</v>
      </c>
      <c r="E137" s="12"/>
      <c r="Q137">
        <f>SUM(Table1[[#This Row],[Size A++ (&gt;25mm)]:[Adjusted Quantity]])</f>
        <v>0</v>
      </c>
      <c r="R137" s="5">
        <f>Table1[[#This Row],[Total Qty]]/80</f>
        <v>0</v>
      </c>
    </row>
    <row r="138" spans="3:18" x14ac:dyDescent="0.3">
      <c r="C138" s="11">
        <f>WEEKNUM(Table1[[#This Row],[Date]])</f>
        <v>0</v>
      </c>
      <c r="D138" s="12" t="str">
        <f>TEXT(Table1[[#This Row],[Date]],"mmm-yy")</f>
        <v>Jan-00</v>
      </c>
      <c r="E138" s="12"/>
      <c r="Q138">
        <f>SUM(Table1[[#This Row],[Size A++ (&gt;25mm)]:[Adjusted Quantity]])</f>
        <v>0</v>
      </c>
      <c r="R138" s="5">
        <f>Table1[[#This Row],[Total Qty]]/80</f>
        <v>0</v>
      </c>
    </row>
    <row r="139" spans="3:18" x14ac:dyDescent="0.3">
      <c r="C139" s="11">
        <f>WEEKNUM(Table1[[#This Row],[Date]])</f>
        <v>0</v>
      </c>
      <c r="D139" s="12" t="str">
        <f>TEXT(Table1[[#This Row],[Date]],"mmm-yy")</f>
        <v>Jan-00</v>
      </c>
      <c r="E139" s="12"/>
      <c r="Q139">
        <f>SUM(Table1[[#This Row],[Size A++ (&gt;25mm)]:[Adjusted Quantity]])</f>
        <v>0</v>
      </c>
      <c r="R139" s="5">
        <f>Table1[[#This Row],[Total Qty]]/80</f>
        <v>0</v>
      </c>
    </row>
    <row r="140" spans="3:18" x14ac:dyDescent="0.3">
      <c r="C140" s="11">
        <f>WEEKNUM(Table1[[#This Row],[Date]])</f>
        <v>0</v>
      </c>
      <c r="D140" s="12" t="str">
        <f>TEXT(Table1[[#This Row],[Date]],"mmm-yy")</f>
        <v>Jan-00</v>
      </c>
      <c r="E140" s="12"/>
      <c r="Q140">
        <f>SUM(Table1[[#This Row],[Size A++ (&gt;25mm)]:[Adjusted Quantity]])</f>
        <v>0</v>
      </c>
      <c r="R140" s="5">
        <f>Table1[[#This Row],[Total Qty]]/80</f>
        <v>0</v>
      </c>
    </row>
    <row r="141" spans="3:18" x14ac:dyDescent="0.3">
      <c r="C141" s="11">
        <f>WEEKNUM(Table1[[#This Row],[Date]])</f>
        <v>0</v>
      </c>
      <c r="D141" s="12" t="str">
        <f>TEXT(Table1[[#This Row],[Date]],"mmm-yy")</f>
        <v>Jan-00</v>
      </c>
      <c r="E141" s="12"/>
      <c r="Q141">
        <f>SUM(Table1[[#This Row],[Size A++ (&gt;25mm)]:[Adjusted Quantity]])</f>
        <v>0</v>
      </c>
      <c r="R141" s="5">
        <f>Table1[[#This Row],[Total Qty]]/80</f>
        <v>0</v>
      </c>
    </row>
    <row r="142" spans="3:18" x14ac:dyDescent="0.3">
      <c r="C142" s="11">
        <f>WEEKNUM(Table1[[#This Row],[Date]])</f>
        <v>0</v>
      </c>
      <c r="D142" s="12" t="str">
        <f>TEXT(Table1[[#This Row],[Date]],"mmm-yy")</f>
        <v>Jan-00</v>
      </c>
      <c r="E142" s="12"/>
      <c r="Q142">
        <f>SUM(Table1[[#This Row],[Size A++ (&gt;25mm)]:[Adjusted Quantity]])</f>
        <v>0</v>
      </c>
      <c r="R142" s="5">
        <f>Table1[[#This Row],[Total Qty]]/80</f>
        <v>0</v>
      </c>
    </row>
    <row r="143" spans="3:18" x14ac:dyDescent="0.3">
      <c r="C143" s="11">
        <f>WEEKNUM(Table1[[#This Row],[Date]])</f>
        <v>0</v>
      </c>
      <c r="D143" s="12" t="str">
        <f>TEXT(Table1[[#This Row],[Date]],"mmm-yy")</f>
        <v>Jan-00</v>
      </c>
      <c r="E143" s="12"/>
      <c r="Q143">
        <f>SUM(Table1[[#This Row],[Size A++ (&gt;25mm)]:[Adjusted Quantity]])</f>
        <v>0</v>
      </c>
      <c r="R143" s="5">
        <f>Table1[[#This Row],[Total Qty]]/80</f>
        <v>0</v>
      </c>
    </row>
    <row r="144" spans="3:18" x14ac:dyDescent="0.3">
      <c r="C144" s="11">
        <f>WEEKNUM(Table1[[#This Row],[Date]])</f>
        <v>0</v>
      </c>
      <c r="D144" s="12" t="str">
        <f>TEXT(Table1[[#This Row],[Date]],"mmm-yy")</f>
        <v>Jan-00</v>
      </c>
      <c r="E144" s="12"/>
      <c r="Q144">
        <f>SUM(Table1[[#This Row],[Size A++ (&gt;25mm)]:[Adjusted Quantity]])</f>
        <v>0</v>
      </c>
      <c r="R144" s="5">
        <f>Table1[[#This Row],[Total Qty]]/80</f>
        <v>0</v>
      </c>
    </row>
    <row r="145" spans="3:18" x14ac:dyDescent="0.3">
      <c r="C145" s="11">
        <f>WEEKNUM(Table1[[#This Row],[Date]])</f>
        <v>0</v>
      </c>
      <c r="D145" s="12" t="str">
        <f>TEXT(Table1[[#This Row],[Date]],"mmm-yy")</f>
        <v>Jan-00</v>
      </c>
      <c r="E145" s="12"/>
      <c r="Q145">
        <f>SUM(Table1[[#This Row],[Size A++ (&gt;25mm)]:[Adjusted Quantity]])</f>
        <v>0</v>
      </c>
      <c r="R145" s="5">
        <f>Table1[[#This Row],[Total Qty]]/80</f>
        <v>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2015-06-05T18:17:20Z</dcterms:created>
  <dcterms:modified xsi:type="dcterms:W3CDTF">2026-09-16T16:48:35Z</dcterms:modified>
</cp:coreProperties>
</file>