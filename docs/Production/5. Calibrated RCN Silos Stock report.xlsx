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7EF63385-D3BE-43DF-9854-4FEDE1B77A24}" xr6:coauthVersionLast="47" xr6:coauthVersionMax="47" xr10:uidLastSave="{00000000-0000-0000-0000-000000000000}"/>
  <bookViews>
    <workbookView xWindow="-108" yWindow="-108" windowWidth="23256" windowHeight="13896" xr2:uid="{DFE5A89E-42AA-48AD-9954-4BB3BF67EF5D}"/>
  </bookViews>
  <sheets>
    <sheet name="5. Calibrated RCN Report" sheetId="1" r:id="rId1"/>
  </sheets>
  <definedNames>
    <definedName name="_xlnm._FilterDatabase" localSheetId="0" hidden="1">'5. Calibrated RCN Report'!$B$3:$R$302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27" i="1"/>
  <c r="R5" i="1"/>
  <c r="R4" i="1"/>
  <c r="C6" i="1"/>
  <c r="R6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E1" i="1" l="1"/>
  <c r="C5" i="1"/>
  <c r="V32" i="1"/>
  <c r="V34" i="1" s="1"/>
  <c r="C7" i="1" l="1"/>
  <c r="R7" i="1" s="1"/>
  <c r="C8" i="1" l="1"/>
  <c r="R8" i="1" s="1"/>
  <c r="C9" i="1" l="1"/>
  <c r="R9" i="1" s="1"/>
  <c r="C10" i="1" l="1"/>
  <c r="R10" i="1" s="1"/>
  <c r="C11" i="1" l="1"/>
  <c r="R11" i="1" s="1"/>
  <c r="C12" i="1" l="1"/>
  <c r="R12" i="1" s="1"/>
  <c r="C13" i="1" l="1"/>
  <c r="R13" i="1" s="1"/>
  <c r="C14" i="1" l="1"/>
  <c r="R14" i="1" s="1"/>
  <c r="C15" i="1" l="1"/>
  <c r="R15" i="1" s="1"/>
  <c r="C16" i="1" l="1"/>
  <c r="R16" i="1" s="1"/>
  <c r="C17" i="1" l="1"/>
  <c r="R17" i="1" s="1"/>
  <c r="C18" i="1" l="1"/>
  <c r="R18" i="1" s="1"/>
  <c r="C19" i="1" l="1"/>
  <c r="R19" i="1" s="1"/>
  <c r="C20" i="1" l="1"/>
  <c r="R20" i="1" s="1"/>
  <c r="C21" i="1" l="1"/>
  <c r="R21" i="1" s="1"/>
  <c r="C22" i="1" l="1"/>
  <c r="R22" i="1" s="1"/>
  <c r="C23" i="1" l="1"/>
  <c r="R23" i="1" s="1"/>
  <c r="C24" i="1" l="1"/>
  <c r="R24" i="1" s="1"/>
  <c r="C25" i="1" l="1"/>
  <c r="R25" i="1" s="1"/>
  <c r="C26" i="1" l="1"/>
  <c r="V24" i="1" l="1"/>
  <c r="V26" i="1" s="1"/>
  <c r="R26" i="1"/>
  <c r="C27" i="1" s="1"/>
  <c r="R27" i="1" s="1"/>
  <c r="C28" i="1" l="1"/>
  <c r="R28" i="1" s="1"/>
  <c r="C29" i="1" l="1"/>
  <c r="R29" i="1" s="1"/>
  <c r="C30" i="1" l="1"/>
  <c r="R30" i="1" s="1"/>
  <c r="C31" i="1" l="1"/>
  <c r="R31" i="1" s="1"/>
  <c r="C32" i="1" l="1"/>
  <c r="R32" i="1" s="1"/>
  <c r="C33" i="1" l="1"/>
  <c r="R33" i="1" s="1"/>
  <c r="C34" i="1" l="1"/>
  <c r="R34" i="1" s="1"/>
  <c r="C35" i="1" l="1"/>
  <c r="R35" i="1" s="1"/>
  <c r="C36" i="1" l="1"/>
  <c r="R36" i="1" s="1"/>
  <c r="C37" i="1" l="1"/>
  <c r="R37" i="1" s="1"/>
  <c r="C38" i="1" l="1"/>
  <c r="R38" i="1" s="1"/>
  <c r="C39" i="1" l="1"/>
  <c r="R39" i="1" s="1"/>
  <c r="C40" i="1" l="1"/>
  <c r="R40" i="1" s="1"/>
  <c r="C41" i="1" l="1"/>
  <c r="R41" i="1" s="1"/>
  <c r="C42" i="1" l="1"/>
  <c r="R42" i="1" s="1"/>
  <c r="C43" i="1" l="1"/>
  <c r="R43" i="1" s="1"/>
  <c r="C44" i="1" l="1"/>
  <c r="R44" i="1" s="1"/>
  <c r="C45" i="1" l="1"/>
  <c r="R45" i="1" s="1"/>
  <c r="C46" i="1" l="1"/>
  <c r="R46" i="1" s="1"/>
  <c r="C47" i="1" l="1"/>
  <c r="R47" i="1" s="1"/>
  <c r="C48" i="1" l="1"/>
  <c r="R48" i="1" s="1"/>
  <c r="C49" i="1" l="1"/>
  <c r="R49" i="1" s="1"/>
  <c r="C50" i="1" l="1"/>
  <c r="R50" i="1" s="1"/>
  <c r="C51" i="1" l="1"/>
  <c r="R51" i="1" s="1"/>
  <c r="C52" i="1" l="1"/>
  <c r="R52" i="1" s="1"/>
  <c r="C53" i="1" l="1"/>
  <c r="R53" i="1" s="1"/>
  <c r="C54" i="1" l="1"/>
  <c r="R54" i="1" s="1"/>
  <c r="C55" i="1" l="1"/>
  <c r="R55" i="1" s="1"/>
  <c r="C56" i="1" l="1"/>
  <c r="R56" i="1" s="1"/>
  <c r="C57" i="1" l="1"/>
  <c r="R57" i="1" s="1"/>
  <c r="C58" i="1" l="1"/>
  <c r="R58" i="1" s="1"/>
  <c r="C59" i="1" l="1"/>
  <c r="R59" i="1" s="1"/>
  <c r="C60" i="1" l="1"/>
  <c r="R60" i="1" s="1"/>
  <c r="C61" i="1" l="1"/>
  <c r="R61" i="1" s="1"/>
  <c r="C62" i="1" l="1"/>
  <c r="R62" i="1" s="1"/>
  <c r="C63" i="1" l="1"/>
  <c r="R63" i="1" s="1"/>
  <c r="C64" i="1" l="1"/>
  <c r="R64" i="1" s="1"/>
  <c r="C65" i="1" l="1"/>
  <c r="R65" i="1" s="1"/>
  <c r="C66" i="1" l="1"/>
  <c r="R66" i="1" s="1"/>
  <c r="C67" i="1" l="1"/>
  <c r="R67" i="1" s="1"/>
  <c r="C68" i="1" l="1"/>
  <c r="R68" i="1" l="1"/>
  <c r="C69" i="1" s="1"/>
  <c r="R69" i="1" l="1"/>
  <c r="C70" i="1" s="1"/>
  <c r="R70" i="1" l="1"/>
  <c r="C71" i="1" s="1"/>
  <c r="R71" i="1" l="1"/>
  <c r="C72" i="1" s="1"/>
  <c r="R72" i="1" l="1"/>
  <c r="C73" i="1" s="1"/>
  <c r="R73" i="1" l="1"/>
  <c r="C74" i="1" s="1"/>
  <c r="R74" i="1" l="1"/>
  <c r="C75" i="1" s="1"/>
  <c r="R75" i="1" l="1"/>
  <c r="C76" i="1" s="1"/>
  <c r="R76" i="1" l="1"/>
  <c r="C77" i="1" s="1"/>
  <c r="R77" i="1" l="1"/>
  <c r="C78" i="1" s="1"/>
  <c r="R78" i="1" l="1"/>
  <c r="C79" i="1" s="1"/>
  <c r="R79" i="1" l="1"/>
  <c r="C80" i="1" s="1"/>
  <c r="R80" i="1" l="1"/>
  <c r="C81" i="1" s="1"/>
  <c r="R81" i="1" l="1"/>
  <c r="C82" i="1" s="1"/>
  <c r="R82" i="1" l="1"/>
  <c r="C83" i="1" s="1"/>
  <c r="R83" i="1" l="1"/>
  <c r="C84" i="1" s="1"/>
  <c r="R84" i="1" l="1"/>
  <c r="C85" i="1" s="1"/>
  <c r="R85" i="1" l="1"/>
  <c r="C86" i="1" s="1"/>
  <c r="R86" i="1" l="1"/>
  <c r="C87" i="1" s="1"/>
  <c r="R87" i="1" l="1"/>
  <c r="C88" i="1" s="1"/>
  <c r="R88" i="1" l="1"/>
  <c r="C89" i="1" s="1"/>
  <c r="R89" i="1" l="1"/>
  <c r="C90" i="1" s="1"/>
  <c r="R90" i="1" l="1"/>
  <c r="C91" i="1" s="1"/>
  <c r="R91" i="1" l="1"/>
  <c r="C92" i="1" s="1"/>
  <c r="R92" i="1" l="1"/>
  <c r="C93" i="1" s="1"/>
  <c r="R93" i="1" l="1"/>
  <c r="C94" i="1" s="1"/>
  <c r="R94" i="1" l="1"/>
  <c r="C95" i="1" s="1"/>
  <c r="R95" i="1" l="1"/>
  <c r="C96" i="1" s="1"/>
  <c r="R96" i="1" l="1"/>
  <c r="C97" i="1" s="1"/>
  <c r="R97" i="1" l="1"/>
  <c r="C98" i="1" s="1"/>
  <c r="R98" i="1" l="1"/>
  <c r="C99" i="1" s="1"/>
  <c r="R99" i="1" l="1"/>
  <c r="C100" i="1" s="1"/>
  <c r="R100" i="1" l="1"/>
  <c r="C101" i="1" s="1"/>
  <c r="R101" i="1" l="1"/>
  <c r="C102" i="1" s="1"/>
  <c r="R102" i="1" l="1"/>
  <c r="C103" i="1" s="1"/>
  <c r="R103" i="1" l="1"/>
  <c r="C104" i="1" s="1"/>
  <c r="R104" i="1" l="1"/>
  <c r="C105" i="1" s="1"/>
  <c r="R105" i="1" l="1"/>
  <c r="C106" i="1" s="1"/>
  <c r="R106" i="1" l="1"/>
  <c r="C107" i="1" s="1"/>
  <c r="R107" i="1" s="1"/>
  <c r="C108" i="1" s="1"/>
  <c r="R108" i="1" l="1"/>
  <c r="C109" i="1" s="1"/>
  <c r="R109" i="1" l="1"/>
  <c r="C110" i="1" s="1"/>
  <c r="R110" i="1" s="1"/>
  <c r="C111" i="1" s="1"/>
  <c r="R111" i="1" l="1"/>
  <c r="C112" i="1" s="1"/>
  <c r="R112" i="1" l="1"/>
  <c r="C113" i="1" s="1"/>
  <c r="R113" i="1" l="1"/>
  <c r="C114" i="1" s="1"/>
  <c r="R114" i="1" l="1"/>
  <c r="C115" i="1" s="1"/>
  <c r="R115" i="1" l="1"/>
  <c r="C116" i="1" s="1"/>
  <c r="R116" i="1" l="1"/>
  <c r="C117" i="1" s="1"/>
  <c r="R117" i="1" l="1"/>
  <c r="C118" i="1" s="1"/>
  <c r="R118" i="1" l="1"/>
  <c r="C119" i="1" s="1"/>
  <c r="R119" i="1" l="1"/>
  <c r="C120" i="1" s="1"/>
  <c r="R120" i="1" l="1"/>
  <c r="C121" i="1" s="1"/>
  <c r="R121" i="1" l="1"/>
  <c r="C122" i="1" s="1"/>
  <c r="R122" i="1" l="1"/>
  <c r="C123" i="1" s="1"/>
  <c r="R123" i="1" l="1"/>
  <c r="C124" i="1" s="1"/>
  <c r="R124" i="1" l="1"/>
  <c r="C125" i="1" s="1"/>
  <c r="R125" i="1" l="1"/>
  <c r="C126" i="1" s="1"/>
  <c r="R126" i="1" l="1"/>
  <c r="C127" i="1" s="1"/>
  <c r="R127" i="1" l="1"/>
  <c r="C128" i="1" s="1"/>
  <c r="R128" i="1" l="1"/>
  <c r="C129" i="1" s="1"/>
  <c r="R129" i="1" l="1"/>
  <c r="C130" i="1" s="1"/>
  <c r="R130" i="1" l="1"/>
  <c r="C131" i="1" s="1"/>
  <c r="R131" i="1" l="1"/>
  <c r="C132" i="1" s="1"/>
  <c r="R132" i="1" l="1"/>
  <c r="C133" i="1" s="1"/>
  <c r="R133" i="1" l="1"/>
  <c r="C134" i="1" s="1"/>
  <c r="R134" i="1" l="1"/>
  <c r="C135" i="1" s="1"/>
  <c r="R135" i="1" l="1"/>
  <c r="C136" i="1" s="1"/>
  <c r="R136" i="1" l="1"/>
  <c r="C137" i="1" s="1"/>
  <c r="R137" i="1" l="1"/>
  <c r="C138" i="1" s="1"/>
  <c r="R138" i="1" s="1"/>
  <c r="C139" i="1" s="1"/>
  <c r="R139" i="1" s="1"/>
  <c r="C140" i="1" s="1"/>
  <c r="R140" i="1" s="1"/>
  <c r="C141" i="1" s="1"/>
  <c r="R141" i="1" s="1"/>
  <c r="C142" i="1" s="1"/>
  <c r="R142" i="1" s="1"/>
  <c r="C143" i="1" s="1"/>
  <c r="R143" i="1" s="1"/>
  <c r="C144" i="1" s="1"/>
  <c r="R144" i="1" s="1"/>
  <c r="C145" i="1" s="1"/>
  <c r="R145" i="1" s="1"/>
  <c r="C146" i="1" s="1"/>
  <c r="R146" i="1" s="1"/>
  <c r="C147" i="1" s="1"/>
  <c r="R147" i="1" s="1"/>
  <c r="C148" i="1" s="1"/>
  <c r="R148" i="1" s="1"/>
  <c r="C149" i="1" s="1"/>
  <c r="R149" i="1" s="1"/>
  <c r="C150" i="1" s="1"/>
  <c r="R150" i="1" s="1"/>
  <c r="C151" i="1" s="1"/>
  <c r="R151" i="1" s="1"/>
  <c r="C152" i="1" s="1"/>
  <c r="R152" i="1" s="1"/>
  <c r="C153" i="1" s="1"/>
  <c r="R153" i="1" s="1"/>
  <c r="C154" i="1" s="1"/>
  <c r="R154" i="1" s="1"/>
  <c r="C155" i="1" s="1"/>
  <c r="R155" i="1" s="1"/>
  <c r="C156" i="1" s="1"/>
  <c r="R156" i="1" s="1"/>
  <c r="C157" i="1" s="1"/>
  <c r="R157" i="1" s="1"/>
  <c r="C158" i="1" s="1"/>
  <c r="R158" i="1" s="1"/>
  <c r="C159" i="1" s="1"/>
  <c r="R159" i="1" s="1"/>
  <c r="C160" i="1" s="1"/>
  <c r="R160" i="1" s="1"/>
  <c r="C161" i="1" s="1"/>
  <c r="R161" i="1" s="1"/>
  <c r="C162" i="1" s="1"/>
  <c r="R162" i="1" s="1"/>
  <c r="C163" i="1" s="1"/>
  <c r="R163" i="1" s="1"/>
  <c r="C164" i="1" s="1"/>
  <c r="R164" i="1" s="1"/>
  <c r="C165" i="1" s="1"/>
  <c r="R165" i="1" s="1"/>
  <c r="C166" i="1" s="1"/>
  <c r="R166" i="1" s="1"/>
  <c r="C167" i="1" s="1"/>
  <c r="R167" i="1" s="1"/>
  <c r="C168" i="1" s="1"/>
  <c r="R168" i="1" s="1"/>
  <c r="C169" i="1" s="1"/>
  <c r="R169" i="1" s="1"/>
  <c r="C170" i="1" s="1"/>
  <c r="R170" i="1" s="1"/>
  <c r="C171" i="1" s="1"/>
  <c r="R171" i="1" s="1"/>
  <c r="C172" i="1" s="1"/>
  <c r="R172" i="1" s="1"/>
  <c r="C173" i="1" s="1"/>
  <c r="R173" i="1" s="1"/>
  <c r="C174" i="1" s="1"/>
  <c r="R174" i="1" s="1"/>
  <c r="C175" i="1" s="1"/>
  <c r="R175" i="1" s="1"/>
  <c r="C176" i="1" s="1"/>
  <c r="R176" i="1" s="1"/>
  <c r="C177" i="1" s="1"/>
  <c r="R177" i="1" s="1"/>
  <c r="C178" i="1" s="1"/>
  <c r="R178" i="1" s="1"/>
  <c r="C179" i="1" s="1"/>
  <c r="R179" i="1" s="1"/>
  <c r="C180" i="1" s="1"/>
  <c r="R180" i="1" s="1"/>
  <c r="C181" i="1" s="1"/>
  <c r="R181" i="1" s="1"/>
  <c r="C182" i="1" s="1"/>
  <c r="R182" i="1" s="1"/>
  <c r="C183" i="1" s="1"/>
  <c r="R183" i="1" s="1"/>
  <c r="C184" i="1" s="1"/>
  <c r="R184" i="1" s="1"/>
  <c r="C185" i="1" s="1"/>
  <c r="R185" i="1" s="1"/>
  <c r="C186" i="1" s="1"/>
  <c r="R186" i="1" s="1"/>
  <c r="C187" i="1" s="1"/>
  <c r="R187" i="1" s="1"/>
  <c r="C188" i="1" s="1"/>
  <c r="R188" i="1" s="1"/>
  <c r="C189" i="1" s="1"/>
  <c r="R189" i="1" s="1"/>
  <c r="C190" i="1" s="1"/>
  <c r="R190" i="1" s="1"/>
  <c r="C191" i="1" s="1"/>
  <c r="R191" i="1" s="1"/>
  <c r="C192" i="1" s="1"/>
  <c r="R192" i="1" s="1"/>
  <c r="C193" i="1" s="1"/>
  <c r="R193" i="1" s="1"/>
  <c r="C194" i="1" s="1"/>
  <c r="R194" i="1" s="1"/>
  <c r="C195" i="1" s="1"/>
  <c r="R195" i="1" s="1"/>
  <c r="C196" i="1" s="1"/>
  <c r="R196" i="1" s="1"/>
  <c r="C197" i="1" s="1"/>
  <c r="R197" i="1" s="1"/>
  <c r="C198" i="1" s="1"/>
  <c r="R198" i="1" s="1"/>
  <c r="C199" i="1" s="1"/>
  <c r="R199" i="1" s="1"/>
  <c r="C200" i="1" s="1"/>
  <c r="R200" i="1" s="1"/>
  <c r="C201" i="1" s="1"/>
  <c r="R201" i="1" s="1"/>
  <c r="C202" i="1" s="1"/>
  <c r="R202" i="1" s="1"/>
  <c r="C203" i="1" s="1"/>
  <c r="R203" i="1" s="1"/>
  <c r="C204" i="1" s="1"/>
  <c r="R204" i="1" s="1"/>
  <c r="C205" i="1" l="1"/>
  <c r="R205" i="1" s="1"/>
  <c r="C206" i="1" l="1"/>
  <c r="R206" i="1" s="1"/>
  <c r="C207" i="1" l="1"/>
  <c r="R207" i="1" s="1"/>
  <c r="C208" i="1" l="1"/>
  <c r="R208" i="1" s="1"/>
  <c r="C209" i="1" l="1"/>
  <c r="R209" i="1" s="1"/>
  <c r="C210" i="1" l="1"/>
  <c r="R210" i="1" s="1"/>
  <c r="C211" i="1" l="1"/>
  <c r="R211" i="1" s="1"/>
  <c r="C212" i="1" l="1"/>
  <c r="R212" i="1" s="1"/>
  <c r="C213" i="1" l="1"/>
  <c r="R213" i="1" s="1"/>
  <c r="C214" i="1" l="1"/>
  <c r="R214" i="1" s="1"/>
  <c r="C215" i="1" l="1"/>
  <c r="R215" i="1" s="1"/>
  <c r="C216" i="1" l="1"/>
  <c r="R216" i="1" s="1"/>
  <c r="C217" i="1" l="1"/>
  <c r="R217" i="1" s="1"/>
  <c r="C218" i="1" l="1"/>
  <c r="R218" i="1" s="1"/>
  <c r="C219" i="1" l="1"/>
  <c r="R219" i="1" s="1"/>
  <c r="C220" i="1" l="1"/>
  <c r="R220" i="1" s="1"/>
  <c r="C221" i="1" l="1"/>
  <c r="R221" i="1" s="1"/>
  <c r="C222" i="1" l="1"/>
  <c r="R222" i="1" s="1"/>
  <c r="C223" i="1" l="1"/>
  <c r="R223" i="1" s="1"/>
  <c r="C224" i="1" l="1"/>
  <c r="R224" i="1" s="1"/>
  <c r="C225" i="1" l="1"/>
  <c r="R225" i="1" s="1"/>
  <c r="C226" i="1" l="1"/>
  <c r="R226" i="1" s="1"/>
  <c r="C227" i="1" l="1"/>
  <c r="R227" i="1" s="1"/>
  <c r="C228" i="1" l="1"/>
  <c r="R228" i="1" s="1"/>
  <c r="C229" i="1" l="1"/>
  <c r="R229" i="1" s="1"/>
  <c r="C230" i="1" l="1"/>
  <c r="R230" i="1" s="1"/>
  <c r="C231" i="1" l="1"/>
  <c r="R231" i="1" s="1"/>
  <c r="C232" i="1" l="1"/>
  <c r="R232" i="1" s="1"/>
  <c r="C233" i="1" l="1"/>
  <c r="R233" i="1" s="1"/>
  <c r="C234" i="1" l="1"/>
  <c r="R234" i="1" s="1"/>
  <c r="C235" i="1" l="1"/>
  <c r="R235" i="1" s="1"/>
  <c r="C236" i="1" l="1"/>
  <c r="R236" i="1" s="1"/>
  <c r="C237" i="1" l="1"/>
  <c r="R237" i="1" s="1"/>
  <c r="C238" i="1" l="1"/>
  <c r="R238" i="1" s="1"/>
  <c r="C239" i="1" l="1"/>
  <c r="R239" i="1" s="1"/>
  <c r="C240" i="1" l="1"/>
  <c r="R240" i="1" s="1"/>
  <c r="C241" i="1" l="1"/>
  <c r="R241" i="1" s="1"/>
  <c r="C242" i="1" l="1"/>
  <c r="R242" i="1" s="1"/>
  <c r="C243" i="1" l="1"/>
  <c r="R243" i="1" s="1"/>
  <c r="C244" i="1" l="1"/>
  <c r="R244" i="1" s="1"/>
  <c r="C245" i="1" l="1"/>
  <c r="R245" i="1" s="1"/>
  <c r="C246" i="1" l="1"/>
  <c r="R246" i="1" s="1"/>
  <c r="C247" i="1" l="1"/>
  <c r="R247" i="1" s="1"/>
  <c r="C248" i="1" l="1"/>
  <c r="R248" i="1" s="1"/>
  <c r="C249" i="1" l="1"/>
  <c r="R249" i="1" s="1"/>
  <c r="C250" i="1" l="1"/>
  <c r="R250" i="1" s="1"/>
  <c r="C251" i="1" l="1"/>
  <c r="R251" i="1" s="1"/>
  <c r="C252" i="1" l="1"/>
  <c r="R252" i="1" s="1"/>
  <c r="C253" i="1" l="1"/>
  <c r="R253" i="1" s="1"/>
  <c r="C254" i="1" l="1"/>
  <c r="R254" i="1" s="1"/>
  <c r="C255" i="1" l="1"/>
  <c r="R255" i="1" s="1"/>
  <c r="C256" i="1" l="1"/>
  <c r="R256" i="1" s="1"/>
  <c r="C257" i="1" l="1"/>
  <c r="R257" i="1" s="1"/>
  <c r="C258" i="1" l="1"/>
  <c r="R258" i="1" s="1"/>
  <c r="C259" i="1" l="1"/>
  <c r="R259" i="1" s="1"/>
  <c r="C260" i="1" l="1"/>
  <c r="R260" i="1" s="1"/>
  <c r="C261" i="1" l="1"/>
  <c r="R261" i="1" s="1"/>
  <c r="C262" i="1" l="1"/>
  <c r="R262" i="1" s="1"/>
  <c r="C263" i="1" l="1"/>
  <c r="R263" i="1" s="1"/>
  <c r="C264" i="1" l="1"/>
  <c r="R264" i="1" s="1"/>
  <c r="C265" i="1" l="1"/>
  <c r="R265" i="1" s="1"/>
  <c r="C266" i="1" l="1"/>
  <c r="R266" i="1" s="1"/>
  <c r="C267" i="1" l="1"/>
  <c r="R267" i="1" s="1"/>
  <c r="C268" i="1" l="1"/>
  <c r="R268" i="1" s="1"/>
  <c r="C269" i="1" l="1"/>
  <c r="R269" i="1" s="1"/>
  <c r="C270" i="1" l="1"/>
  <c r="R270" i="1" s="1"/>
  <c r="C271" i="1" l="1"/>
  <c r="R271" i="1" s="1"/>
  <c r="C272" i="1" l="1"/>
  <c r="R272" i="1" s="1"/>
  <c r="C273" i="1" l="1"/>
  <c r="R273" i="1" s="1"/>
  <c r="C274" i="1" l="1"/>
  <c r="R274" i="1" s="1"/>
  <c r="C275" i="1" l="1"/>
  <c r="R275" i="1" s="1"/>
  <c r="C276" i="1" l="1"/>
  <c r="R276" i="1" s="1"/>
  <c r="C277" i="1" l="1"/>
  <c r="R277" i="1" s="1"/>
  <c r="C278" i="1" l="1"/>
  <c r="R278" i="1" s="1"/>
  <c r="C279" i="1" l="1"/>
  <c r="R279" i="1" s="1"/>
  <c r="C280" i="1" l="1"/>
  <c r="R280" i="1" s="1"/>
  <c r="C281" i="1" l="1"/>
  <c r="R281" i="1" s="1"/>
  <c r="C282" i="1" l="1"/>
  <c r="R282" i="1" s="1"/>
  <c r="C283" i="1" l="1"/>
  <c r="R283" i="1" s="1"/>
  <c r="C284" i="1" l="1"/>
  <c r="R284" i="1" s="1"/>
  <c r="C285" i="1" l="1"/>
  <c r="R285" i="1" s="1"/>
  <c r="C286" i="1" l="1"/>
  <c r="R286" i="1" s="1"/>
  <c r="C287" i="1" l="1"/>
  <c r="R287" i="1" s="1"/>
  <c r="C288" i="1" l="1"/>
  <c r="R288" i="1" s="1"/>
  <c r="C289" i="1" l="1"/>
  <c r="R289" i="1" s="1"/>
  <c r="C290" i="1" l="1"/>
  <c r="R290" i="1" s="1"/>
  <c r="C291" i="1" l="1"/>
  <c r="R291" i="1" s="1"/>
  <c r="C292" i="1" l="1"/>
  <c r="R292" i="1" s="1"/>
  <c r="C293" i="1" l="1"/>
  <c r="R293" i="1" s="1"/>
  <c r="C294" i="1" l="1"/>
  <c r="R294" i="1" s="1"/>
  <c r="C295" i="1" l="1"/>
  <c r="R295" i="1" s="1"/>
  <c r="C296" i="1" l="1"/>
  <c r="R296" i="1" s="1"/>
  <c r="C297" i="1" l="1"/>
  <c r="R297" i="1" s="1"/>
  <c r="C298" i="1" l="1"/>
  <c r="R298" i="1" s="1"/>
  <c r="C299" i="1" l="1"/>
  <c r="R299" i="1" s="1"/>
  <c r="C300" i="1" l="1"/>
  <c r="R300" i="1" s="1"/>
  <c r="C301" i="1" l="1"/>
  <c r="R301" i="1" s="1"/>
  <c r="C302" i="1" l="1"/>
  <c r="R302" i="1" s="1"/>
</calcChain>
</file>

<file path=xl/sharedStrings.xml><?xml version="1.0" encoding="utf-8"?>
<sst xmlns="http://schemas.openxmlformats.org/spreadsheetml/2006/main" count="234" uniqueCount="132">
  <si>
    <t>Date</t>
  </si>
  <si>
    <t>Calibrated Silos Stock report</t>
  </si>
  <si>
    <t>Opening Stock (KG's)</t>
  </si>
  <si>
    <t>Sized RCN (KG's)</t>
  </si>
  <si>
    <t>Cooked Qty (KG's)</t>
  </si>
  <si>
    <t>Batch No</t>
  </si>
  <si>
    <t>Closing Stock (KG's)</t>
  </si>
  <si>
    <t>ANG26E01</t>
  </si>
  <si>
    <t>ANG26E02</t>
  </si>
  <si>
    <t>ANG26E03</t>
  </si>
  <si>
    <t>ANG26E04</t>
  </si>
  <si>
    <t>ANG26E05</t>
  </si>
  <si>
    <t>ANG26E06</t>
  </si>
  <si>
    <t>ANG26E07</t>
  </si>
  <si>
    <t>ANG26E08</t>
  </si>
  <si>
    <t>ANG26E09</t>
  </si>
  <si>
    <t>ANG26E10</t>
  </si>
  <si>
    <t>Size A++ (&gt;25mm)</t>
  </si>
  <si>
    <t>Size A+ (25mm)</t>
  </si>
  <si>
    <t>Size A (24mm)</t>
  </si>
  <si>
    <t>Size AB (23mm)</t>
  </si>
  <si>
    <t>Size B (22mm)</t>
  </si>
  <si>
    <t>Size BC (21mm)</t>
  </si>
  <si>
    <t>Size C (20mm)</t>
  </si>
  <si>
    <t>Size D (19mm)</t>
  </si>
  <si>
    <t>Size E (18mm)</t>
  </si>
  <si>
    <t>ANG26E11</t>
  </si>
  <si>
    <t>ANG26E12</t>
  </si>
  <si>
    <t>ANG26E13</t>
  </si>
  <si>
    <t>ANG26E14</t>
  </si>
  <si>
    <t>ANG26E15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</si>
  <si>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</si>
  <si>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</si>
  <si>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</si>
  <si>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</si>
  <si>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</si>
  <si>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</si>
  <si>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</si>
  <si>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</si>
  <si>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</si>
  <si>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</si>
  <si>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</si>
  <si>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</si>
  <si>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</si>
  <si>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Adjusted qty</t>
  </si>
  <si>
    <t>ANA-01</t>
  </si>
  <si>
    <t>ANA-02</t>
  </si>
  <si>
    <t>BIN No</t>
  </si>
  <si>
    <t>ANG26F11</t>
  </si>
  <si>
    <t>ANG26F12</t>
  </si>
  <si>
    <t>ANA-03</t>
  </si>
  <si>
    <t>ANG26F13</t>
  </si>
  <si>
    <t>ANG26F14</t>
  </si>
  <si>
    <t>ANG26F15</t>
  </si>
  <si>
    <t>ANG26F16</t>
  </si>
  <si>
    <t>ANG26F17</t>
  </si>
  <si>
    <t>ANA-05A</t>
  </si>
  <si>
    <t>ANG26F18</t>
  </si>
  <si>
    <t>ANG26F19</t>
  </si>
  <si>
    <t>ANG26F20A</t>
  </si>
  <si>
    <t>ANA-02A</t>
  </si>
  <si>
    <t>ANG26F20B</t>
  </si>
  <si>
    <t>ANG26F21</t>
  </si>
  <si>
    <t>ANG26F22</t>
  </si>
  <si>
    <t>ANG26F23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</si>
  <si>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</si>
  <si>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</si>
  <si>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</si>
  <si>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</si>
  <si>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</si>
  <si>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</si>
  <si>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</si>
  <si>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</si>
  <si>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</si>
  <si>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</si>
  <si>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</si>
  <si>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</si>
  <si>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</si>
  <si>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</si>
  <si>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</si>
  <si>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</si>
  <si>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</si>
  <si>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ANA-03B</t>
  </si>
  <si>
    <t>ANG26G16</t>
  </si>
  <si>
    <t>ANG26G17</t>
  </si>
  <si>
    <t>ANG26G18</t>
  </si>
  <si>
    <t>ANG26G19</t>
  </si>
  <si>
    <t>ANG26G20</t>
  </si>
  <si>
    <t>ANG26G21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</si>
  <si>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</si>
  <si>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</si>
  <si>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</si>
  <si>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</si>
  <si>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</si>
  <si>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</si>
  <si>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</si>
  <si>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</si>
  <si>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ANG26H04</t>
  </si>
  <si>
    <t>ANG26H05</t>
  </si>
  <si>
    <t>ANG26H06</t>
  </si>
  <si>
    <t>ANG26H07</t>
  </si>
  <si>
    <t>ANG26H08</t>
  </si>
  <si>
    <t>ANG26H09</t>
  </si>
  <si>
    <t>ANG26H10</t>
  </si>
  <si>
    <t>ANG26H11</t>
  </si>
  <si>
    <t>ANG26H12</t>
  </si>
  <si>
    <t>ANG26H13</t>
  </si>
  <si>
    <t>ANG26H14</t>
  </si>
  <si>
    <t>ANG26H15</t>
  </si>
  <si>
    <t>ANG26H16</t>
  </si>
  <si>
    <t>ANG26H17</t>
  </si>
  <si>
    <t>ANG26H18</t>
  </si>
  <si>
    <t>ANG26H19</t>
  </si>
  <si>
    <t>ANG26H20</t>
  </si>
  <si>
    <t>ANA-07</t>
  </si>
  <si>
    <t>ANG26H21</t>
  </si>
  <si>
    <t>ANG26H22</t>
  </si>
  <si>
    <t>ANG26H23</t>
  </si>
  <si>
    <t>ANG26H24</t>
  </si>
  <si>
    <t>ANG26I01</t>
  </si>
  <si>
    <t>ANG26I02</t>
  </si>
  <si>
    <t>ANG26I03</t>
  </si>
  <si>
    <t>ANG26I04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</si>
  <si>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</si>
  <si>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</si>
  <si>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</si>
  <si>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</si>
  <si>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</si>
  <si>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</si>
  <si>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</si>
  <si>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</si>
  <si>
    <t>ANG26I13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</si>
</sst>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65" fontId="2" fillId="0" borderId="1" xfId="0" applyNumberFormat="1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CE30-24A4-4B5D-8002-559088B5C5C0}">
  <dimension ref="B1:V322"/>
  <sheetViews>
    <sheetView tabSelected="1" workbookViewId="0">
      <pane xSplit="1" ySplit="3" topLeftCell="E149" activePane="bottomRight" state="frozen"/>
      <selection pane="topRight" activeCell="B1" sqref="B1"/>
      <selection pane="bottomLeft" activeCell="A4" sqref="A4"/>
      <selection pane="bottomRight" activeCell="D122" sqref="D122"/>
    </sheetView>
  </sheetViews>
  <sheetFormatPr defaultRowHeight="14.4" x14ac:dyDescent="0.3"/>
  <cols>
    <col min="1" max="1" width="2.5546875" customWidth="1"/>
    <col min="3" max="3" width="12" bestFit="1" customWidth="1"/>
    <col min="4" max="4" width="15.33203125" customWidth="1"/>
    <col min="5" max="5" width="13.88671875" customWidth="1"/>
    <col min="6" max="6" width="15.33203125" bestFit="1" customWidth="1"/>
    <col min="7" max="7" width="13.33203125" bestFit="1" customWidth="1"/>
    <col min="8" max="8" width="12.109375" bestFit="1" customWidth="1"/>
    <col min="9" max="9" width="13.33203125" bestFit="1" customWidth="1"/>
    <col min="10" max="10" width="12.109375" bestFit="1" customWidth="1"/>
    <col min="11" max="11" width="13.44140625" bestFit="1" customWidth="1"/>
    <col min="12" max="13" width="12.33203125" bestFit="1" customWidth="1"/>
    <col min="14" max="14" width="12.109375" bestFit="1" customWidth="1"/>
    <col min="15" max="15" width="12.109375" customWidth="1"/>
    <col min="16" max="16" width="12.33203125" bestFit="1" customWidth="1"/>
    <col min="17" max="17" width="12.33203125" customWidth="1"/>
    <col min="18" max="18" width="13" customWidth="1"/>
    <col min="22" max="22" width="10.6640625" bestFit="1" customWidth="1"/>
  </cols>
  <sheetData>
    <row r="1" spans="2:18" x14ac:dyDescent="0.3">
      <c r="D1" s="10">
        <f>SUM(D4:D302)</f>
        <v>11571907.399999997</v>
      </c>
      <c r="E1" s="10">
        <f>SUM(E4:E302)</f>
        <v>11552735.449999999</v>
      </c>
    </row>
    <row r="2" spans="2:18" x14ac:dyDescent="0.3">
      <c r="B2" s="13" t="s">
        <v>0</v>
      </c>
      <c r="C2" s="13" t="s">
        <v>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2:18" ht="27.6" x14ac:dyDescent="0.3">
      <c r="B3" s="13"/>
      <c r="C3" s="5" t="s">
        <v>2</v>
      </c>
      <c r="D3" s="5" t="s">
        <v>3</v>
      </c>
      <c r="E3" s="5" t="s">
        <v>4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  <c r="O3" s="6" t="s">
        <v>44</v>
      </c>
      <c r="P3" s="5" t="s">
        <v>5</v>
      </c>
      <c r="Q3" s="5" t="s">
        <v>47</v>
      </c>
      <c r="R3" s="5" t="s">
        <v>6</v>
      </c>
    </row>
    <row r="4" spans="2:18" x14ac:dyDescent="0.3">
      <c r="B4" s="12">
        <v>46135</v>
      </c>
      <c r="C4" s="9">
        <v>0</v>
      </c>
      <c r="D4" s="1">
        <v>17957.199999999997</v>
      </c>
      <c r="E4" s="8">
        <f>SUM(F4:O4)</f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7">
        <f>(D4+C4)-E4</f>
        <v>17957.199999999997</v>
      </c>
    </row>
    <row r="5" spans="2:18" x14ac:dyDescent="0.3">
      <c r="B5" s="12">
        <v>46135</v>
      </c>
      <c r="C5" s="9">
        <f>R4</f>
        <v>17957.199999999997</v>
      </c>
      <c r="D5" s="1">
        <v>0</v>
      </c>
      <c r="E5" s="8">
        <f t="shared" ref="E5:E26" si="0">SUM(F5:O5)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>
        <f t="shared" ref="R5:R68" si="1">(D5+C5)-E5</f>
        <v>17957.199999999997</v>
      </c>
    </row>
    <row r="6" spans="2:18" x14ac:dyDescent="0.3">
      <c r="B6" s="12">
        <v>46136</v>
      </c>
      <c r="C6" s="9">
        <f t="shared" ref="C6:C69" si="2">R5</f>
        <v>17957.199999999997</v>
      </c>
      <c r="D6" s="1">
        <v>30733.050000000003</v>
      </c>
      <c r="E6" s="8">
        <f t="shared" si="0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>
        <f t="shared" si="1"/>
        <v>48690.25</v>
      </c>
    </row>
    <row r="7" spans="2:18" x14ac:dyDescent="0.3">
      <c r="B7" s="12">
        <v>46136</v>
      </c>
      <c r="C7" s="9">
        <f t="shared" si="2"/>
        <v>48690.25</v>
      </c>
      <c r="D7" s="1">
        <v>33665.700000000004</v>
      </c>
      <c r="E7" s="8">
        <f t="shared" si="0"/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7">
        <f t="shared" si="1"/>
        <v>82355.950000000012</v>
      </c>
    </row>
    <row r="8" spans="2:18" x14ac:dyDescent="0.3">
      <c r="B8" s="12">
        <v>46137</v>
      </c>
      <c r="C8" s="9">
        <f t="shared" si="2"/>
        <v>82355.950000000012</v>
      </c>
      <c r="D8" s="1">
        <v>14282.6</v>
      </c>
      <c r="E8" s="8">
        <f t="shared" si="0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>
        <f t="shared" si="1"/>
        <v>96638.550000000017</v>
      </c>
    </row>
    <row r="9" spans="2:18" x14ac:dyDescent="0.3">
      <c r="B9" s="12">
        <v>46137</v>
      </c>
      <c r="C9" s="9">
        <f t="shared" si="2"/>
        <v>96638.550000000017</v>
      </c>
      <c r="D9" s="1">
        <v>0</v>
      </c>
      <c r="E9" s="8">
        <f t="shared" si="0"/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>
        <f t="shared" si="1"/>
        <v>96638.550000000017</v>
      </c>
    </row>
    <row r="10" spans="2:18" x14ac:dyDescent="0.3">
      <c r="B10" s="12">
        <v>46138</v>
      </c>
      <c r="C10" s="9">
        <f t="shared" si="2"/>
        <v>96638.550000000017</v>
      </c>
      <c r="D10" s="1">
        <v>0</v>
      </c>
      <c r="E10" s="8">
        <f t="shared" si="0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>
        <f t="shared" si="1"/>
        <v>96638.550000000017</v>
      </c>
    </row>
    <row r="11" spans="2:18" x14ac:dyDescent="0.3">
      <c r="B11" s="12">
        <v>46139</v>
      </c>
      <c r="C11" s="9">
        <f t="shared" si="2"/>
        <v>96638.550000000017</v>
      </c>
      <c r="D11" s="1">
        <v>44066.9</v>
      </c>
      <c r="E11" s="8">
        <f t="shared" si="0"/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7">
        <f t="shared" si="1"/>
        <v>140705.45000000001</v>
      </c>
    </row>
    <row r="12" spans="2:18" x14ac:dyDescent="0.3">
      <c r="B12" s="12">
        <v>46139</v>
      </c>
      <c r="C12" s="9">
        <f t="shared" si="2"/>
        <v>140705.45000000001</v>
      </c>
      <c r="D12" s="1">
        <v>32198.100000000002</v>
      </c>
      <c r="E12" s="8">
        <f t="shared" si="0"/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7">
        <f t="shared" si="1"/>
        <v>172903.55000000002</v>
      </c>
    </row>
    <row r="13" spans="2:18" x14ac:dyDescent="0.3">
      <c r="B13" s="12">
        <v>46140</v>
      </c>
      <c r="C13" s="9">
        <f t="shared" si="2"/>
        <v>172903.55000000002</v>
      </c>
      <c r="D13" s="1">
        <v>38133.799999999996</v>
      </c>
      <c r="E13" s="8">
        <f t="shared" si="0"/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7">
        <f t="shared" si="1"/>
        <v>211037.35</v>
      </c>
    </row>
    <row r="14" spans="2:18" x14ac:dyDescent="0.3">
      <c r="B14" s="12">
        <v>46140</v>
      </c>
      <c r="C14" s="9">
        <f t="shared" si="2"/>
        <v>211037.35</v>
      </c>
      <c r="D14" s="1">
        <v>0</v>
      </c>
      <c r="E14" s="8">
        <f t="shared" si="0"/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>
        <f t="shared" si="1"/>
        <v>211037.35</v>
      </c>
    </row>
    <row r="15" spans="2:18" x14ac:dyDescent="0.3">
      <c r="B15" s="12">
        <v>46141</v>
      </c>
      <c r="C15" s="9">
        <f t="shared" si="2"/>
        <v>211037.35</v>
      </c>
      <c r="D15" s="1">
        <v>0</v>
      </c>
      <c r="E15" s="8">
        <f t="shared" si="0"/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7">
        <f t="shared" si="1"/>
        <v>211037.35</v>
      </c>
    </row>
    <row r="16" spans="2:18" x14ac:dyDescent="0.3">
      <c r="B16" s="12">
        <v>46142</v>
      </c>
      <c r="C16" s="9">
        <f t="shared" si="2"/>
        <v>211037.35</v>
      </c>
      <c r="D16" s="1">
        <v>26855.600000000002</v>
      </c>
      <c r="E16" s="8">
        <f t="shared" si="0"/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7">
        <f t="shared" si="1"/>
        <v>237892.95</v>
      </c>
    </row>
    <row r="17" spans="2:22" x14ac:dyDescent="0.3">
      <c r="B17" s="12">
        <v>46142</v>
      </c>
      <c r="C17" s="9">
        <f t="shared" si="2"/>
        <v>237892.95</v>
      </c>
      <c r="D17" s="1">
        <v>0</v>
      </c>
      <c r="E17" s="8">
        <f t="shared" si="0"/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>
        <f t="shared" si="1"/>
        <v>237892.95</v>
      </c>
    </row>
    <row r="18" spans="2:22" x14ac:dyDescent="0.3">
      <c r="B18" s="12">
        <v>46143</v>
      </c>
      <c r="C18" s="9">
        <f t="shared" si="2"/>
        <v>237892.95</v>
      </c>
      <c r="D18" s="1">
        <v>0</v>
      </c>
      <c r="E18" s="8">
        <f t="shared" si="0"/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>
        <f t="shared" si="1"/>
        <v>237892.95</v>
      </c>
    </row>
    <row r="19" spans="2:22" x14ac:dyDescent="0.3">
      <c r="B19" s="12">
        <v>46144</v>
      </c>
      <c r="C19" s="9">
        <f t="shared" si="2"/>
        <v>237892.95</v>
      </c>
      <c r="D19" s="1">
        <v>17456.400000000001</v>
      </c>
      <c r="E19" s="8">
        <f t="shared" si="0"/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>
        <f t="shared" si="1"/>
        <v>255349.35</v>
      </c>
    </row>
    <row r="20" spans="2:22" x14ac:dyDescent="0.3">
      <c r="B20" s="12">
        <v>46145</v>
      </c>
      <c r="C20" s="9">
        <f t="shared" si="2"/>
        <v>255349.35</v>
      </c>
      <c r="D20" s="1">
        <v>0</v>
      </c>
      <c r="E20" s="8">
        <f t="shared" si="0"/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>
        <f t="shared" si="1"/>
        <v>255349.35</v>
      </c>
    </row>
    <row r="21" spans="2:22" x14ac:dyDescent="0.3">
      <c r="B21" s="12">
        <v>46146</v>
      </c>
      <c r="C21" s="9">
        <f t="shared" si="2"/>
        <v>255349.35</v>
      </c>
      <c r="D21" s="1">
        <v>0</v>
      </c>
      <c r="E21" s="8">
        <f t="shared" si="0"/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>
        <f t="shared" si="1"/>
        <v>255349.35</v>
      </c>
    </row>
    <row r="22" spans="2:22" x14ac:dyDescent="0.3">
      <c r="B22" s="12">
        <v>46147</v>
      </c>
      <c r="C22" s="9">
        <f t="shared" si="2"/>
        <v>255349.35</v>
      </c>
      <c r="D22" s="1">
        <v>0</v>
      </c>
      <c r="E22" s="8">
        <f t="shared" si="0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>
        <f t="shared" si="1"/>
        <v>255349.35</v>
      </c>
    </row>
    <row r="23" spans="2:22" x14ac:dyDescent="0.3">
      <c r="B23" s="12">
        <v>46147</v>
      </c>
      <c r="C23" s="9">
        <f t="shared" si="2"/>
        <v>255349.35</v>
      </c>
      <c r="D23" s="1">
        <v>0</v>
      </c>
      <c r="E23" s="8">
        <f t="shared" si="0"/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7">
        <f t="shared" si="1"/>
        <v>255349.35</v>
      </c>
    </row>
    <row r="24" spans="2:22" x14ac:dyDescent="0.3">
      <c r="B24" s="12">
        <v>46148</v>
      </c>
      <c r="C24" s="9">
        <f t="shared" si="2"/>
        <v>255349.35</v>
      </c>
      <c r="D24" s="1">
        <v>0</v>
      </c>
      <c r="E24" s="8">
        <f t="shared" si="0"/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7">
        <f t="shared" si="1"/>
        <v>255349.35</v>
      </c>
      <c r="V24" s="10">
        <f>+C26+D26-E26</f>
        <v>255349.35</v>
      </c>
    </row>
    <row r="25" spans="2:22" x14ac:dyDescent="0.3">
      <c r="B25" s="12">
        <v>46148</v>
      </c>
      <c r="C25" s="9">
        <f t="shared" si="2"/>
        <v>255349.35</v>
      </c>
      <c r="D25" s="1">
        <v>0</v>
      </c>
      <c r="E25" s="8">
        <f t="shared" si="0"/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>
        <f t="shared" si="1"/>
        <v>255349.35</v>
      </c>
      <c r="V25">
        <v>263637.3</v>
      </c>
    </row>
    <row r="26" spans="2:22" x14ac:dyDescent="0.3">
      <c r="B26" s="12">
        <v>46149</v>
      </c>
      <c r="C26" s="9">
        <f t="shared" si="2"/>
        <v>255349.35</v>
      </c>
      <c r="D26" s="11">
        <v>0</v>
      </c>
      <c r="E26" s="8">
        <f t="shared" si="0"/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7">
        <f t="shared" si="1"/>
        <v>255349.35</v>
      </c>
      <c r="V26" s="10">
        <f>V24-V25</f>
        <v>-8287.9499999999825</v>
      </c>
    </row>
    <row r="27" spans="2:22" x14ac:dyDescent="0.3">
      <c r="B27" s="12">
        <v>46150</v>
      </c>
      <c r="C27" s="9">
        <f t="shared" si="2"/>
        <v>255349.35</v>
      </c>
      <c r="D27" s="1">
        <v>0</v>
      </c>
      <c r="E27" s="8">
        <f>SUM(F27:O27)</f>
        <v>20017</v>
      </c>
      <c r="F27" s="1"/>
      <c r="G27" s="1"/>
      <c r="H27" s="1">
        <v>6323</v>
      </c>
      <c r="I27" s="1">
        <v>680</v>
      </c>
      <c r="J27" s="1">
        <v>801</v>
      </c>
      <c r="K27" s="1">
        <v>5734</v>
      </c>
      <c r="L27" s="1">
        <v>3228</v>
      </c>
      <c r="M27" s="1">
        <v>3251</v>
      </c>
      <c r="N27" s="1"/>
      <c r="O27" s="1"/>
      <c r="P27" s="1" t="s">
        <v>45</v>
      </c>
      <c r="Q27" s="1" t="s">
        <v>7</v>
      </c>
      <c r="R27" s="7">
        <f t="shared" si="1"/>
        <v>235332.35</v>
      </c>
    </row>
    <row r="28" spans="2:22" x14ac:dyDescent="0.3">
      <c r="B28" s="12">
        <v>46151</v>
      </c>
      <c r="C28" s="9">
        <f t="shared" si="2"/>
        <v>235332.35</v>
      </c>
      <c r="D28" s="1">
        <v>40301.9</v>
      </c>
      <c r="E28" s="8">
        <f t="shared" ref="E28:E91" si="3">SUM(F28:O28)</f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7">
        <f t="shared" si="1"/>
        <v>275634.25</v>
      </c>
    </row>
    <row r="29" spans="2:22" x14ac:dyDescent="0.3">
      <c r="B29" s="12">
        <v>46152</v>
      </c>
      <c r="C29" s="9">
        <f t="shared" si="2"/>
        <v>275634.25</v>
      </c>
      <c r="D29" s="1">
        <v>0</v>
      </c>
      <c r="E29" s="8">
        <f t="shared" si="3"/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7">
        <f t="shared" si="1"/>
        <v>275634.25</v>
      </c>
    </row>
    <row r="30" spans="2:22" x14ac:dyDescent="0.3">
      <c r="B30" s="12">
        <v>46153</v>
      </c>
      <c r="C30" s="9">
        <f t="shared" si="2"/>
        <v>275634.25</v>
      </c>
      <c r="D30" s="1">
        <v>0</v>
      </c>
      <c r="E30" s="8">
        <f t="shared" si="3"/>
        <v>14003</v>
      </c>
      <c r="F30" s="1"/>
      <c r="G30" s="1"/>
      <c r="H30" s="1">
        <v>3680</v>
      </c>
      <c r="I30" s="1"/>
      <c r="J30" s="1">
        <v>2031</v>
      </c>
      <c r="K30" s="1">
        <v>2170</v>
      </c>
      <c r="L30" s="1">
        <v>3686</v>
      </c>
      <c r="M30" s="1">
        <v>1635</v>
      </c>
      <c r="N30" s="1"/>
      <c r="O30" s="1">
        <v>801</v>
      </c>
      <c r="P30" s="1" t="s">
        <v>45</v>
      </c>
      <c r="Q30" s="1" t="s">
        <v>8</v>
      </c>
      <c r="R30" s="7">
        <f t="shared" si="1"/>
        <v>261631.25</v>
      </c>
    </row>
    <row r="31" spans="2:22" x14ac:dyDescent="0.3">
      <c r="B31" s="12">
        <v>46154</v>
      </c>
      <c r="C31" s="9">
        <f t="shared" si="2"/>
        <v>261631.25</v>
      </c>
      <c r="D31" s="1">
        <v>0</v>
      </c>
      <c r="E31" s="8">
        <f t="shared" si="3"/>
        <v>26479</v>
      </c>
      <c r="F31" s="1"/>
      <c r="G31" s="1"/>
      <c r="H31" s="1">
        <v>3965.1</v>
      </c>
      <c r="I31" s="1">
        <v>3939.1</v>
      </c>
      <c r="J31" s="1">
        <v>7275.9</v>
      </c>
      <c r="K31" s="1">
        <v>8052.9</v>
      </c>
      <c r="L31" s="1">
        <v>1603</v>
      </c>
      <c r="M31" s="1"/>
      <c r="N31" s="1"/>
      <c r="O31" s="1">
        <v>1643</v>
      </c>
      <c r="P31" s="1" t="s">
        <v>45</v>
      </c>
      <c r="Q31" s="1" t="s">
        <v>9</v>
      </c>
      <c r="R31" s="7">
        <f t="shared" si="1"/>
        <v>235152.25</v>
      </c>
    </row>
    <row r="32" spans="2:22" x14ac:dyDescent="0.3">
      <c r="B32" s="12">
        <v>46155</v>
      </c>
      <c r="C32" s="9">
        <f t="shared" si="2"/>
        <v>235152.25</v>
      </c>
      <c r="D32" s="1">
        <v>43710.15</v>
      </c>
      <c r="E32" s="8">
        <f t="shared" si="3"/>
        <v>18753</v>
      </c>
      <c r="F32" s="1"/>
      <c r="G32" s="1"/>
      <c r="H32" s="1">
        <v>1600</v>
      </c>
      <c r="I32" s="1">
        <v>4293</v>
      </c>
      <c r="J32" s="1">
        <v>4040</v>
      </c>
      <c r="K32" s="1">
        <v>3994</v>
      </c>
      <c r="L32" s="1">
        <v>3207</v>
      </c>
      <c r="M32" s="1">
        <v>814</v>
      </c>
      <c r="N32" s="1"/>
      <c r="O32" s="1">
        <v>805</v>
      </c>
      <c r="P32" s="1" t="s">
        <v>45</v>
      </c>
      <c r="Q32" s="1" t="s">
        <v>10</v>
      </c>
      <c r="R32" s="7">
        <f t="shared" si="1"/>
        <v>260109.40000000002</v>
      </c>
      <c r="V32">
        <f>167338+37758</f>
        <v>205096</v>
      </c>
    </row>
    <row r="33" spans="2:22" x14ac:dyDescent="0.3">
      <c r="B33" s="12">
        <v>46156</v>
      </c>
      <c r="C33" s="9">
        <f t="shared" si="2"/>
        <v>260109.40000000002</v>
      </c>
      <c r="D33" s="1">
        <v>0</v>
      </c>
      <c r="E33" s="8">
        <f t="shared" si="3"/>
        <v>13100</v>
      </c>
      <c r="F33" s="1"/>
      <c r="G33" s="1"/>
      <c r="H33" s="1">
        <v>1696</v>
      </c>
      <c r="I33" s="1">
        <v>1695</v>
      </c>
      <c r="J33" s="1">
        <v>2437</v>
      </c>
      <c r="K33" s="1">
        <v>6440</v>
      </c>
      <c r="L33" s="1"/>
      <c r="M33" s="1"/>
      <c r="N33" s="1"/>
      <c r="O33" s="1">
        <v>832</v>
      </c>
      <c r="P33" s="1" t="s">
        <v>45</v>
      </c>
      <c r="Q33" s="1" t="s">
        <v>11</v>
      </c>
      <c r="R33" s="7">
        <f t="shared" si="1"/>
        <v>247009.40000000002</v>
      </c>
      <c r="V33">
        <v>60130</v>
      </c>
    </row>
    <row r="34" spans="2:22" x14ac:dyDescent="0.3">
      <c r="B34" s="12">
        <v>46157</v>
      </c>
      <c r="C34" s="9">
        <f t="shared" si="2"/>
        <v>247009.40000000002</v>
      </c>
      <c r="D34" s="1">
        <v>42923.199999999997</v>
      </c>
      <c r="E34" s="8">
        <f t="shared" si="3"/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7">
        <f t="shared" si="1"/>
        <v>289932.60000000003</v>
      </c>
      <c r="V34">
        <f>V32-V33</f>
        <v>144966</v>
      </c>
    </row>
    <row r="35" spans="2:22" x14ac:dyDescent="0.3">
      <c r="B35" s="12">
        <v>46157</v>
      </c>
      <c r="C35" s="9">
        <f t="shared" si="2"/>
        <v>289932.60000000003</v>
      </c>
      <c r="D35" s="1">
        <v>0</v>
      </c>
      <c r="E35" s="8">
        <f t="shared" si="3"/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7">
        <f t="shared" si="1"/>
        <v>289932.60000000003</v>
      </c>
    </row>
    <row r="36" spans="2:22" x14ac:dyDescent="0.3">
      <c r="B36" s="12">
        <v>46158</v>
      </c>
      <c r="C36" s="9">
        <f t="shared" si="2"/>
        <v>289932.60000000003</v>
      </c>
      <c r="D36" s="1">
        <v>42575.199999999997</v>
      </c>
      <c r="E36" s="8">
        <f t="shared" si="3"/>
        <v>32273</v>
      </c>
      <c r="F36" s="1"/>
      <c r="G36" s="1"/>
      <c r="H36" s="1">
        <v>6490</v>
      </c>
      <c r="I36" s="1">
        <v>4036</v>
      </c>
      <c r="J36" s="1">
        <v>8049</v>
      </c>
      <c r="K36" s="1">
        <v>7248</v>
      </c>
      <c r="L36" s="1">
        <v>3242</v>
      </c>
      <c r="M36" s="1">
        <v>801</v>
      </c>
      <c r="N36" s="1"/>
      <c r="O36" s="1">
        <v>2407</v>
      </c>
      <c r="P36" s="1" t="s">
        <v>45</v>
      </c>
      <c r="Q36" s="1" t="s">
        <v>12</v>
      </c>
      <c r="R36" s="7">
        <f t="shared" si="1"/>
        <v>300234.80000000005</v>
      </c>
    </row>
    <row r="37" spans="2:22" x14ac:dyDescent="0.3">
      <c r="B37" s="12">
        <v>46159</v>
      </c>
      <c r="C37" s="9">
        <f t="shared" si="2"/>
        <v>300234.80000000005</v>
      </c>
      <c r="D37" s="1">
        <v>0</v>
      </c>
      <c r="E37" s="8">
        <f t="shared" si="3"/>
        <v>22238</v>
      </c>
      <c r="F37" s="1"/>
      <c r="G37" s="1"/>
      <c r="H37" s="1">
        <v>4020</v>
      </c>
      <c r="I37" s="1">
        <v>3280</v>
      </c>
      <c r="J37" s="1">
        <v>3200</v>
      </c>
      <c r="K37" s="1">
        <v>3249</v>
      </c>
      <c r="L37" s="1">
        <v>3632</v>
      </c>
      <c r="M37" s="1">
        <v>3234</v>
      </c>
      <c r="N37" s="1"/>
      <c r="O37" s="1">
        <v>1623</v>
      </c>
      <c r="P37" s="1" t="s">
        <v>45</v>
      </c>
      <c r="Q37" s="1" t="s">
        <v>13</v>
      </c>
      <c r="R37" s="7">
        <f t="shared" si="1"/>
        <v>277996.80000000005</v>
      </c>
    </row>
    <row r="38" spans="2:22" x14ac:dyDescent="0.3">
      <c r="B38" s="12">
        <v>46160</v>
      </c>
      <c r="C38" s="9">
        <f t="shared" si="2"/>
        <v>277996.80000000005</v>
      </c>
      <c r="D38" s="1">
        <v>0</v>
      </c>
      <c r="E38" s="8">
        <f t="shared" si="3"/>
        <v>40214</v>
      </c>
      <c r="F38" s="1"/>
      <c r="G38" s="1"/>
      <c r="H38" s="1">
        <v>6409</v>
      </c>
      <c r="I38" s="1">
        <v>6452</v>
      </c>
      <c r="J38" s="1">
        <v>6490</v>
      </c>
      <c r="K38" s="1">
        <v>7933</v>
      </c>
      <c r="L38" s="1">
        <v>7250</v>
      </c>
      <c r="M38" s="1">
        <v>1661</v>
      </c>
      <c r="N38" s="1">
        <v>800</v>
      </c>
      <c r="O38" s="1">
        <v>3219</v>
      </c>
      <c r="P38" s="1" t="s">
        <v>45</v>
      </c>
      <c r="Q38" s="1" t="s">
        <v>14</v>
      </c>
      <c r="R38" s="7">
        <f t="shared" si="1"/>
        <v>237782.80000000005</v>
      </c>
    </row>
    <row r="39" spans="2:22" x14ac:dyDescent="0.3">
      <c r="B39" s="12">
        <v>46161</v>
      </c>
      <c r="C39" s="9">
        <f t="shared" si="2"/>
        <v>237782.80000000005</v>
      </c>
      <c r="D39" s="1">
        <v>46955.199999999997</v>
      </c>
      <c r="E39" s="8">
        <f t="shared" si="3"/>
        <v>43895</v>
      </c>
      <c r="F39" s="1">
        <v>2413</v>
      </c>
      <c r="G39" s="1">
        <v>2402</v>
      </c>
      <c r="H39" s="1">
        <v>6472</v>
      </c>
      <c r="I39" s="1">
        <v>4248</v>
      </c>
      <c r="J39" s="1">
        <v>6535</v>
      </c>
      <c r="K39" s="1">
        <v>8081</v>
      </c>
      <c r="L39" s="1">
        <v>7227</v>
      </c>
      <c r="M39" s="1">
        <v>1609</v>
      </c>
      <c r="N39" s="1">
        <v>800</v>
      </c>
      <c r="O39" s="1">
        <v>4108</v>
      </c>
      <c r="P39" s="1" t="s">
        <v>45</v>
      </c>
      <c r="Q39" s="1" t="s">
        <v>15</v>
      </c>
      <c r="R39" s="7">
        <f t="shared" si="1"/>
        <v>240843.00000000006</v>
      </c>
    </row>
    <row r="40" spans="2:22" x14ac:dyDescent="0.3">
      <c r="B40" s="12">
        <v>46161</v>
      </c>
      <c r="C40" s="9">
        <f t="shared" si="2"/>
        <v>240843.00000000006</v>
      </c>
      <c r="D40" s="1">
        <v>45333.2</v>
      </c>
      <c r="E40" s="8">
        <f t="shared" si="3"/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7">
        <f t="shared" si="1"/>
        <v>286176.20000000007</v>
      </c>
    </row>
    <row r="41" spans="2:22" x14ac:dyDescent="0.3">
      <c r="B41" s="12">
        <v>46162</v>
      </c>
      <c r="C41" s="9">
        <f t="shared" si="2"/>
        <v>286176.20000000007</v>
      </c>
      <c r="D41" s="1">
        <v>41260</v>
      </c>
      <c r="E41" s="8">
        <f t="shared" si="3"/>
        <v>81348</v>
      </c>
      <c r="F41" s="1">
        <v>5657</v>
      </c>
      <c r="G41" s="1">
        <v>6420</v>
      </c>
      <c r="H41" s="1">
        <v>12923</v>
      </c>
      <c r="I41" s="1">
        <v>6721</v>
      </c>
      <c r="J41" s="1">
        <v>11576</v>
      </c>
      <c r="K41" s="1">
        <v>11331</v>
      </c>
      <c r="L41" s="1">
        <v>14483</v>
      </c>
      <c r="M41" s="1">
        <v>4860</v>
      </c>
      <c r="N41" s="1">
        <v>2353</v>
      </c>
      <c r="O41" s="1">
        <v>5024</v>
      </c>
      <c r="P41" s="1" t="s">
        <v>45</v>
      </c>
      <c r="Q41" s="1" t="s">
        <v>16</v>
      </c>
      <c r="R41" s="7">
        <f t="shared" si="1"/>
        <v>246088.20000000007</v>
      </c>
    </row>
    <row r="42" spans="2:22" x14ac:dyDescent="0.3">
      <c r="B42" s="12">
        <v>46163</v>
      </c>
      <c r="C42" s="9">
        <f t="shared" si="2"/>
        <v>246088.20000000007</v>
      </c>
      <c r="D42" s="1">
        <v>40078.600000000006</v>
      </c>
      <c r="E42" s="8">
        <f t="shared" si="3"/>
        <v>45419</v>
      </c>
      <c r="F42" s="1">
        <v>2427</v>
      </c>
      <c r="G42" s="1">
        <v>2411</v>
      </c>
      <c r="H42" s="1">
        <v>6564</v>
      </c>
      <c r="I42" s="1">
        <v>4197</v>
      </c>
      <c r="J42" s="1">
        <v>7987</v>
      </c>
      <c r="K42" s="1">
        <v>8024</v>
      </c>
      <c r="L42" s="1">
        <v>7267</v>
      </c>
      <c r="M42" s="1">
        <v>2419</v>
      </c>
      <c r="N42" s="1">
        <v>805</v>
      </c>
      <c r="O42" s="1">
        <v>3318</v>
      </c>
      <c r="P42" s="1" t="s">
        <v>45</v>
      </c>
      <c r="Q42" s="1" t="s">
        <v>26</v>
      </c>
      <c r="R42" s="7">
        <f t="shared" si="1"/>
        <v>240747.80000000005</v>
      </c>
    </row>
    <row r="43" spans="2:22" x14ac:dyDescent="0.3">
      <c r="B43" s="12">
        <v>46164</v>
      </c>
      <c r="C43" s="9">
        <f t="shared" si="2"/>
        <v>240747.80000000005</v>
      </c>
      <c r="D43" s="1">
        <v>0</v>
      </c>
      <c r="E43" s="8">
        <f t="shared" si="3"/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7">
        <f t="shared" si="1"/>
        <v>240747.80000000005</v>
      </c>
    </row>
    <row r="44" spans="2:22" x14ac:dyDescent="0.3">
      <c r="B44" s="12">
        <v>46165</v>
      </c>
      <c r="C44" s="9">
        <f t="shared" si="2"/>
        <v>240747.80000000005</v>
      </c>
      <c r="D44" s="1">
        <v>0</v>
      </c>
      <c r="E44" s="8">
        <f t="shared" si="3"/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7">
        <f t="shared" si="1"/>
        <v>240747.80000000005</v>
      </c>
    </row>
    <row r="45" spans="2:22" x14ac:dyDescent="0.3">
      <c r="B45" s="12">
        <v>46166</v>
      </c>
      <c r="C45" s="9">
        <f t="shared" si="2"/>
        <v>240747.80000000005</v>
      </c>
      <c r="D45" s="1">
        <v>0</v>
      </c>
      <c r="E45" s="8">
        <f t="shared" si="3"/>
        <v>63653</v>
      </c>
      <c r="F45" s="1">
        <v>4067</v>
      </c>
      <c r="G45" s="1">
        <v>4010</v>
      </c>
      <c r="H45" s="1"/>
      <c r="I45" s="1">
        <v>16939</v>
      </c>
      <c r="J45" s="1">
        <v>9646</v>
      </c>
      <c r="K45" s="1">
        <v>13711</v>
      </c>
      <c r="L45" s="1">
        <v>7172</v>
      </c>
      <c r="M45" s="1">
        <v>3236</v>
      </c>
      <c r="N45" s="1">
        <v>1638</v>
      </c>
      <c r="O45" s="1">
        <v>3234</v>
      </c>
      <c r="P45" s="1" t="s">
        <v>45</v>
      </c>
      <c r="Q45" s="1" t="s">
        <v>27</v>
      </c>
      <c r="R45" s="7">
        <f t="shared" si="1"/>
        <v>177094.80000000005</v>
      </c>
    </row>
    <row r="46" spans="2:22" x14ac:dyDescent="0.3">
      <c r="B46" s="12">
        <v>46167</v>
      </c>
      <c r="C46" s="9">
        <f t="shared" si="2"/>
        <v>177094.80000000005</v>
      </c>
      <c r="D46" s="1">
        <v>46849.299999999996</v>
      </c>
      <c r="E46" s="8">
        <f t="shared" si="3"/>
        <v>63175</v>
      </c>
      <c r="F46" s="1">
        <v>4105</v>
      </c>
      <c r="G46" s="1">
        <v>3979</v>
      </c>
      <c r="H46" s="1"/>
      <c r="I46" s="1">
        <v>17623</v>
      </c>
      <c r="J46" s="1">
        <v>9640</v>
      </c>
      <c r="K46" s="1">
        <v>11217</v>
      </c>
      <c r="L46" s="1">
        <v>9329</v>
      </c>
      <c r="M46" s="1">
        <v>3245</v>
      </c>
      <c r="N46" s="1">
        <v>1605</v>
      </c>
      <c r="O46" s="1">
        <v>2432</v>
      </c>
      <c r="P46" s="1" t="s">
        <v>45</v>
      </c>
      <c r="Q46" s="1" t="s">
        <v>28</v>
      </c>
      <c r="R46" s="7">
        <f t="shared" si="1"/>
        <v>160769.10000000003</v>
      </c>
    </row>
    <row r="47" spans="2:22" x14ac:dyDescent="0.3">
      <c r="B47" s="12">
        <v>46168</v>
      </c>
      <c r="C47" s="9">
        <f t="shared" si="2"/>
        <v>160769.10000000003</v>
      </c>
      <c r="D47" s="1">
        <v>38653.9</v>
      </c>
      <c r="E47" s="8">
        <f t="shared" si="3"/>
        <v>64033</v>
      </c>
      <c r="F47" s="1">
        <v>4188</v>
      </c>
      <c r="G47" s="1">
        <v>3997</v>
      </c>
      <c r="H47" s="1">
        <v>11393</v>
      </c>
      <c r="I47" s="1">
        <v>6497</v>
      </c>
      <c r="J47" s="1">
        <v>9743</v>
      </c>
      <c r="K47" s="1">
        <v>11274</v>
      </c>
      <c r="L47" s="1">
        <v>9595</v>
      </c>
      <c r="M47" s="1">
        <v>3241</v>
      </c>
      <c r="N47" s="1">
        <v>1602</v>
      </c>
      <c r="O47" s="1">
        <v>2503</v>
      </c>
      <c r="P47" s="1" t="s">
        <v>45</v>
      </c>
      <c r="Q47" s="1" t="s">
        <v>29</v>
      </c>
      <c r="R47" s="7">
        <f t="shared" si="1"/>
        <v>135390.00000000003</v>
      </c>
    </row>
    <row r="48" spans="2:22" x14ac:dyDescent="0.3">
      <c r="B48" s="12">
        <v>46169</v>
      </c>
      <c r="C48" s="9">
        <f t="shared" si="2"/>
        <v>135390.00000000003</v>
      </c>
      <c r="D48" s="1">
        <v>37758</v>
      </c>
      <c r="E48" s="8">
        <f t="shared" si="3"/>
        <v>60130</v>
      </c>
      <c r="F48" s="1">
        <v>4062</v>
      </c>
      <c r="G48" s="1">
        <v>4112</v>
      </c>
      <c r="H48" s="1">
        <v>11401</v>
      </c>
      <c r="I48" s="1">
        <v>4936</v>
      </c>
      <c r="J48" s="1">
        <v>9765</v>
      </c>
      <c r="K48" s="1">
        <v>10491</v>
      </c>
      <c r="L48" s="1">
        <v>10535</v>
      </c>
      <c r="M48" s="1">
        <v>3227</v>
      </c>
      <c r="N48" s="1">
        <v>1601</v>
      </c>
      <c r="O48" s="1"/>
      <c r="P48" s="1" t="s">
        <v>45</v>
      </c>
      <c r="Q48" s="1" t="s">
        <v>30</v>
      </c>
      <c r="R48" s="7">
        <f t="shared" si="1"/>
        <v>113018.00000000003</v>
      </c>
    </row>
    <row r="49" spans="2:18" x14ac:dyDescent="0.3">
      <c r="B49" s="12">
        <v>46170</v>
      </c>
      <c r="C49" s="9">
        <f t="shared" si="2"/>
        <v>113018.00000000003</v>
      </c>
      <c r="D49" s="1">
        <v>41541.300000000003</v>
      </c>
      <c r="E49" s="8">
        <f t="shared" si="3"/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7">
        <f t="shared" si="1"/>
        <v>154559.30000000005</v>
      </c>
    </row>
    <row r="50" spans="2:18" x14ac:dyDescent="0.3">
      <c r="B50" s="12">
        <v>46170</v>
      </c>
      <c r="C50" s="9">
        <f t="shared" si="2"/>
        <v>154559.30000000005</v>
      </c>
      <c r="D50" s="1">
        <v>48520</v>
      </c>
      <c r="E50" s="8">
        <f t="shared" si="3"/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7">
        <f t="shared" si="1"/>
        <v>203079.30000000005</v>
      </c>
    </row>
    <row r="51" spans="2:18" x14ac:dyDescent="0.3">
      <c r="B51" s="12">
        <v>46171</v>
      </c>
      <c r="C51" s="9">
        <f t="shared" si="2"/>
        <v>203079.30000000005</v>
      </c>
      <c r="D51" s="1">
        <v>29975.3</v>
      </c>
      <c r="E51" s="8">
        <f t="shared" si="3"/>
        <v>85529</v>
      </c>
      <c r="F51" s="1">
        <v>5750</v>
      </c>
      <c r="G51" s="1">
        <v>5550</v>
      </c>
      <c r="H51" s="1">
        <v>0</v>
      </c>
      <c r="I51" s="1">
        <v>21707</v>
      </c>
      <c r="J51" s="1">
        <v>12944</v>
      </c>
      <c r="K51" s="1">
        <v>13641</v>
      </c>
      <c r="L51" s="1">
        <v>14507</v>
      </c>
      <c r="M51" s="1">
        <v>4056</v>
      </c>
      <c r="N51" s="1">
        <v>2411</v>
      </c>
      <c r="O51" s="1">
        <v>4963</v>
      </c>
      <c r="P51" s="1" t="s">
        <v>45</v>
      </c>
      <c r="Q51" s="1" t="s">
        <v>31</v>
      </c>
      <c r="R51" s="7">
        <f t="shared" si="1"/>
        <v>147525.60000000003</v>
      </c>
    </row>
    <row r="52" spans="2:18" x14ac:dyDescent="0.3">
      <c r="B52" s="12">
        <v>46172</v>
      </c>
      <c r="C52" s="9">
        <f t="shared" si="2"/>
        <v>147525.60000000003</v>
      </c>
      <c r="D52" s="1">
        <v>0</v>
      </c>
      <c r="E52" s="8">
        <f t="shared" si="3"/>
        <v>86814</v>
      </c>
      <c r="F52" s="1">
        <v>5690</v>
      </c>
      <c r="G52" s="1">
        <v>6390</v>
      </c>
      <c r="H52" s="1">
        <v>8024</v>
      </c>
      <c r="I52" s="1">
        <v>13782</v>
      </c>
      <c r="J52" s="1">
        <v>12867</v>
      </c>
      <c r="K52" s="1">
        <v>19197</v>
      </c>
      <c r="L52" s="1">
        <v>8789</v>
      </c>
      <c r="M52" s="1">
        <v>4822</v>
      </c>
      <c r="N52" s="1">
        <v>2417</v>
      </c>
      <c r="O52" s="1">
        <v>4836</v>
      </c>
      <c r="P52" s="1" t="s">
        <v>45</v>
      </c>
      <c r="Q52" s="1" t="s">
        <v>32</v>
      </c>
      <c r="R52" s="7">
        <f t="shared" si="1"/>
        <v>60711.600000000035</v>
      </c>
    </row>
    <row r="53" spans="2:18" x14ac:dyDescent="0.3">
      <c r="B53" s="12">
        <v>46173</v>
      </c>
      <c r="C53" s="9">
        <f t="shared" si="2"/>
        <v>60711.600000000035</v>
      </c>
      <c r="D53" s="1">
        <v>0</v>
      </c>
      <c r="E53" s="8">
        <f t="shared" si="3"/>
        <v>44464</v>
      </c>
      <c r="F53" s="1">
        <v>760</v>
      </c>
      <c r="G53" s="1">
        <v>2473</v>
      </c>
      <c r="H53" s="1">
        <v>3651</v>
      </c>
      <c r="I53" s="1">
        <v>5826</v>
      </c>
      <c r="J53" s="1">
        <v>12908</v>
      </c>
      <c r="K53" s="1">
        <v>10281</v>
      </c>
      <c r="L53" s="1">
        <v>0</v>
      </c>
      <c r="M53" s="1">
        <v>4561</v>
      </c>
      <c r="N53" s="1">
        <v>3196</v>
      </c>
      <c r="O53" s="1">
        <v>808</v>
      </c>
      <c r="P53" s="1" t="s">
        <v>45</v>
      </c>
      <c r="Q53" s="1" t="s">
        <v>33</v>
      </c>
      <c r="R53" s="7">
        <f t="shared" si="1"/>
        <v>16247.600000000035</v>
      </c>
    </row>
    <row r="54" spans="2:18" x14ac:dyDescent="0.3">
      <c r="B54" s="12">
        <v>46174</v>
      </c>
      <c r="C54" s="9">
        <f t="shared" si="2"/>
        <v>16247.600000000035</v>
      </c>
      <c r="D54" s="1">
        <v>0</v>
      </c>
      <c r="E54" s="8">
        <f t="shared" si="3"/>
        <v>16247</v>
      </c>
      <c r="F54" s="1"/>
      <c r="G54" s="1"/>
      <c r="H54" s="1"/>
      <c r="I54" s="1"/>
      <c r="J54" s="1">
        <v>12991</v>
      </c>
      <c r="K54" s="1"/>
      <c r="L54" s="1"/>
      <c r="M54" s="1"/>
      <c r="N54" s="1">
        <v>1604</v>
      </c>
      <c r="O54" s="1">
        <v>1652</v>
      </c>
      <c r="P54" s="1" t="s">
        <v>45</v>
      </c>
      <c r="Q54" s="1" t="s">
        <v>34</v>
      </c>
      <c r="R54" s="7">
        <f t="shared" si="1"/>
        <v>0.6000000000349246</v>
      </c>
    </row>
    <row r="55" spans="2:18" x14ac:dyDescent="0.3">
      <c r="B55" s="12">
        <v>46174</v>
      </c>
      <c r="C55" s="9">
        <f t="shared" si="2"/>
        <v>0.6000000000349246</v>
      </c>
      <c r="D55" s="1">
        <v>72388.5</v>
      </c>
      <c r="E55" s="8">
        <f t="shared" si="3"/>
        <v>39520</v>
      </c>
      <c r="F55" s="1">
        <v>2417</v>
      </c>
      <c r="G55" s="1">
        <v>1607</v>
      </c>
      <c r="H55" s="1">
        <v>6460</v>
      </c>
      <c r="I55" s="1">
        <v>6507</v>
      </c>
      <c r="J55" s="1"/>
      <c r="K55" s="1">
        <v>9672</v>
      </c>
      <c r="L55" s="1">
        <v>8018</v>
      </c>
      <c r="M55" s="1">
        <v>3239</v>
      </c>
      <c r="N55" s="1">
        <v>1600</v>
      </c>
      <c r="O55" s="1"/>
      <c r="P55" s="1" t="s">
        <v>45</v>
      </c>
      <c r="Q55" s="1" t="s">
        <v>34</v>
      </c>
      <c r="R55" s="7">
        <f t="shared" si="1"/>
        <v>32869.100000000035</v>
      </c>
    </row>
    <row r="56" spans="2:18" x14ac:dyDescent="0.3">
      <c r="B56" s="12">
        <v>46175</v>
      </c>
      <c r="C56" s="9">
        <f t="shared" si="2"/>
        <v>32869.100000000035</v>
      </c>
      <c r="D56" s="1">
        <v>47061.599999999999</v>
      </c>
      <c r="E56" s="8">
        <f t="shared" si="3"/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7">
        <f t="shared" si="1"/>
        <v>79930.700000000041</v>
      </c>
    </row>
    <row r="57" spans="2:18" x14ac:dyDescent="0.3">
      <c r="B57" s="12">
        <v>46175</v>
      </c>
      <c r="C57" s="9">
        <f t="shared" si="2"/>
        <v>79930.700000000041</v>
      </c>
      <c r="D57" s="1">
        <v>64819.399999999994</v>
      </c>
      <c r="E57" s="8">
        <f t="shared" si="3"/>
        <v>78295</v>
      </c>
      <c r="F57" s="1">
        <v>4028</v>
      </c>
      <c r="G57" s="1">
        <v>4089</v>
      </c>
      <c r="H57" s="1">
        <v>13223</v>
      </c>
      <c r="I57" s="1">
        <v>6595</v>
      </c>
      <c r="J57" s="1">
        <v>13112</v>
      </c>
      <c r="K57" s="1">
        <v>12959</v>
      </c>
      <c r="L57" s="1">
        <v>17053</v>
      </c>
      <c r="M57" s="1">
        <v>4027</v>
      </c>
      <c r="N57" s="1">
        <v>3209</v>
      </c>
      <c r="O57" s="1"/>
      <c r="P57" s="1" t="s">
        <v>45</v>
      </c>
      <c r="Q57" s="1" t="s">
        <v>35</v>
      </c>
      <c r="R57" s="7">
        <f t="shared" si="1"/>
        <v>66455.100000000035</v>
      </c>
    </row>
    <row r="58" spans="2:18" x14ac:dyDescent="0.3">
      <c r="B58" s="12">
        <v>46176</v>
      </c>
      <c r="C58" s="9">
        <f t="shared" si="2"/>
        <v>66455.100000000035</v>
      </c>
      <c r="D58" s="1">
        <v>97980.400000000009</v>
      </c>
      <c r="E58" s="8">
        <f t="shared" si="3"/>
        <v>77716</v>
      </c>
      <c r="F58" s="1">
        <v>3589</v>
      </c>
      <c r="G58" s="1">
        <v>5003</v>
      </c>
      <c r="H58" s="1">
        <v>12993</v>
      </c>
      <c r="I58" s="1">
        <v>6656</v>
      </c>
      <c r="J58" s="1">
        <v>13056</v>
      </c>
      <c r="K58" s="1">
        <v>13016</v>
      </c>
      <c r="L58" s="1">
        <v>17191</v>
      </c>
      <c r="M58" s="1">
        <v>4046</v>
      </c>
      <c r="N58" s="1">
        <v>2166</v>
      </c>
      <c r="O58" s="1"/>
      <c r="P58" s="1" t="s">
        <v>45</v>
      </c>
      <c r="Q58" s="1" t="s">
        <v>36</v>
      </c>
      <c r="R58" s="7">
        <f t="shared" si="1"/>
        <v>86719.500000000058</v>
      </c>
    </row>
    <row r="59" spans="2:18" x14ac:dyDescent="0.3">
      <c r="B59" s="12">
        <v>46177</v>
      </c>
      <c r="C59" s="9">
        <f t="shared" si="2"/>
        <v>86719.500000000058</v>
      </c>
      <c r="D59" s="1">
        <v>0</v>
      </c>
      <c r="E59" s="8">
        <f t="shared" si="3"/>
        <v>86719</v>
      </c>
      <c r="F59" s="1">
        <v>4520</v>
      </c>
      <c r="G59" s="1">
        <v>4430</v>
      </c>
      <c r="H59" s="1">
        <v>13601</v>
      </c>
      <c r="I59" s="1">
        <v>7634</v>
      </c>
      <c r="J59" s="1">
        <v>23590</v>
      </c>
      <c r="K59" s="1">
        <v>12574</v>
      </c>
      <c r="L59" s="1">
        <v>8957</v>
      </c>
      <c r="M59" s="1">
        <v>6246</v>
      </c>
      <c r="N59" s="1">
        <v>5167</v>
      </c>
      <c r="O59" s="1"/>
      <c r="P59" s="1" t="s">
        <v>45</v>
      </c>
      <c r="Q59" s="1" t="s">
        <v>37</v>
      </c>
      <c r="R59" s="7">
        <f t="shared" si="1"/>
        <v>0.50000000005820766</v>
      </c>
    </row>
    <row r="60" spans="2:18" x14ac:dyDescent="0.3">
      <c r="B60" s="12">
        <v>46178</v>
      </c>
      <c r="C60" s="9">
        <f t="shared" si="2"/>
        <v>0.50000000005820766</v>
      </c>
      <c r="D60" s="1">
        <v>58432.9</v>
      </c>
      <c r="E60" s="8">
        <f t="shared" si="3"/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7">
        <f t="shared" si="1"/>
        <v>58433.40000000006</v>
      </c>
    </row>
    <row r="61" spans="2:18" x14ac:dyDescent="0.3">
      <c r="B61" s="12">
        <v>46179</v>
      </c>
      <c r="C61" s="9">
        <f t="shared" si="2"/>
        <v>58433.40000000006</v>
      </c>
      <c r="D61" s="1">
        <v>88081.55</v>
      </c>
      <c r="E61" s="8">
        <f t="shared" si="3"/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7">
        <f t="shared" si="1"/>
        <v>146514.95000000007</v>
      </c>
    </row>
    <row r="62" spans="2:18" x14ac:dyDescent="0.3">
      <c r="B62" s="12">
        <v>46179</v>
      </c>
      <c r="C62" s="9">
        <f t="shared" si="2"/>
        <v>146514.95000000007</v>
      </c>
      <c r="D62" s="1">
        <v>53426.749999999993</v>
      </c>
      <c r="E62" s="8">
        <f t="shared" si="3"/>
        <v>79723</v>
      </c>
      <c r="F62" s="1">
        <v>6479</v>
      </c>
      <c r="G62" s="1">
        <v>6442</v>
      </c>
      <c r="H62" s="1">
        <v>6626</v>
      </c>
      <c r="I62" s="1">
        <v>13135</v>
      </c>
      <c r="J62" s="1">
        <v>8073</v>
      </c>
      <c r="K62" s="1">
        <v>13019</v>
      </c>
      <c r="L62" s="1">
        <v>16914</v>
      </c>
      <c r="M62" s="1">
        <v>4902</v>
      </c>
      <c r="N62" s="1">
        <v>4133</v>
      </c>
      <c r="O62" s="1"/>
      <c r="P62" s="1" t="s">
        <v>46</v>
      </c>
      <c r="Q62" s="1" t="s">
        <v>38</v>
      </c>
      <c r="R62" s="7">
        <f t="shared" si="1"/>
        <v>120218.70000000007</v>
      </c>
    </row>
    <row r="63" spans="2:18" x14ac:dyDescent="0.3">
      <c r="B63" s="12">
        <v>46180</v>
      </c>
      <c r="C63" s="9">
        <f t="shared" si="2"/>
        <v>120218.70000000007</v>
      </c>
      <c r="D63" s="1">
        <v>87274.349999999991</v>
      </c>
      <c r="E63" s="8">
        <f t="shared" si="3"/>
        <v>83843</v>
      </c>
      <c r="F63" s="1">
        <v>5642</v>
      </c>
      <c r="G63" s="1">
        <v>6484</v>
      </c>
      <c r="H63" s="1">
        <v>9895</v>
      </c>
      <c r="I63" s="1">
        <v>10041</v>
      </c>
      <c r="J63" s="1">
        <v>14759</v>
      </c>
      <c r="K63" s="1">
        <v>12866</v>
      </c>
      <c r="L63" s="1">
        <v>16927</v>
      </c>
      <c r="M63" s="1">
        <v>4918</v>
      </c>
      <c r="N63" s="1">
        <v>2311</v>
      </c>
      <c r="O63" s="1"/>
      <c r="P63" s="1" t="s">
        <v>46</v>
      </c>
      <c r="Q63" s="1" t="s">
        <v>39</v>
      </c>
      <c r="R63" s="7">
        <f t="shared" si="1"/>
        <v>123650.05000000005</v>
      </c>
    </row>
    <row r="64" spans="2:18" x14ac:dyDescent="0.3">
      <c r="B64" s="12">
        <v>46181</v>
      </c>
      <c r="C64" s="9">
        <f t="shared" si="2"/>
        <v>123650.05000000005</v>
      </c>
      <c r="D64" s="1">
        <v>92933.4</v>
      </c>
      <c r="E64" s="8">
        <f t="shared" si="3"/>
        <v>80083</v>
      </c>
      <c r="F64" s="1">
        <v>4083</v>
      </c>
      <c r="G64" s="1">
        <v>3212</v>
      </c>
      <c r="H64" s="1">
        <v>11404</v>
      </c>
      <c r="I64" s="1">
        <v>9791</v>
      </c>
      <c r="J64" s="1">
        <v>14664</v>
      </c>
      <c r="K64" s="1">
        <v>12913</v>
      </c>
      <c r="L64" s="1">
        <v>16934</v>
      </c>
      <c r="M64" s="1">
        <v>4985</v>
      </c>
      <c r="N64" s="1">
        <v>2097</v>
      </c>
      <c r="O64" s="1"/>
      <c r="P64" s="1" t="s">
        <v>46</v>
      </c>
      <c r="Q64" s="1" t="s">
        <v>40</v>
      </c>
      <c r="R64" s="7">
        <f t="shared" si="1"/>
        <v>136500.45000000004</v>
      </c>
    </row>
    <row r="65" spans="2:18" x14ac:dyDescent="0.3">
      <c r="B65" s="12">
        <v>46182</v>
      </c>
      <c r="C65" s="9">
        <f t="shared" si="2"/>
        <v>136500.45000000004</v>
      </c>
      <c r="D65" s="1">
        <v>74424.800000000003</v>
      </c>
      <c r="E65" s="8">
        <f t="shared" si="3"/>
        <v>89319</v>
      </c>
      <c r="F65" s="1">
        <v>4074</v>
      </c>
      <c r="G65" s="1">
        <v>4931</v>
      </c>
      <c r="H65" s="1">
        <v>14641</v>
      </c>
      <c r="I65" s="1">
        <v>7350</v>
      </c>
      <c r="J65" s="1">
        <v>14608</v>
      </c>
      <c r="K65" s="1">
        <v>14477</v>
      </c>
      <c r="L65" s="1">
        <v>21666</v>
      </c>
      <c r="M65" s="1">
        <v>4805</v>
      </c>
      <c r="N65" s="1">
        <v>2767</v>
      </c>
      <c r="O65" s="1"/>
      <c r="P65" s="1" t="s">
        <v>46</v>
      </c>
      <c r="Q65" s="1" t="s">
        <v>41</v>
      </c>
      <c r="R65" s="7">
        <f t="shared" si="1"/>
        <v>121606.25000000006</v>
      </c>
    </row>
    <row r="66" spans="2:18" x14ac:dyDescent="0.3">
      <c r="B66" s="12">
        <v>46183</v>
      </c>
      <c r="C66" s="9">
        <f t="shared" si="2"/>
        <v>121606.25000000006</v>
      </c>
      <c r="D66" s="1">
        <v>76833.8</v>
      </c>
      <c r="E66" s="8">
        <f t="shared" si="3"/>
        <v>87731</v>
      </c>
      <c r="F66" s="1">
        <v>4094</v>
      </c>
      <c r="G66" s="1">
        <v>3783</v>
      </c>
      <c r="H66" s="1">
        <v>7170</v>
      </c>
      <c r="I66" s="1">
        <v>14572</v>
      </c>
      <c r="J66" s="1">
        <v>14754</v>
      </c>
      <c r="K66" s="1">
        <v>14542</v>
      </c>
      <c r="L66" s="1">
        <v>21702</v>
      </c>
      <c r="M66" s="1">
        <v>4816</v>
      </c>
      <c r="N66" s="1">
        <v>2298</v>
      </c>
      <c r="O66" s="1"/>
      <c r="P66" s="1" t="s">
        <v>46</v>
      </c>
      <c r="Q66" s="1" t="s">
        <v>42</v>
      </c>
      <c r="R66" s="7">
        <f t="shared" si="1"/>
        <v>110709.05000000005</v>
      </c>
    </row>
    <row r="67" spans="2:18" x14ac:dyDescent="0.3">
      <c r="B67" s="12">
        <v>46184</v>
      </c>
      <c r="C67" s="9">
        <f t="shared" si="2"/>
        <v>110709.05000000005</v>
      </c>
      <c r="D67" s="1">
        <v>43054.34</v>
      </c>
      <c r="E67" s="8">
        <f t="shared" si="3"/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7">
        <f t="shared" si="1"/>
        <v>153763.39000000004</v>
      </c>
    </row>
    <row r="68" spans="2:18" x14ac:dyDescent="0.3">
      <c r="B68" s="12">
        <v>46184</v>
      </c>
      <c r="C68" s="9">
        <f t="shared" si="2"/>
        <v>153763.39000000004</v>
      </c>
      <c r="D68" s="1">
        <v>61366.05</v>
      </c>
      <c r="E68" s="8">
        <f t="shared" si="3"/>
        <v>110708.45000000001</v>
      </c>
      <c r="F68" s="1">
        <v>616</v>
      </c>
      <c r="G68" s="1">
        <v>0</v>
      </c>
      <c r="H68" s="1">
        <v>11295</v>
      </c>
      <c r="I68" s="1">
        <v>23017</v>
      </c>
      <c r="J68" s="1">
        <v>27376</v>
      </c>
      <c r="K68" s="1">
        <v>11282</v>
      </c>
      <c r="L68" s="1">
        <v>5778</v>
      </c>
      <c r="M68" s="1">
        <v>3587</v>
      </c>
      <c r="N68" s="1">
        <v>484</v>
      </c>
      <c r="O68" s="1">
        <v>27273.450000000012</v>
      </c>
      <c r="P68" s="1" t="s">
        <v>46</v>
      </c>
      <c r="Q68" s="1" t="s">
        <v>43</v>
      </c>
      <c r="R68" s="7">
        <f t="shared" si="1"/>
        <v>104420.99000000005</v>
      </c>
    </row>
    <row r="69" spans="2:18" x14ac:dyDescent="0.3">
      <c r="B69" s="12">
        <v>46185</v>
      </c>
      <c r="C69" s="9">
        <f t="shared" si="2"/>
        <v>104420.99000000005</v>
      </c>
      <c r="D69" s="1">
        <v>63283.4</v>
      </c>
      <c r="E69" s="8">
        <f t="shared" si="3"/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7">
        <f t="shared" ref="R69:R132" si="4">(D69+C69)-E69</f>
        <v>167704.39000000004</v>
      </c>
    </row>
    <row r="70" spans="2:18" x14ac:dyDescent="0.3">
      <c r="B70" s="12">
        <v>46186</v>
      </c>
      <c r="C70" s="9">
        <f t="shared" ref="C70:C133" si="5">R69</f>
        <v>167704.39000000004</v>
      </c>
      <c r="D70" s="1">
        <v>69471</v>
      </c>
      <c r="E70" s="8">
        <f t="shared" si="3"/>
        <v>41137</v>
      </c>
      <c r="F70" s="1"/>
      <c r="G70" s="1"/>
      <c r="H70" s="1"/>
      <c r="I70" s="1"/>
      <c r="J70" s="1"/>
      <c r="K70" s="1">
        <v>14440</v>
      </c>
      <c r="L70" s="1">
        <v>19365</v>
      </c>
      <c r="M70" s="1">
        <v>4126</v>
      </c>
      <c r="N70" s="1">
        <v>3206</v>
      </c>
      <c r="O70" s="1"/>
      <c r="P70" s="1" t="s">
        <v>50</v>
      </c>
      <c r="Q70" s="1" t="s">
        <v>48</v>
      </c>
      <c r="R70" s="7">
        <f t="shared" si="4"/>
        <v>196038.39000000004</v>
      </c>
    </row>
    <row r="71" spans="2:18" x14ac:dyDescent="0.3">
      <c r="B71" s="12">
        <v>46187</v>
      </c>
      <c r="C71" s="9">
        <f t="shared" si="5"/>
        <v>196038.39000000004</v>
      </c>
      <c r="D71" s="1">
        <v>0</v>
      </c>
      <c r="E71" s="8">
        <f t="shared" si="3"/>
        <v>84707</v>
      </c>
      <c r="F71" s="1">
        <v>5746</v>
      </c>
      <c r="G71" s="1">
        <v>6457</v>
      </c>
      <c r="H71" s="1">
        <v>7232</v>
      </c>
      <c r="I71" s="1">
        <v>14457</v>
      </c>
      <c r="J71" s="1">
        <v>14554</v>
      </c>
      <c r="K71" s="1">
        <v>14514</v>
      </c>
      <c r="L71" s="1">
        <v>15337</v>
      </c>
      <c r="M71" s="1">
        <v>4009</v>
      </c>
      <c r="N71" s="1">
        <v>2401</v>
      </c>
      <c r="O71" s="1"/>
      <c r="P71" s="1" t="s">
        <v>50</v>
      </c>
      <c r="Q71" s="1" t="s">
        <v>49</v>
      </c>
      <c r="R71" s="7">
        <f t="shared" si="4"/>
        <v>111331.39000000004</v>
      </c>
    </row>
    <row r="72" spans="2:18" x14ac:dyDescent="0.3">
      <c r="B72" s="12">
        <v>46188</v>
      </c>
      <c r="C72" s="9">
        <f t="shared" si="5"/>
        <v>111331.39000000004</v>
      </c>
      <c r="D72" s="1">
        <v>0</v>
      </c>
      <c r="E72" s="8">
        <f t="shared" si="3"/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7">
        <f t="shared" si="4"/>
        <v>111331.39000000004</v>
      </c>
    </row>
    <row r="73" spans="2:18" x14ac:dyDescent="0.3">
      <c r="B73" s="12">
        <v>46188</v>
      </c>
      <c r="C73" s="9">
        <f t="shared" si="5"/>
        <v>111331.39000000004</v>
      </c>
      <c r="D73" s="1">
        <v>96947</v>
      </c>
      <c r="E73" s="8">
        <f t="shared" si="3"/>
        <v>88435</v>
      </c>
      <c r="F73" s="1">
        <v>3722</v>
      </c>
      <c r="G73" s="1">
        <v>4029</v>
      </c>
      <c r="H73" s="1">
        <v>7231</v>
      </c>
      <c r="I73" s="1">
        <v>14448</v>
      </c>
      <c r="J73" s="1">
        <v>14714</v>
      </c>
      <c r="K73" s="1">
        <v>14448</v>
      </c>
      <c r="L73" s="1">
        <v>21839</v>
      </c>
      <c r="M73" s="1">
        <v>4804</v>
      </c>
      <c r="N73" s="1">
        <v>3200</v>
      </c>
      <c r="O73" s="1"/>
      <c r="P73" s="1" t="s">
        <v>50</v>
      </c>
      <c r="Q73" s="1" t="s">
        <v>51</v>
      </c>
      <c r="R73" s="7">
        <f t="shared" si="4"/>
        <v>119843.39000000004</v>
      </c>
    </row>
    <row r="74" spans="2:18" x14ac:dyDescent="0.3">
      <c r="B74" s="12">
        <v>46189</v>
      </c>
      <c r="C74" s="9">
        <f t="shared" si="5"/>
        <v>119843.39000000004</v>
      </c>
      <c r="D74" s="1">
        <v>98927</v>
      </c>
      <c r="E74" s="8">
        <f t="shared" si="3"/>
        <v>97133</v>
      </c>
      <c r="F74" s="1">
        <v>3206</v>
      </c>
      <c r="G74" s="1">
        <v>6420</v>
      </c>
      <c r="H74" s="1">
        <v>14458</v>
      </c>
      <c r="I74" s="1">
        <v>10436</v>
      </c>
      <c r="J74" s="1">
        <v>20890</v>
      </c>
      <c r="K74" s="1">
        <v>19260</v>
      </c>
      <c r="L74" s="1">
        <v>16857</v>
      </c>
      <c r="M74" s="1">
        <v>3206</v>
      </c>
      <c r="N74" s="1">
        <v>2400</v>
      </c>
      <c r="O74" s="1"/>
      <c r="P74" s="1" t="s">
        <v>50</v>
      </c>
      <c r="Q74" s="1" t="s">
        <v>52</v>
      </c>
      <c r="R74" s="7">
        <f t="shared" si="4"/>
        <v>121637.39000000004</v>
      </c>
    </row>
    <row r="75" spans="2:18" x14ac:dyDescent="0.3">
      <c r="B75" s="12">
        <v>46190</v>
      </c>
      <c r="C75" s="9">
        <f t="shared" si="5"/>
        <v>121637.39000000004</v>
      </c>
      <c r="D75" s="1">
        <v>110239.05</v>
      </c>
      <c r="E75" s="8">
        <f t="shared" si="3"/>
        <v>96965</v>
      </c>
      <c r="F75" s="1">
        <v>5515</v>
      </c>
      <c r="G75" s="1">
        <v>6127</v>
      </c>
      <c r="H75" s="1">
        <v>16091</v>
      </c>
      <c r="I75" s="1">
        <v>8027</v>
      </c>
      <c r="J75" s="1">
        <v>16044</v>
      </c>
      <c r="K75" s="1">
        <v>14449</v>
      </c>
      <c r="L75" s="1">
        <v>21896</v>
      </c>
      <c r="M75" s="1">
        <v>5613</v>
      </c>
      <c r="N75" s="1">
        <v>3203</v>
      </c>
      <c r="O75" s="1"/>
      <c r="P75" s="1" t="s">
        <v>50</v>
      </c>
      <c r="Q75" s="1" t="s">
        <v>53</v>
      </c>
      <c r="R75" s="7">
        <f t="shared" si="4"/>
        <v>134911.44000000006</v>
      </c>
    </row>
    <row r="76" spans="2:18" x14ac:dyDescent="0.3">
      <c r="B76" s="12">
        <v>46191</v>
      </c>
      <c r="C76" s="9">
        <f t="shared" si="5"/>
        <v>134911.44000000006</v>
      </c>
      <c r="D76" s="1">
        <v>152798</v>
      </c>
      <c r="E76" s="8">
        <f t="shared" si="3"/>
        <v>89645</v>
      </c>
      <c r="F76" s="1">
        <v>2860</v>
      </c>
      <c r="G76" s="1">
        <v>3236</v>
      </c>
      <c r="H76" s="1">
        <v>17711</v>
      </c>
      <c r="I76" s="1">
        <v>8829</v>
      </c>
      <c r="J76" s="1">
        <v>12843</v>
      </c>
      <c r="K76" s="1">
        <v>17659</v>
      </c>
      <c r="L76" s="1">
        <v>16893</v>
      </c>
      <c r="M76" s="1">
        <v>5614</v>
      </c>
      <c r="N76" s="1">
        <v>4000</v>
      </c>
      <c r="O76" s="1"/>
      <c r="P76" s="1" t="s">
        <v>50</v>
      </c>
      <c r="Q76" s="1" t="s">
        <v>54</v>
      </c>
      <c r="R76" s="7">
        <f t="shared" si="4"/>
        <v>198064.44000000006</v>
      </c>
    </row>
    <row r="77" spans="2:18" x14ac:dyDescent="0.3">
      <c r="B77" s="12">
        <v>46192</v>
      </c>
      <c r="C77" s="9">
        <f t="shared" si="5"/>
        <v>198064.44000000006</v>
      </c>
      <c r="D77" s="1">
        <v>0</v>
      </c>
      <c r="E77" s="8">
        <f t="shared" si="3"/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7">
        <f t="shared" si="4"/>
        <v>198064.44000000006</v>
      </c>
    </row>
    <row r="78" spans="2:18" x14ac:dyDescent="0.3">
      <c r="B78" s="12">
        <v>46193</v>
      </c>
      <c r="C78" s="9">
        <f t="shared" si="5"/>
        <v>198064.44000000006</v>
      </c>
      <c r="D78" s="1">
        <v>0</v>
      </c>
      <c r="E78" s="8">
        <f t="shared" si="3"/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7">
        <f t="shared" si="4"/>
        <v>198064.44000000006</v>
      </c>
    </row>
    <row r="79" spans="2:18" x14ac:dyDescent="0.3">
      <c r="B79" s="12">
        <v>46194</v>
      </c>
      <c r="C79" s="9">
        <f t="shared" si="5"/>
        <v>198064.44000000006</v>
      </c>
      <c r="D79" s="1">
        <v>0</v>
      </c>
      <c r="E79" s="8">
        <f t="shared" si="3"/>
        <v>97699</v>
      </c>
      <c r="F79" s="1">
        <v>801</v>
      </c>
      <c r="G79" s="1">
        <v>1609</v>
      </c>
      <c r="H79" s="1">
        <v>17672</v>
      </c>
      <c r="I79" s="1">
        <v>8831</v>
      </c>
      <c r="J79" s="1">
        <v>17732</v>
      </c>
      <c r="K79" s="1">
        <v>17692</v>
      </c>
      <c r="L79" s="1">
        <v>26458</v>
      </c>
      <c r="M79" s="1">
        <v>5620</v>
      </c>
      <c r="N79" s="1">
        <v>1284</v>
      </c>
      <c r="O79" s="1"/>
      <c r="P79" s="1" t="s">
        <v>50</v>
      </c>
      <c r="Q79" s="1" t="s">
        <v>55</v>
      </c>
      <c r="R79" s="7">
        <f t="shared" si="4"/>
        <v>100365.44000000006</v>
      </c>
    </row>
    <row r="80" spans="2:18" x14ac:dyDescent="0.3">
      <c r="B80" s="12">
        <v>46195</v>
      </c>
      <c r="C80" s="9">
        <f t="shared" si="5"/>
        <v>100365.44000000006</v>
      </c>
      <c r="D80" s="1">
        <v>51220.25</v>
      </c>
      <c r="E80" s="8">
        <f t="shared" si="3"/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7">
        <f t="shared" si="4"/>
        <v>151585.69000000006</v>
      </c>
    </row>
    <row r="81" spans="2:18" x14ac:dyDescent="0.3">
      <c r="B81" s="12">
        <v>46195</v>
      </c>
      <c r="C81" s="9">
        <f t="shared" si="5"/>
        <v>151585.69000000006</v>
      </c>
      <c r="D81" s="1">
        <v>92700.55</v>
      </c>
      <c r="E81" s="8">
        <f t="shared" si="3"/>
        <v>108954</v>
      </c>
      <c r="F81" s="1">
        <v>4831</v>
      </c>
      <c r="G81" s="1">
        <v>5625</v>
      </c>
      <c r="H81" s="1">
        <v>17655</v>
      </c>
      <c r="I81" s="1">
        <v>8824</v>
      </c>
      <c r="J81" s="1">
        <v>17870</v>
      </c>
      <c r="K81" s="1">
        <v>17675</v>
      </c>
      <c r="L81" s="1">
        <v>26794</v>
      </c>
      <c r="M81" s="1">
        <v>5679</v>
      </c>
      <c r="N81" s="1">
        <v>4001</v>
      </c>
      <c r="O81" s="1"/>
      <c r="P81" s="1" t="s">
        <v>56</v>
      </c>
      <c r="Q81" s="1" t="s">
        <v>57</v>
      </c>
      <c r="R81" s="7">
        <f t="shared" si="4"/>
        <v>135332.24000000005</v>
      </c>
    </row>
    <row r="82" spans="2:18" x14ac:dyDescent="0.3">
      <c r="B82" s="12">
        <v>46196</v>
      </c>
      <c r="C82" s="9">
        <f t="shared" si="5"/>
        <v>135332.24000000005</v>
      </c>
      <c r="D82" s="1">
        <v>0</v>
      </c>
      <c r="E82" s="8">
        <f t="shared" si="3"/>
        <v>118746</v>
      </c>
      <c r="F82" s="1">
        <v>1094</v>
      </c>
      <c r="G82" s="1">
        <v>0</v>
      </c>
      <c r="H82" s="1">
        <v>27399</v>
      </c>
      <c r="I82" s="1">
        <v>17794</v>
      </c>
      <c r="J82" s="1">
        <v>29189</v>
      </c>
      <c r="K82" s="1">
        <v>11274</v>
      </c>
      <c r="L82" s="1">
        <v>14047</v>
      </c>
      <c r="M82" s="1">
        <v>8920</v>
      </c>
      <c r="N82" s="1">
        <v>9029</v>
      </c>
      <c r="O82" s="1"/>
      <c r="P82" s="1" t="s">
        <v>56</v>
      </c>
      <c r="Q82" s="1" t="s">
        <v>58</v>
      </c>
      <c r="R82" s="7">
        <f t="shared" si="4"/>
        <v>16586.240000000049</v>
      </c>
    </row>
    <row r="83" spans="2:18" x14ac:dyDescent="0.3">
      <c r="B83" s="12">
        <v>46197</v>
      </c>
      <c r="C83" s="9">
        <f t="shared" si="5"/>
        <v>16586.240000000049</v>
      </c>
      <c r="D83" s="1">
        <v>0</v>
      </c>
      <c r="E83" s="8">
        <f t="shared" si="3"/>
        <v>16586</v>
      </c>
      <c r="F83" s="2"/>
      <c r="G83" s="2"/>
      <c r="H83" s="2"/>
      <c r="I83" s="2"/>
      <c r="J83" s="2">
        <v>16586</v>
      </c>
      <c r="K83" s="2"/>
      <c r="L83" s="2"/>
      <c r="M83" s="2"/>
      <c r="N83" s="2"/>
      <c r="O83" s="2"/>
      <c r="P83" s="2" t="s">
        <v>56</v>
      </c>
      <c r="Q83" s="2" t="s">
        <v>59</v>
      </c>
      <c r="R83" s="7">
        <f t="shared" si="4"/>
        <v>0.24000000004889444</v>
      </c>
    </row>
    <row r="84" spans="2:18" x14ac:dyDescent="0.3">
      <c r="B84" s="12">
        <v>46197</v>
      </c>
      <c r="C84" s="9">
        <f t="shared" si="5"/>
        <v>0.24000000004889444</v>
      </c>
      <c r="D84" s="1">
        <v>107187.90000000001</v>
      </c>
      <c r="E84" s="8">
        <f t="shared" si="3"/>
        <v>37208</v>
      </c>
      <c r="F84" s="2"/>
      <c r="G84" s="2"/>
      <c r="H84" s="2">
        <v>4089</v>
      </c>
      <c r="I84" s="2">
        <v>7416</v>
      </c>
      <c r="J84" s="2">
        <v>7093</v>
      </c>
      <c r="K84" s="2">
        <v>8098</v>
      </c>
      <c r="L84" s="2">
        <v>6478</v>
      </c>
      <c r="M84" s="2">
        <v>3234</v>
      </c>
      <c r="N84" s="2">
        <v>800</v>
      </c>
      <c r="O84" s="2"/>
      <c r="P84" s="2" t="s">
        <v>60</v>
      </c>
      <c r="Q84" s="2" t="s">
        <v>61</v>
      </c>
      <c r="R84" s="7">
        <f t="shared" si="4"/>
        <v>69980.140000000058</v>
      </c>
    </row>
    <row r="85" spans="2:18" x14ac:dyDescent="0.3">
      <c r="B85" s="12">
        <v>46198</v>
      </c>
      <c r="C85" s="9">
        <f t="shared" si="5"/>
        <v>69980.140000000058</v>
      </c>
      <c r="D85" s="1">
        <v>97873.25</v>
      </c>
      <c r="E85" s="8">
        <f t="shared" si="3"/>
        <v>108774</v>
      </c>
      <c r="F85" s="2">
        <v>4574</v>
      </c>
      <c r="G85" s="2">
        <v>5623</v>
      </c>
      <c r="H85" s="2">
        <v>17668</v>
      </c>
      <c r="I85" s="2">
        <v>8828</v>
      </c>
      <c r="J85" s="2">
        <v>17999</v>
      </c>
      <c r="K85" s="2">
        <v>17757</v>
      </c>
      <c r="L85" s="2">
        <v>26708</v>
      </c>
      <c r="M85" s="2">
        <v>5617</v>
      </c>
      <c r="N85" s="2">
        <v>4000</v>
      </c>
      <c r="O85" s="2"/>
      <c r="P85" s="2" t="s">
        <v>60</v>
      </c>
      <c r="Q85" s="2" t="s">
        <v>62</v>
      </c>
      <c r="R85" s="7">
        <f t="shared" si="4"/>
        <v>59079.390000000072</v>
      </c>
    </row>
    <row r="86" spans="2:18" x14ac:dyDescent="0.3">
      <c r="B86" s="12">
        <v>46199</v>
      </c>
      <c r="C86" s="9">
        <f t="shared" si="5"/>
        <v>59079.390000000072</v>
      </c>
      <c r="D86" s="1">
        <v>0</v>
      </c>
      <c r="E86" s="8">
        <f t="shared" si="3"/>
        <v>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7">
        <f t="shared" si="4"/>
        <v>59079.390000000072</v>
      </c>
    </row>
    <row r="87" spans="2:18" x14ac:dyDescent="0.3">
      <c r="B87" s="12">
        <v>46199</v>
      </c>
      <c r="C87" s="9">
        <f t="shared" si="5"/>
        <v>59079.390000000072</v>
      </c>
      <c r="D87" s="1">
        <v>114744</v>
      </c>
      <c r="E87" s="8">
        <f t="shared" si="3"/>
        <v>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7">
        <f t="shared" si="4"/>
        <v>173823.39000000007</v>
      </c>
    </row>
    <row r="88" spans="2:18" x14ac:dyDescent="0.3">
      <c r="B88" s="12">
        <v>46200</v>
      </c>
      <c r="C88" s="9">
        <f t="shared" si="5"/>
        <v>173823.39000000007</v>
      </c>
      <c r="D88" s="1">
        <v>108869</v>
      </c>
      <c r="E88" s="8">
        <f t="shared" si="3"/>
        <v>111122</v>
      </c>
      <c r="F88" s="2">
        <v>6392</v>
      </c>
      <c r="G88" s="2">
        <v>6410</v>
      </c>
      <c r="H88" s="2">
        <v>17654</v>
      </c>
      <c r="I88" s="2">
        <v>8911</v>
      </c>
      <c r="J88" s="2">
        <v>17715</v>
      </c>
      <c r="K88" s="2">
        <v>17844</v>
      </c>
      <c r="L88" s="2">
        <v>26570</v>
      </c>
      <c r="M88" s="2">
        <v>5622</v>
      </c>
      <c r="N88" s="2">
        <v>4004</v>
      </c>
      <c r="O88" s="2"/>
      <c r="P88" s="2" t="s">
        <v>60</v>
      </c>
      <c r="Q88" s="2" t="s">
        <v>63</v>
      </c>
      <c r="R88" s="7">
        <f t="shared" si="4"/>
        <v>171570.39000000007</v>
      </c>
    </row>
    <row r="89" spans="2:18" x14ac:dyDescent="0.3">
      <c r="B89" s="12">
        <v>46201</v>
      </c>
      <c r="C89" s="9">
        <f t="shared" si="5"/>
        <v>171570.39000000007</v>
      </c>
      <c r="D89" s="1">
        <v>0</v>
      </c>
      <c r="E89" s="8">
        <f t="shared" si="3"/>
        <v>100469</v>
      </c>
      <c r="F89" s="2">
        <v>352</v>
      </c>
      <c r="G89" s="2">
        <v>1891</v>
      </c>
      <c r="H89" s="2">
        <v>17656</v>
      </c>
      <c r="I89" s="2">
        <v>8846</v>
      </c>
      <c r="J89" s="2">
        <v>17702</v>
      </c>
      <c r="K89" s="2">
        <v>17653</v>
      </c>
      <c r="L89" s="2">
        <v>26699</v>
      </c>
      <c r="M89" s="2">
        <v>5663</v>
      </c>
      <c r="N89" s="2">
        <v>4007</v>
      </c>
      <c r="O89" s="2"/>
      <c r="P89" s="2" t="s">
        <v>60</v>
      </c>
      <c r="Q89" s="2" t="s">
        <v>64</v>
      </c>
      <c r="R89" s="7">
        <f t="shared" si="4"/>
        <v>71101.390000000072</v>
      </c>
    </row>
    <row r="90" spans="2:18" x14ac:dyDescent="0.3">
      <c r="B90" s="12">
        <v>46202</v>
      </c>
      <c r="C90" s="9">
        <f t="shared" si="5"/>
        <v>71101.390000000072</v>
      </c>
      <c r="D90" s="1">
        <v>83262.8</v>
      </c>
      <c r="E90" s="8">
        <f t="shared" si="3"/>
        <v>105292</v>
      </c>
      <c r="F90" s="2">
        <v>3055</v>
      </c>
      <c r="G90" s="2">
        <v>4003</v>
      </c>
      <c r="H90" s="2">
        <v>17813</v>
      </c>
      <c r="I90" s="2">
        <v>8831</v>
      </c>
      <c r="J90" s="2">
        <v>17749</v>
      </c>
      <c r="K90" s="2">
        <v>17670</v>
      </c>
      <c r="L90" s="2">
        <v>26556</v>
      </c>
      <c r="M90" s="2">
        <v>5612</v>
      </c>
      <c r="N90" s="2">
        <v>4003</v>
      </c>
      <c r="O90" s="2"/>
      <c r="P90" s="2" t="s">
        <v>60</v>
      </c>
      <c r="Q90" s="2" t="s">
        <v>65</v>
      </c>
      <c r="R90" s="7">
        <f t="shared" si="4"/>
        <v>49072.190000000061</v>
      </c>
    </row>
    <row r="91" spans="2:18" x14ac:dyDescent="0.3">
      <c r="B91" s="12">
        <v>46203</v>
      </c>
      <c r="C91" s="9">
        <f t="shared" si="5"/>
        <v>49072.190000000061</v>
      </c>
      <c r="D91" s="1">
        <v>102111.8</v>
      </c>
      <c r="E91" s="8">
        <f t="shared" si="3"/>
        <v>107080</v>
      </c>
      <c r="F91" s="2">
        <v>4003</v>
      </c>
      <c r="G91" s="2">
        <v>4899</v>
      </c>
      <c r="H91" s="2">
        <v>12861</v>
      </c>
      <c r="I91" s="2">
        <v>13651</v>
      </c>
      <c r="J91" s="2">
        <v>17687</v>
      </c>
      <c r="K91" s="2">
        <v>20893</v>
      </c>
      <c r="L91" s="2">
        <v>23468</v>
      </c>
      <c r="M91" s="2">
        <v>5615</v>
      </c>
      <c r="N91" s="2">
        <v>4003</v>
      </c>
      <c r="O91" s="2"/>
      <c r="P91" s="2" t="s">
        <v>60</v>
      </c>
      <c r="Q91" s="2" t="s">
        <v>66</v>
      </c>
      <c r="R91" s="7">
        <f t="shared" si="4"/>
        <v>44103.990000000049</v>
      </c>
    </row>
    <row r="92" spans="2:18" x14ac:dyDescent="0.3">
      <c r="B92" s="12">
        <v>46204</v>
      </c>
      <c r="C92" s="9">
        <f t="shared" si="5"/>
        <v>44103.990000000049</v>
      </c>
      <c r="D92" s="1">
        <v>219804.55</v>
      </c>
      <c r="E92" s="8">
        <f t="shared" ref="E92:E155" si="6">SUM(F92:O92)</f>
        <v>114214</v>
      </c>
      <c r="F92" s="2">
        <v>0</v>
      </c>
      <c r="G92" s="2">
        <v>3209</v>
      </c>
      <c r="H92" s="2">
        <v>17664</v>
      </c>
      <c r="I92" s="2">
        <v>17648</v>
      </c>
      <c r="J92" s="2">
        <v>17712</v>
      </c>
      <c r="K92" s="2">
        <v>26491</v>
      </c>
      <c r="L92" s="2">
        <v>17763</v>
      </c>
      <c r="M92" s="2">
        <v>8119</v>
      </c>
      <c r="N92" s="2">
        <v>5608</v>
      </c>
      <c r="O92" s="2"/>
      <c r="P92" s="2" t="s">
        <v>60</v>
      </c>
      <c r="Q92" s="2" t="s">
        <v>67</v>
      </c>
      <c r="R92" s="7">
        <f t="shared" si="4"/>
        <v>149694.54000000004</v>
      </c>
    </row>
    <row r="93" spans="2:18" x14ac:dyDescent="0.3">
      <c r="B93" s="12">
        <v>46205</v>
      </c>
      <c r="C93" s="9">
        <f t="shared" si="5"/>
        <v>149694.54000000004</v>
      </c>
      <c r="D93" s="1">
        <v>232775.5</v>
      </c>
      <c r="E93" s="8">
        <f t="shared" si="6"/>
        <v>118956</v>
      </c>
      <c r="F93" s="2">
        <v>7963</v>
      </c>
      <c r="G93" s="2"/>
      <c r="H93" s="2">
        <v>8823</v>
      </c>
      <c r="I93" s="2">
        <v>17649</v>
      </c>
      <c r="J93" s="2">
        <v>26553</v>
      </c>
      <c r="K93" s="2">
        <v>26514</v>
      </c>
      <c r="L93" s="2">
        <v>17827</v>
      </c>
      <c r="M93" s="2">
        <v>8022</v>
      </c>
      <c r="N93" s="2">
        <v>5605</v>
      </c>
      <c r="O93" s="2"/>
      <c r="P93" s="2" t="s">
        <v>60</v>
      </c>
      <c r="Q93" s="2" t="s">
        <v>68</v>
      </c>
      <c r="R93" s="7">
        <f t="shared" si="4"/>
        <v>263514.04000000004</v>
      </c>
    </row>
    <row r="94" spans="2:18" x14ac:dyDescent="0.3">
      <c r="B94" s="12">
        <v>46206</v>
      </c>
      <c r="C94" s="9">
        <f t="shared" si="5"/>
        <v>263514.04000000004</v>
      </c>
      <c r="D94" s="1">
        <v>0</v>
      </c>
      <c r="E94" s="8">
        <f t="shared" si="6"/>
        <v>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7">
        <f t="shared" si="4"/>
        <v>263514.04000000004</v>
      </c>
    </row>
    <row r="95" spans="2:18" x14ac:dyDescent="0.3">
      <c r="B95" s="12">
        <v>46207</v>
      </c>
      <c r="C95" s="9">
        <f t="shared" si="5"/>
        <v>263514.04000000004</v>
      </c>
      <c r="D95" s="1">
        <v>0</v>
      </c>
      <c r="E95" s="8">
        <f t="shared" si="6"/>
        <v>131334</v>
      </c>
      <c r="F95" s="2"/>
      <c r="G95" s="2">
        <v>8813</v>
      </c>
      <c r="H95" s="2">
        <v>17766</v>
      </c>
      <c r="I95" s="2">
        <v>20900</v>
      </c>
      <c r="J95" s="2">
        <v>20965</v>
      </c>
      <c r="K95" s="2">
        <v>31393</v>
      </c>
      <c r="L95" s="2">
        <v>17847</v>
      </c>
      <c r="M95" s="2">
        <v>8043</v>
      </c>
      <c r="N95" s="2">
        <v>5607</v>
      </c>
      <c r="O95" s="2"/>
      <c r="P95" s="2" t="s">
        <v>60</v>
      </c>
      <c r="Q95" s="2" t="s">
        <v>69</v>
      </c>
      <c r="R95" s="7">
        <f t="shared" si="4"/>
        <v>132180.04000000004</v>
      </c>
    </row>
    <row r="96" spans="2:18" x14ac:dyDescent="0.3">
      <c r="B96" s="12">
        <v>46208</v>
      </c>
      <c r="C96" s="9">
        <f t="shared" si="5"/>
        <v>132180.04000000004</v>
      </c>
      <c r="D96" s="1">
        <v>0</v>
      </c>
      <c r="E96" s="8">
        <f t="shared" si="6"/>
        <v>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7">
        <f t="shared" si="4"/>
        <v>132180.04000000004</v>
      </c>
    </row>
    <row r="97" spans="2:18" x14ac:dyDescent="0.3">
      <c r="B97" s="12">
        <v>46209</v>
      </c>
      <c r="C97" s="9">
        <f t="shared" si="5"/>
        <v>132180.04000000004</v>
      </c>
      <c r="D97" s="1">
        <v>214862.44999999998</v>
      </c>
      <c r="E97" s="8">
        <f t="shared" si="6"/>
        <v>130560</v>
      </c>
      <c r="F97" s="2">
        <v>8826</v>
      </c>
      <c r="G97" s="2"/>
      <c r="H97" s="2">
        <v>17668</v>
      </c>
      <c r="I97" s="2">
        <v>20877</v>
      </c>
      <c r="J97" s="2">
        <v>21024</v>
      </c>
      <c r="K97" s="2">
        <v>31400</v>
      </c>
      <c r="L97" s="2">
        <v>17927</v>
      </c>
      <c r="M97" s="2">
        <v>7229</v>
      </c>
      <c r="N97" s="2">
        <v>5609</v>
      </c>
      <c r="O97" s="2"/>
      <c r="P97" s="2" t="s">
        <v>60</v>
      </c>
      <c r="Q97" s="2" t="s">
        <v>70</v>
      </c>
      <c r="R97" s="7">
        <f t="shared" si="4"/>
        <v>216482.49</v>
      </c>
    </row>
    <row r="98" spans="2:18" x14ac:dyDescent="0.3">
      <c r="B98" s="12">
        <v>46210</v>
      </c>
      <c r="C98" s="9">
        <f t="shared" si="5"/>
        <v>216482.49</v>
      </c>
      <c r="D98" s="1">
        <v>114916.1</v>
      </c>
      <c r="E98" s="8">
        <f t="shared" si="6"/>
        <v>130712</v>
      </c>
      <c r="F98" s="2"/>
      <c r="G98" s="2">
        <v>8816</v>
      </c>
      <c r="H98" s="2">
        <v>8824</v>
      </c>
      <c r="I98" s="2">
        <v>23262</v>
      </c>
      <c r="J98" s="2">
        <v>27521</v>
      </c>
      <c r="K98" s="2">
        <v>31339</v>
      </c>
      <c r="L98" s="2">
        <v>17985</v>
      </c>
      <c r="M98" s="2">
        <v>7293</v>
      </c>
      <c r="N98" s="2">
        <v>5672</v>
      </c>
      <c r="O98" s="2"/>
      <c r="P98" s="2" t="s">
        <v>60</v>
      </c>
      <c r="Q98" s="2" t="s">
        <v>71</v>
      </c>
      <c r="R98" s="7">
        <f t="shared" si="4"/>
        <v>200686.58999999997</v>
      </c>
    </row>
    <row r="99" spans="2:18" x14ac:dyDescent="0.3">
      <c r="B99" s="12">
        <v>46211</v>
      </c>
      <c r="C99" s="9">
        <f t="shared" si="5"/>
        <v>200686.58999999997</v>
      </c>
      <c r="D99" s="1">
        <v>37358.649999999994</v>
      </c>
      <c r="E99" s="8">
        <f t="shared" si="6"/>
        <v>126006</v>
      </c>
      <c r="F99" s="2">
        <v>10417</v>
      </c>
      <c r="G99" s="2">
        <v>0</v>
      </c>
      <c r="H99" s="2">
        <v>8824</v>
      </c>
      <c r="I99" s="2">
        <v>20866</v>
      </c>
      <c r="J99" s="2">
        <v>41996</v>
      </c>
      <c r="K99" s="2">
        <v>26122</v>
      </c>
      <c r="L99" s="2">
        <v>4928</v>
      </c>
      <c r="M99" s="2">
        <v>7235</v>
      </c>
      <c r="N99" s="2">
        <v>5618</v>
      </c>
      <c r="O99" s="2"/>
      <c r="P99" s="2" t="s">
        <v>60</v>
      </c>
      <c r="Q99" s="2" t="s">
        <v>72</v>
      </c>
      <c r="R99" s="7">
        <f t="shared" si="4"/>
        <v>112039.23999999996</v>
      </c>
    </row>
    <row r="100" spans="2:18" x14ac:dyDescent="0.3">
      <c r="B100" s="12">
        <v>46212</v>
      </c>
      <c r="C100" s="9">
        <f t="shared" si="5"/>
        <v>112039.23999999996</v>
      </c>
      <c r="D100" s="1">
        <v>90280.9</v>
      </c>
      <c r="E100" s="8">
        <f t="shared" si="6"/>
        <v>80989</v>
      </c>
      <c r="F100" s="2"/>
      <c r="G100" s="2">
        <v>8813</v>
      </c>
      <c r="H100" s="2">
        <v>8828</v>
      </c>
      <c r="I100" s="2">
        <v>11218</v>
      </c>
      <c r="J100" s="2">
        <v>21958</v>
      </c>
      <c r="K100" s="2">
        <v>5630</v>
      </c>
      <c r="L100" s="2">
        <v>14023</v>
      </c>
      <c r="M100" s="2">
        <v>7300</v>
      </c>
      <c r="N100" s="2">
        <v>3219</v>
      </c>
      <c r="O100" s="2"/>
      <c r="P100" s="2" t="s">
        <v>60</v>
      </c>
      <c r="Q100" s="2" t="s">
        <v>73</v>
      </c>
      <c r="R100" s="7">
        <f t="shared" si="4"/>
        <v>121331.13999999996</v>
      </c>
    </row>
    <row r="101" spans="2:18" x14ac:dyDescent="0.3">
      <c r="B101" s="12">
        <v>46213</v>
      </c>
      <c r="C101" s="9">
        <f t="shared" si="5"/>
        <v>121331.13999999996</v>
      </c>
      <c r="D101" s="1">
        <v>123305.15000000001</v>
      </c>
      <c r="E101" s="8">
        <f t="shared" si="6"/>
        <v>134036</v>
      </c>
      <c r="F101" s="2">
        <v>10417</v>
      </c>
      <c r="G101" s="2">
        <v>0</v>
      </c>
      <c r="H101" s="2">
        <v>8827</v>
      </c>
      <c r="I101" s="2">
        <v>20869</v>
      </c>
      <c r="J101" s="2">
        <v>31506</v>
      </c>
      <c r="K101" s="2">
        <v>31361</v>
      </c>
      <c r="L101" s="2">
        <v>17954</v>
      </c>
      <c r="M101" s="2">
        <v>7279</v>
      </c>
      <c r="N101" s="2">
        <v>5823</v>
      </c>
      <c r="O101" s="2"/>
      <c r="P101" s="2" t="s">
        <v>60</v>
      </c>
      <c r="Q101" s="2" t="s">
        <v>74</v>
      </c>
      <c r="R101" s="7">
        <f t="shared" si="4"/>
        <v>110600.28999999998</v>
      </c>
    </row>
    <row r="102" spans="2:18" x14ac:dyDescent="0.3">
      <c r="B102" s="12">
        <v>46214</v>
      </c>
      <c r="C102" s="9">
        <f t="shared" si="5"/>
        <v>110600.28999999998</v>
      </c>
      <c r="D102" s="1">
        <v>105839.15</v>
      </c>
      <c r="E102" s="8">
        <f t="shared" si="6"/>
        <v>133933</v>
      </c>
      <c r="F102" s="2">
        <v>0</v>
      </c>
      <c r="G102" s="2">
        <v>10417</v>
      </c>
      <c r="H102" s="2">
        <v>8845</v>
      </c>
      <c r="I102" s="2">
        <v>20858</v>
      </c>
      <c r="J102" s="2">
        <v>31526</v>
      </c>
      <c r="K102" s="2">
        <v>31375</v>
      </c>
      <c r="L102" s="2">
        <v>17995</v>
      </c>
      <c r="M102" s="2">
        <v>7303</v>
      </c>
      <c r="N102" s="2">
        <v>5614</v>
      </c>
      <c r="O102" s="2"/>
      <c r="P102" s="2" t="s">
        <v>60</v>
      </c>
      <c r="Q102" s="2" t="s">
        <v>75</v>
      </c>
      <c r="R102" s="7">
        <f t="shared" si="4"/>
        <v>82506.439999999973</v>
      </c>
    </row>
    <row r="103" spans="2:18" x14ac:dyDescent="0.3">
      <c r="B103" s="12">
        <v>46215</v>
      </c>
      <c r="C103" s="9">
        <f t="shared" si="5"/>
        <v>82506.439999999973</v>
      </c>
      <c r="D103" s="1">
        <v>0</v>
      </c>
      <c r="E103" s="8">
        <f t="shared" si="6"/>
        <v>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7">
        <f t="shared" si="4"/>
        <v>82506.439999999973</v>
      </c>
    </row>
    <row r="104" spans="2:18" x14ac:dyDescent="0.3">
      <c r="B104" s="12">
        <v>46216</v>
      </c>
      <c r="C104" s="9">
        <f t="shared" si="5"/>
        <v>82506.439999999973</v>
      </c>
      <c r="D104" s="1">
        <v>91401.700000000012</v>
      </c>
      <c r="E104" s="8">
        <f t="shared" si="6"/>
        <v>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7">
        <f t="shared" si="4"/>
        <v>173908.13999999998</v>
      </c>
    </row>
    <row r="105" spans="2:18" x14ac:dyDescent="0.3">
      <c r="B105" s="12">
        <v>46216</v>
      </c>
      <c r="C105" s="9">
        <f t="shared" si="5"/>
        <v>173908.13999999998</v>
      </c>
      <c r="D105" s="1">
        <v>88291.599999999991</v>
      </c>
      <c r="E105" s="8">
        <f t="shared" si="6"/>
        <v>135550</v>
      </c>
      <c r="F105" s="2">
        <v>10432</v>
      </c>
      <c r="G105" s="2">
        <v>0</v>
      </c>
      <c r="H105" s="2">
        <v>10445</v>
      </c>
      <c r="I105" s="2">
        <v>20870</v>
      </c>
      <c r="J105" s="2">
        <v>31454</v>
      </c>
      <c r="K105" s="2">
        <v>31467</v>
      </c>
      <c r="L105" s="2">
        <v>17861</v>
      </c>
      <c r="M105" s="2">
        <v>7339</v>
      </c>
      <c r="N105" s="2">
        <v>5682</v>
      </c>
      <c r="O105" s="2"/>
      <c r="P105" s="2" t="s">
        <v>60</v>
      </c>
      <c r="Q105" s="2" t="s">
        <v>76</v>
      </c>
      <c r="R105" s="7">
        <f t="shared" si="4"/>
        <v>126649.73999999999</v>
      </c>
    </row>
    <row r="106" spans="2:18" x14ac:dyDescent="0.3">
      <c r="B106" s="12">
        <v>46217</v>
      </c>
      <c r="C106" s="9">
        <f t="shared" si="5"/>
        <v>126649.73999999999</v>
      </c>
      <c r="D106" s="1">
        <v>95506.55</v>
      </c>
      <c r="E106" s="8">
        <f t="shared" si="6"/>
        <v>135087</v>
      </c>
      <c r="F106" s="2">
        <v>0</v>
      </c>
      <c r="G106" s="2">
        <v>10416</v>
      </c>
      <c r="H106" s="2">
        <v>20864</v>
      </c>
      <c r="I106" s="2">
        <v>10429</v>
      </c>
      <c r="J106" s="2">
        <v>31440</v>
      </c>
      <c r="K106" s="2">
        <v>31289</v>
      </c>
      <c r="L106" s="2">
        <v>17826</v>
      </c>
      <c r="M106" s="2">
        <v>7220</v>
      </c>
      <c r="N106" s="2">
        <v>5603</v>
      </c>
      <c r="O106" s="2"/>
      <c r="P106" s="2" t="s">
        <v>60</v>
      </c>
      <c r="Q106" s="2" t="s">
        <v>77</v>
      </c>
      <c r="R106" s="7">
        <f t="shared" si="4"/>
        <v>87069.289999999979</v>
      </c>
    </row>
    <row r="107" spans="2:18" x14ac:dyDescent="0.3">
      <c r="B107" s="12">
        <v>46218</v>
      </c>
      <c r="C107" s="9">
        <f t="shared" si="5"/>
        <v>87069.289999999979</v>
      </c>
      <c r="D107" s="1">
        <v>97182.95</v>
      </c>
      <c r="E107" s="8">
        <f t="shared" si="6"/>
        <v>132898</v>
      </c>
      <c r="F107" s="2">
        <v>10414</v>
      </c>
      <c r="G107" s="2">
        <v>0</v>
      </c>
      <c r="H107" s="2">
        <v>20870</v>
      </c>
      <c r="I107" s="2">
        <v>20868</v>
      </c>
      <c r="J107" s="2">
        <v>21074</v>
      </c>
      <c r="K107" s="2">
        <v>31370</v>
      </c>
      <c r="L107" s="2">
        <v>17844</v>
      </c>
      <c r="M107" s="2">
        <v>7240</v>
      </c>
      <c r="N107" s="2">
        <v>3218</v>
      </c>
      <c r="O107" s="2"/>
      <c r="P107" s="2" t="s">
        <v>60</v>
      </c>
      <c r="Q107" s="2" t="s">
        <v>78</v>
      </c>
      <c r="R107" s="7">
        <f t="shared" si="4"/>
        <v>51354.239999999991</v>
      </c>
    </row>
    <row r="108" spans="2:18" x14ac:dyDescent="0.3">
      <c r="B108" s="12">
        <v>46219</v>
      </c>
      <c r="C108" s="9">
        <f t="shared" si="5"/>
        <v>51354.239999999991</v>
      </c>
      <c r="D108" s="1">
        <v>176093.05000000002</v>
      </c>
      <c r="E108" s="8">
        <f t="shared" si="6"/>
        <v>129469</v>
      </c>
      <c r="F108" s="2">
        <v>7211</v>
      </c>
      <c r="G108" s="2">
        <v>10416</v>
      </c>
      <c r="H108" s="2">
        <v>20866</v>
      </c>
      <c r="I108" s="2">
        <v>20849</v>
      </c>
      <c r="J108" s="2">
        <v>10601</v>
      </c>
      <c r="K108" s="2">
        <v>31300</v>
      </c>
      <c r="L108" s="2">
        <v>17980</v>
      </c>
      <c r="M108" s="2">
        <v>7114</v>
      </c>
      <c r="N108" s="2">
        <v>3132</v>
      </c>
      <c r="O108" s="2"/>
      <c r="P108" s="2" t="s">
        <v>60</v>
      </c>
      <c r="Q108" s="2" t="s">
        <v>79</v>
      </c>
      <c r="R108" s="7">
        <f t="shared" si="4"/>
        <v>97978.290000000008</v>
      </c>
    </row>
    <row r="109" spans="2:18" x14ac:dyDescent="0.3">
      <c r="B109" s="12">
        <v>46220</v>
      </c>
      <c r="C109" s="9">
        <f t="shared" si="5"/>
        <v>97978.290000000008</v>
      </c>
      <c r="D109" s="1">
        <v>53094.35</v>
      </c>
      <c r="E109" s="8">
        <f t="shared" si="6"/>
        <v>97803</v>
      </c>
      <c r="F109" s="2">
        <v>0</v>
      </c>
      <c r="G109" s="2">
        <v>10417</v>
      </c>
      <c r="H109" s="2">
        <v>20895</v>
      </c>
      <c r="I109" s="2">
        <v>31286</v>
      </c>
      <c r="J109" s="2">
        <v>21053</v>
      </c>
      <c r="K109" s="2">
        <v>9322</v>
      </c>
      <c r="L109" s="2">
        <v>4830</v>
      </c>
      <c r="M109" s="2">
        <v>0</v>
      </c>
      <c r="N109" s="2">
        <v>0</v>
      </c>
      <c r="O109" s="2"/>
      <c r="P109" s="2" t="s">
        <v>60</v>
      </c>
      <c r="Q109" s="2" t="s">
        <v>80</v>
      </c>
      <c r="R109" s="7">
        <f t="shared" si="4"/>
        <v>53269.640000000014</v>
      </c>
    </row>
    <row r="110" spans="2:18" x14ac:dyDescent="0.3">
      <c r="B110" s="12">
        <v>46221</v>
      </c>
      <c r="C110" s="9">
        <f t="shared" si="5"/>
        <v>53269.640000000014</v>
      </c>
      <c r="E110" s="8">
        <f t="shared" si="6"/>
        <v>53256</v>
      </c>
      <c r="F110" s="2">
        <v>11220</v>
      </c>
      <c r="G110" s="2">
        <v>11642</v>
      </c>
      <c r="H110" s="2">
        <v>9930</v>
      </c>
      <c r="I110" s="2">
        <v>13934</v>
      </c>
      <c r="J110" s="2">
        <v>6530</v>
      </c>
      <c r="K110" s="2"/>
      <c r="L110" s="2"/>
      <c r="M110" s="2"/>
      <c r="N110" s="2"/>
      <c r="O110" s="2"/>
      <c r="P110" s="2" t="s">
        <v>60</v>
      </c>
      <c r="Q110" s="2" t="s">
        <v>81</v>
      </c>
      <c r="R110" s="7">
        <f t="shared" si="4"/>
        <v>13.64000000001397</v>
      </c>
    </row>
    <row r="111" spans="2:18" x14ac:dyDescent="0.3">
      <c r="B111" s="12">
        <v>46222</v>
      </c>
      <c r="C111" s="9">
        <f t="shared" si="5"/>
        <v>13.64000000001397</v>
      </c>
      <c r="D111" s="1">
        <v>89461.75</v>
      </c>
      <c r="E111" s="8">
        <f t="shared" si="6"/>
        <v>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7">
        <f t="shared" si="4"/>
        <v>89475.390000000014</v>
      </c>
    </row>
    <row r="112" spans="2:18" x14ac:dyDescent="0.3">
      <c r="B112" s="12">
        <v>46223</v>
      </c>
      <c r="C112" s="9">
        <f t="shared" si="5"/>
        <v>89475.390000000014</v>
      </c>
      <c r="D112" s="1">
        <v>82182</v>
      </c>
      <c r="E112" s="8">
        <f t="shared" si="6"/>
        <v>151367</v>
      </c>
      <c r="F112" s="2">
        <v>0</v>
      </c>
      <c r="G112" s="2">
        <v>10456</v>
      </c>
      <c r="H112" s="2">
        <v>24099</v>
      </c>
      <c r="I112" s="2">
        <v>24089</v>
      </c>
      <c r="J112" s="2">
        <v>24135</v>
      </c>
      <c r="K112" s="2">
        <v>36135</v>
      </c>
      <c r="L112" s="2">
        <v>19632</v>
      </c>
      <c r="M112" s="2">
        <v>7209</v>
      </c>
      <c r="N112" s="2">
        <v>5612</v>
      </c>
      <c r="O112" s="2"/>
      <c r="P112" s="2" t="s">
        <v>82</v>
      </c>
      <c r="Q112" s="2" t="s">
        <v>83</v>
      </c>
      <c r="R112" s="7">
        <f t="shared" si="4"/>
        <v>20290.390000000014</v>
      </c>
    </row>
    <row r="113" spans="2:18" x14ac:dyDescent="0.3">
      <c r="B113" s="12">
        <v>46224</v>
      </c>
      <c r="C113" s="9">
        <f t="shared" si="5"/>
        <v>20290.390000000014</v>
      </c>
      <c r="D113" s="1">
        <v>166217.31999999998</v>
      </c>
      <c r="E113" s="8">
        <f t="shared" si="6"/>
        <v>151287</v>
      </c>
      <c r="F113" s="2">
        <v>10415</v>
      </c>
      <c r="G113" s="2">
        <v>0</v>
      </c>
      <c r="H113" s="2">
        <v>24108</v>
      </c>
      <c r="I113" s="2">
        <v>24069</v>
      </c>
      <c r="J113" s="2">
        <v>24236</v>
      </c>
      <c r="K113" s="2">
        <v>36149</v>
      </c>
      <c r="L113" s="2">
        <v>19459</v>
      </c>
      <c r="M113" s="2">
        <v>7309</v>
      </c>
      <c r="N113" s="2">
        <v>5542</v>
      </c>
      <c r="O113" s="2"/>
      <c r="P113" s="2" t="s">
        <v>82</v>
      </c>
      <c r="Q113" s="2" t="s">
        <v>84</v>
      </c>
      <c r="R113" s="7">
        <f t="shared" si="4"/>
        <v>35220.709999999992</v>
      </c>
    </row>
    <row r="114" spans="2:18" x14ac:dyDescent="0.3">
      <c r="B114" s="12">
        <v>46225</v>
      </c>
      <c r="C114" s="9">
        <f t="shared" si="5"/>
        <v>35220.709999999992</v>
      </c>
      <c r="D114" s="1">
        <v>177123.45</v>
      </c>
      <c r="E114" s="8">
        <f t="shared" si="6"/>
        <v>151517</v>
      </c>
      <c r="F114" s="2">
        <v>0</v>
      </c>
      <c r="G114" s="2">
        <v>10460</v>
      </c>
      <c r="H114" s="2">
        <v>24145</v>
      </c>
      <c r="I114" s="2">
        <v>24049</v>
      </c>
      <c r="J114" s="2">
        <v>24078</v>
      </c>
      <c r="K114" s="2">
        <v>36161</v>
      </c>
      <c r="L114" s="2">
        <v>19662</v>
      </c>
      <c r="M114" s="2">
        <v>7358</v>
      </c>
      <c r="N114" s="2">
        <v>5604</v>
      </c>
      <c r="O114" s="2"/>
      <c r="P114" s="2" t="s">
        <v>82</v>
      </c>
      <c r="Q114" s="2" t="s">
        <v>85</v>
      </c>
      <c r="R114" s="7">
        <f t="shared" si="4"/>
        <v>60827.16</v>
      </c>
    </row>
    <row r="115" spans="2:18" x14ac:dyDescent="0.3">
      <c r="B115" s="12">
        <v>46226</v>
      </c>
      <c r="C115" s="9">
        <f t="shared" si="5"/>
        <v>60827.16</v>
      </c>
      <c r="D115" s="1">
        <v>222709.25</v>
      </c>
      <c r="E115" s="8">
        <f t="shared" si="6"/>
        <v>151778</v>
      </c>
      <c r="F115" s="2">
        <v>10411</v>
      </c>
      <c r="G115" s="2">
        <v>12115</v>
      </c>
      <c r="H115" s="2">
        <v>12040</v>
      </c>
      <c r="I115" s="2">
        <v>24170</v>
      </c>
      <c r="J115" s="2">
        <v>36228</v>
      </c>
      <c r="K115" s="2">
        <v>24091</v>
      </c>
      <c r="L115" s="2">
        <v>19507</v>
      </c>
      <c r="M115" s="2">
        <v>7614</v>
      </c>
      <c r="N115" s="2">
        <v>5602</v>
      </c>
      <c r="O115" s="2"/>
      <c r="P115" s="2" t="s">
        <v>82</v>
      </c>
      <c r="Q115" s="2" t="s">
        <v>86</v>
      </c>
      <c r="R115" s="7">
        <f t="shared" si="4"/>
        <v>131758.41000000003</v>
      </c>
    </row>
    <row r="116" spans="2:18" x14ac:dyDescent="0.3">
      <c r="B116" s="12">
        <v>46227</v>
      </c>
      <c r="C116" s="9">
        <f t="shared" si="5"/>
        <v>131758.41000000003</v>
      </c>
      <c r="D116" s="1">
        <v>204438.39999999999</v>
      </c>
      <c r="E116" s="8">
        <f t="shared" si="6"/>
        <v>74840</v>
      </c>
      <c r="F116" s="2">
        <v>8820</v>
      </c>
      <c r="G116" s="2">
        <v>8824</v>
      </c>
      <c r="H116" s="2">
        <v>0</v>
      </c>
      <c r="I116" s="2">
        <v>0</v>
      </c>
      <c r="J116" s="2">
        <v>8850</v>
      </c>
      <c r="K116" s="2">
        <v>17657</v>
      </c>
      <c r="L116" s="2">
        <v>17820</v>
      </c>
      <c r="M116" s="2">
        <v>7263</v>
      </c>
      <c r="N116" s="2">
        <v>5606</v>
      </c>
      <c r="O116" s="2"/>
      <c r="P116" s="2" t="s">
        <v>82</v>
      </c>
      <c r="Q116" s="2" t="s">
        <v>87</v>
      </c>
      <c r="R116" s="7">
        <f t="shared" si="4"/>
        <v>261356.81000000006</v>
      </c>
    </row>
    <row r="117" spans="2:18" x14ac:dyDescent="0.3">
      <c r="B117" s="12">
        <v>46228</v>
      </c>
      <c r="C117" s="9">
        <f t="shared" si="5"/>
        <v>261356.81000000006</v>
      </c>
      <c r="D117" s="1">
        <v>136573.9</v>
      </c>
      <c r="E117" s="8">
        <f t="shared" si="6"/>
        <v>133846</v>
      </c>
      <c r="F117" s="2">
        <v>0</v>
      </c>
      <c r="G117" s="2">
        <v>10585</v>
      </c>
      <c r="H117" s="2">
        <v>20871</v>
      </c>
      <c r="I117" s="2">
        <v>24112</v>
      </c>
      <c r="J117" s="2">
        <v>36579</v>
      </c>
      <c r="K117" s="2">
        <v>26906</v>
      </c>
      <c r="L117" s="2">
        <v>9063</v>
      </c>
      <c r="M117" s="2">
        <v>4103</v>
      </c>
      <c r="N117" s="2">
        <v>1627</v>
      </c>
      <c r="O117" s="2"/>
      <c r="P117" s="2" t="s">
        <v>82</v>
      </c>
      <c r="Q117" s="2" t="s">
        <v>88</v>
      </c>
      <c r="R117" s="7">
        <f t="shared" si="4"/>
        <v>264084.71000000008</v>
      </c>
    </row>
    <row r="118" spans="2:18" x14ac:dyDescent="0.3">
      <c r="B118" s="12">
        <v>46229</v>
      </c>
      <c r="C118" s="9">
        <f t="shared" si="5"/>
        <v>264084.71000000008</v>
      </c>
      <c r="D118" s="1">
        <v>0</v>
      </c>
      <c r="E118" s="8">
        <f t="shared" si="6"/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7">
        <f t="shared" si="4"/>
        <v>264084.71000000008</v>
      </c>
    </row>
    <row r="119" spans="2:18" x14ac:dyDescent="0.3">
      <c r="B119" s="12">
        <v>46230</v>
      </c>
      <c r="C119" s="9">
        <f t="shared" si="5"/>
        <v>264084.71000000008</v>
      </c>
      <c r="D119" s="1">
        <v>121542.25</v>
      </c>
      <c r="E119" s="8">
        <f t="shared" si="6"/>
        <v>143231</v>
      </c>
      <c r="F119" s="2">
        <v>11291</v>
      </c>
      <c r="G119" s="2">
        <v>0</v>
      </c>
      <c r="H119" s="2">
        <v>22471</v>
      </c>
      <c r="I119" s="2">
        <v>20070</v>
      </c>
      <c r="J119" s="2">
        <v>31334</v>
      </c>
      <c r="K119" s="2">
        <v>31411</v>
      </c>
      <c r="L119" s="2">
        <v>19443</v>
      </c>
      <c r="M119" s="2">
        <v>7211</v>
      </c>
      <c r="N119" s="2"/>
      <c r="O119" s="2"/>
      <c r="P119" s="2" t="s">
        <v>82</v>
      </c>
      <c r="Q119" s="2" t="s">
        <v>89</v>
      </c>
      <c r="R119" s="7">
        <f t="shared" si="4"/>
        <v>242395.96000000008</v>
      </c>
    </row>
    <row r="120" spans="2:18" x14ac:dyDescent="0.3">
      <c r="B120" s="12">
        <v>46231</v>
      </c>
      <c r="C120" s="9">
        <f t="shared" si="5"/>
        <v>242395.96000000008</v>
      </c>
      <c r="D120" s="1">
        <v>133825.94999999998</v>
      </c>
      <c r="E120" s="8">
        <f t="shared" si="6"/>
        <v>140890</v>
      </c>
      <c r="F120" s="2">
        <v>0</v>
      </c>
      <c r="G120" s="2">
        <v>11223</v>
      </c>
      <c r="H120" s="2">
        <v>22604</v>
      </c>
      <c r="I120" s="2">
        <v>22660</v>
      </c>
      <c r="J120" s="2">
        <v>32202</v>
      </c>
      <c r="K120" s="2">
        <v>29705</v>
      </c>
      <c r="L120" s="2">
        <v>14490</v>
      </c>
      <c r="M120" s="2"/>
      <c r="N120" s="2">
        <v>8006</v>
      </c>
      <c r="O120" s="2"/>
      <c r="P120" s="2" t="s">
        <v>82</v>
      </c>
      <c r="Q120" s="2" t="s">
        <v>90</v>
      </c>
      <c r="R120" s="7">
        <f t="shared" si="4"/>
        <v>235331.91000000003</v>
      </c>
    </row>
    <row r="121" spans="2:18" x14ac:dyDescent="0.3">
      <c r="B121" s="12">
        <v>46232</v>
      </c>
      <c r="C121" s="9">
        <f t="shared" si="5"/>
        <v>235331.91000000003</v>
      </c>
      <c r="D121" s="1">
        <v>134623.55000000002</v>
      </c>
      <c r="E121" s="8">
        <f t="shared" si="6"/>
        <v>138703</v>
      </c>
      <c r="F121" s="2">
        <v>11247</v>
      </c>
      <c r="G121" s="2">
        <v>11265</v>
      </c>
      <c r="H121" s="2">
        <v>11243</v>
      </c>
      <c r="I121" s="2">
        <v>22621</v>
      </c>
      <c r="J121" s="2">
        <v>33351</v>
      </c>
      <c r="K121" s="2">
        <v>25679</v>
      </c>
      <c r="L121" s="2">
        <v>16038</v>
      </c>
      <c r="M121" s="2">
        <v>7259</v>
      </c>
      <c r="N121" s="2"/>
      <c r="O121" s="2"/>
      <c r="P121" s="2" t="s">
        <v>82</v>
      </c>
      <c r="Q121" s="2" t="s">
        <v>91</v>
      </c>
      <c r="R121" s="7">
        <f t="shared" si="4"/>
        <v>231252.46000000008</v>
      </c>
    </row>
    <row r="122" spans="2:18" x14ac:dyDescent="0.3">
      <c r="B122" s="12">
        <v>46233</v>
      </c>
      <c r="C122" s="9">
        <f t="shared" si="5"/>
        <v>231252.46000000008</v>
      </c>
      <c r="D122" s="1">
        <v>134071.75</v>
      </c>
      <c r="E122" s="8">
        <f t="shared" si="6"/>
        <v>133052</v>
      </c>
      <c r="F122" s="2">
        <v>11228</v>
      </c>
      <c r="G122" s="2">
        <v>11258</v>
      </c>
      <c r="H122" s="2">
        <v>11529</v>
      </c>
      <c r="I122" s="2">
        <v>25739</v>
      </c>
      <c r="J122" s="2">
        <v>27321</v>
      </c>
      <c r="K122" s="2">
        <v>25716</v>
      </c>
      <c r="L122" s="2">
        <v>13046</v>
      </c>
      <c r="M122" s="2">
        <v>0</v>
      </c>
      <c r="N122" s="2">
        <v>7215</v>
      </c>
      <c r="O122" s="2"/>
      <c r="P122" s="2" t="s">
        <v>82</v>
      </c>
      <c r="Q122" s="2" t="s">
        <v>92</v>
      </c>
      <c r="R122" s="7">
        <f t="shared" si="4"/>
        <v>232272.21000000008</v>
      </c>
    </row>
    <row r="123" spans="2:18" x14ac:dyDescent="0.3">
      <c r="B123" s="12">
        <v>46234</v>
      </c>
      <c r="C123" s="9">
        <f t="shared" si="5"/>
        <v>232272.21000000008</v>
      </c>
      <c r="D123" s="1">
        <v>127559.80000000002</v>
      </c>
      <c r="E123" s="8">
        <f t="shared" si="6"/>
        <v>139562</v>
      </c>
      <c r="F123" s="2">
        <v>11231</v>
      </c>
      <c r="G123" s="2">
        <v>11290</v>
      </c>
      <c r="H123" s="2">
        <v>11363</v>
      </c>
      <c r="I123" s="2">
        <v>33742</v>
      </c>
      <c r="J123" s="2">
        <v>21067</v>
      </c>
      <c r="K123" s="2">
        <v>28084</v>
      </c>
      <c r="L123" s="2">
        <v>15512</v>
      </c>
      <c r="M123" s="2">
        <v>7273</v>
      </c>
      <c r="N123" s="2"/>
      <c r="O123" s="2"/>
      <c r="P123" s="2" t="s">
        <v>82</v>
      </c>
      <c r="Q123" s="2" t="s">
        <v>93</v>
      </c>
      <c r="R123" s="7">
        <f t="shared" si="4"/>
        <v>220270.01000000013</v>
      </c>
    </row>
    <row r="124" spans="2:18" x14ac:dyDescent="0.3">
      <c r="B124" s="12">
        <v>46235</v>
      </c>
      <c r="C124" s="9">
        <f t="shared" si="5"/>
        <v>220270.01000000013</v>
      </c>
      <c r="D124" s="1">
        <v>0</v>
      </c>
      <c r="E124" s="8">
        <f t="shared" si="6"/>
        <v>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7">
        <f t="shared" si="4"/>
        <v>220270.01000000013</v>
      </c>
    </row>
    <row r="125" spans="2:18" x14ac:dyDescent="0.3">
      <c r="B125" s="12">
        <v>46236</v>
      </c>
      <c r="C125" s="9">
        <f t="shared" si="5"/>
        <v>220270.01000000013</v>
      </c>
      <c r="D125" s="1">
        <v>116337.34999999999</v>
      </c>
      <c r="E125" s="8">
        <f t="shared" si="6"/>
        <v>78960</v>
      </c>
      <c r="F125" s="2">
        <v>11221</v>
      </c>
      <c r="G125" s="2">
        <v>11237</v>
      </c>
      <c r="H125" s="2">
        <v>22611</v>
      </c>
      <c r="I125" s="2">
        <v>22474</v>
      </c>
      <c r="J125" s="2">
        <v>11417</v>
      </c>
      <c r="K125" s="2"/>
      <c r="L125" s="2"/>
      <c r="M125" s="2"/>
      <c r="N125" s="2"/>
      <c r="O125" s="2"/>
      <c r="P125" s="2" t="s">
        <v>82</v>
      </c>
      <c r="Q125" s="2" t="s">
        <v>94</v>
      </c>
      <c r="R125" s="7">
        <f t="shared" si="4"/>
        <v>257647.3600000001</v>
      </c>
    </row>
    <row r="126" spans="2:18" x14ac:dyDescent="0.3">
      <c r="B126" s="12">
        <v>46237</v>
      </c>
      <c r="C126" s="9">
        <f t="shared" si="5"/>
        <v>257647.3600000001</v>
      </c>
      <c r="D126" s="1">
        <v>132608.80000000002</v>
      </c>
      <c r="E126" s="8">
        <f t="shared" si="6"/>
        <v>136839</v>
      </c>
      <c r="F126" s="2">
        <v>9620</v>
      </c>
      <c r="G126" s="2">
        <v>8095</v>
      </c>
      <c r="H126" s="2">
        <v>22619</v>
      </c>
      <c r="I126" s="2">
        <v>22575</v>
      </c>
      <c r="J126" s="2">
        <v>21209</v>
      </c>
      <c r="K126" s="2">
        <v>28238</v>
      </c>
      <c r="L126" s="2">
        <v>17269</v>
      </c>
      <c r="M126" s="2"/>
      <c r="N126" s="2">
        <v>7214</v>
      </c>
      <c r="O126" s="2"/>
      <c r="P126" s="2" t="s">
        <v>82</v>
      </c>
      <c r="Q126" s="2" t="s">
        <v>95</v>
      </c>
      <c r="R126" s="7">
        <f t="shared" si="4"/>
        <v>253417.16000000015</v>
      </c>
    </row>
    <row r="127" spans="2:18" x14ac:dyDescent="0.3">
      <c r="B127" s="12">
        <v>46238</v>
      </c>
      <c r="C127" s="9">
        <f t="shared" si="5"/>
        <v>253417.16000000015</v>
      </c>
      <c r="D127" s="1">
        <v>154594.20000000001</v>
      </c>
      <c r="E127" s="8">
        <f t="shared" si="6"/>
        <v>144898</v>
      </c>
      <c r="F127" s="2">
        <v>12093</v>
      </c>
      <c r="G127" s="2">
        <v>11243</v>
      </c>
      <c r="H127" s="2">
        <v>22508</v>
      </c>
      <c r="I127" s="2">
        <v>22673</v>
      </c>
      <c r="J127" s="2">
        <v>17876</v>
      </c>
      <c r="K127" s="2">
        <v>31413</v>
      </c>
      <c r="L127" s="2">
        <v>19772</v>
      </c>
      <c r="M127" s="2">
        <v>7320</v>
      </c>
      <c r="N127" s="2"/>
      <c r="O127" s="2"/>
      <c r="P127" s="2" t="s">
        <v>82</v>
      </c>
      <c r="Q127" s="2" t="s">
        <v>96</v>
      </c>
      <c r="R127" s="7">
        <f t="shared" si="4"/>
        <v>263113.36000000016</v>
      </c>
    </row>
    <row r="128" spans="2:18" x14ac:dyDescent="0.3">
      <c r="B128" s="12">
        <v>46239</v>
      </c>
      <c r="C128" s="9">
        <f t="shared" si="5"/>
        <v>263113.36000000016</v>
      </c>
      <c r="D128" s="1">
        <v>116277.8</v>
      </c>
      <c r="E128" s="8">
        <f t="shared" si="6"/>
        <v>149881</v>
      </c>
      <c r="F128" s="2">
        <v>12018</v>
      </c>
      <c r="G128" s="2">
        <v>12019</v>
      </c>
      <c r="H128" s="2">
        <v>22479</v>
      </c>
      <c r="I128" s="2">
        <v>22674</v>
      </c>
      <c r="J128" s="2">
        <v>22632</v>
      </c>
      <c r="K128" s="2">
        <v>31388</v>
      </c>
      <c r="L128" s="2">
        <v>19275</v>
      </c>
      <c r="M128" s="2">
        <v>7396</v>
      </c>
      <c r="N128" s="2"/>
      <c r="O128" s="2"/>
      <c r="P128" s="2" t="s">
        <v>82</v>
      </c>
      <c r="Q128" s="2" t="s">
        <v>97</v>
      </c>
      <c r="R128" s="7">
        <f t="shared" si="4"/>
        <v>229510.16000000015</v>
      </c>
    </row>
    <row r="129" spans="2:18" x14ac:dyDescent="0.3">
      <c r="B129" s="12">
        <v>46240</v>
      </c>
      <c r="C129" s="9">
        <f t="shared" si="5"/>
        <v>229510.16000000015</v>
      </c>
      <c r="D129" s="1">
        <v>85633</v>
      </c>
      <c r="E129" s="8">
        <f t="shared" si="6"/>
        <v>147305</v>
      </c>
      <c r="F129" s="2">
        <v>12015</v>
      </c>
      <c r="G129" s="2">
        <v>9614</v>
      </c>
      <c r="H129" s="2">
        <v>22528</v>
      </c>
      <c r="I129" s="2">
        <v>24054</v>
      </c>
      <c r="J129" s="2">
        <v>22592</v>
      </c>
      <c r="K129" s="2">
        <v>31456</v>
      </c>
      <c r="L129" s="2">
        <v>17833</v>
      </c>
      <c r="M129" s="2">
        <v>7213</v>
      </c>
      <c r="N129" s="2"/>
      <c r="O129" s="2"/>
      <c r="P129" s="2" t="s">
        <v>82</v>
      </c>
      <c r="Q129" s="2" t="s">
        <v>98</v>
      </c>
      <c r="R129" s="7">
        <f t="shared" si="4"/>
        <v>167838.16000000015</v>
      </c>
    </row>
    <row r="130" spans="2:18" x14ac:dyDescent="0.3">
      <c r="B130" s="12">
        <v>46242</v>
      </c>
      <c r="C130" s="9">
        <f t="shared" si="5"/>
        <v>167838.16000000015</v>
      </c>
      <c r="D130" s="1">
        <v>0</v>
      </c>
      <c r="E130" s="8">
        <f t="shared" si="6"/>
        <v>89929</v>
      </c>
      <c r="F130" s="2">
        <v>745</v>
      </c>
      <c r="G130" s="2">
        <v>956</v>
      </c>
      <c r="H130" s="2">
        <v>18385</v>
      </c>
      <c r="I130" s="2">
        <v>24160</v>
      </c>
      <c r="J130" s="2">
        <v>19500</v>
      </c>
      <c r="K130" s="2">
        <v>16077</v>
      </c>
      <c r="L130" s="2">
        <v>2887</v>
      </c>
      <c r="M130" s="2">
        <v>7219</v>
      </c>
      <c r="N130" s="2"/>
      <c r="O130" s="2"/>
      <c r="P130" s="2" t="s">
        <v>82</v>
      </c>
      <c r="Q130" s="2" t="s">
        <v>99</v>
      </c>
      <c r="R130" s="7">
        <f t="shared" si="4"/>
        <v>77909.160000000149</v>
      </c>
    </row>
    <row r="131" spans="2:18" x14ac:dyDescent="0.3">
      <c r="B131" s="12">
        <v>46243</v>
      </c>
      <c r="C131" s="9">
        <f t="shared" si="5"/>
        <v>77909.160000000149</v>
      </c>
      <c r="D131" s="1">
        <v>153885.85</v>
      </c>
      <c r="E131" s="8">
        <f t="shared" si="6"/>
        <v>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7">
        <f t="shared" si="4"/>
        <v>231795.01000000015</v>
      </c>
    </row>
    <row r="132" spans="2:18" x14ac:dyDescent="0.3">
      <c r="B132" s="12">
        <v>46244</v>
      </c>
      <c r="C132" s="9">
        <f t="shared" si="5"/>
        <v>231795.01000000015</v>
      </c>
      <c r="D132" s="1">
        <v>91959.5</v>
      </c>
      <c r="E132" s="8">
        <f t="shared" si="6"/>
        <v>120899</v>
      </c>
      <c r="F132" s="2">
        <v>4817</v>
      </c>
      <c r="G132" s="2">
        <v>4805</v>
      </c>
      <c r="H132" s="2">
        <v>16061</v>
      </c>
      <c r="I132" s="2">
        <v>24348</v>
      </c>
      <c r="J132" s="2">
        <v>19552</v>
      </c>
      <c r="K132" s="2">
        <v>24161</v>
      </c>
      <c r="L132" s="2">
        <v>19773</v>
      </c>
      <c r="M132" s="2">
        <v>0</v>
      </c>
      <c r="N132" s="2">
        <v>7382</v>
      </c>
      <c r="O132" s="2"/>
      <c r="P132" s="2" t="s">
        <v>82</v>
      </c>
      <c r="Q132" s="2" t="s">
        <v>100</v>
      </c>
      <c r="R132" s="7">
        <f t="shared" si="4"/>
        <v>202855.51000000013</v>
      </c>
    </row>
    <row r="133" spans="2:18" x14ac:dyDescent="0.3">
      <c r="B133" s="12">
        <v>46245</v>
      </c>
      <c r="C133" s="9">
        <f t="shared" si="5"/>
        <v>202855.51000000013</v>
      </c>
      <c r="D133" s="1">
        <v>136832.29999999999</v>
      </c>
      <c r="E133" s="8">
        <f t="shared" si="6"/>
        <v>140239</v>
      </c>
      <c r="F133" s="2">
        <v>7209</v>
      </c>
      <c r="G133" s="2">
        <v>0</v>
      </c>
      <c r="H133" s="2">
        <v>10522</v>
      </c>
      <c r="I133" s="2">
        <v>36162</v>
      </c>
      <c r="J133" s="2">
        <v>30758</v>
      </c>
      <c r="K133" s="2">
        <v>28890</v>
      </c>
      <c r="L133" s="2">
        <v>19477</v>
      </c>
      <c r="M133" s="2">
        <v>7221</v>
      </c>
      <c r="N133" s="2"/>
      <c r="O133" s="2"/>
      <c r="P133" s="2" t="s">
        <v>82</v>
      </c>
      <c r="Q133" s="2" t="s">
        <v>101</v>
      </c>
      <c r="R133" s="7">
        <f t="shared" ref="R133:R196" si="7">(D133+C133)-E133</f>
        <v>199448.81000000011</v>
      </c>
    </row>
    <row r="134" spans="2:18" x14ac:dyDescent="0.3">
      <c r="B134" s="12">
        <v>46246</v>
      </c>
      <c r="C134" s="9">
        <f t="shared" ref="C134:C197" si="8">R133</f>
        <v>199448.81000000011</v>
      </c>
      <c r="D134" s="1">
        <v>138727.50000000003</v>
      </c>
      <c r="E134" s="8">
        <f t="shared" si="6"/>
        <v>148909</v>
      </c>
      <c r="F134" s="2">
        <v>0</v>
      </c>
      <c r="G134" s="2">
        <v>12012</v>
      </c>
      <c r="H134" s="2">
        <v>11223</v>
      </c>
      <c r="I134" s="2">
        <v>36100</v>
      </c>
      <c r="J134" s="2">
        <v>33720</v>
      </c>
      <c r="K134" s="2">
        <v>21086</v>
      </c>
      <c r="L134" s="2">
        <v>20334</v>
      </c>
      <c r="M134" s="2">
        <v>7217</v>
      </c>
      <c r="N134" s="2">
        <v>7217</v>
      </c>
      <c r="O134" s="2"/>
      <c r="P134" s="2" t="s">
        <v>82</v>
      </c>
      <c r="Q134" s="2" t="s">
        <v>102</v>
      </c>
      <c r="R134" s="7">
        <f t="shared" si="7"/>
        <v>189267.31000000017</v>
      </c>
    </row>
    <row r="135" spans="2:18" x14ac:dyDescent="0.3">
      <c r="B135" s="12">
        <v>46247</v>
      </c>
      <c r="C135" s="9">
        <f t="shared" si="8"/>
        <v>189267.31000000017</v>
      </c>
      <c r="D135" s="1">
        <v>144302.75</v>
      </c>
      <c r="E135" s="8">
        <f t="shared" si="6"/>
        <v>152232</v>
      </c>
      <c r="F135" s="2"/>
      <c r="G135" s="2">
        <v>12014</v>
      </c>
      <c r="H135" s="2">
        <v>11328</v>
      </c>
      <c r="I135" s="2">
        <v>36119</v>
      </c>
      <c r="J135" s="2">
        <v>36237</v>
      </c>
      <c r="K135" s="2">
        <v>20868</v>
      </c>
      <c r="L135" s="2">
        <v>21192</v>
      </c>
      <c r="M135" s="2">
        <v>7219</v>
      </c>
      <c r="N135" s="2">
        <v>7255</v>
      </c>
      <c r="O135" s="2"/>
      <c r="P135" s="2" t="s">
        <v>82</v>
      </c>
      <c r="Q135" s="2" t="s">
        <v>103</v>
      </c>
      <c r="R135" s="7">
        <f t="shared" si="7"/>
        <v>181338.06000000017</v>
      </c>
    </row>
    <row r="136" spans="2:18" x14ac:dyDescent="0.3">
      <c r="B136" s="12">
        <v>46248</v>
      </c>
      <c r="C136" s="9">
        <f t="shared" si="8"/>
        <v>181338.06000000017</v>
      </c>
      <c r="D136" s="1">
        <v>165830.65</v>
      </c>
      <c r="E136" s="8">
        <f t="shared" si="6"/>
        <v>149921</v>
      </c>
      <c r="F136" s="2">
        <v>12030</v>
      </c>
      <c r="G136" s="2">
        <v>0</v>
      </c>
      <c r="H136" s="2">
        <v>22469</v>
      </c>
      <c r="I136" s="2">
        <v>22462</v>
      </c>
      <c r="J136" s="2">
        <v>36217</v>
      </c>
      <c r="K136" s="2">
        <v>20935</v>
      </c>
      <c r="L136" s="2">
        <v>21376</v>
      </c>
      <c r="M136" s="2">
        <v>14432</v>
      </c>
      <c r="N136" s="2"/>
      <c r="O136" s="2"/>
      <c r="P136" s="2" t="s">
        <v>82</v>
      </c>
      <c r="Q136" s="2" t="s">
        <v>104</v>
      </c>
      <c r="R136" s="7">
        <f t="shared" si="7"/>
        <v>197247.7100000002</v>
      </c>
    </row>
    <row r="137" spans="2:18" x14ac:dyDescent="0.3">
      <c r="B137" s="12">
        <v>46251</v>
      </c>
      <c r="C137" s="9">
        <f t="shared" si="8"/>
        <v>197247.7100000002</v>
      </c>
      <c r="D137" s="1">
        <v>97082.85</v>
      </c>
      <c r="E137" s="8">
        <f t="shared" si="6"/>
        <v>139026</v>
      </c>
      <c r="F137" s="2">
        <v>8010</v>
      </c>
      <c r="G137" s="2">
        <v>0</v>
      </c>
      <c r="H137" s="2">
        <v>11241</v>
      </c>
      <c r="I137" s="2">
        <v>24229</v>
      </c>
      <c r="J137" s="2">
        <v>48656</v>
      </c>
      <c r="K137" s="2">
        <v>20872</v>
      </c>
      <c r="L137" s="2">
        <v>11553</v>
      </c>
      <c r="M137" s="2">
        <v>7223</v>
      </c>
      <c r="N137" s="2">
        <v>7242</v>
      </c>
      <c r="O137" s="2"/>
      <c r="P137" s="2" t="s">
        <v>82</v>
      </c>
      <c r="Q137" s="2" t="s">
        <v>105</v>
      </c>
      <c r="R137" s="7">
        <f t="shared" si="7"/>
        <v>155304.56000000017</v>
      </c>
    </row>
    <row r="138" spans="2:18" x14ac:dyDescent="0.3">
      <c r="B138" s="12">
        <v>46252</v>
      </c>
      <c r="C138" s="9">
        <f t="shared" si="8"/>
        <v>155304.56000000017</v>
      </c>
      <c r="D138" s="1">
        <v>51561.55</v>
      </c>
      <c r="E138" s="8">
        <f t="shared" si="6"/>
        <v>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7">
        <f t="shared" si="7"/>
        <v>206866.11000000016</v>
      </c>
    </row>
    <row r="139" spans="2:18" x14ac:dyDescent="0.3">
      <c r="B139" s="12">
        <v>46252</v>
      </c>
      <c r="C139" s="9">
        <f t="shared" si="8"/>
        <v>206866.11000000016</v>
      </c>
      <c r="D139" s="1">
        <v>152011.49999999997</v>
      </c>
      <c r="E139" s="8">
        <f t="shared" si="6"/>
        <v>150646</v>
      </c>
      <c r="F139" s="2">
        <v>0</v>
      </c>
      <c r="G139" s="2">
        <v>12018</v>
      </c>
      <c r="H139" s="2">
        <v>12044</v>
      </c>
      <c r="I139" s="2">
        <v>24077</v>
      </c>
      <c r="J139" s="2">
        <v>48436</v>
      </c>
      <c r="K139" s="2">
        <v>20883</v>
      </c>
      <c r="L139" s="2">
        <v>18744</v>
      </c>
      <c r="M139" s="2">
        <v>14444</v>
      </c>
      <c r="N139" s="2">
        <v>0</v>
      </c>
      <c r="O139" s="2"/>
      <c r="P139" s="2" t="s">
        <v>82</v>
      </c>
      <c r="Q139" s="2" t="s">
        <v>106</v>
      </c>
      <c r="R139" s="7">
        <f t="shared" si="7"/>
        <v>208231.6100000001</v>
      </c>
    </row>
    <row r="140" spans="2:18" x14ac:dyDescent="0.3">
      <c r="B140" s="12">
        <v>46253</v>
      </c>
      <c r="C140" s="9">
        <f t="shared" si="8"/>
        <v>208231.6100000001</v>
      </c>
      <c r="D140" s="1">
        <v>113600.8</v>
      </c>
      <c r="E140" s="8">
        <f t="shared" si="6"/>
        <v>154017</v>
      </c>
      <c r="F140" s="2">
        <v>0</v>
      </c>
      <c r="G140" s="2">
        <v>12017</v>
      </c>
      <c r="H140" s="2">
        <v>12055</v>
      </c>
      <c r="I140" s="2">
        <v>24071</v>
      </c>
      <c r="J140" s="2">
        <v>46968</v>
      </c>
      <c r="K140" s="2">
        <v>33749</v>
      </c>
      <c r="L140" s="2">
        <v>10746</v>
      </c>
      <c r="M140" s="2">
        <v>7365</v>
      </c>
      <c r="N140" s="2">
        <v>7046</v>
      </c>
      <c r="O140" s="2"/>
      <c r="P140" s="2" t="s">
        <v>82</v>
      </c>
      <c r="Q140" s="2" t="s">
        <v>107</v>
      </c>
      <c r="R140" s="7">
        <f t="shared" si="7"/>
        <v>167815.41000000009</v>
      </c>
    </row>
    <row r="141" spans="2:18" x14ac:dyDescent="0.3">
      <c r="B141" s="12">
        <v>46254</v>
      </c>
      <c r="C141" s="9">
        <f t="shared" si="8"/>
        <v>167815.41000000009</v>
      </c>
      <c r="D141" s="1">
        <v>153553.45000000001</v>
      </c>
      <c r="E141" s="8">
        <f t="shared" si="6"/>
        <v>154392</v>
      </c>
      <c r="F141" s="2">
        <v>12011</v>
      </c>
      <c r="G141" s="2">
        <v>0</v>
      </c>
      <c r="H141" s="2">
        <v>12036</v>
      </c>
      <c r="I141" s="2">
        <v>22459</v>
      </c>
      <c r="J141" s="2">
        <v>48610</v>
      </c>
      <c r="K141" s="2">
        <v>33784</v>
      </c>
      <c r="L141" s="2">
        <v>10869</v>
      </c>
      <c r="M141" s="2">
        <v>7402</v>
      </c>
      <c r="N141" s="2">
        <v>7221</v>
      </c>
      <c r="O141" s="2"/>
      <c r="P141" s="2" t="s">
        <v>82</v>
      </c>
      <c r="Q141" s="2" t="s">
        <v>108</v>
      </c>
      <c r="R141" s="7">
        <f t="shared" si="7"/>
        <v>166976.8600000001</v>
      </c>
    </row>
    <row r="142" spans="2:18" x14ac:dyDescent="0.3">
      <c r="B142" s="12">
        <v>46255</v>
      </c>
      <c r="C142" s="9">
        <f t="shared" si="8"/>
        <v>166976.8600000001</v>
      </c>
      <c r="D142" s="1">
        <v>142378.34999999998</v>
      </c>
      <c r="E142" s="8">
        <f t="shared" si="6"/>
        <v>153388</v>
      </c>
      <c r="F142" s="2">
        <v>0</v>
      </c>
      <c r="G142" s="2">
        <v>12014</v>
      </c>
      <c r="H142" s="2">
        <v>12040</v>
      </c>
      <c r="I142" s="2">
        <v>24119</v>
      </c>
      <c r="J142" s="2">
        <v>45573</v>
      </c>
      <c r="K142" s="2">
        <v>33801</v>
      </c>
      <c r="L142" s="2">
        <v>10741</v>
      </c>
      <c r="M142" s="2">
        <v>7801</v>
      </c>
      <c r="N142" s="2">
        <v>7299</v>
      </c>
      <c r="O142" s="2"/>
      <c r="P142" s="2" t="s">
        <v>82</v>
      </c>
      <c r="Q142" s="2" t="s">
        <v>109</v>
      </c>
      <c r="R142" s="7">
        <f t="shared" si="7"/>
        <v>155967.21000000008</v>
      </c>
    </row>
    <row r="143" spans="2:18" x14ac:dyDescent="0.3">
      <c r="B143" s="12">
        <v>46256</v>
      </c>
      <c r="C143" s="9">
        <f t="shared" si="8"/>
        <v>155967.21000000008</v>
      </c>
      <c r="D143" s="1">
        <v>30626.5</v>
      </c>
      <c r="E143" s="8">
        <f t="shared" si="6"/>
        <v>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7">
        <f t="shared" si="7"/>
        <v>186593.71000000008</v>
      </c>
    </row>
    <row r="144" spans="2:18" x14ac:dyDescent="0.3">
      <c r="B144" s="12">
        <v>46256</v>
      </c>
      <c r="C144" s="9">
        <f t="shared" si="8"/>
        <v>186593.71000000008</v>
      </c>
      <c r="D144" s="1">
        <v>91287.5</v>
      </c>
      <c r="E144" s="8">
        <f t="shared" si="6"/>
        <v>150072</v>
      </c>
      <c r="F144" s="2">
        <v>0</v>
      </c>
      <c r="G144" s="2">
        <v>12015</v>
      </c>
      <c r="H144" s="2">
        <v>11224</v>
      </c>
      <c r="I144" s="2">
        <v>24205</v>
      </c>
      <c r="J144" s="2">
        <v>45883</v>
      </c>
      <c r="K144" s="2">
        <v>33834</v>
      </c>
      <c r="L144" s="2">
        <v>10723</v>
      </c>
      <c r="M144" s="2">
        <v>7373</v>
      </c>
      <c r="N144" s="2">
        <v>4815</v>
      </c>
      <c r="O144" s="2"/>
      <c r="P144" s="2" t="s">
        <v>82</v>
      </c>
      <c r="Q144" s="2" t="s">
        <v>110</v>
      </c>
      <c r="R144" s="7">
        <f t="shared" si="7"/>
        <v>127809.21000000008</v>
      </c>
    </row>
    <row r="145" spans="2:18" x14ac:dyDescent="0.3">
      <c r="B145" s="12">
        <v>46258</v>
      </c>
      <c r="C145" s="9">
        <f t="shared" si="8"/>
        <v>127809.21000000008</v>
      </c>
      <c r="D145" s="1">
        <v>220896.03000000003</v>
      </c>
      <c r="E145" s="8">
        <f t="shared" si="6"/>
        <v>153089</v>
      </c>
      <c r="F145" s="2">
        <v>12059</v>
      </c>
      <c r="G145" s="2">
        <v>12021</v>
      </c>
      <c r="H145" s="2">
        <v>12049</v>
      </c>
      <c r="I145" s="2">
        <v>24070</v>
      </c>
      <c r="J145" s="2">
        <v>36188</v>
      </c>
      <c r="K145" s="2">
        <v>22526</v>
      </c>
      <c r="L145" s="2">
        <v>21377</v>
      </c>
      <c r="M145" s="2">
        <v>7241</v>
      </c>
      <c r="N145" s="2">
        <v>5558</v>
      </c>
      <c r="O145" s="2"/>
      <c r="P145" s="2" t="s">
        <v>82</v>
      </c>
      <c r="Q145" s="2" t="s">
        <v>111</v>
      </c>
      <c r="R145" s="7">
        <f t="shared" si="7"/>
        <v>195616.24000000011</v>
      </c>
    </row>
    <row r="146" spans="2:18" x14ac:dyDescent="0.3">
      <c r="B146" s="12">
        <v>46259</v>
      </c>
      <c r="C146" s="9">
        <f t="shared" si="8"/>
        <v>195616.24000000011</v>
      </c>
      <c r="D146" s="1">
        <v>0</v>
      </c>
      <c r="E146" s="8">
        <f t="shared" si="6"/>
        <v>154690</v>
      </c>
      <c r="F146" s="2">
        <v>12015</v>
      </c>
      <c r="G146" s="2">
        <v>12016</v>
      </c>
      <c r="H146" s="2">
        <v>12036</v>
      </c>
      <c r="I146" s="2">
        <v>24070</v>
      </c>
      <c r="J146" s="2">
        <v>36516</v>
      </c>
      <c r="K146" s="2">
        <v>22479</v>
      </c>
      <c r="L146" s="2">
        <v>22879</v>
      </c>
      <c r="M146" s="2">
        <v>7390</v>
      </c>
      <c r="N146" s="2">
        <v>5289</v>
      </c>
      <c r="O146" s="2"/>
      <c r="P146" s="2" t="s">
        <v>82</v>
      </c>
      <c r="Q146" s="2" t="s">
        <v>112</v>
      </c>
      <c r="R146" s="7">
        <f t="shared" si="7"/>
        <v>40926.240000000107</v>
      </c>
    </row>
    <row r="147" spans="2:18" x14ac:dyDescent="0.3">
      <c r="B147" s="12">
        <v>46260</v>
      </c>
      <c r="C147" s="9">
        <f t="shared" si="8"/>
        <v>40926.240000000107</v>
      </c>
      <c r="D147" s="1">
        <v>4078.76</v>
      </c>
      <c r="E147" s="8">
        <f t="shared" si="6"/>
        <v>45005</v>
      </c>
      <c r="F147" s="2">
        <v>7259</v>
      </c>
      <c r="G147" s="2"/>
      <c r="H147" s="2">
        <v>9439</v>
      </c>
      <c r="I147" s="2">
        <v>8914</v>
      </c>
      <c r="J147" s="2">
        <v>9809</v>
      </c>
      <c r="K147" s="2"/>
      <c r="L147" s="2">
        <v>9584</v>
      </c>
      <c r="M147" s="2"/>
      <c r="N147" s="2"/>
      <c r="O147" s="2"/>
      <c r="P147" s="2" t="s">
        <v>82</v>
      </c>
      <c r="Q147" s="2" t="s">
        <v>113</v>
      </c>
      <c r="R147" s="7">
        <f t="shared" si="7"/>
        <v>1.0913936421275139E-10</v>
      </c>
    </row>
    <row r="148" spans="2:18" x14ac:dyDescent="0.3">
      <c r="B148" s="12">
        <v>46260</v>
      </c>
      <c r="C148" s="9">
        <f t="shared" si="8"/>
        <v>1.0913936421275139E-10</v>
      </c>
      <c r="D148" s="1">
        <v>71516.799999999988</v>
      </c>
      <c r="E148" s="8">
        <f t="shared" si="6"/>
        <v>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7">
        <f t="shared" si="7"/>
        <v>71516.800000000105</v>
      </c>
    </row>
    <row r="149" spans="2:18" x14ac:dyDescent="0.3">
      <c r="B149" s="12">
        <v>46261</v>
      </c>
      <c r="C149" s="9">
        <f t="shared" si="8"/>
        <v>71516.800000000105</v>
      </c>
      <c r="D149" s="1">
        <v>48067.25</v>
      </c>
      <c r="E149" s="8">
        <f t="shared" si="6"/>
        <v>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7">
        <f t="shared" si="7"/>
        <v>119584.0500000001</v>
      </c>
    </row>
    <row r="150" spans="2:18" x14ac:dyDescent="0.3">
      <c r="B150" s="12">
        <v>46261</v>
      </c>
      <c r="C150" s="9">
        <f t="shared" si="8"/>
        <v>119584.0500000001</v>
      </c>
      <c r="D150" s="1">
        <v>99763.199999999997</v>
      </c>
      <c r="E150" s="8">
        <f t="shared" si="6"/>
        <v>117078</v>
      </c>
      <c r="F150" s="2">
        <v>0</v>
      </c>
      <c r="G150" s="2">
        <v>6316</v>
      </c>
      <c r="H150" s="2">
        <v>8186</v>
      </c>
      <c r="I150" s="2">
        <v>20713</v>
      </c>
      <c r="J150" s="2">
        <v>26720</v>
      </c>
      <c r="K150" s="2">
        <v>22539</v>
      </c>
      <c r="L150" s="2">
        <v>21360</v>
      </c>
      <c r="M150" s="2">
        <v>7228</v>
      </c>
      <c r="N150" s="2">
        <v>4016</v>
      </c>
      <c r="O150" s="2"/>
      <c r="P150" s="2" t="s">
        <v>114</v>
      </c>
      <c r="Q150" s="2" t="s">
        <v>115</v>
      </c>
      <c r="R150" s="7">
        <f t="shared" si="7"/>
        <v>102269.25000000012</v>
      </c>
    </row>
    <row r="151" spans="2:18" x14ac:dyDescent="0.3">
      <c r="B151" s="12">
        <v>46262</v>
      </c>
      <c r="C151" s="9">
        <f t="shared" si="8"/>
        <v>102269.25000000012</v>
      </c>
      <c r="D151" s="1">
        <v>99920.8</v>
      </c>
      <c r="E151" s="8">
        <f t="shared" si="6"/>
        <v>154457</v>
      </c>
      <c r="F151" s="2">
        <v>0</v>
      </c>
      <c r="G151" s="2">
        <v>12033</v>
      </c>
      <c r="H151" s="2">
        <v>12037</v>
      </c>
      <c r="I151" s="2">
        <v>24069</v>
      </c>
      <c r="J151" s="2">
        <v>36509</v>
      </c>
      <c r="K151" s="2">
        <v>33768</v>
      </c>
      <c r="L151" s="2">
        <v>21436</v>
      </c>
      <c r="M151" s="2">
        <v>7316</v>
      </c>
      <c r="N151" s="2">
        <v>7289</v>
      </c>
      <c r="O151" s="2"/>
      <c r="P151" s="2" t="s">
        <v>114</v>
      </c>
      <c r="Q151" s="2" t="s">
        <v>116</v>
      </c>
      <c r="R151" s="7">
        <f t="shared" si="7"/>
        <v>47733.050000000105</v>
      </c>
    </row>
    <row r="152" spans="2:18" x14ac:dyDescent="0.3">
      <c r="B152" s="12">
        <v>46263</v>
      </c>
      <c r="C152" s="9">
        <f t="shared" si="8"/>
        <v>47733.050000000105</v>
      </c>
      <c r="D152" s="1">
        <v>266123.34999999992</v>
      </c>
      <c r="E152" s="8">
        <f t="shared" si="6"/>
        <v>152362</v>
      </c>
      <c r="F152" s="2">
        <v>12055</v>
      </c>
      <c r="G152" s="2">
        <v>0</v>
      </c>
      <c r="H152" s="2">
        <v>12038</v>
      </c>
      <c r="I152" s="2">
        <v>24088</v>
      </c>
      <c r="J152" s="2">
        <v>36233</v>
      </c>
      <c r="K152" s="2">
        <v>33750</v>
      </c>
      <c r="L152" s="2">
        <v>21350</v>
      </c>
      <c r="M152" s="2">
        <v>7239</v>
      </c>
      <c r="N152" s="2">
        <v>5609</v>
      </c>
      <c r="O152" s="2"/>
      <c r="P152" s="2" t="s">
        <v>114</v>
      </c>
      <c r="Q152" s="2" t="s">
        <v>117</v>
      </c>
      <c r="R152" s="7">
        <f t="shared" si="7"/>
        <v>161494.40000000002</v>
      </c>
    </row>
    <row r="153" spans="2:18" x14ac:dyDescent="0.3">
      <c r="B153" s="12">
        <v>46265</v>
      </c>
      <c r="C153" s="9">
        <f t="shared" si="8"/>
        <v>161494.40000000002</v>
      </c>
      <c r="D153" s="1">
        <v>245184</v>
      </c>
      <c r="E153" s="8">
        <f t="shared" si="6"/>
        <v>152129</v>
      </c>
      <c r="F153" s="2">
        <v>0</v>
      </c>
      <c r="G153" s="2">
        <v>12072</v>
      </c>
      <c r="H153" s="2">
        <v>12077</v>
      </c>
      <c r="I153" s="2">
        <v>24161</v>
      </c>
      <c r="J153" s="2">
        <v>36308</v>
      </c>
      <c r="K153" s="2">
        <v>33977</v>
      </c>
      <c r="L153" s="2">
        <v>21481</v>
      </c>
      <c r="M153" s="2">
        <v>7241</v>
      </c>
      <c r="N153" s="2">
        <v>4812</v>
      </c>
      <c r="O153" s="2"/>
      <c r="P153" s="2" t="s">
        <v>114</v>
      </c>
      <c r="Q153" s="2" t="s">
        <v>118</v>
      </c>
      <c r="R153" s="7">
        <f t="shared" si="7"/>
        <v>254549.40000000002</v>
      </c>
    </row>
    <row r="154" spans="2:18" x14ac:dyDescent="0.3">
      <c r="B154" s="12">
        <v>46266</v>
      </c>
      <c r="C154" s="9">
        <f t="shared" si="8"/>
        <v>254549.40000000002</v>
      </c>
      <c r="D154" s="1">
        <v>178268.94999999998</v>
      </c>
      <c r="E154" s="8">
        <f t="shared" si="6"/>
        <v>141783</v>
      </c>
      <c r="F154" s="2">
        <v>12131</v>
      </c>
      <c r="G154" s="2">
        <v>0</v>
      </c>
      <c r="H154" s="2">
        <v>12132</v>
      </c>
      <c r="I154" s="2">
        <v>22468</v>
      </c>
      <c r="J154" s="2">
        <v>29491</v>
      </c>
      <c r="K154" s="2">
        <v>33797</v>
      </c>
      <c r="L154" s="2">
        <v>21323</v>
      </c>
      <c r="M154" s="2">
        <v>7234</v>
      </c>
      <c r="N154" s="2">
        <v>3207</v>
      </c>
      <c r="O154" s="2"/>
      <c r="P154" s="2" t="s">
        <v>114</v>
      </c>
      <c r="Q154" s="2" t="s">
        <v>119</v>
      </c>
      <c r="R154" s="7">
        <f t="shared" si="7"/>
        <v>291035.34999999998</v>
      </c>
    </row>
    <row r="155" spans="2:18" x14ac:dyDescent="0.3">
      <c r="B155" s="12">
        <v>46267</v>
      </c>
      <c r="C155" s="9">
        <f t="shared" si="8"/>
        <v>291035.34999999998</v>
      </c>
      <c r="D155" s="1">
        <v>109223.45</v>
      </c>
      <c r="E155" s="8">
        <f t="shared" si="6"/>
        <v>154699</v>
      </c>
      <c r="F155" s="2">
        <v>0</v>
      </c>
      <c r="G155" s="2">
        <v>12017</v>
      </c>
      <c r="H155" s="2">
        <v>24319</v>
      </c>
      <c r="I155" s="2">
        <v>12041</v>
      </c>
      <c r="J155" s="2">
        <v>36815</v>
      </c>
      <c r="K155" s="2">
        <v>33736</v>
      </c>
      <c r="L155" s="2">
        <v>21253</v>
      </c>
      <c r="M155" s="2">
        <v>7254</v>
      </c>
      <c r="N155" s="2">
        <v>7264</v>
      </c>
      <c r="O155" s="2"/>
      <c r="P155" s="2" t="s">
        <v>114</v>
      </c>
      <c r="Q155" s="2" t="s">
        <v>120</v>
      </c>
      <c r="R155" s="7">
        <f t="shared" si="7"/>
        <v>245559.8</v>
      </c>
    </row>
    <row r="156" spans="2:18" x14ac:dyDescent="0.3">
      <c r="B156" s="12">
        <v>46268</v>
      </c>
      <c r="C156" s="9">
        <f t="shared" si="8"/>
        <v>245559.8</v>
      </c>
      <c r="D156" s="1">
        <v>135190.20000000001</v>
      </c>
      <c r="E156" s="8">
        <f t="shared" ref="E156:E219" si="9">SUM(F156:O156)</f>
        <v>154224</v>
      </c>
      <c r="F156" s="2">
        <v>12020</v>
      </c>
      <c r="G156" s="2">
        <v>0</v>
      </c>
      <c r="H156" s="2">
        <v>24130</v>
      </c>
      <c r="I156" s="2">
        <v>12135</v>
      </c>
      <c r="J156" s="2">
        <v>36270</v>
      </c>
      <c r="K156" s="2">
        <v>33718</v>
      </c>
      <c r="L156" s="2">
        <v>21290</v>
      </c>
      <c r="M156" s="2">
        <v>7298</v>
      </c>
      <c r="N156" s="2">
        <v>7363</v>
      </c>
      <c r="O156" s="2"/>
      <c r="P156" s="2" t="s">
        <v>114</v>
      </c>
      <c r="Q156" s="2" t="s">
        <v>121</v>
      </c>
      <c r="R156" s="7">
        <f t="shared" si="7"/>
        <v>226526</v>
      </c>
    </row>
    <row r="157" spans="2:18" x14ac:dyDescent="0.3">
      <c r="B157" s="12">
        <v>46269</v>
      </c>
      <c r="C157" s="9">
        <f t="shared" si="8"/>
        <v>226526</v>
      </c>
      <c r="D157" s="1">
        <v>154630.65</v>
      </c>
      <c r="E157" s="8">
        <f t="shared" si="9"/>
        <v>152750</v>
      </c>
      <c r="F157" s="2">
        <v>0</v>
      </c>
      <c r="G157" s="2">
        <v>12018</v>
      </c>
      <c r="H157" s="2">
        <v>12032</v>
      </c>
      <c r="I157" s="2">
        <v>24068</v>
      </c>
      <c r="J157" s="2">
        <v>36635</v>
      </c>
      <c r="K157" s="2">
        <v>35319</v>
      </c>
      <c r="L157" s="2">
        <v>21350</v>
      </c>
      <c r="M157" s="2">
        <v>7222</v>
      </c>
      <c r="N157" s="2">
        <v>4106</v>
      </c>
      <c r="O157" s="2"/>
      <c r="P157" s="2" t="s">
        <v>114</v>
      </c>
      <c r="Q157" s="2" t="s">
        <v>122</v>
      </c>
      <c r="R157" s="7">
        <f t="shared" si="7"/>
        <v>228406.65000000002</v>
      </c>
    </row>
    <row r="158" spans="2:18" x14ac:dyDescent="0.3">
      <c r="B158" s="12">
        <v>46270</v>
      </c>
      <c r="C158" s="9">
        <f t="shared" si="8"/>
        <v>228406.65000000002</v>
      </c>
      <c r="D158" s="1">
        <v>159680.65000000002</v>
      </c>
      <c r="E158" s="8">
        <f t="shared" si="9"/>
        <v>152127</v>
      </c>
      <c r="F158" s="2">
        <v>12061</v>
      </c>
      <c r="G158" s="2">
        <v>12026</v>
      </c>
      <c r="H158" s="2">
        <v>12043</v>
      </c>
      <c r="I158" s="2">
        <v>12034</v>
      </c>
      <c r="J158" s="2">
        <v>36495</v>
      </c>
      <c r="K158" s="2">
        <v>32926</v>
      </c>
      <c r="L158" s="2">
        <v>20905</v>
      </c>
      <c r="M158" s="2">
        <v>7223</v>
      </c>
      <c r="N158" s="2">
        <v>6414</v>
      </c>
      <c r="O158" s="2"/>
      <c r="P158" s="2" t="s">
        <v>114</v>
      </c>
      <c r="Q158" s="2" t="s">
        <v>123</v>
      </c>
      <c r="R158" s="7">
        <f t="shared" si="7"/>
        <v>235960.30000000005</v>
      </c>
    </row>
    <row r="159" spans="2:18" x14ac:dyDescent="0.3">
      <c r="B159" s="12">
        <v>46272</v>
      </c>
      <c r="C159" s="9">
        <f t="shared" si="8"/>
        <v>235960.30000000005</v>
      </c>
      <c r="D159" s="1">
        <v>185706.45</v>
      </c>
      <c r="E159" s="8">
        <f t="shared" si="9"/>
        <v>153345</v>
      </c>
      <c r="F159" s="2">
        <v>0</v>
      </c>
      <c r="G159" s="2">
        <v>12021</v>
      </c>
      <c r="H159" s="2">
        <v>12154</v>
      </c>
      <c r="I159" s="2">
        <v>24059</v>
      </c>
      <c r="J159" s="2">
        <v>36271</v>
      </c>
      <c r="K159" s="2">
        <v>33720</v>
      </c>
      <c r="L159" s="2">
        <v>21397</v>
      </c>
      <c r="M159" s="2">
        <v>7312</v>
      </c>
      <c r="N159" s="2">
        <v>6411</v>
      </c>
      <c r="O159" s="2"/>
      <c r="P159" s="2" t="s">
        <v>114</v>
      </c>
      <c r="Q159" s="2" t="s">
        <v>124</v>
      </c>
      <c r="R159" s="7">
        <f t="shared" si="7"/>
        <v>268321.75000000006</v>
      </c>
    </row>
    <row r="160" spans="2:18" x14ac:dyDescent="0.3">
      <c r="B160" s="12">
        <v>46273</v>
      </c>
      <c r="C160" s="9">
        <f t="shared" si="8"/>
        <v>268321.75000000006</v>
      </c>
      <c r="D160" s="1">
        <v>121250.09999999999</v>
      </c>
      <c r="E160" s="8">
        <f t="shared" si="9"/>
        <v>153719</v>
      </c>
      <c r="F160" s="2">
        <v>12016</v>
      </c>
      <c r="G160" s="2">
        <v>0</v>
      </c>
      <c r="H160" s="2">
        <v>12144</v>
      </c>
      <c r="I160" s="2">
        <v>24092</v>
      </c>
      <c r="J160" s="2">
        <v>36554</v>
      </c>
      <c r="K160" s="2">
        <v>33741</v>
      </c>
      <c r="L160" s="2">
        <v>21455</v>
      </c>
      <c r="M160" s="2">
        <v>7309</v>
      </c>
      <c r="N160" s="2">
        <v>6408</v>
      </c>
      <c r="O160" s="2"/>
      <c r="P160" s="2" t="s">
        <v>114</v>
      </c>
      <c r="Q160" s="2" t="s">
        <v>125</v>
      </c>
      <c r="R160" s="7">
        <f t="shared" si="7"/>
        <v>235852.85000000003</v>
      </c>
    </row>
    <row r="161" spans="2:18" x14ac:dyDescent="0.3">
      <c r="B161" s="12">
        <v>46274</v>
      </c>
      <c r="C161" s="9">
        <f t="shared" si="8"/>
        <v>235852.85000000003</v>
      </c>
      <c r="D161" s="1">
        <v>193463.8</v>
      </c>
      <c r="E161" s="8">
        <f t="shared" si="9"/>
        <v>153412</v>
      </c>
      <c r="F161" s="2">
        <v>12015</v>
      </c>
      <c r="G161" s="2">
        <v>12093</v>
      </c>
      <c r="H161" s="2">
        <v>12052</v>
      </c>
      <c r="I161" s="2">
        <v>24077</v>
      </c>
      <c r="J161" s="2">
        <v>36375</v>
      </c>
      <c r="K161" s="2">
        <v>32343</v>
      </c>
      <c r="L161" s="2">
        <v>10530</v>
      </c>
      <c r="M161" s="2">
        <v>7499</v>
      </c>
      <c r="N161" s="2">
        <v>6428</v>
      </c>
      <c r="O161" s="2"/>
      <c r="P161" s="2" t="s">
        <v>114</v>
      </c>
      <c r="Q161" s="2" t="s">
        <v>126</v>
      </c>
      <c r="R161" s="7">
        <f t="shared" si="7"/>
        <v>275904.65000000002</v>
      </c>
    </row>
    <row r="162" spans="2:18" x14ac:dyDescent="0.3">
      <c r="B162" s="12">
        <v>46275</v>
      </c>
      <c r="C162" s="9">
        <f t="shared" si="8"/>
        <v>275904.65000000002</v>
      </c>
      <c r="D162" s="1">
        <v>143086.25</v>
      </c>
      <c r="E162" s="8">
        <f t="shared" si="9"/>
        <v>154052</v>
      </c>
      <c r="F162" s="2">
        <v>12231</v>
      </c>
      <c r="G162" s="2">
        <v>12161</v>
      </c>
      <c r="H162" s="2">
        <v>12091</v>
      </c>
      <c r="I162" s="2">
        <v>24071</v>
      </c>
      <c r="J162" s="2">
        <v>36491</v>
      </c>
      <c r="K162" s="2">
        <v>32410</v>
      </c>
      <c r="L162" s="2">
        <v>10894</v>
      </c>
      <c r="M162" s="2">
        <v>7299</v>
      </c>
      <c r="N162" s="2">
        <v>6404</v>
      </c>
      <c r="O162" s="2"/>
      <c r="P162" s="2" t="s">
        <v>114</v>
      </c>
      <c r="Q162" s="2" t="s">
        <v>127</v>
      </c>
      <c r="R162" s="7">
        <f t="shared" si="7"/>
        <v>264938.90000000002</v>
      </c>
    </row>
    <row r="163" spans="2:18" x14ac:dyDescent="0.3">
      <c r="B163" s="12">
        <v>46276</v>
      </c>
      <c r="C163" s="9">
        <f t="shared" si="8"/>
        <v>264938.90000000002</v>
      </c>
      <c r="D163" s="1">
        <v>140407.4</v>
      </c>
      <c r="E163" s="8">
        <f t="shared" si="9"/>
        <v>153796</v>
      </c>
      <c r="F163" s="2">
        <v>12065</v>
      </c>
      <c r="G163" s="2">
        <v>12135</v>
      </c>
      <c r="H163" s="2">
        <v>12051</v>
      </c>
      <c r="I163" s="2">
        <v>24077</v>
      </c>
      <c r="J163" s="2">
        <v>36468</v>
      </c>
      <c r="K163" s="2">
        <v>32405</v>
      </c>
      <c r="L163" s="2">
        <v>10852</v>
      </c>
      <c r="M163" s="2">
        <v>7257</v>
      </c>
      <c r="N163" s="2">
        <v>6486</v>
      </c>
      <c r="O163" s="2"/>
      <c r="P163" s="2" t="s">
        <v>114</v>
      </c>
      <c r="Q163" s="2" t="s">
        <v>128</v>
      </c>
      <c r="R163" s="7">
        <f t="shared" si="7"/>
        <v>251550.30000000005</v>
      </c>
    </row>
    <row r="164" spans="2:18" x14ac:dyDescent="0.3">
      <c r="B164" s="12">
        <v>46277</v>
      </c>
      <c r="C164" s="9">
        <f t="shared" si="8"/>
        <v>251550.30000000005</v>
      </c>
      <c r="D164" s="1">
        <v>145817.65</v>
      </c>
      <c r="E164" s="8">
        <f t="shared" si="9"/>
        <v>151619</v>
      </c>
      <c r="F164" s="2">
        <v>0</v>
      </c>
      <c r="G164" s="2">
        <v>12017</v>
      </c>
      <c r="H164" s="2">
        <v>12044</v>
      </c>
      <c r="I164" s="2">
        <v>36198</v>
      </c>
      <c r="J164" s="2">
        <v>36289</v>
      </c>
      <c r="K164" s="2">
        <v>32311</v>
      </c>
      <c r="L164" s="2">
        <v>10491</v>
      </c>
      <c r="M164" s="2">
        <v>7461</v>
      </c>
      <c r="N164" s="2">
        <v>4808</v>
      </c>
      <c r="O164" s="2"/>
      <c r="P164" s="2" t="s">
        <v>114</v>
      </c>
      <c r="Q164" s="2" t="s">
        <v>129</v>
      </c>
      <c r="R164" s="7">
        <f t="shared" si="7"/>
        <v>245748.95000000007</v>
      </c>
    </row>
    <row r="165" spans="2:18" x14ac:dyDescent="0.3">
      <c r="B165" s="12">
        <v>46279</v>
      </c>
      <c r="C165" s="9">
        <f t="shared" si="8"/>
        <v>245748.95000000007</v>
      </c>
      <c r="D165" s="1">
        <v>0</v>
      </c>
      <c r="E165" s="8">
        <f t="shared" si="9"/>
        <v>147395</v>
      </c>
      <c r="F165" s="2">
        <v>12015</v>
      </c>
      <c r="G165" s="2">
        <v>0</v>
      </c>
      <c r="H165" s="2">
        <v>12049</v>
      </c>
      <c r="I165" s="2">
        <v>36156</v>
      </c>
      <c r="J165" s="2">
        <v>36220</v>
      </c>
      <c r="K165" s="2">
        <v>32602</v>
      </c>
      <c r="L165" s="2">
        <v>10877</v>
      </c>
      <c r="M165" s="2">
        <v>4871</v>
      </c>
      <c r="N165" s="2">
        <v>2605</v>
      </c>
      <c r="O165" s="2"/>
      <c r="P165" s="2" t="s">
        <v>114</v>
      </c>
      <c r="Q165" s="2" t="s">
        <v>130</v>
      </c>
      <c r="R165" s="7">
        <f t="shared" si="7"/>
        <v>98353.95000000007</v>
      </c>
    </row>
    <row r="166" spans="2:18" x14ac:dyDescent="0.3">
      <c r="B166" s="12">
        <v>46280</v>
      </c>
      <c r="C166" s="9">
        <f t="shared" si="8"/>
        <v>98353.95000000007</v>
      </c>
      <c r="D166" s="1">
        <v>0</v>
      </c>
      <c r="E166" s="8">
        <f t="shared" si="9"/>
        <v>79182</v>
      </c>
      <c r="F166" s="2">
        <v>11216</v>
      </c>
      <c r="G166" s="2">
        <v>13886</v>
      </c>
      <c r="H166" s="2">
        <v>4763</v>
      </c>
      <c r="I166" s="2">
        <v>30621</v>
      </c>
      <c r="J166" s="2">
        <v>10799</v>
      </c>
      <c r="K166" s="2">
        <v>5574</v>
      </c>
      <c r="L166" s="2">
        <v>2323</v>
      </c>
      <c r="M166" s="2">
        <v>0</v>
      </c>
      <c r="N166" s="2">
        <v>0</v>
      </c>
      <c r="O166" s="2"/>
      <c r="P166" s="2" t="s">
        <v>114</v>
      </c>
      <c r="Q166" s="2" t="s">
        <v>131</v>
      </c>
      <c r="R166" s="7">
        <f t="shared" si="7"/>
        <v>19171.95000000007</v>
      </c>
    </row>
    <row r="167" spans="2:18" x14ac:dyDescent="0.3">
      <c r="B167" s="12"/>
      <c r="C167" s="9">
        <f t="shared" si="8"/>
        <v>19171.95000000007</v>
      </c>
      <c r="D167" s="1">
        <v>0</v>
      </c>
      <c r="E167" s="8">
        <f t="shared" si="9"/>
        <v>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7">
        <f t="shared" si="7"/>
        <v>19171.95000000007</v>
      </c>
    </row>
    <row r="168" spans="2:18" x14ac:dyDescent="0.3">
      <c r="B168" s="12"/>
      <c r="C168" s="9">
        <f t="shared" si="8"/>
        <v>19171.95000000007</v>
      </c>
      <c r="D168" s="1"/>
      <c r="E168" s="8">
        <f t="shared" si="9"/>
        <v>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7">
        <f t="shared" si="7"/>
        <v>19171.95000000007</v>
      </c>
    </row>
    <row r="169" spans="2:18" x14ac:dyDescent="0.3">
      <c r="B169" s="12"/>
      <c r="C169" s="9">
        <f t="shared" si="8"/>
        <v>19171.95000000007</v>
      </c>
      <c r="D169" s="1"/>
      <c r="E169" s="8">
        <f t="shared" si="9"/>
        <v>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7">
        <f t="shared" si="7"/>
        <v>19171.95000000007</v>
      </c>
    </row>
    <row r="170" spans="2:18" x14ac:dyDescent="0.3">
      <c r="B170" s="12"/>
      <c r="C170" s="9">
        <f t="shared" si="8"/>
        <v>19171.95000000007</v>
      </c>
      <c r="D170" s="1"/>
      <c r="E170" s="8">
        <f t="shared" si="9"/>
        <v>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7">
        <f t="shared" si="7"/>
        <v>19171.95000000007</v>
      </c>
    </row>
    <row r="171" spans="2:18" x14ac:dyDescent="0.3">
      <c r="B171" s="12"/>
      <c r="C171" s="9">
        <f t="shared" si="8"/>
        <v>19171.95000000007</v>
      </c>
      <c r="D171" s="1"/>
      <c r="E171" s="8">
        <f t="shared" si="9"/>
        <v>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7">
        <f t="shared" si="7"/>
        <v>19171.95000000007</v>
      </c>
    </row>
    <row r="172" spans="2:18" x14ac:dyDescent="0.3">
      <c r="B172" s="12"/>
      <c r="C172" s="9">
        <f t="shared" si="8"/>
        <v>19171.95000000007</v>
      </c>
      <c r="D172" s="1"/>
      <c r="E172" s="8">
        <f t="shared" si="9"/>
        <v>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7">
        <f t="shared" si="7"/>
        <v>19171.95000000007</v>
      </c>
    </row>
    <row r="173" spans="2:18" x14ac:dyDescent="0.3">
      <c r="B173" s="12"/>
      <c r="C173" s="9">
        <f t="shared" si="8"/>
        <v>19171.95000000007</v>
      </c>
      <c r="D173" s="1"/>
      <c r="E173" s="8">
        <f t="shared" si="9"/>
        <v>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7">
        <f t="shared" si="7"/>
        <v>19171.95000000007</v>
      </c>
    </row>
    <row r="174" spans="2:18" x14ac:dyDescent="0.3">
      <c r="B174" s="12"/>
      <c r="C174" s="9">
        <f t="shared" si="8"/>
        <v>19171.95000000007</v>
      </c>
      <c r="D174" s="1"/>
      <c r="E174" s="8">
        <f t="shared" si="9"/>
        <v>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7">
        <f t="shared" si="7"/>
        <v>19171.95000000007</v>
      </c>
    </row>
    <row r="175" spans="2:18" x14ac:dyDescent="0.3">
      <c r="B175" s="12"/>
      <c r="C175" s="9">
        <f t="shared" si="8"/>
        <v>19171.95000000007</v>
      </c>
      <c r="D175" s="1"/>
      <c r="E175" s="8">
        <f t="shared" si="9"/>
        <v>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7">
        <f t="shared" si="7"/>
        <v>19171.95000000007</v>
      </c>
    </row>
    <row r="176" spans="2:18" x14ac:dyDescent="0.3">
      <c r="B176" s="12"/>
      <c r="C176" s="9">
        <f t="shared" si="8"/>
        <v>19171.95000000007</v>
      </c>
      <c r="D176" s="1"/>
      <c r="E176" s="8">
        <f t="shared" si="9"/>
        <v>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7">
        <f t="shared" si="7"/>
        <v>19171.95000000007</v>
      </c>
    </row>
    <row r="177" spans="2:18" x14ac:dyDescent="0.3">
      <c r="B177" s="12"/>
      <c r="C177" s="9">
        <f t="shared" si="8"/>
        <v>19171.95000000007</v>
      </c>
      <c r="D177" s="1"/>
      <c r="E177" s="8">
        <f t="shared" si="9"/>
        <v>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7">
        <f t="shared" si="7"/>
        <v>19171.95000000007</v>
      </c>
    </row>
    <row r="178" spans="2:18" x14ac:dyDescent="0.3">
      <c r="B178" s="12"/>
      <c r="C178" s="9">
        <f t="shared" si="8"/>
        <v>19171.95000000007</v>
      </c>
      <c r="D178" s="1"/>
      <c r="E178" s="8">
        <f t="shared" si="9"/>
        <v>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7">
        <f t="shared" si="7"/>
        <v>19171.95000000007</v>
      </c>
    </row>
    <row r="179" spans="2:18" x14ac:dyDescent="0.3">
      <c r="B179" s="12"/>
      <c r="C179" s="9">
        <f t="shared" si="8"/>
        <v>19171.95000000007</v>
      </c>
      <c r="D179" s="1"/>
      <c r="E179" s="8">
        <f t="shared" si="9"/>
        <v>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7">
        <f t="shared" si="7"/>
        <v>19171.95000000007</v>
      </c>
    </row>
    <row r="180" spans="2:18" x14ac:dyDescent="0.3">
      <c r="B180" s="12"/>
      <c r="C180" s="9">
        <f t="shared" si="8"/>
        <v>19171.95000000007</v>
      </c>
      <c r="D180" s="1"/>
      <c r="E180" s="8">
        <f t="shared" si="9"/>
        <v>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7">
        <f t="shared" si="7"/>
        <v>19171.95000000007</v>
      </c>
    </row>
    <row r="181" spans="2:18" x14ac:dyDescent="0.3">
      <c r="B181" s="12"/>
      <c r="C181" s="9">
        <f t="shared" si="8"/>
        <v>19171.95000000007</v>
      </c>
      <c r="D181" s="1"/>
      <c r="E181" s="8">
        <f t="shared" si="9"/>
        <v>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7">
        <f t="shared" si="7"/>
        <v>19171.95000000007</v>
      </c>
    </row>
    <row r="182" spans="2:18" x14ac:dyDescent="0.3">
      <c r="B182" s="12"/>
      <c r="C182" s="9">
        <f t="shared" si="8"/>
        <v>19171.95000000007</v>
      </c>
      <c r="D182" s="1"/>
      <c r="E182" s="8">
        <f t="shared" si="9"/>
        <v>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7">
        <f t="shared" si="7"/>
        <v>19171.95000000007</v>
      </c>
    </row>
    <row r="183" spans="2:18" x14ac:dyDescent="0.3">
      <c r="B183" s="12"/>
      <c r="C183" s="9">
        <f t="shared" si="8"/>
        <v>19171.95000000007</v>
      </c>
      <c r="D183" s="1"/>
      <c r="E183" s="8">
        <f t="shared" si="9"/>
        <v>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7">
        <f t="shared" si="7"/>
        <v>19171.95000000007</v>
      </c>
    </row>
    <row r="184" spans="2:18" x14ac:dyDescent="0.3">
      <c r="B184" s="12"/>
      <c r="C184" s="9">
        <f t="shared" si="8"/>
        <v>19171.95000000007</v>
      </c>
      <c r="D184" s="1"/>
      <c r="E184" s="8">
        <f t="shared" si="9"/>
        <v>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">
        <f t="shared" si="7"/>
        <v>19171.95000000007</v>
      </c>
    </row>
    <row r="185" spans="2:18" x14ac:dyDescent="0.3">
      <c r="B185" s="12"/>
      <c r="C185" s="9">
        <f t="shared" si="8"/>
        <v>19171.95000000007</v>
      </c>
      <c r="D185" s="1"/>
      <c r="E185" s="8">
        <f t="shared" si="9"/>
        <v>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7">
        <f t="shared" si="7"/>
        <v>19171.95000000007</v>
      </c>
    </row>
    <row r="186" spans="2:18" x14ac:dyDescent="0.3">
      <c r="B186" s="12"/>
      <c r="C186" s="9">
        <f t="shared" si="8"/>
        <v>19171.95000000007</v>
      </c>
      <c r="D186" s="1"/>
      <c r="E186" s="8">
        <f t="shared" si="9"/>
        <v>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7">
        <f t="shared" si="7"/>
        <v>19171.95000000007</v>
      </c>
    </row>
    <row r="187" spans="2:18" x14ac:dyDescent="0.3">
      <c r="B187" s="12"/>
      <c r="C187" s="9">
        <f t="shared" si="8"/>
        <v>19171.95000000007</v>
      </c>
      <c r="D187" s="1"/>
      <c r="E187" s="8">
        <f t="shared" si="9"/>
        <v>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7">
        <f t="shared" si="7"/>
        <v>19171.95000000007</v>
      </c>
    </row>
    <row r="188" spans="2:18" x14ac:dyDescent="0.3">
      <c r="B188" s="12"/>
      <c r="C188" s="9">
        <f t="shared" si="8"/>
        <v>19171.95000000007</v>
      </c>
      <c r="D188" s="1"/>
      <c r="E188" s="8">
        <f t="shared" si="9"/>
        <v>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7">
        <f t="shared" si="7"/>
        <v>19171.95000000007</v>
      </c>
    </row>
    <row r="189" spans="2:18" x14ac:dyDescent="0.3">
      <c r="B189" s="12"/>
      <c r="C189" s="9">
        <f t="shared" si="8"/>
        <v>19171.95000000007</v>
      </c>
      <c r="D189" s="1"/>
      <c r="E189" s="8">
        <f t="shared" si="9"/>
        <v>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7">
        <f t="shared" si="7"/>
        <v>19171.95000000007</v>
      </c>
    </row>
    <row r="190" spans="2:18" x14ac:dyDescent="0.3">
      <c r="B190" s="12"/>
      <c r="C190" s="9">
        <f t="shared" si="8"/>
        <v>19171.95000000007</v>
      </c>
      <c r="D190" s="1"/>
      <c r="E190" s="8">
        <f t="shared" si="9"/>
        <v>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7">
        <f t="shared" si="7"/>
        <v>19171.95000000007</v>
      </c>
    </row>
    <row r="191" spans="2:18" x14ac:dyDescent="0.3">
      <c r="B191" s="12"/>
      <c r="C191" s="9">
        <f t="shared" si="8"/>
        <v>19171.95000000007</v>
      </c>
      <c r="D191" s="1"/>
      <c r="E191" s="8">
        <f t="shared" si="9"/>
        <v>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7">
        <f t="shared" si="7"/>
        <v>19171.95000000007</v>
      </c>
    </row>
    <row r="192" spans="2:18" x14ac:dyDescent="0.3">
      <c r="B192" s="12"/>
      <c r="C192" s="9">
        <f t="shared" si="8"/>
        <v>19171.95000000007</v>
      </c>
      <c r="D192" s="1"/>
      <c r="E192" s="8">
        <f t="shared" si="9"/>
        <v>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7">
        <f t="shared" si="7"/>
        <v>19171.95000000007</v>
      </c>
    </row>
    <row r="193" spans="2:18" x14ac:dyDescent="0.3">
      <c r="B193" s="12"/>
      <c r="C193" s="9">
        <f t="shared" si="8"/>
        <v>19171.95000000007</v>
      </c>
      <c r="D193" s="1"/>
      <c r="E193" s="8">
        <f t="shared" si="9"/>
        <v>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">
        <f t="shared" si="7"/>
        <v>19171.95000000007</v>
      </c>
    </row>
    <row r="194" spans="2:18" x14ac:dyDescent="0.3">
      <c r="B194" s="12"/>
      <c r="C194" s="9">
        <f t="shared" si="8"/>
        <v>19171.95000000007</v>
      </c>
      <c r="D194" s="1"/>
      <c r="E194" s="8">
        <f t="shared" si="9"/>
        <v>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">
        <f t="shared" si="7"/>
        <v>19171.95000000007</v>
      </c>
    </row>
    <row r="195" spans="2:18" x14ac:dyDescent="0.3">
      <c r="B195" s="12"/>
      <c r="C195" s="9">
        <f t="shared" si="8"/>
        <v>19171.95000000007</v>
      </c>
      <c r="D195" s="1"/>
      <c r="E195" s="8">
        <f t="shared" si="9"/>
        <v>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7">
        <f t="shared" si="7"/>
        <v>19171.95000000007</v>
      </c>
    </row>
    <row r="196" spans="2:18" x14ac:dyDescent="0.3">
      <c r="B196" s="12"/>
      <c r="C196" s="9">
        <f t="shared" si="8"/>
        <v>19171.95000000007</v>
      </c>
      <c r="D196" s="1"/>
      <c r="E196" s="8">
        <f t="shared" si="9"/>
        <v>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7">
        <f t="shared" si="7"/>
        <v>19171.95000000007</v>
      </c>
    </row>
    <row r="197" spans="2:18" x14ac:dyDescent="0.3">
      <c r="B197" s="12"/>
      <c r="C197" s="9">
        <f t="shared" si="8"/>
        <v>19171.95000000007</v>
      </c>
      <c r="D197" s="1"/>
      <c r="E197" s="8">
        <f t="shared" si="9"/>
        <v>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7">
        <f t="shared" ref="R197:R260" si="10">(D197+C197)-E197</f>
        <v>19171.95000000007</v>
      </c>
    </row>
    <row r="198" spans="2:18" x14ac:dyDescent="0.3">
      <c r="B198" s="12"/>
      <c r="C198" s="9">
        <f t="shared" ref="C198:C261" si="11">R197</f>
        <v>19171.95000000007</v>
      </c>
      <c r="D198" s="1"/>
      <c r="E198" s="8">
        <f t="shared" si="9"/>
        <v>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7">
        <f t="shared" si="10"/>
        <v>19171.95000000007</v>
      </c>
    </row>
    <row r="199" spans="2:18" x14ac:dyDescent="0.3">
      <c r="B199" s="12"/>
      <c r="C199" s="9">
        <f t="shared" si="11"/>
        <v>19171.95000000007</v>
      </c>
      <c r="D199" s="1"/>
      <c r="E199" s="8">
        <f t="shared" si="9"/>
        <v>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7">
        <f t="shared" si="10"/>
        <v>19171.95000000007</v>
      </c>
    </row>
    <row r="200" spans="2:18" x14ac:dyDescent="0.3">
      <c r="B200" s="12"/>
      <c r="C200" s="9">
        <f t="shared" si="11"/>
        <v>19171.95000000007</v>
      </c>
      <c r="D200" s="1"/>
      <c r="E200" s="8">
        <f t="shared" si="9"/>
        <v>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">
        <f t="shared" si="10"/>
        <v>19171.95000000007</v>
      </c>
    </row>
    <row r="201" spans="2:18" x14ac:dyDescent="0.3">
      <c r="B201" s="12"/>
      <c r="C201" s="9">
        <f t="shared" si="11"/>
        <v>19171.95000000007</v>
      </c>
      <c r="D201" s="1"/>
      <c r="E201" s="8">
        <f t="shared" si="9"/>
        <v>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7">
        <f t="shared" si="10"/>
        <v>19171.95000000007</v>
      </c>
    </row>
    <row r="202" spans="2:18" x14ac:dyDescent="0.3">
      <c r="B202" s="12"/>
      <c r="C202" s="9">
        <f t="shared" si="11"/>
        <v>19171.95000000007</v>
      </c>
      <c r="D202" s="1"/>
      <c r="E202" s="8">
        <f t="shared" si="9"/>
        <v>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7">
        <f t="shared" si="10"/>
        <v>19171.95000000007</v>
      </c>
    </row>
    <row r="203" spans="2:18" x14ac:dyDescent="0.3">
      <c r="B203" s="12"/>
      <c r="C203" s="9">
        <f t="shared" si="11"/>
        <v>19171.95000000007</v>
      </c>
      <c r="D203" s="1"/>
      <c r="E203" s="8">
        <f t="shared" si="9"/>
        <v>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7">
        <f t="shared" si="10"/>
        <v>19171.95000000007</v>
      </c>
    </row>
    <row r="204" spans="2:18" x14ac:dyDescent="0.3">
      <c r="B204" s="12"/>
      <c r="C204" s="9">
        <f t="shared" si="11"/>
        <v>19171.95000000007</v>
      </c>
      <c r="D204" s="1"/>
      <c r="E204" s="8">
        <f t="shared" si="9"/>
        <v>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7">
        <f t="shared" si="10"/>
        <v>19171.95000000007</v>
      </c>
    </row>
    <row r="205" spans="2:18" x14ac:dyDescent="0.3">
      <c r="B205" s="12"/>
      <c r="C205" s="9">
        <f t="shared" si="11"/>
        <v>19171.95000000007</v>
      </c>
      <c r="D205" s="1"/>
      <c r="E205" s="8">
        <f t="shared" si="9"/>
        <v>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7">
        <f t="shared" si="10"/>
        <v>19171.95000000007</v>
      </c>
    </row>
    <row r="206" spans="2:18" x14ac:dyDescent="0.3">
      <c r="B206" s="12"/>
      <c r="C206" s="9">
        <f t="shared" si="11"/>
        <v>19171.95000000007</v>
      </c>
      <c r="D206" s="1"/>
      <c r="E206" s="8">
        <f t="shared" si="9"/>
        <v>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7">
        <f t="shared" si="10"/>
        <v>19171.95000000007</v>
      </c>
    </row>
    <row r="207" spans="2:18" x14ac:dyDescent="0.3">
      <c r="B207" s="12"/>
      <c r="C207" s="9">
        <f t="shared" si="11"/>
        <v>19171.95000000007</v>
      </c>
      <c r="D207" s="1"/>
      <c r="E207" s="8">
        <f t="shared" si="9"/>
        <v>0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7">
        <f t="shared" si="10"/>
        <v>19171.95000000007</v>
      </c>
    </row>
    <row r="208" spans="2:18" x14ac:dyDescent="0.3">
      <c r="B208" s="12"/>
      <c r="C208" s="9">
        <f t="shared" si="11"/>
        <v>19171.95000000007</v>
      </c>
      <c r="D208" s="1"/>
      <c r="E208" s="8">
        <f t="shared" si="9"/>
        <v>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7">
        <f t="shared" si="10"/>
        <v>19171.95000000007</v>
      </c>
    </row>
    <row r="209" spans="2:18" x14ac:dyDescent="0.3">
      <c r="B209" s="12"/>
      <c r="C209" s="9">
        <f t="shared" si="11"/>
        <v>19171.95000000007</v>
      </c>
      <c r="D209" s="1"/>
      <c r="E209" s="8">
        <f t="shared" si="9"/>
        <v>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7">
        <f t="shared" si="10"/>
        <v>19171.95000000007</v>
      </c>
    </row>
    <row r="210" spans="2:18" x14ac:dyDescent="0.3">
      <c r="B210" s="12"/>
      <c r="C210" s="9">
        <f t="shared" si="11"/>
        <v>19171.95000000007</v>
      </c>
      <c r="D210" s="1"/>
      <c r="E210" s="8">
        <f t="shared" si="9"/>
        <v>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7">
        <f t="shared" si="10"/>
        <v>19171.95000000007</v>
      </c>
    </row>
    <row r="211" spans="2:18" x14ac:dyDescent="0.3">
      <c r="B211" s="12"/>
      <c r="C211" s="9">
        <f t="shared" si="11"/>
        <v>19171.95000000007</v>
      </c>
      <c r="D211" s="1"/>
      <c r="E211" s="8">
        <f t="shared" si="9"/>
        <v>0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">
        <f t="shared" si="10"/>
        <v>19171.95000000007</v>
      </c>
    </row>
    <row r="212" spans="2:18" x14ac:dyDescent="0.3">
      <c r="B212" s="12"/>
      <c r="C212" s="9">
        <f t="shared" si="11"/>
        <v>19171.95000000007</v>
      </c>
      <c r="D212" s="1"/>
      <c r="E212" s="8">
        <f t="shared" si="9"/>
        <v>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7">
        <f t="shared" si="10"/>
        <v>19171.95000000007</v>
      </c>
    </row>
    <row r="213" spans="2:18" x14ac:dyDescent="0.3">
      <c r="B213" s="12"/>
      <c r="C213" s="9">
        <f t="shared" si="11"/>
        <v>19171.95000000007</v>
      </c>
      <c r="D213" s="1"/>
      <c r="E213" s="8">
        <f t="shared" si="9"/>
        <v>0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7">
        <f t="shared" si="10"/>
        <v>19171.95000000007</v>
      </c>
    </row>
    <row r="214" spans="2:18" x14ac:dyDescent="0.3">
      <c r="B214" s="12"/>
      <c r="C214" s="9">
        <f t="shared" si="11"/>
        <v>19171.95000000007</v>
      </c>
      <c r="D214" s="1"/>
      <c r="E214" s="8">
        <f t="shared" si="9"/>
        <v>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7">
        <f t="shared" si="10"/>
        <v>19171.95000000007</v>
      </c>
    </row>
    <row r="215" spans="2:18" x14ac:dyDescent="0.3">
      <c r="B215" s="12"/>
      <c r="C215" s="9">
        <f t="shared" si="11"/>
        <v>19171.95000000007</v>
      </c>
      <c r="D215" s="1"/>
      <c r="E215" s="8">
        <f t="shared" si="9"/>
        <v>0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7">
        <f t="shared" si="10"/>
        <v>19171.95000000007</v>
      </c>
    </row>
    <row r="216" spans="2:18" x14ac:dyDescent="0.3">
      <c r="B216" s="12"/>
      <c r="C216" s="9">
        <f t="shared" si="11"/>
        <v>19171.95000000007</v>
      </c>
      <c r="D216" s="1"/>
      <c r="E216" s="8">
        <f t="shared" si="9"/>
        <v>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7">
        <f t="shared" si="10"/>
        <v>19171.95000000007</v>
      </c>
    </row>
    <row r="217" spans="2:18" x14ac:dyDescent="0.3">
      <c r="B217" s="12"/>
      <c r="C217" s="9">
        <f t="shared" si="11"/>
        <v>19171.95000000007</v>
      </c>
      <c r="D217" s="1"/>
      <c r="E217" s="8">
        <f t="shared" si="9"/>
        <v>0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7">
        <f t="shared" si="10"/>
        <v>19171.95000000007</v>
      </c>
    </row>
    <row r="218" spans="2:18" x14ac:dyDescent="0.3">
      <c r="B218" s="12"/>
      <c r="C218" s="9">
        <f t="shared" si="11"/>
        <v>19171.95000000007</v>
      </c>
      <c r="D218" s="1"/>
      <c r="E218" s="8">
        <f t="shared" si="9"/>
        <v>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7">
        <f t="shared" si="10"/>
        <v>19171.95000000007</v>
      </c>
    </row>
    <row r="219" spans="2:18" x14ac:dyDescent="0.3">
      <c r="B219" s="12"/>
      <c r="C219" s="9">
        <f t="shared" si="11"/>
        <v>19171.95000000007</v>
      </c>
      <c r="D219" s="1"/>
      <c r="E219" s="8">
        <f t="shared" si="9"/>
        <v>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7">
        <f t="shared" si="10"/>
        <v>19171.95000000007</v>
      </c>
    </row>
    <row r="220" spans="2:18" x14ac:dyDescent="0.3">
      <c r="B220" s="12"/>
      <c r="C220" s="9">
        <f t="shared" si="11"/>
        <v>19171.95000000007</v>
      </c>
      <c r="D220" s="1"/>
      <c r="E220" s="8">
        <f t="shared" ref="E220:E283" si="12">SUM(F220:O220)</f>
        <v>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7">
        <f t="shared" si="10"/>
        <v>19171.95000000007</v>
      </c>
    </row>
    <row r="221" spans="2:18" x14ac:dyDescent="0.3">
      <c r="B221" s="12"/>
      <c r="C221" s="9">
        <f t="shared" si="11"/>
        <v>19171.95000000007</v>
      </c>
      <c r="D221" s="1"/>
      <c r="E221" s="8">
        <f t="shared" si="12"/>
        <v>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7">
        <f t="shared" si="10"/>
        <v>19171.95000000007</v>
      </c>
    </row>
    <row r="222" spans="2:18" x14ac:dyDescent="0.3">
      <c r="B222" s="12"/>
      <c r="C222" s="9">
        <f t="shared" si="11"/>
        <v>19171.95000000007</v>
      </c>
      <c r="D222" s="1"/>
      <c r="E222" s="8">
        <f t="shared" si="12"/>
        <v>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7">
        <f t="shared" si="10"/>
        <v>19171.95000000007</v>
      </c>
    </row>
    <row r="223" spans="2:18" x14ac:dyDescent="0.3">
      <c r="B223" s="12"/>
      <c r="C223" s="9">
        <f t="shared" si="11"/>
        <v>19171.95000000007</v>
      </c>
      <c r="D223" s="1"/>
      <c r="E223" s="8">
        <f t="shared" si="12"/>
        <v>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7">
        <f t="shared" si="10"/>
        <v>19171.95000000007</v>
      </c>
    </row>
    <row r="224" spans="2:18" x14ac:dyDescent="0.3">
      <c r="B224" s="12"/>
      <c r="C224" s="9">
        <f t="shared" si="11"/>
        <v>19171.95000000007</v>
      </c>
      <c r="D224" s="1"/>
      <c r="E224" s="8">
        <f t="shared" si="12"/>
        <v>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7">
        <f t="shared" si="10"/>
        <v>19171.95000000007</v>
      </c>
    </row>
    <row r="225" spans="2:18" x14ac:dyDescent="0.3">
      <c r="B225" s="12"/>
      <c r="C225" s="9">
        <f t="shared" si="11"/>
        <v>19171.95000000007</v>
      </c>
      <c r="D225" s="1"/>
      <c r="E225" s="8">
        <f t="shared" si="12"/>
        <v>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7">
        <f t="shared" si="10"/>
        <v>19171.95000000007</v>
      </c>
    </row>
    <row r="226" spans="2:18" x14ac:dyDescent="0.3">
      <c r="B226" s="12"/>
      <c r="C226" s="9">
        <f t="shared" si="11"/>
        <v>19171.95000000007</v>
      </c>
      <c r="D226" s="1"/>
      <c r="E226" s="8">
        <f t="shared" si="12"/>
        <v>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7">
        <f t="shared" si="10"/>
        <v>19171.95000000007</v>
      </c>
    </row>
    <row r="227" spans="2:18" x14ac:dyDescent="0.3">
      <c r="B227" s="12"/>
      <c r="C227" s="9">
        <f t="shared" si="11"/>
        <v>19171.95000000007</v>
      </c>
      <c r="D227" s="1"/>
      <c r="E227" s="8">
        <f t="shared" si="12"/>
        <v>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7">
        <f t="shared" si="10"/>
        <v>19171.95000000007</v>
      </c>
    </row>
    <row r="228" spans="2:18" x14ac:dyDescent="0.3">
      <c r="B228" s="12"/>
      <c r="C228" s="9">
        <f t="shared" si="11"/>
        <v>19171.95000000007</v>
      </c>
      <c r="D228" s="1"/>
      <c r="E228" s="8">
        <f t="shared" si="12"/>
        <v>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7">
        <f t="shared" si="10"/>
        <v>19171.95000000007</v>
      </c>
    </row>
    <row r="229" spans="2:18" x14ac:dyDescent="0.3">
      <c r="B229" s="12"/>
      <c r="C229" s="9">
        <f t="shared" si="11"/>
        <v>19171.95000000007</v>
      </c>
      <c r="D229" s="1"/>
      <c r="E229" s="8">
        <f t="shared" si="12"/>
        <v>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7">
        <f t="shared" si="10"/>
        <v>19171.95000000007</v>
      </c>
    </row>
    <row r="230" spans="2:18" x14ac:dyDescent="0.3">
      <c r="B230" s="12"/>
      <c r="C230" s="9">
        <f t="shared" si="11"/>
        <v>19171.95000000007</v>
      </c>
      <c r="D230" s="1"/>
      <c r="E230" s="8">
        <f t="shared" si="12"/>
        <v>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7">
        <f t="shared" si="10"/>
        <v>19171.95000000007</v>
      </c>
    </row>
    <row r="231" spans="2:18" x14ac:dyDescent="0.3">
      <c r="B231" s="12"/>
      <c r="C231" s="9">
        <f t="shared" si="11"/>
        <v>19171.95000000007</v>
      </c>
      <c r="D231" s="1"/>
      <c r="E231" s="8">
        <f t="shared" si="12"/>
        <v>0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7">
        <f t="shared" si="10"/>
        <v>19171.95000000007</v>
      </c>
    </row>
    <row r="232" spans="2:18" x14ac:dyDescent="0.3">
      <c r="B232" s="12"/>
      <c r="C232" s="9">
        <f t="shared" si="11"/>
        <v>19171.95000000007</v>
      </c>
      <c r="D232" s="1"/>
      <c r="E232" s="8">
        <f t="shared" si="12"/>
        <v>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7">
        <f t="shared" si="10"/>
        <v>19171.95000000007</v>
      </c>
    </row>
    <row r="233" spans="2:18" x14ac:dyDescent="0.3">
      <c r="B233" s="12"/>
      <c r="C233" s="9">
        <f t="shared" si="11"/>
        <v>19171.95000000007</v>
      </c>
      <c r="D233" s="1"/>
      <c r="E233" s="8">
        <f t="shared" si="12"/>
        <v>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7">
        <f t="shared" si="10"/>
        <v>19171.95000000007</v>
      </c>
    </row>
    <row r="234" spans="2:18" x14ac:dyDescent="0.3">
      <c r="B234" s="12"/>
      <c r="C234" s="9">
        <f t="shared" si="11"/>
        <v>19171.95000000007</v>
      </c>
      <c r="D234" s="1"/>
      <c r="E234" s="8">
        <f t="shared" si="12"/>
        <v>0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7">
        <f t="shared" si="10"/>
        <v>19171.95000000007</v>
      </c>
    </row>
    <row r="235" spans="2:18" x14ac:dyDescent="0.3">
      <c r="B235" s="12"/>
      <c r="C235" s="9">
        <f t="shared" si="11"/>
        <v>19171.95000000007</v>
      </c>
      <c r="D235" s="1"/>
      <c r="E235" s="8">
        <f t="shared" si="12"/>
        <v>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7">
        <f t="shared" si="10"/>
        <v>19171.95000000007</v>
      </c>
    </row>
    <row r="236" spans="2:18" x14ac:dyDescent="0.3">
      <c r="B236" s="12"/>
      <c r="C236" s="9">
        <f t="shared" si="11"/>
        <v>19171.95000000007</v>
      </c>
      <c r="D236" s="1"/>
      <c r="E236" s="8">
        <f t="shared" si="12"/>
        <v>0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7">
        <f t="shared" si="10"/>
        <v>19171.95000000007</v>
      </c>
    </row>
    <row r="237" spans="2:18" x14ac:dyDescent="0.3">
      <c r="B237" s="12"/>
      <c r="C237" s="9">
        <f t="shared" si="11"/>
        <v>19171.95000000007</v>
      </c>
      <c r="D237" s="1"/>
      <c r="E237" s="8">
        <f t="shared" si="12"/>
        <v>0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7">
        <f t="shared" si="10"/>
        <v>19171.95000000007</v>
      </c>
    </row>
    <row r="238" spans="2:18" x14ac:dyDescent="0.3">
      <c r="B238" s="12"/>
      <c r="C238" s="9">
        <f t="shared" si="11"/>
        <v>19171.95000000007</v>
      </c>
      <c r="D238" s="1"/>
      <c r="E238" s="8">
        <f t="shared" si="12"/>
        <v>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7">
        <f t="shared" si="10"/>
        <v>19171.95000000007</v>
      </c>
    </row>
    <row r="239" spans="2:18" x14ac:dyDescent="0.3">
      <c r="B239" s="12"/>
      <c r="C239" s="9">
        <f t="shared" si="11"/>
        <v>19171.95000000007</v>
      </c>
      <c r="D239" s="1"/>
      <c r="E239" s="8">
        <f t="shared" si="12"/>
        <v>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7">
        <f t="shared" si="10"/>
        <v>19171.95000000007</v>
      </c>
    </row>
    <row r="240" spans="2:18" x14ac:dyDescent="0.3">
      <c r="B240" s="12"/>
      <c r="C240" s="9">
        <f t="shared" si="11"/>
        <v>19171.95000000007</v>
      </c>
      <c r="D240" s="1"/>
      <c r="E240" s="8">
        <f t="shared" si="12"/>
        <v>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7">
        <f t="shared" si="10"/>
        <v>19171.95000000007</v>
      </c>
    </row>
    <row r="241" spans="2:18" x14ac:dyDescent="0.3">
      <c r="B241" s="12"/>
      <c r="C241" s="9">
        <f t="shared" si="11"/>
        <v>19171.95000000007</v>
      </c>
      <c r="D241" s="1"/>
      <c r="E241" s="8">
        <f t="shared" si="12"/>
        <v>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7">
        <f t="shared" si="10"/>
        <v>19171.95000000007</v>
      </c>
    </row>
    <row r="242" spans="2:18" x14ac:dyDescent="0.3">
      <c r="B242" s="12"/>
      <c r="C242" s="9">
        <f t="shared" si="11"/>
        <v>19171.95000000007</v>
      </c>
      <c r="D242" s="1"/>
      <c r="E242" s="8">
        <f t="shared" si="12"/>
        <v>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7">
        <f t="shared" si="10"/>
        <v>19171.95000000007</v>
      </c>
    </row>
    <row r="243" spans="2:18" x14ac:dyDescent="0.3">
      <c r="B243" s="12"/>
      <c r="C243" s="9">
        <f t="shared" si="11"/>
        <v>19171.95000000007</v>
      </c>
      <c r="D243" s="1"/>
      <c r="E243" s="8">
        <f t="shared" si="12"/>
        <v>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7">
        <f t="shared" si="10"/>
        <v>19171.95000000007</v>
      </c>
    </row>
    <row r="244" spans="2:18" x14ac:dyDescent="0.3">
      <c r="B244" s="12"/>
      <c r="C244" s="9">
        <f t="shared" si="11"/>
        <v>19171.95000000007</v>
      </c>
      <c r="D244" s="1"/>
      <c r="E244" s="8">
        <f t="shared" si="12"/>
        <v>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7">
        <f t="shared" si="10"/>
        <v>19171.95000000007</v>
      </c>
    </row>
    <row r="245" spans="2:18" x14ac:dyDescent="0.3">
      <c r="B245" s="12"/>
      <c r="C245" s="9">
        <f t="shared" si="11"/>
        <v>19171.95000000007</v>
      </c>
      <c r="D245" s="1"/>
      <c r="E245" s="8">
        <f t="shared" si="12"/>
        <v>0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7">
        <f t="shared" si="10"/>
        <v>19171.95000000007</v>
      </c>
    </row>
    <row r="246" spans="2:18" x14ac:dyDescent="0.3">
      <c r="B246" s="12"/>
      <c r="C246" s="9">
        <f t="shared" si="11"/>
        <v>19171.95000000007</v>
      </c>
      <c r="D246" s="1"/>
      <c r="E246" s="8">
        <f t="shared" si="12"/>
        <v>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"/>
      <c r="Q246" s="2"/>
      <c r="R246" s="7">
        <f t="shared" si="10"/>
        <v>19171.95000000007</v>
      </c>
    </row>
    <row r="247" spans="2:18" x14ac:dyDescent="0.3">
      <c r="B247" s="12"/>
      <c r="C247" s="9">
        <f t="shared" si="11"/>
        <v>19171.95000000007</v>
      </c>
      <c r="D247" s="1"/>
      <c r="E247" s="8">
        <f t="shared" si="12"/>
        <v>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"/>
      <c r="Q247" s="2"/>
      <c r="R247" s="7">
        <f t="shared" si="10"/>
        <v>19171.95000000007</v>
      </c>
    </row>
    <row r="248" spans="2:18" x14ac:dyDescent="0.3">
      <c r="B248" s="12"/>
      <c r="C248" s="9">
        <f t="shared" si="11"/>
        <v>19171.95000000007</v>
      </c>
      <c r="D248" s="1"/>
      <c r="E248" s="8">
        <f t="shared" si="12"/>
        <v>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7">
        <f t="shared" si="10"/>
        <v>19171.95000000007</v>
      </c>
    </row>
    <row r="249" spans="2:18" x14ac:dyDescent="0.3">
      <c r="B249" s="12"/>
      <c r="C249" s="9">
        <f t="shared" si="11"/>
        <v>19171.95000000007</v>
      </c>
      <c r="D249" s="1"/>
      <c r="E249" s="8">
        <f t="shared" si="12"/>
        <v>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7">
        <f t="shared" si="10"/>
        <v>19171.95000000007</v>
      </c>
    </row>
    <row r="250" spans="2:18" x14ac:dyDescent="0.3">
      <c r="B250" s="12"/>
      <c r="C250" s="9">
        <f t="shared" si="11"/>
        <v>19171.95000000007</v>
      </c>
      <c r="D250" s="1"/>
      <c r="E250" s="8">
        <f t="shared" si="12"/>
        <v>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7">
        <f t="shared" si="10"/>
        <v>19171.95000000007</v>
      </c>
    </row>
    <row r="251" spans="2:18" x14ac:dyDescent="0.3">
      <c r="B251" s="12"/>
      <c r="C251" s="9">
        <f t="shared" si="11"/>
        <v>19171.95000000007</v>
      </c>
      <c r="D251" s="1"/>
      <c r="E251" s="8">
        <f t="shared" si="12"/>
        <v>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7">
        <f t="shared" si="10"/>
        <v>19171.95000000007</v>
      </c>
    </row>
    <row r="252" spans="2:18" x14ac:dyDescent="0.3">
      <c r="B252" s="12"/>
      <c r="C252" s="9">
        <f t="shared" si="11"/>
        <v>19171.95000000007</v>
      </c>
      <c r="D252" s="1"/>
      <c r="E252" s="8">
        <f t="shared" si="12"/>
        <v>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7">
        <f t="shared" si="10"/>
        <v>19171.95000000007</v>
      </c>
    </row>
    <row r="253" spans="2:18" x14ac:dyDescent="0.3">
      <c r="B253" s="12"/>
      <c r="C253" s="9">
        <f t="shared" si="11"/>
        <v>19171.95000000007</v>
      </c>
      <c r="D253" s="1"/>
      <c r="E253" s="8">
        <f t="shared" si="12"/>
        <v>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7">
        <f t="shared" si="10"/>
        <v>19171.95000000007</v>
      </c>
    </row>
    <row r="254" spans="2:18" x14ac:dyDescent="0.3">
      <c r="B254" s="12"/>
      <c r="C254" s="9">
        <f t="shared" si="11"/>
        <v>19171.95000000007</v>
      </c>
      <c r="D254" s="1"/>
      <c r="E254" s="8">
        <f t="shared" si="12"/>
        <v>0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7">
        <f t="shared" si="10"/>
        <v>19171.95000000007</v>
      </c>
    </row>
    <row r="255" spans="2:18" x14ac:dyDescent="0.3">
      <c r="B255" s="12"/>
      <c r="C255" s="9">
        <f t="shared" si="11"/>
        <v>19171.95000000007</v>
      </c>
      <c r="D255" s="1"/>
      <c r="E255" s="8">
        <f t="shared" si="12"/>
        <v>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7">
        <f t="shared" si="10"/>
        <v>19171.95000000007</v>
      </c>
    </row>
    <row r="256" spans="2:18" x14ac:dyDescent="0.3">
      <c r="B256" s="12"/>
      <c r="C256" s="9">
        <f t="shared" si="11"/>
        <v>19171.95000000007</v>
      </c>
      <c r="D256" s="1"/>
      <c r="E256" s="8">
        <f t="shared" si="12"/>
        <v>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7">
        <f t="shared" si="10"/>
        <v>19171.95000000007</v>
      </c>
    </row>
    <row r="257" spans="2:18" x14ac:dyDescent="0.3">
      <c r="B257" s="12"/>
      <c r="C257" s="9">
        <f t="shared" si="11"/>
        <v>19171.95000000007</v>
      </c>
      <c r="D257" s="1"/>
      <c r="E257" s="8">
        <f t="shared" si="12"/>
        <v>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7">
        <f t="shared" si="10"/>
        <v>19171.95000000007</v>
      </c>
    </row>
    <row r="258" spans="2:18" x14ac:dyDescent="0.3">
      <c r="B258" s="12"/>
      <c r="C258" s="9">
        <f t="shared" si="11"/>
        <v>19171.95000000007</v>
      </c>
      <c r="D258" s="1"/>
      <c r="E258" s="8">
        <f t="shared" si="12"/>
        <v>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7">
        <f t="shared" si="10"/>
        <v>19171.95000000007</v>
      </c>
    </row>
    <row r="259" spans="2:18" x14ac:dyDescent="0.3">
      <c r="B259" s="12"/>
      <c r="C259" s="9">
        <f t="shared" si="11"/>
        <v>19171.95000000007</v>
      </c>
      <c r="D259" s="1"/>
      <c r="E259" s="8">
        <f t="shared" si="12"/>
        <v>0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2"/>
      <c r="Q259" s="2"/>
      <c r="R259" s="7">
        <f t="shared" si="10"/>
        <v>19171.95000000007</v>
      </c>
    </row>
    <row r="260" spans="2:18" x14ac:dyDescent="0.3">
      <c r="B260" s="12"/>
      <c r="C260" s="9">
        <f t="shared" si="11"/>
        <v>19171.95000000007</v>
      </c>
      <c r="D260" s="1"/>
      <c r="E260" s="8">
        <f t="shared" si="12"/>
        <v>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7">
        <f t="shared" si="10"/>
        <v>19171.95000000007</v>
      </c>
    </row>
    <row r="261" spans="2:18" x14ac:dyDescent="0.3">
      <c r="B261" s="12"/>
      <c r="C261" s="9">
        <f t="shared" si="11"/>
        <v>19171.95000000007</v>
      </c>
      <c r="D261" s="1"/>
      <c r="E261" s="8">
        <f t="shared" si="12"/>
        <v>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7">
        <f t="shared" ref="R261:R302" si="13">(D261+C261)-E261</f>
        <v>19171.95000000007</v>
      </c>
    </row>
    <row r="262" spans="2:18" x14ac:dyDescent="0.3">
      <c r="B262" s="12"/>
      <c r="C262" s="9">
        <f t="shared" ref="C262:C302" si="14">R261</f>
        <v>19171.95000000007</v>
      </c>
      <c r="D262" s="1"/>
      <c r="E262" s="8">
        <f t="shared" si="12"/>
        <v>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7">
        <f t="shared" si="13"/>
        <v>19171.95000000007</v>
      </c>
    </row>
    <row r="263" spans="2:18" x14ac:dyDescent="0.3">
      <c r="B263" s="12"/>
      <c r="C263" s="9">
        <f t="shared" si="14"/>
        <v>19171.95000000007</v>
      </c>
      <c r="D263" s="1"/>
      <c r="E263" s="8">
        <f t="shared" si="12"/>
        <v>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7">
        <f t="shared" si="13"/>
        <v>19171.95000000007</v>
      </c>
    </row>
    <row r="264" spans="2:18" x14ac:dyDescent="0.3">
      <c r="B264" s="12"/>
      <c r="C264" s="9">
        <f t="shared" si="14"/>
        <v>19171.95000000007</v>
      </c>
      <c r="D264" s="1"/>
      <c r="E264" s="8">
        <f t="shared" si="12"/>
        <v>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2"/>
      <c r="Q264" s="2"/>
      <c r="R264" s="7">
        <f t="shared" si="13"/>
        <v>19171.95000000007</v>
      </c>
    </row>
    <row r="265" spans="2:18" x14ac:dyDescent="0.3">
      <c r="B265" s="12"/>
      <c r="C265" s="9">
        <f t="shared" si="14"/>
        <v>19171.95000000007</v>
      </c>
      <c r="D265" s="1"/>
      <c r="E265" s="8">
        <f t="shared" si="12"/>
        <v>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7">
        <f t="shared" si="13"/>
        <v>19171.95000000007</v>
      </c>
    </row>
    <row r="266" spans="2:18" x14ac:dyDescent="0.3">
      <c r="B266" s="12"/>
      <c r="C266" s="9">
        <f t="shared" si="14"/>
        <v>19171.95000000007</v>
      </c>
      <c r="D266" s="1"/>
      <c r="E266" s="8">
        <f t="shared" si="12"/>
        <v>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7">
        <f t="shared" si="13"/>
        <v>19171.95000000007</v>
      </c>
    </row>
    <row r="267" spans="2:18" x14ac:dyDescent="0.3">
      <c r="B267" s="12"/>
      <c r="C267" s="9">
        <f t="shared" si="14"/>
        <v>19171.95000000007</v>
      </c>
      <c r="D267" s="1"/>
      <c r="E267" s="8">
        <f t="shared" si="12"/>
        <v>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7">
        <f t="shared" si="13"/>
        <v>19171.95000000007</v>
      </c>
    </row>
    <row r="268" spans="2:18" x14ac:dyDescent="0.3">
      <c r="B268" s="12"/>
      <c r="C268" s="9">
        <f t="shared" si="14"/>
        <v>19171.95000000007</v>
      </c>
      <c r="D268" s="1"/>
      <c r="E268" s="8">
        <f t="shared" si="12"/>
        <v>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7">
        <f t="shared" si="13"/>
        <v>19171.95000000007</v>
      </c>
    </row>
    <row r="269" spans="2:18" x14ac:dyDescent="0.3">
      <c r="B269" s="12"/>
      <c r="C269" s="9">
        <f t="shared" si="14"/>
        <v>19171.95000000007</v>
      </c>
      <c r="D269" s="1"/>
      <c r="E269" s="8">
        <f t="shared" si="12"/>
        <v>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7">
        <f t="shared" si="13"/>
        <v>19171.95000000007</v>
      </c>
    </row>
    <row r="270" spans="2:18" x14ac:dyDescent="0.3">
      <c r="B270" s="12"/>
      <c r="C270" s="9">
        <f t="shared" si="14"/>
        <v>19171.95000000007</v>
      </c>
      <c r="D270" s="1"/>
      <c r="E270" s="8">
        <f t="shared" si="12"/>
        <v>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7">
        <f t="shared" si="13"/>
        <v>19171.95000000007</v>
      </c>
    </row>
    <row r="271" spans="2:18" x14ac:dyDescent="0.3">
      <c r="B271" s="12"/>
      <c r="C271" s="9">
        <f t="shared" si="14"/>
        <v>19171.95000000007</v>
      </c>
      <c r="D271" s="1"/>
      <c r="E271" s="8">
        <f t="shared" si="12"/>
        <v>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7">
        <f t="shared" si="13"/>
        <v>19171.95000000007</v>
      </c>
    </row>
    <row r="272" spans="2:18" x14ac:dyDescent="0.3">
      <c r="B272" s="12"/>
      <c r="C272" s="9">
        <f t="shared" si="14"/>
        <v>19171.95000000007</v>
      </c>
      <c r="D272" s="1"/>
      <c r="E272" s="8">
        <f t="shared" si="12"/>
        <v>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7">
        <f t="shared" si="13"/>
        <v>19171.95000000007</v>
      </c>
    </row>
    <row r="273" spans="2:18" x14ac:dyDescent="0.3">
      <c r="B273" s="12"/>
      <c r="C273" s="9">
        <f t="shared" si="14"/>
        <v>19171.95000000007</v>
      </c>
      <c r="D273" s="1"/>
      <c r="E273" s="8">
        <f t="shared" si="12"/>
        <v>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7">
        <f t="shared" si="13"/>
        <v>19171.95000000007</v>
      </c>
    </row>
    <row r="274" spans="2:18" x14ac:dyDescent="0.3">
      <c r="B274" s="12"/>
      <c r="C274" s="9">
        <f t="shared" si="14"/>
        <v>19171.95000000007</v>
      </c>
      <c r="D274" s="1"/>
      <c r="E274" s="8">
        <f t="shared" si="12"/>
        <v>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7">
        <f t="shared" si="13"/>
        <v>19171.95000000007</v>
      </c>
    </row>
    <row r="275" spans="2:18" x14ac:dyDescent="0.3">
      <c r="B275" s="12"/>
      <c r="C275" s="9">
        <f t="shared" si="14"/>
        <v>19171.95000000007</v>
      </c>
      <c r="D275" s="1"/>
      <c r="E275" s="8">
        <f t="shared" si="12"/>
        <v>0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7">
        <f t="shared" si="13"/>
        <v>19171.95000000007</v>
      </c>
    </row>
    <row r="276" spans="2:18" x14ac:dyDescent="0.3">
      <c r="B276" s="12"/>
      <c r="C276" s="9">
        <f t="shared" si="14"/>
        <v>19171.95000000007</v>
      </c>
      <c r="D276" s="1"/>
      <c r="E276" s="8">
        <f t="shared" si="12"/>
        <v>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7">
        <f t="shared" si="13"/>
        <v>19171.95000000007</v>
      </c>
    </row>
    <row r="277" spans="2:18" x14ac:dyDescent="0.3">
      <c r="B277" s="12"/>
      <c r="C277" s="9">
        <f t="shared" si="14"/>
        <v>19171.95000000007</v>
      </c>
      <c r="D277" s="1"/>
      <c r="E277" s="8">
        <f t="shared" si="12"/>
        <v>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7">
        <f t="shared" si="13"/>
        <v>19171.95000000007</v>
      </c>
    </row>
    <row r="278" spans="2:18" x14ac:dyDescent="0.3">
      <c r="B278" s="12"/>
      <c r="C278" s="9">
        <f t="shared" si="14"/>
        <v>19171.95000000007</v>
      </c>
      <c r="D278" s="1"/>
      <c r="E278" s="8">
        <f t="shared" si="12"/>
        <v>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7">
        <f t="shared" si="13"/>
        <v>19171.95000000007</v>
      </c>
    </row>
    <row r="279" spans="2:18" x14ac:dyDescent="0.3">
      <c r="B279" s="12"/>
      <c r="C279" s="9">
        <f t="shared" si="14"/>
        <v>19171.95000000007</v>
      </c>
      <c r="D279" s="1"/>
      <c r="E279" s="8">
        <f t="shared" si="12"/>
        <v>0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7">
        <f t="shared" si="13"/>
        <v>19171.95000000007</v>
      </c>
    </row>
    <row r="280" spans="2:18" x14ac:dyDescent="0.3">
      <c r="B280" s="12"/>
      <c r="C280" s="9">
        <f t="shared" si="14"/>
        <v>19171.95000000007</v>
      </c>
      <c r="D280" s="1"/>
      <c r="E280" s="8">
        <f t="shared" si="12"/>
        <v>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7">
        <f t="shared" si="13"/>
        <v>19171.95000000007</v>
      </c>
    </row>
    <row r="281" spans="2:18" x14ac:dyDescent="0.3">
      <c r="B281" s="12"/>
      <c r="C281" s="9">
        <f t="shared" si="14"/>
        <v>19171.95000000007</v>
      </c>
      <c r="D281" s="1"/>
      <c r="E281" s="8">
        <f t="shared" si="12"/>
        <v>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7">
        <f t="shared" si="13"/>
        <v>19171.95000000007</v>
      </c>
    </row>
    <row r="282" spans="2:18" x14ac:dyDescent="0.3">
      <c r="B282" s="12"/>
      <c r="C282" s="9">
        <f t="shared" si="14"/>
        <v>19171.95000000007</v>
      </c>
      <c r="D282" s="1"/>
      <c r="E282" s="8">
        <f t="shared" si="12"/>
        <v>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7">
        <f t="shared" si="13"/>
        <v>19171.95000000007</v>
      </c>
    </row>
    <row r="283" spans="2:18" x14ac:dyDescent="0.3">
      <c r="B283" s="12"/>
      <c r="C283" s="9">
        <f t="shared" si="14"/>
        <v>19171.95000000007</v>
      </c>
      <c r="D283" s="1"/>
      <c r="E283" s="8">
        <f t="shared" si="12"/>
        <v>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7">
        <f t="shared" si="13"/>
        <v>19171.95000000007</v>
      </c>
    </row>
    <row r="284" spans="2:18" x14ac:dyDescent="0.3">
      <c r="B284" s="12"/>
      <c r="C284" s="9">
        <f t="shared" si="14"/>
        <v>19171.95000000007</v>
      </c>
      <c r="D284" s="1"/>
      <c r="E284" s="8">
        <f t="shared" ref="E284:E302" si="15">SUM(F284:O284)</f>
        <v>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7">
        <f t="shared" si="13"/>
        <v>19171.95000000007</v>
      </c>
    </row>
    <row r="285" spans="2:18" x14ac:dyDescent="0.3">
      <c r="B285" s="12"/>
      <c r="C285" s="9">
        <f t="shared" si="14"/>
        <v>19171.95000000007</v>
      </c>
      <c r="D285" s="1"/>
      <c r="E285" s="8">
        <f t="shared" si="15"/>
        <v>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7">
        <f t="shared" si="13"/>
        <v>19171.95000000007</v>
      </c>
    </row>
    <row r="286" spans="2:18" x14ac:dyDescent="0.3">
      <c r="B286" s="12"/>
      <c r="C286" s="9">
        <f t="shared" si="14"/>
        <v>19171.95000000007</v>
      </c>
      <c r="D286" s="1"/>
      <c r="E286" s="8">
        <f t="shared" si="15"/>
        <v>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7">
        <f t="shared" si="13"/>
        <v>19171.95000000007</v>
      </c>
    </row>
    <row r="287" spans="2:18" x14ac:dyDescent="0.3">
      <c r="B287" s="12"/>
      <c r="C287" s="9">
        <f t="shared" si="14"/>
        <v>19171.95000000007</v>
      </c>
      <c r="D287" s="1"/>
      <c r="E287" s="8">
        <f t="shared" si="15"/>
        <v>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7">
        <f t="shared" si="13"/>
        <v>19171.95000000007</v>
      </c>
    </row>
    <row r="288" spans="2:18" x14ac:dyDescent="0.3">
      <c r="B288" s="12"/>
      <c r="C288" s="9">
        <f t="shared" si="14"/>
        <v>19171.95000000007</v>
      </c>
      <c r="D288" s="1"/>
      <c r="E288" s="8">
        <f t="shared" si="15"/>
        <v>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7">
        <f t="shared" si="13"/>
        <v>19171.95000000007</v>
      </c>
    </row>
    <row r="289" spans="2:18" x14ac:dyDescent="0.3">
      <c r="B289" s="12"/>
      <c r="C289" s="9">
        <f t="shared" si="14"/>
        <v>19171.95000000007</v>
      </c>
      <c r="D289" s="1"/>
      <c r="E289" s="8">
        <f t="shared" si="15"/>
        <v>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7">
        <f t="shared" si="13"/>
        <v>19171.95000000007</v>
      </c>
    </row>
    <row r="290" spans="2:18" x14ac:dyDescent="0.3">
      <c r="B290" s="12"/>
      <c r="C290" s="9">
        <f t="shared" si="14"/>
        <v>19171.95000000007</v>
      </c>
      <c r="D290" s="1"/>
      <c r="E290" s="8">
        <f t="shared" si="15"/>
        <v>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7">
        <f t="shared" si="13"/>
        <v>19171.95000000007</v>
      </c>
    </row>
    <row r="291" spans="2:18" x14ac:dyDescent="0.3">
      <c r="B291" s="12"/>
      <c r="C291" s="9">
        <f t="shared" si="14"/>
        <v>19171.95000000007</v>
      </c>
      <c r="D291" s="1"/>
      <c r="E291" s="8">
        <f t="shared" si="15"/>
        <v>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7">
        <f t="shared" si="13"/>
        <v>19171.95000000007</v>
      </c>
    </row>
    <row r="292" spans="2:18" x14ac:dyDescent="0.3">
      <c r="B292" s="12"/>
      <c r="C292" s="9">
        <f t="shared" si="14"/>
        <v>19171.95000000007</v>
      </c>
      <c r="D292" s="1"/>
      <c r="E292" s="8">
        <f t="shared" si="15"/>
        <v>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7">
        <f t="shared" si="13"/>
        <v>19171.95000000007</v>
      </c>
    </row>
    <row r="293" spans="2:18" x14ac:dyDescent="0.3">
      <c r="B293" s="12"/>
      <c r="C293" s="9">
        <f t="shared" si="14"/>
        <v>19171.95000000007</v>
      </c>
      <c r="D293" s="1"/>
      <c r="E293" s="8">
        <f t="shared" si="15"/>
        <v>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7">
        <f t="shared" si="13"/>
        <v>19171.95000000007</v>
      </c>
    </row>
    <row r="294" spans="2:18" x14ac:dyDescent="0.3">
      <c r="B294" s="12"/>
      <c r="C294" s="9">
        <f t="shared" si="14"/>
        <v>19171.95000000007</v>
      </c>
      <c r="D294" s="1"/>
      <c r="E294" s="8">
        <f t="shared" si="15"/>
        <v>0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2"/>
      <c r="Q294" s="2"/>
      <c r="R294" s="7">
        <f t="shared" si="13"/>
        <v>19171.95000000007</v>
      </c>
    </row>
    <row r="295" spans="2:18" x14ac:dyDescent="0.3">
      <c r="B295" s="12"/>
      <c r="C295" s="9">
        <f t="shared" si="14"/>
        <v>19171.95000000007</v>
      </c>
      <c r="D295" s="1"/>
      <c r="E295" s="8">
        <f t="shared" si="15"/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7">
        <f t="shared" si="13"/>
        <v>19171.95000000007</v>
      </c>
    </row>
    <row r="296" spans="2:18" x14ac:dyDescent="0.3">
      <c r="B296" s="12"/>
      <c r="C296" s="9">
        <f t="shared" si="14"/>
        <v>19171.95000000007</v>
      </c>
      <c r="D296" s="1"/>
      <c r="E296" s="8">
        <f t="shared" si="15"/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7">
        <f t="shared" si="13"/>
        <v>19171.95000000007</v>
      </c>
    </row>
    <row r="297" spans="2:18" x14ac:dyDescent="0.3">
      <c r="B297" s="12"/>
      <c r="C297" s="9">
        <f t="shared" si="14"/>
        <v>19171.95000000007</v>
      </c>
      <c r="D297" s="1"/>
      <c r="E297" s="8">
        <f t="shared" si="15"/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7">
        <f t="shared" si="13"/>
        <v>19171.95000000007</v>
      </c>
    </row>
    <row r="298" spans="2:18" x14ac:dyDescent="0.3">
      <c r="B298" s="12"/>
      <c r="C298" s="9">
        <f t="shared" si="14"/>
        <v>19171.95000000007</v>
      </c>
      <c r="D298" s="1"/>
      <c r="E298" s="8">
        <f t="shared" si="15"/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7">
        <f t="shared" si="13"/>
        <v>19171.95000000007</v>
      </c>
    </row>
    <row r="299" spans="2:18" x14ac:dyDescent="0.3">
      <c r="B299" s="12"/>
      <c r="C299" s="9">
        <f t="shared" si="14"/>
        <v>19171.95000000007</v>
      </c>
      <c r="D299" s="1"/>
      <c r="E299" s="8">
        <f t="shared" si="15"/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7">
        <f t="shared" si="13"/>
        <v>19171.95000000007</v>
      </c>
    </row>
    <row r="300" spans="2:18" x14ac:dyDescent="0.3">
      <c r="B300" s="12"/>
      <c r="C300" s="9">
        <f t="shared" si="14"/>
        <v>19171.95000000007</v>
      </c>
      <c r="D300" s="1"/>
      <c r="E300" s="8">
        <f t="shared" si="15"/>
        <v>0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7">
        <f t="shared" si="13"/>
        <v>19171.95000000007</v>
      </c>
    </row>
    <row r="301" spans="2:18" x14ac:dyDescent="0.3">
      <c r="B301" s="12"/>
      <c r="C301" s="9">
        <f t="shared" si="14"/>
        <v>19171.95000000007</v>
      </c>
      <c r="D301" s="1"/>
      <c r="E301" s="8">
        <f t="shared" si="15"/>
        <v>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7">
        <f t="shared" si="13"/>
        <v>19171.95000000007</v>
      </c>
    </row>
    <row r="302" spans="2:18" x14ac:dyDescent="0.3">
      <c r="B302" s="12"/>
      <c r="C302" s="9">
        <f t="shared" si="14"/>
        <v>19171.95000000007</v>
      </c>
      <c r="D302" s="1"/>
      <c r="E302" s="8">
        <f t="shared" si="15"/>
        <v>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7">
        <f t="shared" si="13"/>
        <v>19171.95000000007</v>
      </c>
    </row>
    <row r="303" spans="2:18" x14ac:dyDescent="0.3">
      <c r="B303" s="12"/>
    </row>
    <row r="304" spans="2:18" x14ac:dyDescent="0.3">
      <c r="B304" s="12"/>
    </row>
    <row r="305" spans="2:2" x14ac:dyDescent="0.3">
      <c r="B305" s="12"/>
    </row>
    <row r="306" spans="2:2" x14ac:dyDescent="0.3">
      <c r="B306" s="12"/>
    </row>
    <row r="307" spans="2:2" x14ac:dyDescent="0.3">
      <c r="B307" s="12"/>
    </row>
    <row r="308" spans="2:2" x14ac:dyDescent="0.3">
      <c r="B308" s="12"/>
    </row>
    <row r="309" spans="2:2" x14ac:dyDescent="0.3">
      <c r="B309" s="12"/>
    </row>
    <row r="310" spans="2:2" x14ac:dyDescent="0.3">
      <c r="B310" s="12"/>
    </row>
    <row r="311" spans="2:2" x14ac:dyDescent="0.3">
      <c r="B311" s="12"/>
    </row>
    <row r="312" spans="2:2" x14ac:dyDescent="0.3">
      <c r="B312" s="12"/>
    </row>
    <row r="313" spans="2:2" x14ac:dyDescent="0.3">
      <c r="B313" s="12"/>
    </row>
    <row r="314" spans="2:2" x14ac:dyDescent="0.3">
      <c r="B314" s="12"/>
    </row>
    <row r="315" spans="2:2" x14ac:dyDescent="0.3">
      <c r="B315" s="12"/>
    </row>
    <row r="316" spans="2:2" x14ac:dyDescent="0.3">
      <c r="B316" s="12"/>
    </row>
    <row r="317" spans="2:2" x14ac:dyDescent="0.3">
      <c r="B317" s="12"/>
    </row>
    <row r="318" spans="2:2" x14ac:dyDescent="0.3">
      <c r="B318" s="12"/>
    </row>
    <row r="319" spans="2:2" x14ac:dyDescent="0.3">
      <c r="B319" s="12"/>
    </row>
    <row r="320" spans="2:2" x14ac:dyDescent="0.3">
      <c r="B320" s="12"/>
    </row>
    <row r="321" spans="2:2" x14ac:dyDescent="0.3">
      <c r="B321" s="12"/>
    </row>
    <row r="322" spans="2:2" x14ac:dyDescent="0.3">
      <c r="B322" s="12"/>
    </row>
  </sheetData>
  <autoFilter ref="B3:R302" xr:uid="{C607CE30-24A4-4B5D-8002-559088B5C5C0}"/>
  <mergeCells count="2">
    <mergeCell ref="C2:R2"/>
    <mergeCell ref="B2:B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Calibrated RCN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2026-05-21T00:06:54Z</dcterms:created>
  <dcterms:modified xsi:type="dcterms:W3CDTF">2026-09-16T16:47:42Z</dcterms:modified>
</cp:coreProperties>
</file>