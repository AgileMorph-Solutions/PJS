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6C7231D8-484C-4756-921C-8D9DC0B914E3}" xr6:coauthVersionLast="47" xr6:coauthVersionMax="47" xr10:uidLastSave="{00000000-0000-0000-0000-000000000000}"/>
  <bookViews>
    <workbookView xWindow="-108" yWindow="-108" windowWidth="23256" windowHeight="13896" activeTab="3" xr2:uid="{855912A1-123D-4F28-A21A-7F38503F658F}"/>
  </bookViews>
  <sheets>
    <sheet name="Sheet2" sheetId="5" r:id="rId1"/>
    <sheet name="Sheet1" sheetId="6" r:id="rId2"/>
    <sheet name="Sheet6" sheetId="10" r:id="rId3"/>
    <sheet name="4.Calibration Process report" sheetId="3" r:id="rId4"/>
  </sheets>
  <definedNames>
    <definedName name="_xlnm._FilterDatabase" localSheetId="3" hidden="1">'4.Calibration Process report'!$B$3:$X$296</definedName>
  </definedNames>
  <calcPr calcId="191029"/>
  <pivotCaches>
    <pivotCache cacheId="3" r:id="rId5"/>
    <pivotCache cacheId="4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3" l="1"/>
  <c r="N106" i="3"/>
  <c r="N107" i="3"/>
  <c r="N108" i="3"/>
  <c r="N109" i="3"/>
  <c r="N110" i="3"/>
  <c r="N111" i="3"/>
  <c r="N112" i="3"/>
  <c r="N113" i="3"/>
  <c r="G105" i="3"/>
  <c r="G106" i="3"/>
  <c r="G107" i="3"/>
  <c r="G108" i="3"/>
  <c r="G109" i="3"/>
  <c r="G110" i="3"/>
  <c r="G111" i="3"/>
  <c r="G112" i="3"/>
  <c r="G113" i="3"/>
  <c r="N89" i="3" l="1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G76" i="3"/>
  <c r="G75" i="3"/>
  <c r="G74" i="3"/>
  <c r="G73" i="3"/>
  <c r="G72" i="3"/>
  <c r="G71" i="3"/>
  <c r="G70" i="3"/>
  <c r="G69" i="3"/>
  <c r="G68" i="3"/>
  <c r="G67" i="3"/>
  <c r="G66" i="3"/>
  <c r="G65" i="3"/>
  <c r="F64" i="3"/>
  <c r="G64" i="3" s="1"/>
  <c r="G63" i="3"/>
  <c r="G62" i="3"/>
  <c r="G61" i="3"/>
  <c r="G60" i="3"/>
  <c r="G59" i="3"/>
  <c r="J58" i="3"/>
  <c r="G58" i="3"/>
  <c r="G57" i="3"/>
  <c r="G56" i="3"/>
  <c r="J55" i="3"/>
  <c r="G55" i="3"/>
  <c r="G54" i="3"/>
  <c r="G53" i="3"/>
  <c r="G52" i="3"/>
  <c r="J51" i="3"/>
  <c r="G51" i="3"/>
  <c r="J50" i="3"/>
  <c r="G50" i="3"/>
  <c r="G49" i="3"/>
  <c r="G48" i="3"/>
  <c r="J47" i="3"/>
  <c r="G47" i="3"/>
  <c r="G46" i="3"/>
  <c r="G45" i="3"/>
  <c r="G44" i="3"/>
  <c r="G43" i="3"/>
  <c r="G42" i="3"/>
  <c r="J41" i="3"/>
  <c r="G41" i="3"/>
  <c r="G40" i="3"/>
  <c r="J39" i="3"/>
  <c r="G39" i="3"/>
  <c r="G38" i="3"/>
  <c r="G37" i="3"/>
  <c r="F36" i="3"/>
  <c r="G36" i="3" s="1"/>
  <c r="G35" i="3"/>
  <c r="G34" i="3"/>
  <c r="G33" i="3"/>
  <c r="J32" i="3"/>
  <c r="G32" i="3"/>
  <c r="G31" i="3"/>
  <c r="G30" i="3"/>
  <c r="G29" i="3"/>
  <c r="J28" i="3"/>
  <c r="G28" i="3"/>
  <c r="G27" i="3"/>
  <c r="G26" i="3"/>
  <c r="G25" i="3"/>
  <c r="G24" i="3"/>
  <c r="G23" i="3"/>
  <c r="G22" i="3"/>
  <c r="G21" i="3"/>
  <c r="G20" i="3"/>
  <c r="F19" i="3"/>
  <c r="G19" i="3" s="1"/>
  <c r="G18" i="3"/>
  <c r="G17" i="3"/>
  <c r="F16" i="3"/>
  <c r="G16" i="3" s="1"/>
  <c r="G15" i="3"/>
  <c r="G14" i="3"/>
  <c r="F13" i="3"/>
  <c r="G13" i="3" s="1"/>
  <c r="G12" i="3"/>
  <c r="G11" i="3"/>
  <c r="G10" i="3"/>
  <c r="G9" i="3"/>
  <c r="G8" i="3"/>
  <c r="G7" i="3"/>
  <c r="G6" i="3"/>
  <c r="G5" i="3"/>
  <c r="G4" i="3"/>
  <c r="M58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4" i="3"/>
  <c r="N4" i="3"/>
  <c r="L7" i="3"/>
  <c r="M7" i="3"/>
  <c r="L12" i="3"/>
  <c r="L18" i="3"/>
  <c r="M18" i="3"/>
  <c r="L19" i="3"/>
  <c r="M25" i="3"/>
  <c r="L34" i="3"/>
  <c r="L48" i="3"/>
  <c r="M48" i="3"/>
  <c r="L49" i="3"/>
  <c r="M55" i="3"/>
  <c r="L76" i="3"/>
  <c r="M76" i="3"/>
  <c r="L89" i="3"/>
  <c r="M89" i="3"/>
  <c r="M107" i="3"/>
  <c r="L143" i="3"/>
  <c r="M144" i="3"/>
  <c r="L172" i="3"/>
  <c r="M172" i="3"/>
  <c r="L187" i="3"/>
  <c r="M187" i="3"/>
  <c r="L202" i="3"/>
  <c r="M202" i="3"/>
  <c r="L211" i="3"/>
  <c r="M211" i="3"/>
  <c r="L220" i="3"/>
  <c r="M220" i="3"/>
  <c r="M228" i="3"/>
  <c r="L229" i="3"/>
  <c r="L238" i="3"/>
  <c r="M238" i="3"/>
  <c r="L241" i="3"/>
  <c r="L253" i="3"/>
  <c r="M253" i="3"/>
  <c r="M265" i="3"/>
  <c r="L270" i="3"/>
  <c r="M282" i="3"/>
  <c r="L283" i="3"/>
  <c r="L292" i="3"/>
  <c r="M292" i="3"/>
  <c r="L295" i="3"/>
  <c r="L57" i="3"/>
  <c r="M56" i="3"/>
  <c r="L54" i="3"/>
  <c r="L53" i="3"/>
  <c r="M51" i="3"/>
  <c r="M50" i="3"/>
  <c r="M49" i="3"/>
  <c r="M47" i="3"/>
  <c r="L46" i="3"/>
  <c r="L45" i="3"/>
  <c r="M44" i="3"/>
  <c r="L42" i="3"/>
  <c r="M40" i="3"/>
  <c r="M39" i="3"/>
  <c r="M38" i="3"/>
  <c r="M37" i="3"/>
  <c r="L36" i="3"/>
  <c r="M35" i="3"/>
  <c r="M34" i="3"/>
  <c r="L33" i="3"/>
  <c r="M32" i="3"/>
  <c r="L31" i="3"/>
  <c r="L30" i="3"/>
  <c r="M28" i="3"/>
  <c r="M26" i="3"/>
  <c r="L25" i="3"/>
  <c r="L24" i="3"/>
  <c r="L23" i="3"/>
  <c r="L22" i="3"/>
  <c r="L21" i="3"/>
  <c r="M20" i="3"/>
  <c r="M19" i="3"/>
  <c r="M17" i="3"/>
  <c r="M14" i="3"/>
  <c r="M12" i="3"/>
  <c r="M11" i="3"/>
  <c r="M10" i="3"/>
  <c r="L9" i="3"/>
  <c r="M8" i="3"/>
  <c r="M5" i="3"/>
  <c r="N296" i="3"/>
  <c r="G296" i="3"/>
  <c r="M296" i="3" s="1"/>
  <c r="N295" i="3"/>
  <c r="G295" i="3"/>
  <c r="M295" i="3" s="1"/>
  <c r="N294" i="3"/>
  <c r="G294" i="3"/>
  <c r="L294" i="3" s="1"/>
  <c r="N293" i="3"/>
  <c r="G293" i="3"/>
  <c r="L293" i="3" s="1"/>
  <c r="N292" i="3"/>
  <c r="G292" i="3"/>
  <c r="N291" i="3"/>
  <c r="G291" i="3"/>
  <c r="L291" i="3" s="1"/>
  <c r="N290" i="3"/>
  <c r="G290" i="3"/>
  <c r="M290" i="3" s="1"/>
  <c r="N289" i="3"/>
  <c r="G289" i="3"/>
  <c r="L289" i="3" s="1"/>
  <c r="N288" i="3"/>
  <c r="G288" i="3"/>
  <c r="L288" i="3" s="1"/>
  <c r="N287" i="3"/>
  <c r="G287" i="3"/>
  <c r="L287" i="3" s="1"/>
  <c r="N286" i="3"/>
  <c r="G286" i="3"/>
  <c r="M286" i="3" s="1"/>
  <c r="N285" i="3"/>
  <c r="G285" i="3"/>
  <c r="L285" i="3" s="1"/>
  <c r="N284" i="3"/>
  <c r="G284" i="3"/>
  <c r="M284" i="3" s="1"/>
  <c r="N283" i="3"/>
  <c r="G283" i="3"/>
  <c r="M283" i="3" s="1"/>
  <c r="N282" i="3"/>
  <c r="G282" i="3"/>
  <c r="L282" i="3" s="1"/>
  <c r="N281" i="3"/>
  <c r="G281" i="3"/>
  <c r="L281" i="3" s="1"/>
  <c r="N280" i="3"/>
  <c r="G280" i="3"/>
  <c r="L280" i="3" s="1"/>
  <c r="N279" i="3"/>
  <c r="G279" i="3"/>
  <c r="N278" i="3"/>
  <c r="G278" i="3"/>
  <c r="N277" i="3"/>
  <c r="G277" i="3"/>
  <c r="M277" i="3" s="1"/>
  <c r="N276" i="3"/>
  <c r="G276" i="3"/>
  <c r="L276" i="3" s="1"/>
  <c r="N275" i="3"/>
  <c r="G275" i="3"/>
  <c r="L275" i="3" s="1"/>
  <c r="N274" i="3"/>
  <c r="G274" i="3"/>
  <c r="L274" i="3" s="1"/>
  <c r="N273" i="3"/>
  <c r="G273" i="3"/>
  <c r="L273" i="3" s="1"/>
  <c r="N272" i="3"/>
  <c r="G272" i="3"/>
  <c r="M272" i="3" s="1"/>
  <c r="N271" i="3"/>
  <c r="G271" i="3"/>
  <c r="L271" i="3" s="1"/>
  <c r="N270" i="3"/>
  <c r="G270" i="3"/>
  <c r="M270" i="3" s="1"/>
  <c r="N269" i="3"/>
  <c r="G269" i="3"/>
  <c r="M269" i="3" s="1"/>
  <c r="N268" i="3"/>
  <c r="G268" i="3"/>
  <c r="L268" i="3" s="1"/>
  <c r="N267" i="3"/>
  <c r="G267" i="3"/>
  <c r="N266" i="3"/>
  <c r="G266" i="3"/>
  <c r="M266" i="3" s="1"/>
  <c r="N265" i="3"/>
  <c r="G265" i="3"/>
  <c r="L265" i="3" s="1"/>
  <c r="N264" i="3"/>
  <c r="G264" i="3"/>
  <c r="L264" i="3" s="1"/>
  <c r="N263" i="3"/>
  <c r="G263" i="3"/>
  <c r="L263" i="3" s="1"/>
  <c r="N262" i="3"/>
  <c r="G262" i="3"/>
  <c r="M262" i="3" s="1"/>
  <c r="N261" i="3"/>
  <c r="G261" i="3"/>
  <c r="N260" i="3"/>
  <c r="G260" i="3"/>
  <c r="M260" i="3" s="1"/>
  <c r="N259" i="3"/>
  <c r="G259" i="3"/>
  <c r="M259" i="3" s="1"/>
  <c r="N258" i="3"/>
  <c r="G258" i="3"/>
  <c r="M258" i="3" s="1"/>
  <c r="N257" i="3"/>
  <c r="G257" i="3"/>
  <c r="M257" i="3" s="1"/>
  <c r="N256" i="3"/>
  <c r="G256" i="3"/>
  <c r="N255" i="3"/>
  <c r="G255" i="3"/>
  <c r="N254" i="3"/>
  <c r="G254" i="3"/>
  <c r="M254" i="3" s="1"/>
  <c r="N253" i="3"/>
  <c r="G253" i="3"/>
  <c r="N252" i="3"/>
  <c r="G252" i="3"/>
  <c r="L252" i="3" s="1"/>
  <c r="N251" i="3"/>
  <c r="G251" i="3"/>
  <c r="M251" i="3" s="1"/>
  <c r="N250" i="3"/>
  <c r="G250" i="3"/>
  <c r="L250" i="3" s="1"/>
  <c r="N249" i="3"/>
  <c r="G249" i="3"/>
  <c r="N248" i="3"/>
  <c r="G248" i="3"/>
  <c r="M248" i="3" s="1"/>
  <c r="N247" i="3"/>
  <c r="G247" i="3"/>
  <c r="L247" i="3" s="1"/>
  <c r="N246" i="3"/>
  <c r="G246" i="3"/>
  <c r="M246" i="3" s="1"/>
  <c r="N245" i="3"/>
  <c r="G245" i="3"/>
  <c r="L245" i="3" s="1"/>
  <c r="N244" i="3"/>
  <c r="G244" i="3"/>
  <c r="M244" i="3" s="1"/>
  <c r="N243" i="3"/>
  <c r="G243" i="3"/>
  <c r="N242" i="3"/>
  <c r="G242" i="3"/>
  <c r="M242" i="3" s="1"/>
  <c r="N241" i="3"/>
  <c r="G241" i="3"/>
  <c r="M241" i="3" s="1"/>
  <c r="N240" i="3"/>
  <c r="G240" i="3"/>
  <c r="L240" i="3" s="1"/>
  <c r="N239" i="3"/>
  <c r="G239" i="3"/>
  <c r="L239" i="3" s="1"/>
  <c r="N238" i="3"/>
  <c r="G238" i="3"/>
  <c r="N237" i="3"/>
  <c r="G237" i="3"/>
  <c r="N236" i="3"/>
  <c r="G236" i="3"/>
  <c r="M236" i="3" s="1"/>
  <c r="N235" i="3"/>
  <c r="G235" i="3"/>
  <c r="L235" i="3" s="1"/>
  <c r="N234" i="3"/>
  <c r="G234" i="3"/>
  <c r="L234" i="3" s="1"/>
  <c r="N233" i="3"/>
  <c r="G233" i="3"/>
  <c r="L233" i="3" s="1"/>
  <c r="N232" i="3"/>
  <c r="G232" i="3"/>
  <c r="N231" i="3"/>
  <c r="G231" i="3"/>
  <c r="N230" i="3"/>
  <c r="G230" i="3"/>
  <c r="M230" i="3" s="1"/>
  <c r="N229" i="3"/>
  <c r="G229" i="3"/>
  <c r="M229" i="3" s="1"/>
  <c r="N228" i="3"/>
  <c r="G228" i="3"/>
  <c r="L228" i="3" s="1"/>
  <c r="N227" i="3"/>
  <c r="G227" i="3"/>
  <c r="M227" i="3" s="1"/>
  <c r="N226" i="3"/>
  <c r="G226" i="3"/>
  <c r="M226" i="3" s="1"/>
  <c r="N225" i="3"/>
  <c r="G225" i="3"/>
  <c r="N224" i="3"/>
  <c r="G224" i="3"/>
  <c r="M224" i="3" s="1"/>
  <c r="N223" i="3"/>
  <c r="G223" i="3"/>
  <c r="L223" i="3" s="1"/>
  <c r="N222" i="3"/>
  <c r="G222" i="3"/>
  <c r="L222" i="3" s="1"/>
  <c r="N221" i="3"/>
  <c r="G221" i="3"/>
  <c r="M221" i="3" s="1"/>
  <c r="N220" i="3"/>
  <c r="G220" i="3"/>
  <c r="N219" i="3"/>
  <c r="G219" i="3"/>
  <c r="N218" i="3"/>
  <c r="G218" i="3"/>
  <c r="M218" i="3" s="1"/>
  <c r="N217" i="3"/>
  <c r="G217" i="3"/>
  <c r="L217" i="3" s="1"/>
  <c r="N216" i="3"/>
  <c r="G216" i="3"/>
  <c r="L216" i="3" s="1"/>
  <c r="N215" i="3"/>
  <c r="G215" i="3"/>
  <c r="L215" i="3" s="1"/>
  <c r="N214" i="3"/>
  <c r="G214" i="3"/>
  <c r="L214" i="3" s="1"/>
  <c r="N213" i="3"/>
  <c r="G213" i="3"/>
  <c r="N212" i="3"/>
  <c r="G212" i="3"/>
  <c r="M212" i="3" s="1"/>
  <c r="N211" i="3"/>
  <c r="G211" i="3"/>
  <c r="N210" i="3"/>
  <c r="G210" i="3"/>
  <c r="M210" i="3" s="1"/>
  <c r="N209" i="3"/>
  <c r="G209" i="3"/>
  <c r="L209" i="3" s="1"/>
  <c r="N208" i="3"/>
  <c r="G208" i="3"/>
  <c r="N207" i="3"/>
  <c r="G207" i="3"/>
  <c r="N206" i="3"/>
  <c r="G206" i="3"/>
  <c r="M206" i="3" s="1"/>
  <c r="N205" i="3"/>
  <c r="G205" i="3"/>
  <c r="L205" i="3" s="1"/>
  <c r="N204" i="3"/>
  <c r="G204" i="3"/>
  <c r="L204" i="3" s="1"/>
  <c r="N203" i="3"/>
  <c r="G203" i="3"/>
  <c r="L203" i="3" s="1"/>
  <c r="N202" i="3"/>
  <c r="G202" i="3"/>
  <c r="N201" i="3"/>
  <c r="G201" i="3"/>
  <c r="N200" i="3"/>
  <c r="G200" i="3"/>
  <c r="M200" i="3" s="1"/>
  <c r="N199" i="3"/>
  <c r="G199" i="3"/>
  <c r="L199" i="3" s="1"/>
  <c r="N198" i="3"/>
  <c r="G198" i="3"/>
  <c r="M198" i="3" s="1"/>
  <c r="N197" i="3"/>
  <c r="G197" i="3"/>
  <c r="L197" i="3" s="1"/>
  <c r="N196" i="3"/>
  <c r="G196" i="3"/>
  <c r="L196" i="3" s="1"/>
  <c r="N195" i="3"/>
  <c r="G195" i="3"/>
  <c r="N194" i="3"/>
  <c r="G194" i="3"/>
  <c r="M194" i="3" s="1"/>
  <c r="N193" i="3"/>
  <c r="G193" i="3"/>
  <c r="L193" i="3" s="1"/>
  <c r="N192" i="3"/>
  <c r="G192" i="3"/>
  <c r="N191" i="3"/>
  <c r="G191" i="3"/>
  <c r="L191" i="3" s="1"/>
  <c r="N190" i="3"/>
  <c r="G190" i="3"/>
  <c r="L190" i="3" s="1"/>
  <c r="N189" i="3"/>
  <c r="G189" i="3"/>
  <c r="N188" i="3"/>
  <c r="G188" i="3"/>
  <c r="M188" i="3" s="1"/>
  <c r="N187" i="3"/>
  <c r="G187" i="3"/>
  <c r="N186" i="3"/>
  <c r="G186" i="3"/>
  <c r="L186" i="3" s="1"/>
  <c r="N185" i="3"/>
  <c r="G185" i="3"/>
  <c r="M185" i="3" s="1"/>
  <c r="N184" i="3"/>
  <c r="G184" i="3"/>
  <c r="N183" i="3"/>
  <c r="G183" i="3"/>
  <c r="N182" i="3"/>
  <c r="G182" i="3"/>
  <c r="M182" i="3" s="1"/>
  <c r="N181" i="3"/>
  <c r="G181" i="3"/>
  <c r="L181" i="3" s="1"/>
  <c r="N180" i="3"/>
  <c r="G180" i="3"/>
  <c r="L180" i="3" s="1"/>
  <c r="N179" i="3"/>
  <c r="G179" i="3"/>
  <c r="L179" i="3" s="1"/>
  <c r="N178" i="3"/>
  <c r="G178" i="3"/>
  <c r="L178" i="3" s="1"/>
  <c r="N177" i="3"/>
  <c r="G177" i="3"/>
  <c r="N176" i="3"/>
  <c r="G176" i="3"/>
  <c r="N175" i="3"/>
  <c r="G175" i="3"/>
  <c r="L175" i="3" s="1"/>
  <c r="N174" i="3"/>
  <c r="G174" i="3"/>
  <c r="L174" i="3" s="1"/>
  <c r="N173" i="3"/>
  <c r="G173" i="3"/>
  <c r="M173" i="3" s="1"/>
  <c r="N172" i="3"/>
  <c r="G172" i="3"/>
  <c r="N171" i="3"/>
  <c r="G171" i="3"/>
  <c r="N170" i="3"/>
  <c r="G170" i="3"/>
  <c r="M170" i="3" s="1"/>
  <c r="N169" i="3"/>
  <c r="G169" i="3"/>
  <c r="L169" i="3" s="1"/>
  <c r="N168" i="3"/>
  <c r="G168" i="3"/>
  <c r="G167" i="3"/>
  <c r="L167" i="3" s="1"/>
  <c r="G166" i="3"/>
  <c r="M166" i="3" s="1"/>
  <c r="N165" i="3"/>
  <c r="G165" i="3"/>
  <c r="N164" i="3"/>
  <c r="G164" i="3"/>
  <c r="M164" i="3" s="1"/>
  <c r="N163" i="3"/>
  <c r="G163" i="3"/>
  <c r="L163" i="3" s="1"/>
  <c r="N162" i="3"/>
  <c r="G162" i="3"/>
  <c r="L162" i="3" s="1"/>
  <c r="N161" i="3"/>
  <c r="G161" i="3"/>
  <c r="L161" i="3" s="1"/>
  <c r="N160" i="3"/>
  <c r="G160" i="3"/>
  <c r="M160" i="3" s="1"/>
  <c r="N159" i="3"/>
  <c r="G159" i="3"/>
  <c r="N158" i="3"/>
  <c r="G158" i="3"/>
  <c r="M158" i="3" s="1"/>
  <c r="N157" i="3"/>
  <c r="G157" i="3"/>
  <c r="L157" i="3" s="1"/>
  <c r="N156" i="3"/>
  <c r="G156" i="3"/>
  <c r="M156" i="3" s="1"/>
  <c r="N155" i="3"/>
  <c r="G155" i="3"/>
  <c r="L155" i="3" s="1"/>
  <c r="N154" i="3"/>
  <c r="G154" i="3"/>
  <c r="M154" i="3" s="1"/>
  <c r="N153" i="3"/>
  <c r="G153" i="3"/>
  <c r="N152" i="3"/>
  <c r="G152" i="3"/>
  <c r="N151" i="3"/>
  <c r="G151" i="3"/>
  <c r="N150" i="3"/>
  <c r="G150" i="3"/>
  <c r="L150" i="3" s="1"/>
  <c r="N149" i="3"/>
  <c r="G149" i="3"/>
  <c r="L149" i="3" s="1"/>
  <c r="N148" i="3"/>
  <c r="G148" i="3"/>
  <c r="L148" i="3" s="1"/>
  <c r="N147" i="3"/>
  <c r="G147" i="3"/>
  <c r="N146" i="3"/>
  <c r="G146" i="3"/>
  <c r="M146" i="3" s="1"/>
  <c r="N145" i="3"/>
  <c r="G145" i="3"/>
  <c r="M145" i="3" s="1"/>
  <c r="N144" i="3"/>
  <c r="G144" i="3"/>
  <c r="L144" i="3" s="1"/>
  <c r="N143" i="3"/>
  <c r="G143" i="3"/>
  <c r="M143" i="3" s="1"/>
  <c r="N142" i="3"/>
  <c r="G142" i="3"/>
  <c r="L142" i="3" s="1"/>
  <c r="N141" i="3"/>
  <c r="G141" i="3"/>
  <c r="N140" i="3"/>
  <c r="G140" i="3"/>
  <c r="M140" i="3" s="1"/>
  <c r="N139" i="3"/>
  <c r="G139" i="3"/>
  <c r="L139" i="3" s="1"/>
  <c r="G138" i="3"/>
  <c r="M138" i="3" s="1"/>
  <c r="G137" i="3"/>
  <c r="L137" i="3" s="1"/>
  <c r="G136" i="3"/>
  <c r="L136" i="3" s="1"/>
  <c r="G135" i="3"/>
  <c r="G134" i="3"/>
  <c r="M134" i="3" s="1"/>
  <c r="G133" i="3"/>
  <c r="L133" i="3" s="1"/>
  <c r="G132" i="3"/>
  <c r="L132" i="3" s="1"/>
  <c r="G131" i="3"/>
  <c r="L131" i="3" s="1"/>
  <c r="G130" i="3"/>
  <c r="L130" i="3" s="1"/>
  <c r="G129" i="3"/>
  <c r="G128" i="3"/>
  <c r="G127" i="3"/>
  <c r="G126" i="3"/>
  <c r="L126" i="3" s="1"/>
  <c r="G125" i="3"/>
  <c r="L125" i="3" s="1"/>
  <c r="G124" i="3"/>
  <c r="M124" i="3" s="1"/>
  <c r="G123" i="3"/>
  <c r="G122" i="3"/>
  <c r="M122" i="3" s="1"/>
  <c r="G121" i="3"/>
  <c r="L121" i="3" s="1"/>
  <c r="G120" i="3"/>
  <c r="L120" i="3" s="1"/>
  <c r="G119" i="3"/>
  <c r="M119" i="3" s="1"/>
  <c r="G118" i="3"/>
  <c r="L118" i="3" s="1"/>
  <c r="G117" i="3"/>
  <c r="G116" i="3"/>
  <c r="M116" i="3" s="1"/>
  <c r="G115" i="3"/>
  <c r="L115" i="3" s="1"/>
  <c r="G114" i="3"/>
  <c r="L114" i="3" s="1"/>
  <c r="L113" i="3"/>
  <c r="L111" i="3"/>
  <c r="M110" i="3"/>
  <c r="L109" i="3"/>
  <c r="L108" i="3"/>
  <c r="L107" i="3"/>
  <c r="L106" i="3"/>
  <c r="L105" i="3"/>
  <c r="G104" i="3"/>
  <c r="G103" i="3"/>
  <c r="M103" i="3" s="1"/>
  <c r="G102" i="3"/>
  <c r="L102" i="3" s="1"/>
  <c r="G101" i="3"/>
  <c r="M101" i="3" s="1"/>
  <c r="G100" i="3"/>
  <c r="L100" i="3" s="1"/>
  <c r="G99" i="3"/>
  <c r="L99" i="3" s="1"/>
  <c r="G98" i="3"/>
  <c r="G97" i="3"/>
  <c r="G96" i="3"/>
  <c r="M96" i="3" s="1"/>
  <c r="G95" i="3"/>
  <c r="L95" i="3" s="1"/>
  <c r="G94" i="3"/>
  <c r="L94" i="3" s="1"/>
  <c r="G93" i="3"/>
  <c r="L93" i="3" s="1"/>
  <c r="G92" i="3"/>
  <c r="M92" i="3" s="1"/>
  <c r="G91" i="3"/>
  <c r="L91" i="3" s="1"/>
  <c r="G90" i="3"/>
  <c r="G89" i="3"/>
  <c r="G88" i="3"/>
  <c r="L88" i="3" s="1"/>
  <c r="G87" i="3"/>
  <c r="G86" i="3"/>
  <c r="M86" i="3" s="1"/>
  <c r="G85" i="3"/>
  <c r="L85" i="3" s="1"/>
  <c r="G84" i="3"/>
  <c r="L84" i="3" s="1"/>
  <c r="G83" i="3"/>
  <c r="G82" i="3"/>
  <c r="M82" i="3" s="1"/>
  <c r="G81" i="3"/>
  <c r="G80" i="3"/>
  <c r="M80" i="3" s="1"/>
  <c r="G79" i="3"/>
  <c r="L79" i="3" s="1"/>
  <c r="G78" i="3"/>
  <c r="M78" i="3" s="1"/>
  <c r="G77" i="3"/>
  <c r="L77" i="3" s="1"/>
  <c r="M73" i="3"/>
  <c r="L72" i="3"/>
  <c r="L71" i="3"/>
  <c r="M70" i="3"/>
  <c r="M68" i="3"/>
  <c r="L67" i="3"/>
  <c r="L65" i="3"/>
  <c r="M64" i="3"/>
  <c r="M62" i="3"/>
  <c r="M61" i="3"/>
  <c r="M60" i="3"/>
  <c r="M126" i="3" l="1"/>
  <c r="L156" i="3"/>
  <c r="M113" i="3"/>
  <c r="M169" i="3"/>
  <c r="M77" i="3"/>
  <c r="M94" i="3"/>
  <c r="L64" i="3"/>
  <c r="L62" i="3"/>
  <c r="M293" i="3"/>
  <c r="M239" i="3"/>
  <c r="L160" i="3"/>
  <c r="L269" i="3"/>
  <c r="M93" i="3"/>
  <c r="L32" i="3"/>
  <c r="M252" i="3"/>
  <c r="L61" i="3"/>
  <c r="M197" i="3"/>
  <c r="M264" i="3"/>
  <c r="L210" i="3"/>
  <c r="M167" i="3"/>
  <c r="L154" i="3"/>
  <c r="L124" i="3"/>
  <c r="L73" i="3"/>
  <c r="L60" i="3"/>
  <c r="M45" i="3"/>
  <c r="M9" i="3"/>
  <c r="L277" i="3"/>
  <c r="L251" i="3"/>
  <c r="L221" i="3"/>
  <c r="M193" i="3"/>
  <c r="M105" i="3"/>
  <c r="M72" i="3"/>
  <c r="L44" i="3"/>
  <c r="L8" i="3"/>
  <c r="M288" i="3"/>
  <c r="M275" i="3"/>
  <c r="M234" i="3"/>
  <c r="L246" i="3"/>
  <c r="M205" i="3"/>
  <c r="M191" i="3"/>
  <c r="L166" i="3"/>
  <c r="M149" i="3"/>
  <c r="M132" i="3"/>
  <c r="M118" i="3"/>
  <c r="L101" i="3"/>
  <c r="M85" i="3"/>
  <c r="M67" i="3"/>
  <c r="L37" i="3"/>
  <c r="M23" i="3"/>
  <c r="L41" i="3"/>
  <c r="M287" i="3"/>
  <c r="M274" i="3"/>
  <c r="L259" i="3"/>
  <c r="M245" i="3"/>
  <c r="M233" i="3"/>
  <c r="M217" i="3"/>
  <c r="M179" i="3"/>
  <c r="M162" i="3"/>
  <c r="M99" i="3"/>
  <c r="M65" i="3"/>
  <c r="L55" i="3"/>
  <c r="M36" i="3"/>
  <c r="M215" i="3"/>
  <c r="M186" i="3"/>
  <c r="M111" i="3"/>
  <c r="M281" i="3"/>
  <c r="L198" i="3"/>
  <c r="L227" i="3"/>
  <c r="L185" i="3"/>
  <c r="M289" i="3"/>
  <c r="M235" i="3"/>
  <c r="M181" i="3"/>
  <c r="L138" i="3"/>
  <c r="M88" i="3"/>
  <c r="M263" i="3"/>
  <c r="M209" i="3"/>
  <c r="M150" i="3"/>
  <c r="M136" i="3"/>
  <c r="M120" i="3"/>
  <c r="M57" i="3"/>
  <c r="M24" i="3"/>
  <c r="M180" i="3"/>
  <c r="L119" i="3"/>
  <c r="L86" i="3"/>
  <c r="L56" i="3"/>
  <c r="L258" i="3"/>
  <c r="M203" i="3"/>
  <c r="M190" i="3"/>
  <c r="M148" i="3"/>
  <c r="M131" i="3"/>
  <c r="M114" i="3"/>
  <c r="M95" i="3"/>
  <c r="M84" i="3"/>
  <c r="M54" i="3"/>
  <c r="L35" i="3"/>
  <c r="M21" i="3"/>
  <c r="L257" i="3"/>
  <c r="L173" i="3"/>
  <c r="M130" i="3"/>
  <c r="M33" i="3"/>
  <c r="M142" i="3"/>
  <c r="M46" i="3"/>
  <c r="L28" i="3"/>
  <c r="L10" i="3"/>
  <c r="M106" i="3"/>
  <c r="M216" i="3"/>
  <c r="M161" i="3"/>
  <c r="L20" i="3"/>
  <c r="L127" i="3"/>
  <c r="M127" i="3"/>
  <c r="M176" i="3"/>
  <c r="L176" i="3"/>
  <c r="M278" i="3"/>
  <c r="L278" i="3"/>
  <c r="L248" i="3"/>
  <c r="L69" i="3"/>
  <c r="M69" i="3"/>
  <c r="L153" i="3"/>
  <c r="M153" i="3"/>
  <c r="L66" i="3"/>
  <c r="M66" i="3"/>
  <c r="L151" i="3"/>
  <c r="M151" i="3"/>
  <c r="L26" i="3"/>
  <c r="L97" i="3"/>
  <c r="M97" i="3"/>
  <c r="L284" i="3"/>
  <c r="L266" i="3"/>
  <c r="L29" i="3"/>
  <c r="M29" i="3"/>
  <c r="L290" i="3"/>
  <c r="L254" i="3"/>
  <c r="L236" i="3"/>
  <c r="L140" i="3"/>
  <c r="M121" i="3"/>
  <c r="L103" i="3"/>
  <c r="L129" i="3"/>
  <c r="M129" i="3"/>
  <c r="L165" i="3"/>
  <c r="M165" i="3"/>
  <c r="L184" i="3"/>
  <c r="M184" i="3"/>
  <c r="L256" i="3"/>
  <c r="M256" i="3"/>
  <c r="L6" i="3"/>
  <c r="M6" i="3"/>
  <c r="M273" i="3"/>
  <c r="L188" i="3"/>
  <c r="M139" i="3"/>
  <c r="M102" i="3"/>
  <c r="L17" i="3"/>
  <c r="L110" i="3"/>
  <c r="L82" i="3"/>
  <c r="M42" i="3"/>
  <c r="L244" i="3"/>
  <c r="L226" i="3"/>
  <c r="M178" i="3"/>
  <c r="M157" i="3"/>
  <c r="M109" i="3"/>
  <c r="L80" i="3"/>
  <c r="M280" i="3"/>
  <c r="L262" i="3"/>
  <c r="L242" i="3"/>
  <c r="L224" i="3"/>
  <c r="M196" i="3"/>
  <c r="M91" i="3"/>
  <c r="M79" i="3"/>
  <c r="M71" i="3"/>
  <c r="M41" i="3"/>
  <c r="L14" i="3"/>
  <c r="L112" i="3"/>
  <c r="M112" i="3"/>
  <c r="M214" i="3"/>
  <c r="M204" i="3"/>
  <c r="M174" i="3"/>
  <c r="M137" i="3"/>
  <c r="M108" i="3"/>
  <c r="M100" i="3"/>
  <c r="M31" i="3"/>
  <c r="M22" i="3"/>
  <c r="L286" i="3"/>
  <c r="M276" i="3"/>
  <c r="M268" i="3"/>
  <c r="M250" i="3"/>
  <c r="M240" i="3"/>
  <c r="L230" i="3"/>
  <c r="L212" i="3"/>
  <c r="M163" i="3"/>
  <c r="M155" i="3"/>
  <c r="L145" i="3"/>
  <c r="M125" i="3"/>
  <c r="M115" i="3"/>
  <c r="L78" i="3"/>
  <c r="L70" i="3"/>
  <c r="L58" i="3"/>
  <c r="L40" i="3"/>
  <c r="M30" i="3"/>
  <c r="L11" i="3"/>
  <c r="L90" i="3"/>
  <c r="M90" i="3"/>
  <c r="M133" i="3"/>
  <c r="L96" i="3"/>
  <c r="L47" i="3"/>
  <c r="L15" i="3"/>
  <c r="M15" i="3"/>
  <c r="L27" i="3"/>
  <c r="M27" i="3"/>
  <c r="L50" i="3"/>
  <c r="M128" i="3"/>
  <c r="L128" i="3"/>
  <c r="M152" i="3"/>
  <c r="L152" i="3"/>
  <c r="L171" i="3"/>
  <c r="M171" i="3"/>
  <c r="L177" i="3"/>
  <c r="M177" i="3"/>
  <c r="L183" i="3"/>
  <c r="M183" i="3"/>
  <c r="L189" i="3"/>
  <c r="M189" i="3"/>
  <c r="L195" i="3"/>
  <c r="M195" i="3"/>
  <c r="L201" i="3"/>
  <c r="M201" i="3"/>
  <c r="M207" i="3"/>
  <c r="L207" i="3"/>
  <c r="L213" i="3"/>
  <c r="M213" i="3"/>
  <c r="L219" i="3"/>
  <c r="M219" i="3"/>
  <c r="L225" i="3"/>
  <c r="M225" i="3"/>
  <c r="L231" i="3"/>
  <c r="M231" i="3"/>
  <c r="L237" i="3"/>
  <c r="M237" i="3"/>
  <c r="L243" i="3"/>
  <c r="M243" i="3"/>
  <c r="L249" i="3"/>
  <c r="M249" i="3"/>
  <c r="L255" i="3"/>
  <c r="M255" i="3"/>
  <c r="L261" i="3"/>
  <c r="M261" i="3"/>
  <c r="L267" i="3"/>
  <c r="M267" i="3"/>
  <c r="L279" i="3"/>
  <c r="M279" i="3"/>
  <c r="M4" i="3"/>
  <c r="L52" i="3"/>
  <c r="M52" i="3"/>
  <c r="L51" i="3"/>
  <c r="M291" i="3"/>
  <c r="L218" i="3"/>
  <c r="L200" i="3"/>
  <c r="L170" i="3"/>
  <c r="L122" i="3"/>
  <c r="L81" i="3"/>
  <c r="M81" i="3"/>
  <c r="M98" i="3"/>
  <c r="L98" i="3"/>
  <c r="M104" i="3"/>
  <c r="L104" i="3"/>
  <c r="L123" i="3"/>
  <c r="M123" i="3"/>
  <c r="L135" i="3"/>
  <c r="M135" i="3"/>
  <c r="L141" i="3"/>
  <c r="M141" i="3"/>
  <c r="L147" i="3"/>
  <c r="M147" i="3"/>
  <c r="L159" i="3"/>
  <c r="M159" i="3"/>
  <c r="L208" i="3"/>
  <c r="M208" i="3"/>
  <c r="L232" i="3"/>
  <c r="M232" i="3"/>
  <c r="L59" i="3"/>
  <c r="M59" i="3"/>
  <c r="L83" i="3"/>
  <c r="M83" i="3"/>
  <c r="L117" i="3"/>
  <c r="M117" i="3"/>
  <c r="L43" i="3"/>
  <c r="M43" i="3"/>
  <c r="L4" i="3"/>
  <c r="L272" i="3"/>
  <c r="L206" i="3"/>
  <c r="L158" i="3"/>
  <c r="M53" i="3"/>
  <c r="L5" i="3"/>
  <c r="L296" i="3"/>
  <c r="L92" i="3"/>
  <c r="M74" i="3"/>
  <c r="L74" i="3"/>
  <c r="L168" i="3"/>
  <c r="M168" i="3"/>
  <c r="L192" i="3"/>
  <c r="M192" i="3"/>
  <c r="L260" i="3"/>
  <c r="M222" i="3"/>
  <c r="L146" i="3"/>
  <c r="M63" i="3"/>
  <c r="L63" i="3"/>
  <c r="L75" i="3"/>
  <c r="M75" i="3"/>
  <c r="L87" i="3"/>
  <c r="M87" i="3"/>
  <c r="M294" i="3"/>
  <c r="L194" i="3"/>
  <c r="L164" i="3"/>
  <c r="L116" i="3"/>
  <c r="M285" i="3"/>
  <c r="L182" i="3"/>
  <c r="L134" i="3"/>
  <c r="L68" i="3"/>
  <c r="L38" i="3"/>
  <c r="L39" i="3"/>
  <c r="M271" i="3"/>
  <c r="M247" i="3"/>
  <c r="M223" i="3"/>
  <c r="M199" i="3"/>
  <c r="M175" i="3"/>
  <c r="L13" i="3" l="1"/>
  <c r="M13" i="3"/>
  <c r="L16" i="3"/>
  <c r="M16" i="3"/>
</calcChain>
</file>

<file path=xl/sharedStrings.xml><?xml version="1.0" encoding="utf-8"?>
<sst xmlns="http://schemas.openxmlformats.org/spreadsheetml/2006/main" count="150" uniqueCount="34">
  <si>
    <t>Date</t>
  </si>
  <si>
    <t>Bags+Pallet Kg's</t>
  </si>
  <si>
    <t>BTM No</t>
  </si>
  <si>
    <t>Gross Weight Kg's</t>
  </si>
  <si>
    <t>Net Weight RCN Bags (Kg's)</t>
  </si>
  <si>
    <t>Dust Kg's</t>
  </si>
  <si>
    <t>Voids Kg's</t>
  </si>
  <si>
    <t>Dust %</t>
  </si>
  <si>
    <t>Voids %</t>
  </si>
  <si>
    <t>Calibration Process Report</t>
  </si>
  <si>
    <t>Net Weight of RCN Issued to Silos (kg's)</t>
  </si>
  <si>
    <t>BIN No</t>
  </si>
  <si>
    <t>ANA-01</t>
  </si>
  <si>
    <t>Week</t>
  </si>
  <si>
    <t>Month</t>
  </si>
  <si>
    <t>Row Labels</t>
  </si>
  <si>
    <t>Apr-26</t>
  </si>
  <si>
    <t>Jun-26</t>
  </si>
  <si>
    <t>May-26</t>
  </si>
  <si>
    <t>Grand Total</t>
  </si>
  <si>
    <t>Jan-00</t>
  </si>
  <si>
    <t>Sum of Net Weight RCN Bags (Kg's)</t>
  </si>
  <si>
    <t>Sum of Dust Kg's</t>
  </si>
  <si>
    <t>Sum of Voids Kg's</t>
  </si>
  <si>
    <t>Sum of Net Weight of RCN Issued to Silos (kg's)</t>
  </si>
  <si>
    <t>ANA-02</t>
  </si>
  <si>
    <t>Average of Dust %</t>
  </si>
  <si>
    <t>Average of Voids %</t>
  </si>
  <si>
    <t>ANA-05A</t>
  </si>
  <si>
    <t>ANA-02A</t>
  </si>
  <si>
    <t>Jul-26</t>
  </si>
  <si>
    <t>ANA-3B</t>
  </si>
  <si>
    <t>ANA-03B</t>
  </si>
  <si>
    <t>ANA-07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</si>
</sst>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"/>
    <numFmt numFmtId="166" formatCode="0.0%"/>
    <numFmt numFmtId="167" formatCode="#,##0.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FF0000"/>
      <name val="Arial"/>
      <family val="2"/>
    </font>
    <font>
      <b/>
      <sz val="16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" fontId="2" fillId="0" borderId="8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" fontId="2" fillId="0" borderId="12" xfId="0" applyNumberFormat="1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" fontId="2" fillId="0" borderId="6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6" fontId="2" fillId="0" borderId="9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43" fontId="2" fillId="0" borderId="13" xfId="2" applyFont="1" applyBorder="1" applyAlignment="1">
      <alignment horizontal="center" vertical="center"/>
    </xf>
    <xf numFmtId="43" fontId="2" fillId="0" borderId="9" xfId="2" applyFont="1" applyBorder="1" applyAlignment="1">
      <alignment horizontal="center" vertical="center"/>
    </xf>
    <xf numFmtId="43" fontId="2" fillId="0" borderId="14" xfId="2" applyFont="1" applyBorder="1" applyAlignment="1">
      <alignment horizontal="center" vertical="center"/>
    </xf>
    <xf numFmtId="43" fontId="2" fillId="0" borderId="1" xfId="2" applyFont="1" applyBorder="1" applyAlignment="1">
      <alignment horizontal="center" vertical="center"/>
    </xf>
    <xf numFmtId="43" fontId="3" fillId="0" borderId="14" xfId="2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43" fontId="6" fillId="0" borderId="14" xfId="2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7" fillId="0" borderId="1" xfId="2" applyFont="1" applyBorder="1" applyAlignment="1">
      <alignment horizontal="center" vertical="center"/>
    </xf>
    <xf numFmtId="43" fontId="7" fillId="0" borderId="9" xfId="2" applyFont="1" applyBorder="1" applyAlignment="1">
      <alignment horizontal="center" vertical="center"/>
    </xf>
    <xf numFmtId="43" fontId="0" fillId="0" borderId="1" xfId="2" applyFont="1" applyBorder="1"/>
  </cellXfs>
  <cellStyles count="3">
    <cellStyle name="Comma" xfId="2" builtinId="3"/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6.671367708332" createdVersion="8" refreshedVersion="8" minRefreshableVersion="3" recordCount="293" xr:uid="{F273D108-EBAE-4216-90FC-6F3288474D7C}">
  <cacheSource type="worksheet">
    <worksheetSource ref="H3:N296" sheet="4.Calibration Process report"/>
  </cacheSource>
  <cacheFields count="7">
    <cacheField name="BIN No" numFmtId="0">
      <sharedItems containsBlank="1" count="6">
        <s v="ANA-01"/>
        <m/>
        <s v="ANA-02"/>
        <s v="ANA-05A"/>
        <s v="ANA-02A"/>
        <s v="ANA-03" u="1"/>
      </sharedItems>
    </cacheField>
    <cacheField name="BTM No" numFmtId="0">
      <sharedItems containsString="0" containsBlank="1" containsNumber="1" containsInteger="1" minValue="1001" maxValue="1051"/>
    </cacheField>
    <cacheField name="Dust Kg's" numFmtId="0">
      <sharedItems containsString="0" containsBlank="1" containsNumber="1" minValue="8.5" maxValue="1850"/>
    </cacheField>
    <cacheField name="Voids Kg's" numFmtId="0">
      <sharedItems containsString="0" containsBlank="1" containsNumber="1" minValue="0.4" maxValue="38.5"/>
    </cacheField>
    <cacheField name="Dust %" numFmtId="2">
      <sharedItems containsMixedTypes="1" containsNumber="1" minValue="0" maxValue="3.1423091992658732"/>
    </cacheField>
    <cacheField name="Voids %" numFmtId="2">
      <sharedItems containsMixedTypes="1" containsNumber="1" minValue="0" maxValue="3.8216434059280144E-2"/>
    </cacheField>
    <cacheField name="Net Weight of RCN Issued to Silos (kg's)" numFmtId="0">
      <sharedItems containsString="0" containsBlank="1" containsNumber="1" minValue="0" maxValue="244434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6.671675578706" createdVersion="8" refreshedVersion="8" minRefreshableVersion="3" recordCount="90" xr:uid="{60372C67-F774-4E21-AD81-E5B1A4A1EF35}">
  <cacheSource type="worksheet">
    <worksheetSource ref="B3:N93" sheet="4.Calibration Process report"/>
  </cacheSource>
  <cacheFields count="13">
    <cacheField name="Date" numFmtId="16">
      <sharedItems containsSemiMixedTypes="0" containsNonDate="0" containsDate="1" containsString="0" minDate="2026-04-23T00:00:00" maxDate="2026-07-03T00:00:00"/>
    </cacheField>
    <cacheField name="Week" numFmtId="1">
      <sharedItems containsSemiMixedTypes="0" containsString="0" containsNumber="1" containsInteger="1" minValue="17" maxValue="27" count="11"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Month" numFmtId="16">
      <sharedItems/>
    </cacheField>
    <cacheField name="Gross Weight Kg's" numFmtId="0">
      <sharedItems containsString="0" containsBlank="1" containsNumber="1" minValue="15594" maxValue="244434.9"/>
    </cacheField>
    <cacheField name="Bags+Pallet Kg's" numFmtId="0">
      <sharedItems containsString="0" containsBlank="1" containsNumber="1" minValue="850.9" maxValue="9006.85"/>
    </cacheField>
    <cacheField name="Net Weight RCN Bags (Kg's)" numFmtId="4">
      <sharedItems containsSemiMixedTypes="0" containsString="0" containsNumber="1" minValue="0" maxValue="244434.9"/>
    </cacheField>
    <cacheField name="BIN No" numFmtId="0">
      <sharedItems containsBlank="1"/>
    </cacheField>
    <cacheField name="BTM No" numFmtId="0">
      <sharedItems containsString="0" containsBlank="1" containsNumber="1" containsInteger="1" minValue="1001" maxValue="1051"/>
    </cacheField>
    <cacheField name="Dust Kg's" numFmtId="0">
      <sharedItems containsString="0" containsBlank="1" containsNumber="1" minValue="8.5" maxValue="1850"/>
    </cacheField>
    <cacheField name="Voids Kg's" numFmtId="0">
      <sharedItems containsString="0" containsBlank="1" containsNumber="1" minValue="0.4" maxValue="38.5"/>
    </cacheField>
    <cacheField name="Dust %" numFmtId="2">
      <sharedItems containsMixedTypes="1" containsNumber="1" minValue="0" maxValue="3.1423091992658732"/>
    </cacheField>
    <cacheField name="Voids %" numFmtId="2">
      <sharedItems containsMixedTypes="1" containsNumber="1" minValue="0" maxValue="3.8216434059280144E-2"/>
    </cacheField>
    <cacheField name="Net Weight of RCN Issued to Silos (kg's)" numFmtId="0">
      <sharedItems containsString="0" containsBlank="1" containsNumber="1" minValue="0" maxValue="244434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6.671736805554" createdVersion="8" refreshedVersion="8" minRefreshableVersion="3" recordCount="293" xr:uid="{DF0C8EAE-1AC8-430B-B225-4923860D5AE8}">
  <cacheSource type="worksheet">
    <worksheetSource ref="B3:N296" sheet="4.Calibration Process report"/>
  </cacheSource>
  <cacheFields count="13">
    <cacheField name="Date" numFmtId="16">
      <sharedItems containsNonDate="0" containsDate="1" containsString="0" containsBlank="1" minDate="2026-04-23T00:00:00" maxDate="2026-07-03T00:00:00"/>
    </cacheField>
    <cacheField name="Week" numFmtId="1">
      <sharedItems containsSemiMixedTypes="0" containsString="0" containsNumber="1" containsInteger="1" minValue="0" maxValue="27"/>
    </cacheField>
    <cacheField name="Month" numFmtId="16">
      <sharedItems count="12">
        <s v="Apr-26"/>
        <s v="May-26"/>
        <s v="Jun-26"/>
        <s v="Jul-26"/>
        <s v="Jan-00"/>
        <s v="Aug-26" u="1"/>
        <s v="Sep-26" u="1"/>
        <s v="Oct-26" u="1"/>
        <s v="Nov-26" u="1"/>
        <s v="Dec-26" u="1"/>
        <s v="Jan-27" u="1"/>
        <s v="Feb-27" u="1"/>
      </sharedItems>
    </cacheField>
    <cacheField name="Gross Weight Kg's" numFmtId="0">
      <sharedItems containsString="0" containsBlank="1" containsNumber="1" minValue="15594" maxValue="244434.9"/>
    </cacheField>
    <cacheField name="Bags+Pallet Kg's" numFmtId="0">
      <sharedItems containsString="0" containsBlank="1" containsNumber="1" minValue="850.9" maxValue="9006.85"/>
    </cacheField>
    <cacheField name="Net Weight RCN Bags (Kg's)" numFmtId="4">
      <sharedItems containsSemiMixedTypes="0" containsString="0" containsNumber="1" minValue="0" maxValue="244434.9"/>
    </cacheField>
    <cacheField name="BIN No" numFmtId="0">
      <sharedItems containsBlank="1"/>
    </cacheField>
    <cacheField name="BTM No" numFmtId="0">
      <sharedItems containsString="0" containsBlank="1" containsNumber="1" containsInteger="1" minValue="1001" maxValue="1051"/>
    </cacheField>
    <cacheField name="Dust Kg's" numFmtId="0">
      <sharedItems containsString="0" containsBlank="1" containsNumber="1" minValue="8.5" maxValue="1850"/>
    </cacheField>
    <cacheField name="Voids Kg's" numFmtId="0">
      <sharedItems containsString="0" containsBlank="1" containsNumber="1" minValue="0.4" maxValue="38.5"/>
    </cacheField>
    <cacheField name="Dust %" numFmtId="2">
      <sharedItems containsMixedTypes="1" containsNumber="1" minValue="0" maxValue="3.1423091992658732"/>
    </cacheField>
    <cacheField name="Voids %" numFmtId="2">
      <sharedItems containsMixedTypes="1" containsNumber="1" minValue="0" maxValue="3.8216434059280144E-2"/>
    </cacheField>
    <cacheField name="Net Weight of RCN Issued to Silos (kg's)" numFmtId="0">
      <sharedItems containsString="0" containsBlank="1" containsNumber="1" minValue="0" maxValue="244434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n v="1001"/>
    <n v="8.5"/>
    <n v="0.4"/>
    <n v="4.7311325218049559E-2"/>
    <n v="2.2264153043788028E-3"/>
    <n v="17957.199999999997"/>
  </r>
  <r>
    <x v="1"/>
    <m/>
    <m/>
    <m/>
    <s v="0"/>
    <s v="0"/>
    <n v="0"/>
  </r>
  <r>
    <x v="0"/>
    <n v="1001"/>
    <m/>
    <m/>
    <n v="0"/>
    <n v="0"/>
    <n v="30733.050000000003"/>
  </r>
  <r>
    <x v="0"/>
    <n v="1001"/>
    <n v="289"/>
    <n v="1.35"/>
    <n v="0.85110017213427347"/>
    <n v="3.9757274476860524E-3"/>
    <n v="33665.700000000004"/>
  </r>
  <r>
    <x v="0"/>
    <n v="1001"/>
    <n v="457"/>
    <n v="3.5"/>
    <n v="3.0997551396924661"/>
    <n v="2.3739919012961994E-2"/>
    <n v="14282.6"/>
  </r>
  <r>
    <x v="1"/>
    <m/>
    <m/>
    <m/>
    <s v="0"/>
    <s v="0"/>
    <n v="0"/>
  </r>
  <r>
    <x v="1"/>
    <m/>
    <m/>
    <m/>
    <s v="0"/>
    <s v="0"/>
    <n v="0"/>
  </r>
  <r>
    <x v="0"/>
    <n v="1004"/>
    <m/>
    <m/>
    <n v="0"/>
    <n v="0"/>
    <n v="44066.9"/>
  </r>
  <r>
    <x v="0"/>
    <n v="1004"/>
    <n v="705.3"/>
    <n v="10.5"/>
    <n v="2.142863653350104"/>
    <n v="3.1901415511379691E-2"/>
    <n v="32198.100000000002"/>
  </r>
  <r>
    <x v="0"/>
    <n v="1002"/>
    <n v="325.5"/>
    <n v="2.2999999999999998"/>
    <n v="0.84629864592216653"/>
    <n v="5.9799904320153082E-3"/>
    <n v="38133.799999999996"/>
  </r>
  <r>
    <x v="1"/>
    <m/>
    <m/>
    <m/>
    <s v="0"/>
    <s v="0"/>
    <n v="0"/>
  </r>
  <r>
    <x v="1"/>
    <m/>
    <m/>
    <m/>
    <s v="0"/>
    <s v="0"/>
    <n v="0"/>
  </r>
  <r>
    <x v="0"/>
    <n v="1005"/>
    <n v="275.2"/>
    <n v="1.8"/>
    <n v="1.0142780271702674"/>
    <n v="6.6340859335264589E-3"/>
    <n v="26855.600000000002"/>
  </r>
  <r>
    <x v="1"/>
    <m/>
    <m/>
    <m/>
    <s v="0"/>
    <s v="0"/>
    <n v="0"/>
  </r>
  <r>
    <x v="1"/>
    <m/>
    <m/>
    <m/>
    <s v="0"/>
    <s v="0"/>
    <n v="0"/>
  </r>
  <r>
    <x v="0"/>
    <n v="1005"/>
    <n v="130.5"/>
    <n v="0.5"/>
    <n v="0.74200848334603176"/>
    <n v="2.8429443806361368E-3"/>
    <n v="17456.400000000001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0"/>
    <n v="1010"/>
    <n v="447.40000000000003"/>
    <n v="6.5"/>
    <n v="1.0977578651382134"/>
    <n v="1.5948650253460855E-2"/>
    <n v="40301.9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0"/>
    <n v="1013"/>
    <n v="310.85000000000002"/>
    <n v="3.5"/>
    <n v="0.70608411225567591"/>
    <n v="7.9501186839146375E-3"/>
    <n v="43710.15"/>
  </r>
  <r>
    <x v="1"/>
    <m/>
    <m/>
    <m/>
    <s v="0"/>
    <s v="0"/>
    <n v="0"/>
  </r>
  <r>
    <x v="0"/>
    <n v="1011"/>
    <n v="524.4"/>
    <n v="6.8"/>
    <n v="1.2067822821164254"/>
    <n v="1.5648587945064251E-2"/>
    <n v="42923.199999999997"/>
  </r>
  <r>
    <x v="1"/>
    <m/>
    <m/>
    <m/>
    <s v="0"/>
    <s v="0"/>
    <n v="0"/>
  </r>
  <r>
    <x v="0"/>
    <n v="1014"/>
    <n v="532"/>
    <n v="3"/>
    <n v="1.2340466989250805"/>
    <n v="6.9589099563444386E-3"/>
    <n v="42575.199999999997"/>
  </r>
  <r>
    <x v="1"/>
    <m/>
    <m/>
    <m/>
    <s v="0"/>
    <s v="0"/>
    <n v="0"/>
  </r>
  <r>
    <x v="1"/>
    <m/>
    <m/>
    <m/>
    <s v="0"/>
    <s v="0"/>
    <n v="0"/>
  </r>
  <r>
    <x v="0"/>
    <n v="1016"/>
    <n v="1523.8"/>
    <n v="14"/>
    <n v="3.1423091992658732"/>
    <n v="2.8870146206669004E-2"/>
    <n v="46955.199999999997"/>
  </r>
  <r>
    <x v="0"/>
    <n v="1015"/>
    <n v="409.8"/>
    <m/>
    <n v="0.89587477865465759"/>
    <n v="0"/>
    <n v="45333.2"/>
  </r>
  <r>
    <x v="0"/>
    <n v="1018"/>
    <n v="950"/>
    <n v="3"/>
    <n v="2.2504915547343236"/>
    <n v="7.1068154360031267E-3"/>
    <n v="41260"/>
  </r>
  <r>
    <x v="0"/>
    <n v="1006"/>
    <n v="528"/>
    <n v="3.5"/>
    <n v="1.3001691697385624"/>
    <n v="8.6185456327366825E-3"/>
    <n v="40078.600000000006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0"/>
    <n v="1007"/>
    <n v="610"/>
    <n v="5"/>
    <n v="1.2851764378701467"/>
    <n v="1.0534233097296284E-2"/>
    <n v="46849.299999999996"/>
  </r>
  <r>
    <x v="0"/>
    <n v="1020"/>
    <n v="911.1"/>
    <n v="6"/>
    <n v="2.3024437087766296"/>
    <n v="1.5162619089737435E-2"/>
    <n v="38653.9"/>
  </r>
  <r>
    <x v="0"/>
    <n v="1008"/>
    <n v="450"/>
    <n v="4"/>
    <n v="1.1776405317701246"/>
    <n v="1.0467915837956662E-2"/>
    <n v="37758"/>
  </r>
  <r>
    <x v="0"/>
    <n v="1009"/>
    <m/>
    <m/>
    <n v="0"/>
    <n v="0"/>
    <n v="41541.300000000003"/>
  </r>
  <r>
    <x v="0"/>
    <n v="1012"/>
    <n v="824.5"/>
    <n v="10"/>
    <n v="1.6705670202311846"/>
    <n v="2.0261576958534682E-2"/>
    <n v="48520"/>
  </r>
  <r>
    <x v="0"/>
    <n v="1022"/>
    <n v="653.70000000000005"/>
    <n v="5"/>
    <n v="2.1339035059084681"/>
    <n v="1.6321734021022393E-2"/>
    <n v="29975.3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0"/>
    <n v="1021"/>
    <n v="1233.5"/>
    <n v="10"/>
    <n v="1.675222729248153"/>
    <n v="1.3581051716644936E-2"/>
    <n v="72388.5"/>
  </r>
  <r>
    <x v="0"/>
    <n v="1023"/>
    <n v="501.4"/>
    <m/>
    <n v="1.0541807707671929"/>
    <n v="0"/>
    <n v="47061.599999999999"/>
  </r>
  <r>
    <x v="0"/>
    <n v="1026"/>
    <n v="935"/>
    <n v="10"/>
    <n v="1.421741854255494"/>
    <n v="1.5205795232679082E-2"/>
    <n v="64819.399999999994"/>
  </r>
  <r>
    <x v="0"/>
    <n v="1019"/>
    <n v="651"/>
    <n v="3"/>
    <n v="0.66001313943208451"/>
    <n v="3.0415352047561497E-3"/>
    <n v="97980.400000000009"/>
  </r>
  <r>
    <x v="1"/>
    <m/>
    <m/>
    <m/>
    <s v="0"/>
    <s v="0"/>
    <n v="0"/>
  </r>
  <r>
    <x v="2"/>
    <n v="1027"/>
    <n v="480"/>
    <n v="1"/>
    <n v="0.8147483021833557"/>
    <n v="1.6973922962153244E-3"/>
    <n v="58432.9"/>
  </r>
  <r>
    <x v="2"/>
    <n v="1028"/>
    <m/>
    <m/>
    <n v="0"/>
    <n v="0"/>
    <n v="88081.55"/>
  </r>
  <r>
    <x v="2"/>
    <n v="1029"/>
    <n v="1021.3"/>
    <n v="8.3000000000000007"/>
    <n v="1.8754470323479264"/>
    <n v="1.5241565033278949E-2"/>
    <n v="53426.749999999993"/>
  </r>
  <r>
    <x v="2"/>
    <n v="1030"/>
    <n v="585.5"/>
    <n v="8"/>
    <n v="0.66634155723623612"/>
    <n v="9.1045814823055311E-3"/>
    <n v="87274.349999999991"/>
  </r>
  <r>
    <x v="2"/>
    <n v="1031"/>
    <m/>
    <m/>
    <n v="0"/>
    <n v="0"/>
    <n v="92933.4"/>
  </r>
  <r>
    <x v="2"/>
    <n v="1032"/>
    <n v="1330.3"/>
    <n v="15"/>
    <n v="1.7557057467259511"/>
    <n v="1.979672720505846E-2"/>
    <n v="74424.800000000003"/>
  </r>
  <r>
    <x v="2"/>
    <n v="1033"/>
    <n v="658.5"/>
    <n v="5"/>
    <n v="0.84970702205109072"/>
    <n v="6.4518376769255184E-3"/>
    <n v="76833.8"/>
  </r>
  <r>
    <x v="3"/>
    <n v="1034"/>
    <m/>
    <m/>
    <n v="0"/>
    <n v="0"/>
    <n v="43054.34"/>
  </r>
  <r>
    <x v="3"/>
    <n v="1035"/>
    <m/>
    <m/>
    <n v="0"/>
    <n v="0"/>
    <n v="61366.05"/>
  </r>
  <r>
    <x v="3"/>
    <n v="1036"/>
    <n v="1488.1"/>
    <n v="21.5"/>
    <n v="2.2966987174540461"/>
    <n v="3.3182596885466029E-2"/>
    <n v="63283.4"/>
  </r>
  <r>
    <x v="3"/>
    <n v="1037"/>
    <n v="612"/>
    <n v="15"/>
    <n v="0.87306342549002824"/>
    <n v="2.1398613369853634E-2"/>
    <n v="69471"/>
  </r>
  <r>
    <x v="1"/>
    <m/>
    <m/>
    <m/>
    <s v="0"/>
    <s v="0"/>
    <n v="0"/>
  </r>
  <r>
    <x v="1"/>
    <m/>
    <m/>
    <m/>
    <s v="0"/>
    <s v="0"/>
    <n v="0"/>
  </r>
  <r>
    <x v="3"/>
    <n v="1038"/>
    <m/>
    <m/>
    <n v="0"/>
    <n v="0"/>
    <n v="96947"/>
  </r>
  <r>
    <x v="3"/>
    <n v="1039"/>
    <n v="1776.5"/>
    <n v="38.5"/>
    <n v="1.7634154573067837"/>
    <n v="3.8216434059280144E-2"/>
    <n v="98927"/>
  </r>
  <r>
    <x v="3"/>
    <n v="1040"/>
    <n v="1010.5"/>
    <n v="22"/>
    <n v="0.90813869313404905"/>
    <n v="1.9771451013309332E-2"/>
    <n v="110239.05"/>
  </r>
  <r>
    <x v="3"/>
    <n v="1041"/>
    <n v="1250"/>
    <n v="4"/>
    <n v="0.81141432762963162"/>
    <n v="2.5965258484148212E-3"/>
    <n v="152798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3"/>
    <n v="1042"/>
    <m/>
    <m/>
    <n v="0"/>
    <n v="0"/>
    <n v="51220.25"/>
  </r>
  <r>
    <x v="3"/>
    <n v="1043"/>
    <n v="1325"/>
    <n v="18"/>
    <n v="1.4089217176510245"/>
    <n v="1.914006861714599E-2"/>
    <n v="92700.55"/>
  </r>
  <r>
    <x v="1"/>
    <m/>
    <m/>
    <m/>
    <s v="0"/>
    <s v="0"/>
    <n v="0"/>
  </r>
  <r>
    <x v="1"/>
    <m/>
    <m/>
    <m/>
    <s v="0"/>
    <s v="0"/>
    <n v="0"/>
  </r>
  <r>
    <x v="4"/>
    <n v="1044"/>
    <n v="958.5"/>
    <n v="15"/>
    <n v="0.88617565970854661"/>
    <n v="1.3868163688709649E-2"/>
    <n v="107187.90000000001"/>
  </r>
  <r>
    <x v="4"/>
    <n v="1045"/>
    <n v="854.5"/>
    <n v="12"/>
    <n v="0.86540628267744246"/>
    <n v="1.2153160201438629E-2"/>
    <n v="97873.25"/>
  </r>
  <r>
    <x v="1"/>
    <m/>
    <m/>
    <m/>
    <s v="0"/>
    <s v="0"/>
    <n v="0"/>
  </r>
  <r>
    <x v="4"/>
    <n v="1046"/>
    <n v="925"/>
    <n v="8"/>
    <n v="0.79964037794894405"/>
    <n v="6.9158086741530293E-3"/>
    <n v="114744"/>
  </r>
  <r>
    <x v="4"/>
    <n v="1047"/>
    <n v="960.5"/>
    <n v="10"/>
    <n v="0.87445773150824613"/>
    <n v="9.1041929360567014E-3"/>
    <n v="108869"/>
  </r>
  <r>
    <x v="1"/>
    <m/>
    <m/>
    <m/>
    <s v="0"/>
    <s v="0"/>
    <m/>
  </r>
  <r>
    <x v="4"/>
    <n v="1048"/>
    <n v="650"/>
    <n v="8"/>
    <n v="0.77453980419633739"/>
    <n v="9.5327975901087682E-3"/>
    <n v="83262.8"/>
  </r>
  <r>
    <x v="4"/>
    <n v="1049"/>
    <n v="825"/>
    <n v="10"/>
    <n v="0.80138479292216946"/>
    <n v="9.7137550657232664E-3"/>
    <n v="102111.8"/>
  </r>
  <r>
    <x v="4"/>
    <n v="1050"/>
    <n v="1850"/>
    <n v="18"/>
    <n v="0.83456431569898937"/>
    <n v="8.1200852338280047E-3"/>
    <n v="219804.55"/>
  </r>
  <r>
    <x v="4"/>
    <n v="1051"/>
    <m/>
    <m/>
    <n v="0"/>
    <n v="0"/>
    <n v="244434.9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m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m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  <r>
    <x v="1"/>
    <m/>
    <m/>
    <m/>
    <s v="0"/>
    <s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6-04-23T00:00:00"/>
    <x v="0"/>
    <s v="Apr-26"/>
    <n v="18828.8"/>
    <n v="862.7"/>
    <n v="17966.099999999999"/>
    <s v="ANA-01"/>
    <n v="1001"/>
    <n v="8.5"/>
    <n v="0.4"/>
    <n v="4.7311325218049559E-2"/>
    <n v="2.2264153043788028E-3"/>
    <n v="17957.199999999997"/>
  </r>
  <r>
    <d v="2026-04-23T00:00:00"/>
    <x v="0"/>
    <s v="Apr-26"/>
    <m/>
    <m/>
    <n v="0"/>
    <m/>
    <m/>
    <m/>
    <m/>
    <s v="0"/>
    <s v="0"/>
    <n v="0"/>
  </r>
  <r>
    <d v="2026-04-24T00:00:00"/>
    <x v="0"/>
    <s v="Apr-26"/>
    <n v="32319.850000000002"/>
    <n v="1586.8"/>
    <n v="30733.050000000003"/>
    <s v="ANA-01"/>
    <n v="1001"/>
    <m/>
    <m/>
    <n v="0"/>
    <n v="0"/>
    <n v="30733.050000000003"/>
  </r>
  <r>
    <d v="2026-04-24T00:00:00"/>
    <x v="0"/>
    <s v="Apr-26"/>
    <n v="35554.65"/>
    <n v="1598.6"/>
    <n v="33956.050000000003"/>
    <s v="ANA-01"/>
    <n v="1001"/>
    <n v="289"/>
    <n v="1.35"/>
    <n v="0.85110017213427347"/>
    <n v="3.9757274476860524E-3"/>
    <n v="33665.700000000004"/>
  </r>
  <r>
    <d v="2026-04-25T00:00:00"/>
    <x v="0"/>
    <s v="Apr-26"/>
    <n v="15594"/>
    <n v="850.9"/>
    <n v="14743.1"/>
    <s v="ANA-01"/>
    <n v="1001"/>
    <n v="457"/>
    <n v="3.5"/>
    <n v="3.0997551396924661"/>
    <n v="2.3739919012961994E-2"/>
    <n v="14282.6"/>
  </r>
  <r>
    <d v="2026-04-25T00:00:00"/>
    <x v="0"/>
    <s v="Apr-26"/>
    <m/>
    <m/>
    <n v="0"/>
    <m/>
    <m/>
    <m/>
    <m/>
    <s v="0"/>
    <s v="0"/>
    <n v="0"/>
  </r>
  <r>
    <d v="2026-04-26T00:00:00"/>
    <x v="1"/>
    <s v="Apr-26"/>
    <m/>
    <m/>
    <n v="0"/>
    <m/>
    <m/>
    <m/>
    <m/>
    <s v="0"/>
    <s v="0"/>
    <n v="0"/>
  </r>
  <r>
    <d v="2026-04-27T00:00:00"/>
    <x v="1"/>
    <s v="Apr-26"/>
    <n v="46375.9"/>
    <n v="2309"/>
    <n v="44066.9"/>
    <s v="ANA-01"/>
    <n v="1004"/>
    <m/>
    <m/>
    <n v="0"/>
    <n v="0"/>
    <n v="44066.9"/>
  </r>
  <r>
    <d v="2026-04-27T00:00:00"/>
    <x v="1"/>
    <s v="Apr-26"/>
    <n v="34772.6"/>
    <n v="1858.7"/>
    <n v="32913.9"/>
    <s v="ANA-01"/>
    <n v="1004"/>
    <n v="705.3"/>
    <n v="10.5"/>
    <n v="2.142863653350104"/>
    <n v="3.1901415511379691E-2"/>
    <n v="32198.100000000002"/>
  </r>
  <r>
    <d v="2026-04-28T00:00:00"/>
    <x v="1"/>
    <s v="Apr-26"/>
    <n v="40513.1"/>
    <n v="2051.5"/>
    <n v="38461.599999999999"/>
    <s v="ANA-01"/>
    <n v="1002"/>
    <n v="325.5"/>
    <n v="2.2999999999999998"/>
    <n v="0.84629864592216653"/>
    <n v="5.9799904320153082E-3"/>
    <n v="38133.799999999996"/>
  </r>
  <r>
    <d v="2026-04-28T00:00:00"/>
    <x v="1"/>
    <s v="Apr-26"/>
    <m/>
    <m/>
    <n v="0"/>
    <m/>
    <m/>
    <m/>
    <m/>
    <s v="0"/>
    <s v="0"/>
    <n v="0"/>
  </r>
  <r>
    <d v="2026-04-29T00:00:00"/>
    <x v="1"/>
    <s v="Apr-26"/>
    <m/>
    <m/>
    <n v="0"/>
    <m/>
    <m/>
    <m/>
    <m/>
    <s v="0"/>
    <s v="0"/>
    <n v="0"/>
  </r>
  <r>
    <d v="2026-04-30T00:00:00"/>
    <x v="1"/>
    <s v="Apr-26"/>
    <n v="28623.200000000001"/>
    <n v="1490.6"/>
    <n v="27132.600000000002"/>
    <s v="ANA-01"/>
    <n v="1005"/>
    <n v="275.2"/>
    <n v="1.8"/>
    <n v="1.0142780271702674"/>
    <n v="6.6340859335264589E-3"/>
    <n v="26855.600000000002"/>
  </r>
  <r>
    <d v="2026-04-30T00:00:00"/>
    <x v="1"/>
    <s v="Apr-26"/>
    <m/>
    <m/>
    <n v="0"/>
    <m/>
    <m/>
    <m/>
    <m/>
    <s v="0"/>
    <s v="0"/>
    <n v="0"/>
  </r>
  <r>
    <d v="2026-05-01T00:00:00"/>
    <x v="1"/>
    <s v="May-26"/>
    <m/>
    <m/>
    <n v="0"/>
    <m/>
    <m/>
    <m/>
    <m/>
    <s v="0"/>
    <s v="0"/>
    <n v="0"/>
  </r>
  <r>
    <d v="2026-05-02T00:00:00"/>
    <x v="1"/>
    <s v="May-26"/>
    <n v="18500"/>
    <n v="912.59999999999991"/>
    <n v="17587.400000000001"/>
    <s v="ANA-01"/>
    <n v="1005"/>
    <n v="130.5"/>
    <n v="0.5"/>
    <n v="0.74200848334603176"/>
    <n v="2.8429443806361368E-3"/>
    <n v="17456.400000000001"/>
  </r>
  <r>
    <d v="2026-05-03T00:00:00"/>
    <x v="2"/>
    <s v="May-26"/>
    <m/>
    <m/>
    <n v="0"/>
    <m/>
    <m/>
    <m/>
    <m/>
    <s v="0"/>
    <s v="0"/>
    <n v="0"/>
  </r>
  <r>
    <d v="2026-05-04T00:00:00"/>
    <x v="2"/>
    <s v="May-26"/>
    <m/>
    <m/>
    <n v="0"/>
    <m/>
    <m/>
    <m/>
    <m/>
    <s v="0"/>
    <s v="0"/>
    <n v="0"/>
  </r>
  <r>
    <d v="2026-05-05T00:00:00"/>
    <x v="2"/>
    <s v="May-26"/>
    <m/>
    <m/>
    <n v="0"/>
    <m/>
    <m/>
    <m/>
    <m/>
    <s v="0"/>
    <s v="0"/>
    <n v="0"/>
  </r>
  <r>
    <d v="2026-05-05T00:00:00"/>
    <x v="2"/>
    <s v="May-26"/>
    <m/>
    <m/>
    <n v="0"/>
    <m/>
    <m/>
    <m/>
    <m/>
    <s v="0"/>
    <s v="0"/>
    <n v="0"/>
  </r>
  <r>
    <d v="2026-05-06T00:00:00"/>
    <x v="2"/>
    <s v="May-26"/>
    <m/>
    <m/>
    <n v="0"/>
    <m/>
    <m/>
    <m/>
    <m/>
    <s v="0"/>
    <s v="0"/>
    <n v="0"/>
  </r>
  <r>
    <d v="2026-05-06T00:00:00"/>
    <x v="2"/>
    <s v="May-26"/>
    <m/>
    <m/>
    <n v="0"/>
    <m/>
    <m/>
    <m/>
    <m/>
    <s v="0"/>
    <s v="0"/>
    <n v="0"/>
  </r>
  <r>
    <d v="2026-05-07T00:00:00"/>
    <x v="2"/>
    <s v="May-26"/>
    <m/>
    <m/>
    <n v="0"/>
    <m/>
    <m/>
    <m/>
    <m/>
    <s v="0"/>
    <s v="0"/>
    <n v="0"/>
  </r>
  <r>
    <d v="2026-05-08T00:00:00"/>
    <x v="2"/>
    <s v="May-26"/>
    <m/>
    <m/>
    <n v="0"/>
    <m/>
    <m/>
    <m/>
    <m/>
    <s v="0"/>
    <s v="0"/>
    <n v="0"/>
  </r>
  <r>
    <d v="2026-05-09T00:00:00"/>
    <x v="2"/>
    <s v="May-26"/>
    <n v="42450.8"/>
    <n v="1695"/>
    <n v="40755.800000000003"/>
    <s v="ANA-01"/>
    <n v="1010"/>
    <n v="447.40000000000003"/>
    <n v="6.5"/>
    <n v="1.0977578651382134"/>
    <n v="1.5948650253460855E-2"/>
    <n v="40301.9"/>
  </r>
  <r>
    <d v="2026-05-10T00:00:00"/>
    <x v="3"/>
    <s v="May-26"/>
    <m/>
    <m/>
    <n v="0"/>
    <m/>
    <m/>
    <m/>
    <m/>
    <s v="0"/>
    <s v="0"/>
    <n v="0"/>
  </r>
  <r>
    <d v="2026-05-11T00:00:00"/>
    <x v="3"/>
    <s v="May-26"/>
    <m/>
    <m/>
    <n v="0"/>
    <m/>
    <m/>
    <m/>
    <m/>
    <s v="0"/>
    <s v="0"/>
    <n v="0"/>
  </r>
  <r>
    <d v="2026-05-12T00:00:00"/>
    <x v="3"/>
    <s v="May-26"/>
    <m/>
    <m/>
    <n v="0"/>
    <m/>
    <m/>
    <m/>
    <m/>
    <s v="0"/>
    <s v="0"/>
    <n v="0"/>
  </r>
  <r>
    <d v="2026-05-13T00:00:00"/>
    <x v="3"/>
    <s v="May-26"/>
    <n v="46468.3"/>
    <n v="2443.7999999999997"/>
    <n v="44024.5"/>
    <s v="ANA-01"/>
    <n v="1013"/>
    <n v="310.85000000000002"/>
    <n v="3.5"/>
    <n v="0.70608411225567591"/>
    <n v="7.9501186839146375E-3"/>
    <n v="43710.15"/>
  </r>
  <r>
    <d v="2026-05-14T00:00:00"/>
    <x v="3"/>
    <s v="May-26"/>
    <m/>
    <m/>
    <n v="0"/>
    <m/>
    <m/>
    <m/>
    <m/>
    <s v="0"/>
    <s v="0"/>
    <n v="0"/>
  </r>
  <r>
    <d v="2026-05-15T00:00:00"/>
    <x v="3"/>
    <s v="May-26"/>
    <n v="45652.4"/>
    <n v="2198"/>
    <n v="43454.400000000001"/>
    <s v="ANA-01"/>
    <n v="1011"/>
    <n v="524.4"/>
    <n v="6.8"/>
    <n v="1.2067822821164254"/>
    <n v="1.5648587945064251E-2"/>
    <n v="42923.199999999997"/>
  </r>
  <r>
    <d v="2026-05-15T00:00:00"/>
    <x v="3"/>
    <s v="May-26"/>
    <m/>
    <m/>
    <n v="0"/>
    <m/>
    <m/>
    <m/>
    <m/>
    <s v="0"/>
    <s v="0"/>
    <n v="0"/>
  </r>
  <r>
    <d v="2026-05-16T00:00:00"/>
    <x v="3"/>
    <s v="May-26"/>
    <n v="45211.199999999997"/>
    <n v="2101"/>
    <n v="43110.2"/>
    <s v="ANA-01"/>
    <n v="1014"/>
    <n v="532"/>
    <n v="3"/>
    <n v="1.2340466989250805"/>
    <n v="6.9589099563444386E-3"/>
    <n v="42575.199999999997"/>
  </r>
  <r>
    <d v="2026-05-17T00:00:00"/>
    <x v="4"/>
    <s v="May-26"/>
    <m/>
    <m/>
    <n v="0"/>
    <m/>
    <m/>
    <m/>
    <m/>
    <s v="0"/>
    <s v="0"/>
    <n v="0"/>
  </r>
  <r>
    <d v="2026-05-18T00:00:00"/>
    <x v="4"/>
    <s v="May-26"/>
    <m/>
    <m/>
    <n v="0"/>
    <m/>
    <m/>
    <m/>
    <m/>
    <s v="0"/>
    <s v="0"/>
    <n v="0"/>
  </r>
  <r>
    <d v="2026-05-19T00:00:00"/>
    <x v="4"/>
    <s v="May-26"/>
    <n v="50879"/>
    <n v="2386"/>
    <n v="48493"/>
    <s v="ANA-01"/>
    <n v="1016"/>
    <n v="1523.8"/>
    <n v="14"/>
    <n v="3.1423091992658732"/>
    <n v="2.8870146206669004E-2"/>
    <n v="46955.199999999997"/>
  </r>
  <r>
    <d v="2026-05-19T00:00:00"/>
    <x v="4"/>
    <s v="May-26"/>
    <n v="47936"/>
    <n v="2193"/>
    <n v="45743"/>
    <s v="ANA-01"/>
    <n v="1015"/>
    <n v="409.8"/>
    <m/>
    <n v="0.89587477865465759"/>
    <n v="0"/>
    <n v="45333.2"/>
  </r>
  <r>
    <d v="2026-05-20T00:00:00"/>
    <x v="4"/>
    <s v="May-26"/>
    <n v="44309"/>
    <n v="2096"/>
    <n v="42213"/>
    <s v="ANA-01"/>
    <n v="1018"/>
    <n v="950"/>
    <n v="3"/>
    <n v="2.2504915547343236"/>
    <n v="7.1068154360031267E-3"/>
    <n v="41260"/>
  </r>
  <r>
    <d v="2026-05-21T00:00:00"/>
    <x v="4"/>
    <s v="May-26"/>
    <n v="42570.3"/>
    <n v="1960.2"/>
    <n v="40610.100000000006"/>
    <s v="ANA-01"/>
    <n v="1006"/>
    <n v="528"/>
    <n v="3.5"/>
    <n v="1.3001691697385624"/>
    <n v="8.6185456327366825E-3"/>
    <n v="40078.600000000006"/>
  </r>
  <r>
    <d v="2026-05-22T00:00:00"/>
    <x v="4"/>
    <s v="May-26"/>
    <m/>
    <m/>
    <n v="0"/>
    <m/>
    <m/>
    <m/>
    <m/>
    <s v="0"/>
    <s v="0"/>
    <n v="0"/>
  </r>
  <r>
    <d v="2026-05-23T00:00:00"/>
    <x v="4"/>
    <s v="May-26"/>
    <m/>
    <m/>
    <n v="0"/>
    <m/>
    <m/>
    <m/>
    <m/>
    <s v="0"/>
    <s v="0"/>
    <n v="0"/>
  </r>
  <r>
    <d v="2026-05-24T00:00:00"/>
    <x v="5"/>
    <s v="May-26"/>
    <m/>
    <m/>
    <n v="0"/>
    <m/>
    <m/>
    <m/>
    <m/>
    <s v="0"/>
    <s v="0"/>
    <n v="0"/>
  </r>
  <r>
    <d v="2026-05-25T00:00:00"/>
    <x v="5"/>
    <s v="May-26"/>
    <n v="49994.7"/>
    <n v="2530.4"/>
    <n v="47464.299999999996"/>
    <s v="ANA-01"/>
    <n v="1007"/>
    <n v="610"/>
    <n v="5"/>
    <n v="1.2851764378701467"/>
    <n v="1.0534233097296284E-2"/>
    <n v="46849.299999999996"/>
  </r>
  <r>
    <d v="2026-05-26T00:00:00"/>
    <x v="5"/>
    <s v="May-26"/>
    <n v="41509"/>
    <n v="1938"/>
    <n v="39571"/>
    <s v="ANA-01"/>
    <n v="1020"/>
    <n v="911.1"/>
    <n v="6"/>
    <n v="2.3024437087766296"/>
    <n v="1.5162619089737435E-2"/>
    <n v="38653.9"/>
  </r>
  <r>
    <d v="2026-05-27T00:00:00"/>
    <x v="5"/>
    <s v="May-26"/>
    <n v="40137.1"/>
    <n v="1925.1"/>
    <n v="38212"/>
    <s v="ANA-01"/>
    <n v="1008"/>
    <n v="450"/>
    <n v="4"/>
    <n v="1.1776405317701246"/>
    <n v="1.0467915837956662E-2"/>
    <n v="37758"/>
  </r>
  <r>
    <d v="2026-05-28T00:00:00"/>
    <x v="5"/>
    <s v="May-26"/>
    <n v="43594.3"/>
    <n v="2053"/>
    <n v="41541.300000000003"/>
    <s v="ANA-01"/>
    <n v="1009"/>
    <m/>
    <m/>
    <n v="0"/>
    <n v="0"/>
    <n v="41541.300000000003"/>
  </r>
  <r>
    <d v="2026-05-28T00:00:00"/>
    <x v="5"/>
    <s v="May-26"/>
    <n v="51571.4"/>
    <n v="2216.9"/>
    <n v="49354.5"/>
    <s v="ANA-01"/>
    <n v="1012"/>
    <n v="824.5"/>
    <n v="10"/>
    <n v="1.6705670202311846"/>
    <n v="2.0261576958534682E-2"/>
    <n v="48520"/>
  </r>
  <r>
    <d v="2026-05-29T00:00:00"/>
    <x v="5"/>
    <s v="May-26"/>
    <n v="32297"/>
    <n v="1663"/>
    <n v="30634"/>
    <s v="ANA-01"/>
    <n v="1022"/>
    <n v="653.70000000000005"/>
    <n v="5"/>
    <n v="2.1339035059084681"/>
    <n v="1.6321734021022393E-2"/>
    <n v="29975.3"/>
  </r>
  <r>
    <d v="2026-05-30T00:00:00"/>
    <x v="5"/>
    <s v="May-26"/>
    <m/>
    <m/>
    <n v="0"/>
    <m/>
    <m/>
    <m/>
    <m/>
    <s v="0"/>
    <s v="0"/>
    <n v="0"/>
  </r>
  <r>
    <d v="2026-05-31T00:00:00"/>
    <x v="6"/>
    <s v="May-26"/>
    <m/>
    <m/>
    <n v="0"/>
    <m/>
    <m/>
    <m/>
    <m/>
    <s v="0"/>
    <s v="0"/>
    <n v="0"/>
  </r>
  <r>
    <d v="2026-06-01T00:00:00"/>
    <x v="6"/>
    <s v="Jun-26"/>
    <m/>
    <m/>
    <n v="0"/>
    <m/>
    <m/>
    <m/>
    <m/>
    <s v="0"/>
    <s v="0"/>
    <n v="0"/>
  </r>
  <r>
    <d v="2026-06-01T00:00:00"/>
    <x v="6"/>
    <s v="Jun-26"/>
    <n v="77183"/>
    <n v="3551"/>
    <n v="73632"/>
    <s v="ANA-01"/>
    <n v="1021"/>
    <n v="1233.5"/>
    <n v="10"/>
    <n v="1.675222729248153"/>
    <n v="1.3581051716644936E-2"/>
    <n v="72388.5"/>
  </r>
  <r>
    <d v="2026-06-02T00:00:00"/>
    <x v="6"/>
    <s v="Jun-26"/>
    <n v="49948"/>
    <n v="2385"/>
    <n v="47563"/>
    <s v="ANA-01"/>
    <n v="1023"/>
    <n v="501.4"/>
    <m/>
    <n v="1.0541807707671929"/>
    <n v="0"/>
    <n v="47061.599999999999"/>
  </r>
  <r>
    <d v="2026-06-02T00:00:00"/>
    <x v="6"/>
    <s v="Jun-26"/>
    <n v="69008.399999999994"/>
    <n v="3244"/>
    <n v="65764.399999999994"/>
    <s v="ANA-01"/>
    <n v="1026"/>
    <n v="935"/>
    <n v="10"/>
    <n v="1.421741854255494"/>
    <n v="1.5205795232679082E-2"/>
    <n v="64819.399999999994"/>
  </r>
  <r>
    <d v="2026-06-03T00:00:00"/>
    <x v="6"/>
    <s v="Jun-26"/>
    <n v="103479.6"/>
    <n v="4845.2"/>
    <n v="98634.400000000009"/>
    <s v="ANA-01"/>
    <n v="1019"/>
    <n v="651"/>
    <n v="3"/>
    <n v="0.66001313943208451"/>
    <n v="3.0415352047561497E-3"/>
    <n v="97980.400000000009"/>
  </r>
  <r>
    <d v="2026-06-04T00:00:00"/>
    <x v="6"/>
    <s v="Jun-26"/>
    <m/>
    <m/>
    <n v="0"/>
    <m/>
    <m/>
    <m/>
    <m/>
    <s v="0"/>
    <s v="0"/>
    <n v="0"/>
  </r>
  <r>
    <d v="2026-06-05T00:00:00"/>
    <x v="6"/>
    <s v="Jun-26"/>
    <n v="61335.4"/>
    <n v="2421.5"/>
    <n v="58913.9"/>
    <s v="ANA-02"/>
    <n v="1027"/>
    <n v="480"/>
    <n v="1"/>
    <n v="0.8147483021833557"/>
    <n v="1.6973922962153244E-3"/>
    <n v="58432.9"/>
  </r>
  <r>
    <d v="2026-06-06T00:00:00"/>
    <x v="6"/>
    <s v="Jun-26"/>
    <n v="91632.8"/>
    <n v="3551.25"/>
    <n v="88081.55"/>
    <s v="ANA-02"/>
    <n v="1028"/>
    <m/>
    <m/>
    <n v="0"/>
    <n v="0"/>
    <n v="88081.55"/>
  </r>
  <r>
    <d v="2026-06-06T00:00:00"/>
    <x v="6"/>
    <s v="Jun-26"/>
    <n v="56756.9"/>
    <n v="2300.5500000000002"/>
    <n v="54456.35"/>
    <s v="ANA-02"/>
    <n v="1029"/>
    <n v="1021.3"/>
    <n v="8.3000000000000007"/>
    <n v="1.8754470323479264"/>
    <n v="1.5241565033278949E-2"/>
    <n v="53426.749999999993"/>
  </r>
  <r>
    <d v="2026-06-07T00:00:00"/>
    <x v="7"/>
    <s v="Jun-26"/>
    <n v="91727.4"/>
    <n v="3859.55"/>
    <n v="87867.849999999991"/>
    <s v="ANA-02"/>
    <n v="1030"/>
    <n v="585.5"/>
    <n v="8"/>
    <n v="0.66634155723623612"/>
    <n v="9.1045814823055311E-3"/>
    <n v="87274.349999999991"/>
  </r>
  <r>
    <d v="2026-06-08T00:00:00"/>
    <x v="7"/>
    <s v="Jun-26"/>
    <n v="96923"/>
    <n v="3989.6000000000004"/>
    <n v="92933.4"/>
    <s v="ANA-02"/>
    <n v="1031"/>
    <m/>
    <m/>
    <n v="0"/>
    <n v="0"/>
    <n v="92933.4"/>
  </r>
  <r>
    <d v="2026-06-09T00:00:00"/>
    <x v="7"/>
    <s v="Jun-26"/>
    <n v="79042.5"/>
    <n v="3272.4"/>
    <n v="75770.100000000006"/>
    <s v="ANA-02"/>
    <n v="1032"/>
    <n v="1330.3"/>
    <n v="15"/>
    <n v="1.7557057467259511"/>
    <n v="1.979672720505846E-2"/>
    <n v="74424.800000000003"/>
  </r>
  <r>
    <d v="2026-06-10T00:00:00"/>
    <x v="7"/>
    <s v="Jun-26"/>
    <n v="80892.600000000006"/>
    <n v="3395.3"/>
    <n v="77497.3"/>
    <s v="ANA-02"/>
    <n v="1033"/>
    <n v="658.5"/>
    <n v="5"/>
    <n v="0.84970702205109072"/>
    <n v="6.4518376769255184E-3"/>
    <n v="76833.8"/>
  </r>
  <r>
    <d v="2026-06-11T00:00:00"/>
    <x v="7"/>
    <s v="Jun-26"/>
    <n v="45204"/>
    <n v="2149.66"/>
    <n v="43054.34"/>
    <s v="ANA-05A"/>
    <n v="1034"/>
    <m/>
    <m/>
    <n v="0"/>
    <n v="0"/>
    <n v="43054.34"/>
  </r>
  <r>
    <d v="2026-06-11T00:00:00"/>
    <x v="7"/>
    <s v="Jun-26"/>
    <n v="64555"/>
    <n v="3188.95"/>
    <n v="61366.05"/>
    <s v="ANA-05A"/>
    <n v="1035"/>
    <m/>
    <m/>
    <n v="0"/>
    <n v="0"/>
    <n v="61366.05"/>
  </r>
  <r>
    <d v="2026-06-12T00:00:00"/>
    <x v="7"/>
    <s v="Jun-26"/>
    <n v="68016"/>
    <n v="3223"/>
    <n v="64793"/>
    <s v="ANA-05A"/>
    <n v="1036"/>
    <n v="1488.1"/>
    <n v="21.5"/>
    <n v="2.2966987174540461"/>
    <n v="3.3182596885466029E-2"/>
    <n v="63283.4"/>
  </r>
  <r>
    <d v="2026-06-13T00:00:00"/>
    <x v="7"/>
    <s v="Jun-26"/>
    <n v="73579"/>
    <n v="3481"/>
    <n v="70098"/>
    <s v="ANA-05A"/>
    <n v="1037"/>
    <n v="612"/>
    <n v="15"/>
    <n v="0.87306342549002824"/>
    <n v="2.1398613369853634E-2"/>
    <n v="69471"/>
  </r>
  <r>
    <d v="2026-06-14T00:00:00"/>
    <x v="8"/>
    <s v="Jun-26"/>
    <m/>
    <m/>
    <n v="0"/>
    <m/>
    <m/>
    <m/>
    <m/>
    <s v="0"/>
    <s v="0"/>
    <n v="0"/>
  </r>
  <r>
    <d v="2026-06-15T00:00:00"/>
    <x v="8"/>
    <s v="Jun-26"/>
    <m/>
    <m/>
    <n v="0"/>
    <m/>
    <m/>
    <m/>
    <m/>
    <s v="0"/>
    <s v="0"/>
    <n v="0"/>
  </r>
  <r>
    <d v="2026-06-15T00:00:00"/>
    <x v="8"/>
    <s v="Jun-26"/>
    <n v="101548"/>
    <n v="4601"/>
    <n v="96947"/>
    <s v="ANA-05A"/>
    <n v="1038"/>
    <m/>
    <m/>
    <n v="0"/>
    <n v="0"/>
    <n v="96947"/>
  </r>
  <r>
    <d v="2026-06-16T00:00:00"/>
    <x v="8"/>
    <s v="Jun-26"/>
    <n v="105951"/>
    <n v="5209"/>
    <n v="100742"/>
    <s v="ANA-05A"/>
    <n v="1039"/>
    <n v="1776.5"/>
    <n v="38.5"/>
    <n v="1.7634154573067837"/>
    <n v="3.8216434059280144E-2"/>
    <n v="98927"/>
  </r>
  <r>
    <d v="2026-06-17T00:00:00"/>
    <x v="8"/>
    <s v="Jun-26"/>
    <n v="115911.6"/>
    <n v="4640.05"/>
    <n v="111271.55"/>
    <s v="ANA-05A"/>
    <n v="1040"/>
    <n v="1010.5"/>
    <n v="22"/>
    <n v="0.90813869313404905"/>
    <n v="1.9771451013309332E-2"/>
    <n v="110239.05"/>
  </r>
  <r>
    <d v="2026-06-18T00:00:00"/>
    <x v="8"/>
    <s v="Jun-26"/>
    <n v="160279"/>
    <n v="6227"/>
    <n v="154052"/>
    <s v="ANA-05A"/>
    <n v="1041"/>
    <n v="1250"/>
    <n v="4"/>
    <n v="0.81141432762963162"/>
    <n v="2.5965258484148212E-3"/>
    <n v="152798"/>
  </r>
  <r>
    <d v="2026-06-19T00:00:00"/>
    <x v="8"/>
    <s v="Jun-26"/>
    <m/>
    <m/>
    <n v="0"/>
    <m/>
    <m/>
    <m/>
    <m/>
    <s v="0"/>
    <s v="0"/>
    <n v="0"/>
  </r>
  <r>
    <d v="2026-06-20T00:00:00"/>
    <x v="8"/>
    <s v="Jun-26"/>
    <m/>
    <m/>
    <n v="0"/>
    <m/>
    <m/>
    <m/>
    <m/>
    <s v="0"/>
    <s v="0"/>
    <n v="0"/>
  </r>
  <r>
    <d v="2026-06-21T00:00:00"/>
    <x v="9"/>
    <s v="Jun-26"/>
    <m/>
    <m/>
    <n v="0"/>
    <m/>
    <m/>
    <m/>
    <m/>
    <s v="0"/>
    <s v="0"/>
    <n v="0"/>
  </r>
  <r>
    <d v="2026-06-22T00:00:00"/>
    <x v="9"/>
    <s v="Jun-26"/>
    <n v="53526"/>
    <n v="2305.75"/>
    <n v="51220.25"/>
    <s v="ANA-05A"/>
    <n v="1042"/>
    <m/>
    <m/>
    <n v="0"/>
    <n v="0"/>
    <n v="51220.25"/>
  </r>
  <r>
    <d v="2026-06-22T00:00:00"/>
    <x v="9"/>
    <s v="Jun-26"/>
    <n v="98116"/>
    <n v="4072.45"/>
    <n v="94043.55"/>
    <s v="ANA-05A"/>
    <n v="1043"/>
    <n v="1325"/>
    <n v="18"/>
    <n v="1.4089217176510245"/>
    <n v="1.914006861714599E-2"/>
    <n v="92700.55"/>
  </r>
  <r>
    <d v="2026-06-23T00:00:00"/>
    <x v="9"/>
    <s v="Jun-26"/>
    <m/>
    <m/>
    <n v="0"/>
    <m/>
    <m/>
    <m/>
    <m/>
    <s v="0"/>
    <s v="0"/>
    <n v="0"/>
  </r>
  <r>
    <d v="2026-06-24T00:00:00"/>
    <x v="9"/>
    <s v="Jun-26"/>
    <m/>
    <m/>
    <n v="0"/>
    <m/>
    <m/>
    <m/>
    <m/>
    <s v="0"/>
    <s v="0"/>
    <n v="0"/>
  </r>
  <r>
    <d v="2026-06-24T00:00:00"/>
    <x v="9"/>
    <s v="Jun-26"/>
    <n v="112691.6"/>
    <n v="4530.2"/>
    <n v="108161.40000000001"/>
    <s v="ANA-02A"/>
    <n v="1044"/>
    <n v="958.5"/>
    <n v="15"/>
    <n v="0.88617565970854661"/>
    <n v="1.3868163688709649E-2"/>
    <n v="107187.90000000001"/>
  </r>
  <r>
    <d v="2026-06-25T00:00:00"/>
    <x v="9"/>
    <s v="Jun-26"/>
    <n v="102851.6"/>
    <n v="4111.8499999999995"/>
    <n v="98739.75"/>
    <s v="ANA-02A"/>
    <n v="1045"/>
    <n v="854.5"/>
    <n v="12"/>
    <n v="0.86540628267744246"/>
    <n v="1.2153160201438629E-2"/>
    <n v="97873.25"/>
  </r>
  <r>
    <d v="2026-06-26T00:00:00"/>
    <x v="9"/>
    <s v="Jun-26"/>
    <m/>
    <m/>
    <n v="0"/>
    <m/>
    <m/>
    <m/>
    <m/>
    <s v="0"/>
    <s v="0"/>
    <n v="0"/>
  </r>
  <r>
    <d v="2026-06-26T00:00:00"/>
    <x v="9"/>
    <s v="Jun-26"/>
    <n v="120252.1"/>
    <n v="4575.1000000000004"/>
    <n v="115677"/>
    <s v="ANA-02A"/>
    <n v="1046"/>
    <n v="925"/>
    <n v="8"/>
    <n v="0.79964037794894405"/>
    <n v="6.9158086741530293E-3"/>
    <n v="114744"/>
  </r>
  <r>
    <d v="2026-06-27T00:00:00"/>
    <x v="9"/>
    <s v="Jun-26"/>
    <n v="114357.2"/>
    <n v="4517.7"/>
    <n v="109839.5"/>
    <s v="ANA-02A"/>
    <n v="1047"/>
    <n v="960.5"/>
    <n v="10"/>
    <n v="0.87445773150824613"/>
    <n v="9.1041929360567014E-3"/>
    <n v="108869"/>
  </r>
  <r>
    <d v="2026-06-28T00:00:00"/>
    <x v="10"/>
    <s v="Jun-26"/>
    <m/>
    <m/>
    <n v="0"/>
    <m/>
    <m/>
    <m/>
    <m/>
    <s v="0"/>
    <s v="0"/>
    <m/>
  </r>
  <r>
    <d v="2026-06-29T00:00:00"/>
    <x v="10"/>
    <s v="Jun-26"/>
    <n v="87594.5"/>
    <n v="3673.7"/>
    <n v="83920.8"/>
    <s v="ANA-02A"/>
    <n v="1048"/>
    <n v="650"/>
    <n v="8"/>
    <n v="0.77453980419633739"/>
    <n v="9.5327975901087682E-3"/>
    <n v="83262.8"/>
  </r>
  <r>
    <d v="2026-06-30T00:00:00"/>
    <x v="10"/>
    <s v="Jun-26"/>
    <n v="107540.1"/>
    <n v="4593.3"/>
    <n v="102946.8"/>
    <s v="ANA-02A"/>
    <n v="1049"/>
    <n v="825"/>
    <n v="10"/>
    <n v="0.80138479292216946"/>
    <n v="9.7137550657232664E-3"/>
    <n v="102111.8"/>
  </r>
  <r>
    <d v="2026-07-01T00:00:00"/>
    <x v="10"/>
    <s v="Jul-26"/>
    <n v="230679.4"/>
    <n v="9006.85"/>
    <n v="221672.55"/>
    <s v="ANA-02A"/>
    <n v="1050"/>
    <n v="1850"/>
    <n v="18"/>
    <n v="0.83456431569898937"/>
    <n v="8.1200852338280047E-3"/>
    <n v="219804.55"/>
  </r>
  <r>
    <d v="2026-07-02T00:00:00"/>
    <x v="10"/>
    <s v="Jul-26"/>
    <n v="244434.9"/>
    <m/>
    <n v="244434.9"/>
    <s v="ANA-02A"/>
    <n v="1051"/>
    <m/>
    <m/>
    <n v="0"/>
    <n v="0"/>
    <n v="244434.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d v="2026-04-23T00:00:00"/>
    <n v="17"/>
    <x v="0"/>
    <n v="18828.8"/>
    <n v="862.7"/>
    <n v="17966.099999999999"/>
    <s v="ANA-01"/>
    <n v="1001"/>
    <n v="8.5"/>
    <n v="0.4"/>
    <n v="4.7311325218049559E-2"/>
    <n v="2.2264153043788028E-3"/>
    <n v="17957.199999999997"/>
  </r>
  <r>
    <d v="2026-04-23T00:00:00"/>
    <n v="17"/>
    <x v="0"/>
    <m/>
    <m/>
    <n v="0"/>
    <m/>
    <m/>
    <m/>
    <m/>
    <s v="0"/>
    <s v="0"/>
    <n v="0"/>
  </r>
  <r>
    <d v="2026-04-24T00:00:00"/>
    <n v="17"/>
    <x v="0"/>
    <n v="32319.850000000002"/>
    <n v="1586.8"/>
    <n v="30733.050000000003"/>
    <s v="ANA-01"/>
    <n v="1001"/>
    <m/>
    <m/>
    <n v="0"/>
    <n v="0"/>
    <n v="30733.050000000003"/>
  </r>
  <r>
    <d v="2026-04-24T00:00:00"/>
    <n v="17"/>
    <x v="0"/>
    <n v="35554.65"/>
    <n v="1598.6"/>
    <n v="33956.050000000003"/>
    <s v="ANA-01"/>
    <n v="1001"/>
    <n v="289"/>
    <n v="1.35"/>
    <n v="0.85110017213427347"/>
    <n v="3.9757274476860524E-3"/>
    <n v="33665.700000000004"/>
  </r>
  <r>
    <d v="2026-04-25T00:00:00"/>
    <n v="17"/>
    <x v="0"/>
    <n v="15594"/>
    <n v="850.9"/>
    <n v="14743.1"/>
    <s v="ANA-01"/>
    <n v="1001"/>
    <n v="457"/>
    <n v="3.5"/>
    <n v="3.0997551396924661"/>
    <n v="2.3739919012961994E-2"/>
    <n v="14282.6"/>
  </r>
  <r>
    <d v="2026-04-25T00:00:00"/>
    <n v="17"/>
    <x v="0"/>
    <m/>
    <m/>
    <n v="0"/>
    <m/>
    <m/>
    <m/>
    <m/>
    <s v="0"/>
    <s v="0"/>
    <n v="0"/>
  </r>
  <r>
    <d v="2026-04-26T00:00:00"/>
    <n v="18"/>
    <x v="0"/>
    <m/>
    <m/>
    <n v="0"/>
    <m/>
    <m/>
    <m/>
    <m/>
    <s v="0"/>
    <s v="0"/>
    <n v="0"/>
  </r>
  <r>
    <d v="2026-04-27T00:00:00"/>
    <n v="18"/>
    <x v="0"/>
    <n v="46375.9"/>
    <n v="2309"/>
    <n v="44066.9"/>
    <s v="ANA-01"/>
    <n v="1004"/>
    <m/>
    <m/>
    <n v="0"/>
    <n v="0"/>
    <n v="44066.9"/>
  </r>
  <r>
    <d v="2026-04-27T00:00:00"/>
    <n v="18"/>
    <x v="0"/>
    <n v="34772.6"/>
    <n v="1858.7"/>
    <n v="32913.9"/>
    <s v="ANA-01"/>
    <n v="1004"/>
    <n v="705.3"/>
    <n v="10.5"/>
    <n v="2.142863653350104"/>
    <n v="3.1901415511379691E-2"/>
    <n v="32198.100000000002"/>
  </r>
  <r>
    <d v="2026-04-28T00:00:00"/>
    <n v="18"/>
    <x v="0"/>
    <n v="40513.1"/>
    <n v="2051.5"/>
    <n v="38461.599999999999"/>
    <s v="ANA-01"/>
    <n v="1002"/>
    <n v="325.5"/>
    <n v="2.2999999999999998"/>
    <n v="0.84629864592216653"/>
    <n v="5.9799904320153082E-3"/>
    <n v="38133.799999999996"/>
  </r>
  <r>
    <d v="2026-04-28T00:00:00"/>
    <n v="18"/>
    <x v="0"/>
    <m/>
    <m/>
    <n v="0"/>
    <m/>
    <m/>
    <m/>
    <m/>
    <s v="0"/>
    <s v="0"/>
    <n v="0"/>
  </r>
  <r>
    <d v="2026-04-29T00:00:00"/>
    <n v="18"/>
    <x v="0"/>
    <m/>
    <m/>
    <n v="0"/>
    <m/>
    <m/>
    <m/>
    <m/>
    <s v="0"/>
    <s v="0"/>
    <n v="0"/>
  </r>
  <r>
    <d v="2026-04-30T00:00:00"/>
    <n v="18"/>
    <x v="0"/>
    <n v="28623.200000000001"/>
    <n v="1490.6"/>
    <n v="27132.600000000002"/>
    <s v="ANA-01"/>
    <n v="1005"/>
    <n v="275.2"/>
    <n v="1.8"/>
    <n v="1.0142780271702674"/>
    <n v="6.6340859335264589E-3"/>
    <n v="26855.600000000002"/>
  </r>
  <r>
    <d v="2026-04-30T00:00:00"/>
    <n v="18"/>
    <x v="0"/>
    <m/>
    <m/>
    <n v="0"/>
    <m/>
    <m/>
    <m/>
    <m/>
    <s v="0"/>
    <s v="0"/>
    <n v="0"/>
  </r>
  <r>
    <d v="2026-05-01T00:00:00"/>
    <n v="18"/>
    <x v="1"/>
    <m/>
    <m/>
    <n v="0"/>
    <m/>
    <m/>
    <m/>
    <m/>
    <s v="0"/>
    <s v="0"/>
    <n v="0"/>
  </r>
  <r>
    <d v="2026-05-02T00:00:00"/>
    <n v="18"/>
    <x v="1"/>
    <n v="18500"/>
    <n v="912.59999999999991"/>
    <n v="17587.400000000001"/>
    <s v="ANA-01"/>
    <n v="1005"/>
    <n v="130.5"/>
    <n v="0.5"/>
    <n v="0.74200848334603176"/>
    <n v="2.8429443806361368E-3"/>
    <n v="17456.400000000001"/>
  </r>
  <r>
    <d v="2026-05-03T00:00:00"/>
    <n v="19"/>
    <x v="1"/>
    <m/>
    <m/>
    <n v="0"/>
    <m/>
    <m/>
    <m/>
    <m/>
    <s v="0"/>
    <s v="0"/>
    <n v="0"/>
  </r>
  <r>
    <d v="2026-05-04T00:00:00"/>
    <n v="19"/>
    <x v="1"/>
    <m/>
    <m/>
    <n v="0"/>
    <m/>
    <m/>
    <m/>
    <m/>
    <s v="0"/>
    <s v="0"/>
    <n v="0"/>
  </r>
  <r>
    <d v="2026-05-05T00:00:00"/>
    <n v="19"/>
    <x v="1"/>
    <m/>
    <m/>
    <n v="0"/>
    <m/>
    <m/>
    <m/>
    <m/>
    <s v="0"/>
    <s v="0"/>
    <n v="0"/>
  </r>
  <r>
    <d v="2026-05-05T00:00:00"/>
    <n v="19"/>
    <x v="1"/>
    <m/>
    <m/>
    <n v="0"/>
    <m/>
    <m/>
    <m/>
    <m/>
    <s v="0"/>
    <s v="0"/>
    <n v="0"/>
  </r>
  <r>
    <d v="2026-05-06T00:00:00"/>
    <n v="19"/>
    <x v="1"/>
    <m/>
    <m/>
    <n v="0"/>
    <m/>
    <m/>
    <m/>
    <m/>
    <s v="0"/>
    <s v="0"/>
    <n v="0"/>
  </r>
  <r>
    <d v="2026-05-06T00:00:00"/>
    <n v="19"/>
    <x v="1"/>
    <m/>
    <m/>
    <n v="0"/>
    <m/>
    <m/>
    <m/>
    <m/>
    <s v="0"/>
    <s v="0"/>
    <n v="0"/>
  </r>
  <r>
    <d v="2026-05-07T00:00:00"/>
    <n v="19"/>
    <x v="1"/>
    <m/>
    <m/>
    <n v="0"/>
    <m/>
    <m/>
    <m/>
    <m/>
    <s v="0"/>
    <s v="0"/>
    <n v="0"/>
  </r>
  <r>
    <d v="2026-05-08T00:00:00"/>
    <n v="19"/>
    <x v="1"/>
    <m/>
    <m/>
    <n v="0"/>
    <m/>
    <m/>
    <m/>
    <m/>
    <s v="0"/>
    <s v="0"/>
    <n v="0"/>
  </r>
  <r>
    <d v="2026-05-09T00:00:00"/>
    <n v="19"/>
    <x v="1"/>
    <n v="42450.8"/>
    <n v="1695"/>
    <n v="40755.800000000003"/>
    <s v="ANA-01"/>
    <n v="1010"/>
    <n v="447.40000000000003"/>
    <n v="6.5"/>
    <n v="1.0977578651382134"/>
    <n v="1.5948650253460855E-2"/>
    <n v="40301.9"/>
  </r>
  <r>
    <d v="2026-05-10T00:00:00"/>
    <n v="20"/>
    <x v="1"/>
    <m/>
    <m/>
    <n v="0"/>
    <m/>
    <m/>
    <m/>
    <m/>
    <s v="0"/>
    <s v="0"/>
    <n v="0"/>
  </r>
  <r>
    <d v="2026-05-11T00:00:00"/>
    <n v="20"/>
    <x v="1"/>
    <m/>
    <m/>
    <n v="0"/>
    <m/>
    <m/>
    <m/>
    <m/>
    <s v="0"/>
    <s v="0"/>
    <n v="0"/>
  </r>
  <r>
    <d v="2026-05-12T00:00:00"/>
    <n v="20"/>
    <x v="1"/>
    <m/>
    <m/>
    <n v="0"/>
    <m/>
    <m/>
    <m/>
    <m/>
    <s v="0"/>
    <s v="0"/>
    <n v="0"/>
  </r>
  <r>
    <d v="2026-05-13T00:00:00"/>
    <n v="20"/>
    <x v="1"/>
    <n v="46468.3"/>
    <n v="2443.7999999999997"/>
    <n v="44024.5"/>
    <s v="ANA-01"/>
    <n v="1013"/>
    <n v="310.85000000000002"/>
    <n v="3.5"/>
    <n v="0.70608411225567591"/>
    <n v="7.9501186839146375E-3"/>
    <n v="43710.15"/>
  </r>
  <r>
    <d v="2026-05-14T00:00:00"/>
    <n v="20"/>
    <x v="1"/>
    <m/>
    <m/>
    <n v="0"/>
    <m/>
    <m/>
    <m/>
    <m/>
    <s v="0"/>
    <s v="0"/>
    <n v="0"/>
  </r>
  <r>
    <d v="2026-05-15T00:00:00"/>
    <n v="20"/>
    <x v="1"/>
    <n v="45652.4"/>
    <n v="2198"/>
    <n v="43454.400000000001"/>
    <s v="ANA-01"/>
    <n v="1011"/>
    <n v="524.4"/>
    <n v="6.8"/>
    <n v="1.2067822821164254"/>
    <n v="1.5648587945064251E-2"/>
    <n v="42923.199999999997"/>
  </r>
  <r>
    <d v="2026-05-15T00:00:00"/>
    <n v="20"/>
    <x v="1"/>
    <m/>
    <m/>
    <n v="0"/>
    <m/>
    <m/>
    <m/>
    <m/>
    <s v="0"/>
    <s v="0"/>
    <n v="0"/>
  </r>
  <r>
    <d v="2026-05-16T00:00:00"/>
    <n v="20"/>
    <x v="1"/>
    <n v="45211.199999999997"/>
    <n v="2101"/>
    <n v="43110.2"/>
    <s v="ANA-01"/>
    <n v="1014"/>
    <n v="532"/>
    <n v="3"/>
    <n v="1.2340466989250805"/>
    <n v="6.9589099563444386E-3"/>
    <n v="42575.199999999997"/>
  </r>
  <r>
    <d v="2026-05-17T00:00:00"/>
    <n v="21"/>
    <x v="1"/>
    <m/>
    <m/>
    <n v="0"/>
    <m/>
    <m/>
    <m/>
    <m/>
    <s v="0"/>
    <s v="0"/>
    <n v="0"/>
  </r>
  <r>
    <d v="2026-05-18T00:00:00"/>
    <n v="21"/>
    <x v="1"/>
    <m/>
    <m/>
    <n v="0"/>
    <m/>
    <m/>
    <m/>
    <m/>
    <s v="0"/>
    <s v="0"/>
    <n v="0"/>
  </r>
  <r>
    <d v="2026-05-19T00:00:00"/>
    <n v="21"/>
    <x v="1"/>
    <n v="50879"/>
    <n v="2386"/>
    <n v="48493"/>
    <s v="ANA-01"/>
    <n v="1016"/>
    <n v="1523.8"/>
    <n v="14"/>
    <n v="3.1423091992658732"/>
    <n v="2.8870146206669004E-2"/>
    <n v="46955.199999999997"/>
  </r>
  <r>
    <d v="2026-05-19T00:00:00"/>
    <n v="21"/>
    <x v="1"/>
    <n v="47936"/>
    <n v="2193"/>
    <n v="45743"/>
    <s v="ANA-01"/>
    <n v="1015"/>
    <n v="409.8"/>
    <m/>
    <n v="0.89587477865465759"/>
    <n v="0"/>
    <n v="45333.2"/>
  </r>
  <r>
    <d v="2026-05-20T00:00:00"/>
    <n v="21"/>
    <x v="1"/>
    <n v="44309"/>
    <n v="2096"/>
    <n v="42213"/>
    <s v="ANA-01"/>
    <n v="1018"/>
    <n v="950"/>
    <n v="3"/>
    <n v="2.2504915547343236"/>
    <n v="7.1068154360031267E-3"/>
    <n v="41260"/>
  </r>
  <r>
    <d v="2026-05-21T00:00:00"/>
    <n v="21"/>
    <x v="1"/>
    <n v="42570.3"/>
    <n v="1960.2"/>
    <n v="40610.100000000006"/>
    <s v="ANA-01"/>
    <n v="1006"/>
    <n v="528"/>
    <n v="3.5"/>
    <n v="1.3001691697385624"/>
    <n v="8.6185456327366825E-3"/>
    <n v="40078.600000000006"/>
  </r>
  <r>
    <d v="2026-05-22T00:00:00"/>
    <n v="21"/>
    <x v="1"/>
    <m/>
    <m/>
    <n v="0"/>
    <m/>
    <m/>
    <m/>
    <m/>
    <s v="0"/>
    <s v="0"/>
    <n v="0"/>
  </r>
  <r>
    <d v="2026-05-23T00:00:00"/>
    <n v="21"/>
    <x v="1"/>
    <m/>
    <m/>
    <n v="0"/>
    <m/>
    <m/>
    <m/>
    <m/>
    <s v="0"/>
    <s v="0"/>
    <n v="0"/>
  </r>
  <r>
    <d v="2026-05-24T00:00:00"/>
    <n v="22"/>
    <x v="1"/>
    <m/>
    <m/>
    <n v="0"/>
    <m/>
    <m/>
    <m/>
    <m/>
    <s v="0"/>
    <s v="0"/>
    <n v="0"/>
  </r>
  <r>
    <d v="2026-05-25T00:00:00"/>
    <n v="22"/>
    <x v="1"/>
    <n v="49994.7"/>
    <n v="2530.4"/>
    <n v="47464.299999999996"/>
    <s v="ANA-01"/>
    <n v="1007"/>
    <n v="610"/>
    <n v="5"/>
    <n v="1.2851764378701467"/>
    <n v="1.0534233097296284E-2"/>
    <n v="46849.299999999996"/>
  </r>
  <r>
    <d v="2026-05-26T00:00:00"/>
    <n v="22"/>
    <x v="1"/>
    <n v="41509"/>
    <n v="1938"/>
    <n v="39571"/>
    <s v="ANA-01"/>
    <n v="1020"/>
    <n v="911.1"/>
    <n v="6"/>
    <n v="2.3024437087766296"/>
    <n v="1.5162619089737435E-2"/>
    <n v="38653.9"/>
  </r>
  <r>
    <d v="2026-05-27T00:00:00"/>
    <n v="22"/>
    <x v="1"/>
    <n v="40137.1"/>
    <n v="1925.1"/>
    <n v="38212"/>
    <s v="ANA-01"/>
    <n v="1008"/>
    <n v="450"/>
    <n v="4"/>
    <n v="1.1776405317701246"/>
    <n v="1.0467915837956662E-2"/>
    <n v="37758"/>
  </r>
  <r>
    <d v="2026-05-28T00:00:00"/>
    <n v="22"/>
    <x v="1"/>
    <n v="43594.3"/>
    <n v="2053"/>
    <n v="41541.300000000003"/>
    <s v="ANA-01"/>
    <n v="1009"/>
    <m/>
    <m/>
    <n v="0"/>
    <n v="0"/>
    <n v="41541.300000000003"/>
  </r>
  <r>
    <d v="2026-05-28T00:00:00"/>
    <n v="22"/>
    <x v="1"/>
    <n v="51571.4"/>
    <n v="2216.9"/>
    <n v="49354.5"/>
    <s v="ANA-01"/>
    <n v="1012"/>
    <n v="824.5"/>
    <n v="10"/>
    <n v="1.6705670202311846"/>
    <n v="2.0261576958534682E-2"/>
    <n v="48520"/>
  </r>
  <r>
    <d v="2026-05-29T00:00:00"/>
    <n v="22"/>
    <x v="1"/>
    <n v="32297"/>
    <n v="1663"/>
    <n v="30634"/>
    <s v="ANA-01"/>
    <n v="1022"/>
    <n v="653.70000000000005"/>
    <n v="5"/>
    <n v="2.1339035059084681"/>
    <n v="1.6321734021022393E-2"/>
    <n v="29975.3"/>
  </r>
  <r>
    <d v="2026-05-30T00:00:00"/>
    <n v="22"/>
    <x v="1"/>
    <m/>
    <m/>
    <n v="0"/>
    <m/>
    <m/>
    <m/>
    <m/>
    <s v="0"/>
    <s v="0"/>
    <n v="0"/>
  </r>
  <r>
    <d v="2026-05-31T00:00:00"/>
    <n v="23"/>
    <x v="1"/>
    <m/>
    <m/>
    <n v="0"/>
    <m/>
    <m/>
    <m/>
    <m/>
    <s v="0"/>
    <s v="0"/>
    <n v="0"/>
  </r>
  <r>
    <d v="2026-06-01T00:00:00"/>
    <n v="23"/>
    <x v="2"/>
    <m/>
    <m/>
    <n v="0"/>
    <m/>
    <m/>
    <m/>
    <m/>
    <s v="0"/>
    <s v="0"/>
    <n v="0"/>
  </r>
  <r>
    <d v="2026-06-01T00:00:00"/>
    <n v="23"/>
    <x v="2"/>
    <n v="77183"/>
    <n v="3551"/>
    <n v="73632"/>
    <s v="ANA-01"/>
    <n v="1021"/>
    <n v="1233.5"/>
    <n v="10"/>
    <n v="1.675222729248153"/>
    <n v="1.3581051716644936E-2"/>
    <n v="72388.5"/>
  </r>
  <r>
    <d v="2026-06-02T00:00:00"/>
    <n v="23"/>
    <x v="2"/>
    <n v="49948"/>
    <n v="2385"/>
    <n v="47563"/>
    <s v="ANA-01"/>
    <n v="1023"/>
    <n v="501.4"/>
    <m/>
    <n v="1.0541807707671929"/>
    <n v="0"/>
    <n v="47061.599999999999"/>
  </r>
  <r>
    <d v="2026-06-02T00:00:00"/>
    <n v="23"/>
    <x v="2"/>
    <n v="69008.399999999994"/>
    <n v="3244"/>
    <n v="65764.399999999994"/>
    <s v="ANA-01"/>
    <n v="1026"/>
    <n v="935"/>
    <n v="10"/>
    <n v="1.421741854255494"/>
    <n v="1.5205795232679082E-2"/>
    <n v="64819.399999999994"/>
  </r>
  <r>
    <d v="2026-06-03T00:00:00"/>
    <n v="23"/>
    <x v="2"/>
    <n v="103479.6"/>
    <n v="4845.2"/>
    <n v="98634.400000000009"/>
    <s v="ANA-01"/>
    <n v="1019"/>
    <n v="651"/>
    <n v="3"/>
    <n v="0.66001313943208451"/>
    <n v="3.0415352047561497E-3"/>
    <n v="97980.400000000009"/>
  </r>
  <r>
    <d v="2026-06-04T00:00:00"/>
    <n v="23"/>
    <x v="2"/>
    <m/>
    <m/>
    <n v="0"/>
    <m/>
    <m/>
    <m/>
    <m/>
    <s v="0"/>
    <s v="0"/>
    <n v="0"/>
  </r>
  <r>
    <d v="2026-06-05T00:00:00"/>
    <n v="23"/>
    <x v="2"/>
    <n v="61335.4"/>
    <n v="2421.5"/>
    <n v="58913.9"/>
    <s v="ANA-02"/>
    <n v="1027"/>
    <n v="480"/>
    <n v="1"/>
    <n v="0.8147483021833557"/>
    <n v="1.6973922962153244E-3"/>
    <n v="58432.9"/>
  </r>
  <r>
    <d v="2026-06-06T00:00:00"/>
    <n v="23"/>
    <x v="2"/>
    <n v="91632.8"/>
    <n v="3551.25"/>
    <n v="88081.55"/>
    <s v="ANA-02"/>
    <n v="1028"/>
    <m/>
    <m/>
    <n v="0"/>
    <n v="0"/>
    <n v="88081.55"/>
  </r>
  <r>
    <d v="2026-06-06T00:00:00"/>
    <n v="23"/>
    <x v="2"/>
    <n v="56756.9"/>
    <n v="2300.5500000000002"/>
    <n v="54456.35"/>
    <s v="ANA-02"/>
    <n v="1029"/>
    <n v="1021.3"/>
    <n v="8.3000000000000007"/>
    <n v="1.8754470323479264"/>
    <n v="1.5241565033278949E-2"/>
    <n v="53426.749999999993"/>
  </r>
  <r>
    <d v="2026-06-07T00:00:00"/>
    <n v="24"/>
    <x v="2"/>
    <n v="91727.4"/>
    <n v="3859.55"/>
    <n v="87867.849999999991"/>
    <s v="ANA-02"/>
    <n v="1030"/>
    <n v="585.5"/>
    <n v="8"/>
    <n v="0.66634155723623612"/>
    <n v="9.1045814823055311E-3"/>
    <n v="87274.349999999991"/>
  </r>
  <r>
    <d v="2026-06-08T00:00:00"/>
    <n v="24"/>
    <x v="2"/>
    <n v="96923"/>
    <n v="3989.6000000000004"/>
    <n v="92933.4"/>
    <s v="ANA-02"/>
    <n v="1031"/>
    <m/>
    <m/>
    <n v="0"/>
    <n v="0"/>
    <n v="92933.4"/>
  </r>
  <r>
    <d v="2026-06-09T00:00:00"/>
    <n v="24"/>
    <x v="2"/>
    <n v="79042.5"/>
    <n v="3272.4"/>
    <n v="75770.100000000006"/>
    <s v="ANA-02"/>
    <n v="1032"/>
    <n v="1330.3"/>
    <n v="15"/>
    <n v="1.7557057467259511"/>
    <n v="1.979672720505846E-2"/>
    <n v="74424.800000000003"/>
  </r>
  <r>
    <d v="2026-06-10T00:00:00"/>
    <n v="24"/>
    <x v="2"/>
    <n v="80892.600000000006"/>
    <n v="3395.3"/>
    <n v="77497.3"/>
    <s v="ANA-02"/>
    <n v="1033"/>
    <n v="658.5"/>
    <n v="5"/>
    <n v="0.84970702205109072"/>
    <n v="6.4518376769255184E-3"/>
    <n v="76833.8"/>
  </r>
  <r>
    <d v="2026-06-11T00:00:00"/>
    <n v="24"/>
    <x v="2"/>
    <n v="45204"/>
    <n v="2149.66"/>
    <n v="43054.34"/>
    <s v="ANA-05A"/>
    <n v="1034"/>
    <m/>
    <m/>
    <n v="0"/>
    <n v="0"/>
    <n v="43054.34"/>
  </r>
  <r>
    <d v="2026-06-11T00:00:00"/>
    <n v="24"/>
    <x v="2"/>
    <n v="64555"/>
    <n v="3188.95"/>
    <n v="61366.05"/>
    <s v="ANA-05A"/>
    <n v="1035"/>
    <m/>
    <m/>
    <n v="0"/>
    <n v="0"/>
    <n v="61366.05"/>
  </r>
  <r>
    <d v="2026-06-12T00:00:00"/>
    <n v="24"/>
    <x v="2"/>
    <n v="68016"/>
    <n v="3223"/>
    <n v="64793"/>
    <s v="ANA-05A"/>
    <n v="1036"/>
    <n v="1488.1"/>
    <n v="21.5"/>
    <n v="2.2966987174540461"/>
    <n v="3.3182596885466029E-2"/>
    <n v="63283.4"/>
  </r>
  <r>
    <d v="2026-06-13T00:00:00"/>
    <n v="24"/>
    <x v="2"/>
    <n v="73579"/>
    <n v="3481"/>
    <n v="70098"/>
    <s v="ANA-05A"/>
    <n v="1037"/>
    <n v="612"/>
    <n v="15"/>
    <n v="0.87306342549002824"/>
    <n v="2.1398613369853634E-2"/>
    <n v="69471"/>
  </r>
  <r>
    <d v="2026-06-14T00:00:00"/>
    <n v="25"/>
    <x v="2"/>
    <m/>
    <m/>
    <n v="0"/>
    <m/>
    <m/>
    <m/>
    <m/>
    <s v="0"/>
    <s v="0"/>
    <n v="0"/>
  </r>
  <r>
    <d v="2026-06-15T00:00:00"/>
    <n v="25"/>
    <x v="2"/>
    <m/>
    <m/>
    <n v="0"/>
    <m/>
    <m/>
    <m/>
    <m/>
    <s v="0"/>
    <s v="0"/>
    <n v="0"/>
  </r>
  <r>
    <d v="2026-06-15T00:00:00"/>
    <n v="25"/>
    <x v="2"/>
    <n v="101548"/>
    <n v="4601"/>
    <n v="96947"/>
    <s v="ANA-05A"/>
    <n v="1038"/>
    <m/>
    <m/>
    <n v="0"/>
    <n v="0"/>
    <n v="96947"/>
  </r>
  <r>
    <d v="2026-06-16T00:00:00"/>
    <n v="25"/>
    <x v="2"/>
    <n v="105951"/>
    <n v="5209"/>
    <n v="100742"/>
    <s v="ANA-05A"/>
    <n v="1039"/>
    <n v="1776.5"/>
    <n v="38.5"/>
    <n v="1.7634154573067837"/>
    <n v="3.8216434059280144E-2"/>
    <n v="98927"/>
  </r>
  <r>
    <d v="2026-06-17T00:00:00"/>
    <n v="25"/>
    <x v="2"/>
    <n v="115911.6"/>
    <n v="4640.05"/>
    <n v="111271.55"/>
    <s v="ANA-05A"/>
    <n v="1040"/>
    <n v="1010.5"/>
    <n v="22"/>
    <n v="0.90813869313404905"/>
    <n v="1.9771451013309332E-2"/>
    <n v="110239.05"/>
  </r>
  <r>
    <d v="2026-06-18T00:00:00"/>
    <n v="25"/>
    <x v="2"/>
    <n v="160279"/>
    <n v="6227"/>
    <n v="154052"/>
    <s v="ANA-05A"/>
    <n v="1041"/>
    <n v="1250"/>
    <n v="4"/>
    <n v="0.81141432762963162"/>
    <n v="2.5965258484148212E-3"/>
    <n v="152798"/>
  </r>
  <r>
    <d v="2026-06-19T00:00:00"/>
    <n v="25"/>
    <x v="2"/>
    <m/>
    <m/>
    <n v="0"/>
    <m/>
    <m/>
    <m/>
    <m/>
    <s v="0"/>
    <s v="0"/>
    <n v="0"/>
  </r>
  <r>
    <d v="2026-06-20T00:00:00"/>
    <n v="25"/>
    <x v="2"/>
    <m/>
    <m/>
    <n v="0"/>
    <m/>
    <m/>
    <m/>
    <m/>
    <s v="0"/>
    <s v="0"/>
    <n v="0"/>
  </r>
  <r>
    <d v="2026-06-21T00:00:00"/>
    <n v="26"/>
    <x v="2"/>
    <m/>
    <m/>
    <n v="0"/>
    <m/>
    <m/>
    <m/>
    <m/>
    <s v="0"/>
    <s v="0"/>
    <n v="0"/>
  </r>
  <r>
    <d v="2026-06-22T00:00:00"/>
    <n v="26"/>
    <x v="2"/>
    <n v="53526"/>
    <n v="2305.75"/>
    <n v="51220.25"/>
    <s v="ANA-05A"/>
    <n v="1042"/>
    <m/>
    <m/>
    <n v="0"/>
    <n v="0"/>
    <n v="51220.25"/>
  </r>
  <r>
    <d v="2026-06-22T00:00:00"/>
    <n v="26"/>
    <x v="2"/>
    <n v="98116"/>
    <n v="4072.45"/>
    <n v="94043.55"/>
    <s v="ANA-05A"/>
    <n v="1043"/>
    <n v="1325"/>
    <n v="18"/>
    <n v="1.4089217176510245"/>
    <n v="1.914006861714599E-2"/>
    <n v="92700.55"/>
  </r>
  <r>
    <d v="2026-06-23T00:00:00"/>
    <n v="26"/>
    <x v="2"/>
    <m/>
    <m/>
    <n v="0"/>
    <m/>
    <m/>
    <m/>
    <m/>
    <s v="0"/>
    <s v="0"/>
    <n v="0"/>
  </r>
  <r>
    <d v="2026-06-24T00:00:00"/>
    <n v="26"/>
    <x v="2"/>
    <m/>
    <m/>
    <n v="0"/>
    <m/>
    <m/>
    <m/>
    <m/>
    <s v="0"/>
    <s v="0"/>
    <n v="0"/>
  </r>
  <r>
    <d v="2026-06-24T00:00:00"/>
    <n v="26"/>
    <x v="2"/>
    <n v="112691.6"/>
    <n v="4530.2"/>
    <n v="108161.40000000001"/>
    <s v="ANA-02A"/>
    <n v="1044"/>
    <n v="958.5"/>
    <n v="15"/>
    <n v="0.88617565970854661"/>
    <n v="1.3868163688709649E-2"/>
    <n v="107187.90000000001"/>
  </r>
  <r>
    <d v="2026-06-25T00:00:00"/>
    <n v="26"/>
    <x v="2"/>
    <n v="102851.6"/>
    <n v="4111.8499999999995"/>
    <n v="98739.75"/>
    <s v="ANA-02A"/>
    <n v="1045"/>
    <n v="854.5"/>
    <n v="12"/>
    <n v="0.86540628267744246"/>
    <n v="1.2153160201438629E-2"/>
    <n v="97873.25"/>
  </r>
  <r>
    <d v="2026-06-26T00:00:00"/>
    <n v="26"/>
    <x v="2"/>
    <m/>
    <m/>
    <n v="0"/>
    <m/>
    <m/>
    <m/>
    <m/>
    <s v="0"/>
    <s v="0"/>
    <n v="0"/>
  </r>
  <r>
    <d v="2026-06-26T00:00:00"/>
    <n v="26"/>
    <x v="2"/>
    <n v="120252.1"/>
    <n v="4575.1000000000004"/>
    <n v="115677"/>
    <s v="ANA-02A"/>
    <n v="1046"/>
    <n v="925"/>
    <n v="8"/>
    <n v="0.79964037794894405"/>
    <n v="6.9158086741530293E-3"/>
    <n v="114744"/>
  </r>
  <r>
    <d v="2026-06-27T00:00:00"/>
    <n v="26"/>
    <x v="2"/>
    <n v="114357.2"/>
    <n v="4517.7"/>
    <n v="109839.5"/>
    <s v="ANA-02A"/>
    <n v="1047"/>
    <n v="960.5"/>
    <n v="10"/>
    <n v="0.87445773150824613"/>
    <n v="9.1041929360567014E-3"/>
    <n v="108869"/>
  </r>
  <r>
    <d v="2026-06-28T00:00:00"/>
    <n v="27"/>
    <x v="2"/>
    <m/>
    <m/>
    <n v="0"/>
    <m/>
    <m/>
    <m/>
    <m/>
    <s v="0"/>
    <s v="0"/>
    <m/>
  </r>
  <r>
    <d v="2026-06-29T00:00:00"/>
    <n v="27"/>
    <x v="2"/>
    <n v="87594.5"/>
    <n v="3673.7"/>
    <n v="83920.8"/>
    <s v="ANA-02A"/>
    <n v="1048"/>
    <n v="650"/>
    <n v="8"/>
    <n v="0.77453980419633739"/>
    <n v="9.5327975901087682E-3"/>
    <n v="83262.8"/>
  </r>
  <r>
    <d v="2026-06-30T00:00:00"/>
    <n v="27"/>
    <x v="2"/>
    <n v="107540.1"/>
    <n v="4593.3"/>
    <n v="102946.8"/>
    <s v="ANA-02A"/>
    <n v="1049"/>
    <n v="825"/>
    <n v="10"/>
    <n v="0.80138479292216946"/>
    <n v="9.7137550657232664E-3"/>
    <n v="102111.8"/>
  </r>
  <r>
    <d v="2026-07-01T00:00:00"/>
    <n v="27"/>
    <x v="3"/>
    <n v="230679.4"/>
    <n v="9006.85"/>
    <n v="221672.55"/>
    <s v="ANA-02A"/>
    <n v="1050"/>
    <n v="1850"/>
    <n v="18"/>
    <n v="0.83456431569898937"/>
    <n v="8.1200852338280047E-3"/>
    <n v="219804.55"/>
  </r>
  <r>
    <d v="2026-07-02T00:00:00"/>
    <n v="27"/>
    <x v="3"/>
    <n v="244434.9"/>
    <m/>
    <n v="244434.9"/>
    <s v="ANA-02A"/>
    <n v="1051"/>
    <m/>
    <m/>
    <n v="0"/>
    <n v="0"/>
    <n v="244434.9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m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m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  <r>
    <m/>
    <n v="0"/>
    <x v="4"/>
    <m/>
    <m/>
    <n v="0"/>
    <m/>
    <m/>
    <m/>
    <m/>
    <s v="0"/>
    <s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AF571-91E1-4E6D-9509-E9A4CB6EEFE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13">
    <pivotField numFmtId="16" showAll="0"/>
    <pivotField numFmtId="1" showAll="0"/>
    <pivotField axis="axisRow" showAll="0">
      <items count="13">
        <item x="0"/>
        <item m="1" x="5"/>
        <item m="1" x="9"/>
        <item m="1" x="11"/>
        <item m="1" x="10"/>
        <item x="3"/>
        <item x="2"/>
        <item x="1"/>
        <item m="1" x="8"/>
        <item m="1" x="7"/>
        <item m="1" x="6"/>
        <item x="4"/>
        <item t="default"/>
      </items>
    </pivotField>
    <pivotField showAll="0"/>
    <pivotField showAll="0"/>
    <pivotField dataField="1" numFmtId="4" showAll="0"/>
    <pivotField showAll="0"/>
    <pivotField showAll="0"/>
    <pivotField dataField="1" showAll="0"/>
    <pivotField dataField="1" showAll="0"/>
    <pivotField showAll="0"/>
    <pivotField showAll="0"/>
    <pivotField dataField="1" showAll="0"/>
  </pivotFields>
  <rowFields count="1">
    <field x="2"/>
  </rowFields>
  <rowItems count="6">
    <i>
      <x/>
    </i>
    <i>
      <x v="5"/>
    </i>
    <i>
      <x v="6"/>
    </i>
    <i>
      <x v="7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 Weight RCN Bags (Kg's)" fld="5" baseField="0" baseItem="0" numFmtId="4"/>
    <dataField name="Sum of Dust Kg's" fld="8" baseField="0" baseItem="0"/>
    <dataField name="Sum of Voids Kg's" fld="9" baseField="0" baseItem="0"/>
    <dataField name="Sum of Net Weight of RCN Issued to Silos (kg's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D75DC-AD23-4D38-99CC-78A6924E185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IN No">
  <location ref="A3:C8" firstHeaderRow="0" firstDataRow="1" firstDataCol="1"/>
  <pivotFields count="7">
    <pivotField axis="axisRow" showAll="0">
      <items count="7">
        <item x="0"/>
        <item h="1" x="1"/>
        <item x="2"/>
        <item m="1" x="5"/>
        <item x="3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5">
    <i>
      <x/>
    </i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ust %" fld="4" subtotal="average" baseField="6" baseItem="1"/>
    <dataField name="Average of Voids %" fld="5" subtotal="average" baseField="6" baseItem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B0595-0DEF-4929-908B-B40D9A441BD4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">
  <location ref="A3:B15" firstHeaderRow="1" firstDataRow="1" firstDataCol="1"/>
  <pivotFields count="13">
    <pivotField numFmtId="16" showAll="0"/>
    <pivotField axis="axisRow" numFmtI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et Weight RCN Bags (Kg's)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0C45-D783-402F-B85D-217ED3F3EF37}">
  <dimension ref="A3:E9"/>
  <sheetViews>
    <sheetView workbookViewId="0">
      <selection activeCell="D16" sqref="D16"/>
    </sheetView>
  </sheetViews>
  <sheetFormatPr defaultRowHeight="14.4" x14ac:dyDescent="0.3"/>
  <cols>
    <col min="1" max="1" width="12.44140625" bestFit="1" customWidth="1"/>
    <col min="2" max="2" width="29.88671875" bestFit="1" customWidth="1"/>
    <col min="3" max="3" width="14.5546875" bestFit="1" customWidth="1"/>
    <col min="4" max="4" width="15.44140625" bestFit="1" customWidth="1"/>
    <col min="5" max="5" width="39.88671875" bestFit="1" customWidth="1"/>
  </cols>
  <sheetData>
    <row r="3" spans="1:5" x14ac:dyDescent="0.3">
      <c r="A3" s="50" t="s">
        <v>15</v>
      </c>
      <c r="B3" t="s">
        <v>21</v>
      </c>
      <c r="C3" t="s">
        <v>22</v>
      </c>
      <c r="D3" t="s">
        <v>23</v>
      </c>
      <c r="E3" t="s">
        <v>24</v>
      </c>
    </row>
    <row r="4" spans="1:5" x14ac:dyDescent="0.3">
      <c r="A4" s="51" t="s">
        <v>16</v>
      </c>
      <c r="B4" s="52">
        <v>239973.30000000002</v>
      </c>
      <c r="C4">
        <v>2060.5</v>
      </c>
      <c r="D4">
        <v>19.850000000000001</v>
      </c>
      <c r="E4">
        <v>237892.95</v>
      </c>
    </row>
    <row r="5" spans="1:5" x14ac:dyDescent="0.3">
      <c r="A5" s="51" t="s">
        <v>30</v>
      </c>
      <c r="B5" s="52">
        <v>466107.44999999995</v>
      </c>
      <c r="C5">
        <v>1850</v>
      </c>
      <c r="D5">
        <v>18</v>
      </c>
      <c r="E5">
        <v>464239.44999999995</v>
      </c>
    </row>
    <row r="6" spans="1:5" x14ac:dyDescent="0.3">
      <c r="A6" s="51" t="s">
        <v>17</v>
      </c>
      <c r="B6" s="52">
        <v>2287987.2399999998</v>
      </c>
      <c r="C6">
        <v>20032.099999999999</v>
      </c>
      <c r="D6">
        <v>242.3</v>
      </c>
      <c r="E6">
        <v>2267712.84</v>
      </c>
    </row>
    <row r="7" spans="1:5" x14ac:dyDescent="0.3">
      <c r="A7" s="51" t="s">
        <v>18</v>
      </c>
      <c r="B7" s="52">
        <v>612768.5</v>
      </c>
      <c r="C7">
        <v>8806.0500000000011</v>
      </c>
      <c r="D7">
        <v>70.8</v>
      </c>
      <c r="E7">
        <v>603891.65000000014</v>
      </c>
    </row>
    <row r="8" spans="1:5" x14ac:dyDescent="0.3">
      <c r="A8" s="51" t="s">
        <v>20</v>
      </c>
      <c r="B8" s="52">
        <v>0</v>
      </c>
      <c r="E8">
        <v>0</v>
      </c>
    </row>
    <row r="9" spans="1:5" x14ac:dyDescent="0.3">
      <c r="A9" s="51" t="s">
        <v>19</v>
      </c>
      <c r="B9" s="52">
        <v>3606836.4899999998</v>
      </c>
      <c r="C9">
        <v>32748.65</v>
      </c>
      <c r="D9">
        <v>350.95000000000005</v>
      </c>
      <c r="E9">
        <v>3573736.8899999997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E219-192D-44ED-AC69-F92C1C9E3A62}">
  <dimension ref="A3:C8"/>
  <sheetViews>
    <sheetView workbookViewId="0">
      <selection activeCell="C5" sqref="C5"/>
    </sheetView>
  </sheetViews>
  <sheetFormatPr defaultRowHeight="14.4" x14ac:dyDescent="0.3"/>
  <cols>
    <col min="1" max="1" width="10.5546875" bestFit="1" customWidth="1"/>
    <col min="2" max="2" width="15.5546875" bestFit="1" customWidth="1"/>
    <col min="3" max="3" width="16.44140625" bestFit="1" customWidth="1"/>
  </cols>
  <sheetData>
    <row r="3" spans="1:3" x14ac:dyDescent="0.3">
      <c r="A3" s="50" t="s">
        <v>11</v>
      </c>
      <c r="B3" t="s">
        <v>26</v>
      </c>
      <c r="C3" t="s">
        <v>27</v>
      </c>
    </row>
    <row r="4" spans="1:3" x14ac:dyDescent="0.3">
      <c r="A4" s="51" t="s">
        <v>12</v>
      </c>
      <c r="B4" s="53">
        <v>1.2577044742933945</v>
      </c>
      <c r="C4" s="53">
        <v>1.0110323455385371E-2</v>
      </c>
    </row>
    <row r="5" spans="1:3" x14ac:dyDescent="0.3">
      <c r="A5" s="51" t="s">
        <v>25</v>
      </c>
      <c r="B5" s="53">
        <v>0.85170709436350855</v>
      </c>
      <c r="C5" s="53">
        <v>7.470300527683397E-3</v>
      </c>
    </row>
    <row r="6" spans="1:3" x14ac:dyDescent="0.3">
      <c r="A6" s="51" t="s">
        <v>28</v>
      </c>
      <c r="B6" s="53">
        <v>0.80616523386655636</v>
      </c>
      <c r="C6" s="53">
        <v>1.3430568979346996E-2</v>
      </c>
    </row>
    <row r="7" spans="1:3" x14ac:dyDescent="0.3">
      <c r="A7" s="51" t="s">
        <v>29</v>
      </c>
      <c r="B7" s="53">
        <v>0.72952112058258445</v>
      </c>
      <c r="C7" s="53">
        <v>8.6759954237522561E-3</v>
      </c>
    </row>
    <row r="8" spans="1:3" x14ac:dyDescent="0.3">
      <c r="A8" s="51" t="s">
        <v>19</v>
      </c>
      <c r="B8" s="53">
        <v>1.0349575340344705</v>
      </c>
      <c r="C8" s="53">
        <v>1.0172778657166863E-2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46B5-CE06-4AC4-9FC7-8DA469AD3363}">
  <dimension ref="A3:B15"/>
  <sheetViews>
    <sheetView workbookViewId="0">
      <selection activeCell="B10" sqref="B10"/>
    </sheetView>
  </sheetViews>
  <sheetFormatPr defaultRowHeight="14.4" x14ac:dyDescent="0.3"/>
  <cols>
    <col min="1" max="1" width="10.5546875" bestFit="1" customWidth="1"/>
    <col min="2" max="2" width="29.88671875" bestFit="1" customWidth="1"/>
  </cols>
  <sheetData>
    <row r="3" spans="1:2" x14ac:dyDescent="0.3">
      <c r="A3" s="50" t="s">
        <v>13</v>
      </c>
      <c r="B3" t="s">
        <v>21</v>
      </c>
    </row>
    <row r="4" spans="1:2" x14ac:dyDescent="0.3">
      <c r="A4" s="54">
        <v>17</v>
      </c>
      <c r="B4" s="52">
        <v>97398.300000000017</v>
      </c>
    </row>
    <row r="5" spans="1:2" x14ac:dyDescent="0.3">
      <c r="A5" s="54">
        <v>18</v>
      </c>
      <c r="B5" s="52">
        <v>160162.4</v>
      </c>
    </row>
    <row r="6" spans="1:2" x14ac:dyDescent="0.3">
      <c r="A6" s="54">
        <v>19</v>
      </c>
      <c r="B6" s="52">
        <v>40755.800000000003</v>
      </c>
    </row>
    <row r="7" spans="1:2" x14ac:dyDescent="0.3">
      <c r="A7" s="54">
        <v>20</v>
      </c>
      <c r="B7" s="52">
        <v>130589.09999999999</v>
      </c>
    </row>
    <row r="8" spans="1:2" x14ac:dyDescent="0.3">
      <c r="A8" s="54">
        <v>21</v>
      </c>
      <c r="B8" s="52">
        <v>177059.1</v>
      </c>
    </row>
    <row r="9" spans="1:2" x14ac:dyDescent="0.3">
      <c r="A9" s="54">
        <v>22</v>
      </c>
      <c r="B9" s="52">
        <v>246777.09999999998</v>
      </c>
    </row>
    <row r="10" spans="1:2" x14ac:dyDescent="0.3">
      <c r="A10" s="54">
        <v>23</v>
      </c>
      <c r="B10" s="52">
        <v>487045.6</v>
      </c>
    </row>
    <row r="11" spans="1:2" x14ac:dyDescent="0.3">
      <c r="A11" s="54">
        <v>24</v>
      </c>
      <c r="B11" s="52">
        <v>573380.04</v>
      </c>
    </row>
    <row r="12" spans="1:2" x14ac:dyDescent="0.3">
      <c r="A12" s="54">
        <v>25</v>
      </c>
      <c r="B12" s="52">
        <v>463012.55</v>
      </c>
    </row>
    <row r="13" spans="1:2" x14ac:dyDescent="0.3">
      <c r="A13" s="54">
        <v>26</v>
      </c>
      <c r="B13" s="52">
        <v>577681.44999999995</v>
      </c>
    </row>
    <row r="14" spans="1:2" x14ac:dyDescent="0.3">
      <c r="A14" s="54">
        <v>27</v>
      </c>
      <c r="B14" s="52">
        <v>652975.05000000005</v>
      </c>
    </row>
    <row r="15" spans="1:2" x14ac:dyDescent="0.3">
      <c r="A15" s="54" t="s">
        <v>19</v>
      </c>
      <c r="B15" s="52">
        <v>3606836.4899999993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EBCE-07F0-4F65-AC92-30E0B1E8F803}">
  <sheetPr>
    <tabColor rgb="FFC00000"/>
  </sheetPr>
  <dimension ref="B1:X296"/>
  <sheetViews>
    <sheetView showGridLines="0" tabSelected="1" zoomScale="125" zoomScaleNormal="85" workbookViewId="0">
      <pane xSplit="2" ySplit="3" topLeftCell="C150" activePane="bottomRight" state="frozen"/>
      <selection activeCell="FS21" sqref="FS21"/>
      <selection pane="topRight" activeCell="FS21" sqref="FS21"/>
      <selection pane="bottomLeft" activeCell="FS21" sqref="FS21"/>
      <selection pane="bottomRight" activeCell="H160" sqref="H160:K167"/>
    </sheetView>
  </sheetViews>
  <sheetFormatPr defaultColWidth="8.88671875" defaultRowHeight="13.8" x14ac:dyDescent="0.3"/>
  <cols>
    <col min="1" max="1" width="2.44140625" style="1" customWidth="1"/>
    <col min="2" max="4" width="7.88671875" style="1" customWidth="1"/>
    <col min="5" max="5" width="12.109375" style="1" bestFit="1" customWidth="1"/>
    <col min="6" max="6" width="12" style="1" bestFit="1" customWidth="1"/>
    <col min="7" max="8" width="14.44140625" style="1" customWidth="1"/>
    <col min="9" max="9" width="9" style="1" customWidth="1"/>
    <col min="10" max="10" width="9.33203125" style="1" bestFit="1" customWidth="1"/>
    <col min="11" max="13" width="6.5546875" style="1" customWidth="1"/>
    <col min="14" max="14" width="18.109375" style="1" customWidth="1"/>
    <col min="15" max="15" width="8.44140625" style="1" customWidth="1"/>
    <col min="16" max="16" width="16.5546875" style="1" bestFit="1" customWidth="1"/>
    <col min="17" max="17" width="11" style="1" bestFit="1" customWidth="1"/>
    <col min="18" max="18" width="11.109375" style="1" bestFit="1" customWidth="1"/>
    <col min="19" max="19" width="8.88671875" style="1"/>
    <col min="20" max="21" width="11.33203125" style="1" bestFit="1" customWidth="1"/>
    <col min="22" max="22" width="8.88671875" style="1"/>
    <col min="23" max="23" width="10.44140625" style="1" bestFit="1" customWidth="1"/>
    <col min="24" max="187" width="8.88671875" style="1"/>
    <col min="188" max="285" width="0" style="1" hidden="1" customWidth="1"/>
    <col min="286" max="16384" width="8.88671875" style="1"/>
  </cols>
  <sheetData>
    <row r="1" spans="2:24" ht="14.4" thickBot="1" x14ac:dyDescent="0.35">
      <c r="E1" s="11"/>
      <c r="F1" s="11"/>
      <c r="G1" s="11"/>
      <c r="J1" s="11"/>
      <c r="K1" s="11"/>
      <c r="L1" s="21"/>
      <c r="M1" s="20"/>
      <c r="N1" s="11"/>
    </row>
    <row r="2" spans="2:24" ht="28.2" customHeight="1" x14ac:dyDescent="0.3">
      <c r="B2" s="55" t="s">
        <v>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R2" s="2"/>
      <c r="T2" s="3"/>
    </row>
    <row r="3" spans="2:24" s="4" customFormat="1" ht="28.2" thickBot="1" x14ac:dyDescent="0.35">
      <c r="B3" s="22" t="s">
        <v>0</v>
      </c>
      <c r="C3" s="23" t="s">
        <v>13</v>
      </c>
      <c r="D3" s="23" t="s">
        <v>14</v>
      </c>
      <c r="E3" s="23" t="s">
        <v>3</v>
      </c>
      <c r="F3" s="23" t="s">
        <v>1</v>
      </c>
      <c r="G3" s="23" t="s">
        <v>4</v>
      </c>
      <c r="H3" s="23" t="s">
        <v>11</v>
      </c>
      <c r="I3" s="23" t="s">
        <v>2</v>
      </c>
      <c r="J3" s="23" t="s">
        <v>5</v>
      </c>
      <c r="K3" s="23" t="s">
        <v>6</v>
      </c>
      <c r="L3" s="23" t="s">
        <v>7</v>
      </c>
      <c r="M3" s="23" t="s">
        <v>8</v>
      </c>
      <c r="N3" s="24" t="s">
        <v>10</v>
      </c>
      <c r="T3" s="5"/>
      <c r="U3" s="5"/>
      <c r="V3" s="2"/>
      <c r="X3" s="5"/>
    </row>
    <row r="4" spans="2:24" ht="13.95" customHeight="1" x14ac:dyDescent="0.3">
      <c r="B4" s="6">
        <v>46135</v>
      </c>
      <c r="C4" s="48">
        <f>WEEKNUM(B4)</f>
        <v>17</v>
      </c>
      <c r="D4" s="49" t="str">
        <f>TEXT(B4,"mmm-yy")</f>
        <v>Apr-26</v>
      </c>
      <c r="E4" s="58">
        <v>18828.8</v>
      </c>
      <c r="F4" s="59">
        <v>862.7</v>
      </c>
      <c r="G4" s="7">
        <f>E4-F4</f>
        <v>17966.099999999999</v>
      </c>
      <c r="H4" s="7" t="s">
        <v>12</v>
      </c>
      <c r="I4" s="9">
        <v>1001</v>
      </c>
      <c r="J4" s="8">
        <v>8.5</v>
      </c>
      <c r="K4" s="8">
        <v>0.4</v>
      </c>
      <c r="L4" s="10">
        <f>IFERROR(J4/$G4%,"0")</f>
        <v>4.7311325218049559E-2</v>
      </c>
      <c r="M4" s="10">
        <f>IFERROR(K4/$G4%,"0")</f>
        <v>2.2264153043788028E-3</v>
      </c>
      <c r="N4" s="12">
        <f>E4-F4-J4-K4</f>
        <v>17957.199999999997</v>
      </c>
      <c r="R4" s="11"/>
    </row>
    <row r="5" spans="2:24" ht="13.95" customHeight="1" x14ac:dyDescent="0.3">
      <c r="B5" s="6">
        <v>46135</v>
      </c>
      <c r="C5" s="19">
        <f t="shared" ref="C5:C68" si="0">WEEKNUM(B5)</f>
        <v>17</v>
      </c>
      <c r="D5" s="37" t="str">
        <f t="shared" ref="D5:D68" si="1">TEXT(B5,"mmm-yy")</f>
        <v>Apr-26</v>
      </c>
      <c r="E5" s="58"/>
      <c r="F5" s="59"/>
      <c r="G5" s="7">
        <f>E5-F5</f>
        <v>0</v>
      </c>
      <c r="H5" s="7"/>
      <c r="I5" s="9"/>
      <c r="J5" s="8"/>
      <c r="K5" s="8"/>
      <c r="L5" s="39" t="str">
        <f t="shared" ref="L5:L68" si="2">IFERROR(J5/$G5%,"0")</f>
        <v>0</v>
      </c>
      <c r="M5" s="39" t="str">
        <f t="shared" ref="M5:M68" si="3">IFERROR(K5/$G5%,"0")</f>
        <v>0</v>
      </c>
      <c r="N5" s="12">
        <f t="shared" ref="N5:N68" si="4">E5-F5-J5-K5</f>
        <v>0</v>
      </c>
      <c r="R5" s="11"/>
    </row>
    <row r="6" spans="2:24" ht="13.95" customHeight="1" x14ac:dyDescent="0.3">
      <c r="B6" s="6">
        <v>46136</v>
      </c>
      <c r="C6" s="19">
        <f t="shared" si="0"/>
        <v>17</v>
      </c>
      <c r="D6" s="37" t="str">
        <f t="shared" si="1"/>
        <v>Apr-26</v>
      </c>
      <c r="E6" s="58">
        <v>32319.850000000002</v>
      </c>
      <c r="F6" s="59">
        <v>1586.8</v>
      </c>
      <c r="G6" s="7">
        <f>E6-F6</f>
        <v>30733.050000000003</v>
      </c>
      <c r="H6" s="7" t="s">
        <v>12</v>
      </c>
      <c r="I6" s="9">
        <v>1001</v>
      </c>
      <c r="J6" s="8"/>
      <c r="K6" s="8"/>
      <c r="L6" s="39">
        <f t="shared" si="2"/>
        <v>0</v>
      </c>
      <c r="M6" s="39">
        <f t="shared" si="3"/>
        <v>0</v>
      </c>
      <c r="N6" s="12">
        <f t="shared" si="4"/>
        <v>30733.050000000003</v>
      </c>
      <c r="R6" s="11"/>
    </row>
    <row r="7" spans="2:24" ht="13.95" customHeight="1" x14ac:dyDescent="0.3">
      <c r="B7" s="6">
        <v>46136</v>
      </c>
      <c r="C7" s="19">
        <f t="shared" si="0"/>
        <v>17</v>
      </c>
      <c r="D7" s="37" t="str">
        <f t="shared" si="1"/>
        <v>Apr-26</v>
      </c>
      <c r="E7" s="60">
        <v>35554.65</v>
      </c>
      <c r="F7" s="61">
        <v>1598.6</v>
      </c>
      <c r="G7" s="7">
        <f t="shared" ref="G7:G76" si="5">E7-F7</f>
        <v>33956.050000000003</v>
      </c>
      <c r="H7" s="7" t="s">
        <v>12</v>
      </c>
      <c r="I7" s="9">
        <v>1001</v>
      </c>
      <c r="J7" s="13">
        <v>289</v>
      </c>
      <c r="K7" s="13">
        <v>1.35</v>
      </c>
      <c r="L7" s="39">
        <f t="shared" si="2"/>
        <v>0.85110017213427347</v>
      </c>
      <c r="M7" s="39">
        <f t="shared" si="3"/>
        <v>3.9757274476860524E-3</v>
      </c>
      <c r="N7" s="12">
        <f t="shared" si="4"/>
        <v>33665.700000000004</v>
      </c>
      <c r="R7" s="11"/>
    </row>
    <row r="8" spans="2:24" ht="13.95" customHeight="1" x14ac:dyDescent="0.3">
      <c r="B8" s="6">
        <v>46137</v>
      </c>
      <c r="C8" s="19">
        <f t="shared" si="0"/>
        <v>17</v>
      </c>
      <c r="D8" s="37" t="str">
        <f t="shared" si="1"/>
        <v>Apr-26</v>
      </c>
      <c r="E8" s="60">
        <v>15594</v>
      </c>
      <c r="F8" s="61">
        <v>850.9</v>
      </c>
      <c r="G8" s="7">
        <f t="shared" si="5"/>
        <v>14743.1</v>
      </c>
      <c r="H8" s="7" t="s">
        <v>12</v>
      </c>
      <c r="I8" s="9">
        <v>1001</v>
      </c>
      <c r="J8" s="13">
        <v>457</v>
      </c>
      <c r="K8" s="13">
        <v>3.5</v>
      </c>
      <c r="L8" s="39">
        <f t="shared" si="2"/>
        <v>3.0997551396924661</v>
      </c>
      <c r="M8" s="39">
        <f t="shared" si="3"/>
        <v>2.3739919012961994E-2</v>
      </c>
      <c r="N8" s="12">
        <f t="shared" si="4"/>
        <v>14282.6</v>
      </c>
      <c r="R8" s="3"/>
    </row>
    <row r="9" spans="2:24" ht="13.95" customHeight="1" x14ac:dyDescent="0.3">
      <c r="B9" s="6">
        <v>46137</v>
      </c>
      <c r="C9" s="19">
        <f t="shared" si="0"/>
        <v>17</v>
      </c>
      <c r="D9" s="37" t="str">
        <f t="shared" si="1"/>
        <v>Apr-26</v>
      </c>
      <c r="E9" s="60"/>
      <c r="F9" s="61"/>
      <c r="G9" s="7">
        <f t="shared" si="5"/>
        <v>0</v>
      </c>
      <c r="H9" s="7"/>
      <c r="I9" s="9"/>
      <c r="J9" s="13"/>
      <c r="K9" s="13"/>
      <c r="L9" s="39" t="str">
        <f t="shared" si="2"/>
        <v>0</v>
      </c>
      <c r="M9" s="39" t="str">
        <f t="shared" si="3"/>
        <v>0</v>
      </c>
      <c r="N9" s="12">
        <f t="shared" si="4"/>
        <v>0</v>
      </c>
    </row>
    <row r="10" spans="2:24" ht="13.95" customHeight="1" x14ac:dyDescent="0.3">
      <c r="B10" s="6">
        <v>46138</v>
      </c>
      <c r="C10" s="19">
        <f t="shared" si="0"/>
        <v>18</v>
      </c>
      <c r="D10" s="37" t="str">
        <f t="shared" si="1"/>
        <v>Apr-26</v>
      </c>
      <c r="E10" s="60"/>
      <c r="F10" s="61"/>
      <c r="G10" s="7">
        <f t="shared" si="5"/>
        <v>0</v>
      </c>
      <c r="H10" s="7"/>
      <c r="I10" s="13"/>
      <c r="J10" s="13"/>
      <c r="K10" s="13"/>
      <c r="L10" s="39" t="str">
        <f t="shared" si="2"/>
        <v>0</v>
      </c>
      <c r="M10" s="39" t="str">
        <f t="shared" si="3"/>
        <v>0</v>
      </c>
      <c r="N10" s="12">
        <f t="shared" si="4"/>
        <v>0</v>
      </c>
    </row>
    <row r="11" spans="2:24" ht="13.95" customHeight="1" x14ac:dyDescent="0.3">
      <c r="B11" s="6">
        <v>46139</v>
      </c>
      <c r="C11" s="19">
        <f t="shared" si="0"/>
        <v>18</v>
      </c>
      <c r="D11" s="37" t="str">
        <f t="shared" si="1"/>
        <v>Apr-26</v>
      </c>
      <c r="E11" s="60">
        <v>46375.9</v>
      </c>
      <c r="F11" s="61">
        <v>2309</v>
      </c>
      <c r="G11" s="7">
        <f t="shared" si="5"/>
        <v>44066.9</v>
      </c>
      <c r="H11" s="7" t="s">
        <v>12</v>
      </c>
      <c r="I11" s="8">
        <v>1004</v>
      </c>
      <c r="J11" s="13"/>
      <c r="K11" s="13"/>
      <c r="L11" s="39">
        <f t="shared" si="2"/>
        <v>0</v>
      </c>
      <c r="M11" s="39">
        <f t="shared" si="3"/>
        <v>0</v>
      </c>
      <c r="N11" s="12">
        <f t="shared" si="4"/>
        <v>44066.9</v>
      </c>
    </row>
    <row r="12" spans="2:24" ht="13.95" customHeight="1" x14ac:dyDescent="0.3">
      <c r="B12" s="6">
        <v>46139</v>
      </c>
      <c r="C12" s="19">
        <f t="shared" si="0"/>
        <v>18</v>
      </c>
      <c r="D12" s="37" t="str">
        <f t="shared" si="1"/>
        <v>Apr-26</v>
      </c>
      <c r="E12" s="60">
        <v>34772.6</v>
      </c>
      <c r="F12" s="61">
        <v>1858.7</v>
      </c>
      <c r="G12" s="7">
        <f t="shared" si="5"/>
        <v>32913.9</v>
      </c>
      <c r="H12" s="7" t="s">
        <v>12</v>
      </c>
      <c r="I12" s="8">
        <v>1004</v>
      </c>
      <c r="J12" s="13">
        <v>705.3</v>
      </c>
      <c r="K12" s="13">
        <v>10.5</v>
      </c>
      <c r="L12" s="39">
        <f t="shared" si="2"/>
        <v>2.142863653350104</v>
      </c>
      <c r="M12" s="39">
        <f t="shared" si="3"/>
        <v>3.1901415511379691E-2</v>
      </c>
      <c r="N12" s="12">
        <f t="shared" si="4"/>
        <v>32198.100000000002</v>
      </c>
    </row>
    <row r="13" spans="2:24" ht="13.95" customHeight="1" x14ac:dyDescent="0.3">
      <c r="B13" s="6">
        <v>46140</v>
      </c>
      <c r="C13" s="19">
        <f t="shared" si="0"/>
        <v>18</v>
      </c>
      <c r="D13" s="37" t="str">
        <f t="shared" si="1"/>
        <v>Apr-26</v>
      </c>
      <c r="E13" s="60">
        <v>40513.1</v>
      </c>
      <c r="F13" s="61">
        <f>284.1+1767.4</f>
        <v>2051.5</v>
      </c>
      <c r="G13" s="7">
        <f t="shared" si="5"/>
        <v>38461.599999999999</v>
      </c>
      <c r="H13" s="7" t="s">
        <v>12</v>
      </c>
      <c r="I13" s="8">
        <v>1002</v>
      </c>
      <c r="J13" s="13">
        <v>325.5</v>
      </c>
      <c r="K13" s="13">
        <v>2.2999999999999998</v>
      </c>
      <c r="L13" s="39">
        <f t="shared" si="2"/>
        <v>0.84629864592216653</v>
      </c>
      <c r="M13" s="39">
        <f t="shared" si="3"/>
        <v>5.9799904320153082E-3</v>
      </c>
      <c r="N13" s="12">
        <f t="shared" si="4"/>
        <v>38133.799999999996</v>
      </c>
      <c r="P13" s="3"/>
    </row>
    <row r="14" spans="2:24" ht="13.95" customHeight="1" x14ac:dyDescent="0.3">
      <c r="B14" s="6">
        <v>46140</v>
      </c>
      <c r="C14" s="19">
        <f t="shared" si="0"/>
        <v>18</v>
      </c>
      <c r="D14" s="37" t="str">
        <f t="shared" si="1"/>
        <v>Apr-26</v>
      </c>
      <c r="E14" s="60"/>
      <c r="F14" s="61"/>
      <c r="G14" s="7">
        <f t="shared" si="5"/>
        <v>0</v>
      </c>
      <c r="H14" s="7"/>
      <c r="I14" s="9"/>
      <c r="J14" s="13"/>
      <c r="K14" s="13"/>
      <c r="L14" s="39" t="str">
        <f t="shared" si="2"/>
        <v>0</v>
      </c>
      <c r="M14" s="39" t="str">
        <f t="shared" si="3"/>
        <v>0</v>
      </c>
      <c r="N14" s="12">
        <f t="shared" si="4"/>
        <v>0</v>
      </c>
      <c r="P14" s="3"/>
    </row>
    <row r="15" spans="2:24" ht="13.95" customHeight="1" x14ac:dyDescent="0.3">
      <c r="B15" s="6">
        <v>46141</v>
      </c>
      <c r="C15" s="19">
        <f t="shared" si="0"/>
        <v>18</v>
      </c>
      <c r="D15" s="37" t="str">
        <f t="shared" si="1"/>
        <v>Apr-26</v>
      </c>
      <c r="E15" s="60"/>
      <c r="F15" s="61"/>
      <c r="G15" s="7">
        <f t="shared" si="5"/>
        <v>0</v>
      </c>
      <c r="H15" s="7"/>
      <c r="I15" s="13"/>
      <c r="J15" s="13"/>
      <c r="K15" s="13"/>
      <c r="L15" s="39" t="str">
        <f t="shared" si="2"/>
        <v>0</v>
      </c>
      <c r="M15" s="39" t="str">
        <f t="shared" si="3"/>
        <v>0</v>
      </c>
      <c r="N15" s="12">
        <f t="shared" si="4"/>
        <v>0</v>
      </c>
      <c r="P15" s="3"/>
    </row>
    <row r="16" spans="2:24" ht="13.95" customHeight="1" x14ac:dyDescent="0.3">
      <c r="B16" s="6">
        <v>46142</v>
      </c>
      <c r="C16" s="19">
        <f t="shared" si="0"/>
        <v>18</v>
      </c>
      <c r="D16" s="37" t="str">
        <f t="shared" si="1"/>
        <v>Apr-26</v>
      </c>
      <c r="E16" s="60">
        <v>28623.200000000001</v>
      </c>
      <c r="F16" s="61">
        <f>1204.3+286.3</f>
        <v>1490.6</v>
      </c>
      <c r="G16" s="7">
        <f t="shared" si="5"/>
        <v>27132.600000000002</v>
      </c>
      <c r="H16" s="7" t="s">
        <v>12</v>
      </c>
      <c r="I16" s="8">
        <v>1005</v>
      </c>
      <c r="J16" s="13">
        <v>275.2</v>
      </c>
      <c r="K16" s="13">
        <v>1.8</v>
      </c>
      <c r="L16" s="39">
        <f t="shared" si="2"/>
        <v>1.0142780271702674</v>
      </c>
      <c r="M16" s="39">
        <f t="shared" si="3"/>
        <v>6.6340859335264589E-3</v>
      </c>
      <c r="N16" s="12">
        <f t="shared" si="4"/>
        <v>26855.600000000002</v>
      </c>
      <c r="P16" s="3"/>
    </row>
    <row r="17" spans="2:16" ht="13.95" customHeight="1" x14ac:dyDescent="0.3">
      <c r="B17" s="6">
        <v>46142</v>
      </c>
      <c r="C17" s="19">
        <f t="shared" si="0"/>
        <v>18</v>
      </c>
      <c r="D17" s="37" t="str">
        <f t="shared" si="1"/>
        <v>Apr-26</v>
      </c>
      <c r="E17" s="60"/>
      <c r="F17" s="61"/>
      <c r="G17" s="7">
        <f t="shared" si="5"/>
        <v>0</v>
      </c>
      <c r="H17" s="7"/>
      <c r="I17" s="8"/>
      <c r="J17" s="13"/>
      <c r="K17" s="13"/>
      <c r="L17" s="39" t="str">
        <f t="shared" si="2"/>
        <v>0</v>
      </c>
      <c r="M17" s="39" t="str">
        <f t="shared" si="3"/>
        <v>0</v>
      </c>
      <c r="N17" s="12">
        <f t="shared" si="4"/>
        <v>0</v>
      </c>
      <c r="P17" s="3"/>
    </row>
    <row r="18" spans="2:16" ht="13.95" customHeight="1" x14ac:dyDescent="0.3">
      <c r="B18" s="6">
        <v>46143</v>
      </c>
      <c r="C18" s="19">
        <f t="shared" si="0"/>
        <v>18</v>
      </c>
      <c r="D18" s="37" t="str">
        <f t="shared" si="1"/>
        <v>May-26</v>
      </c>
      <c r="E18" s="60"/>
      <c r="F18" s="61"/>
      <c r="G18" s="7">
        <f t="shared" si="5"/>
        <v>0</v>
      </c>
      <c r="H18" s="7"/>
      <c r="I18" s="13"/>
      <c r="J18" s="13"/>
      <c r="K18" s="13"/>
      <c r="L18" s="39" t="str">
        <f t="shared" si="2"/>
        <v>0</v>
      </c>
      <c r="M18" s="39" t="str">
        <f t="shared" si="3"/>
        <v>0</v>
      </c>
      <c r="N18" s="12">
        <f t="shared" si="4"/>
        <v>0</v>
      </c>
      <c r="P18" s="3"/>
    </row>
    <row r="19" spans="2:16" ht="13.95" customHeight="1" x14ac:dyDescent="0.3">
      <c r="B19" s="6">
        <v>46144</v>
      </c>
      <c r="C19" s="19">
        <f t="shared" si="0"/>
        <v>18</v>
      </c>
      <c r="D19" s="37" t="str">
        <f t="shared" si="1"/>
        <v>May-26</v>
      </c>
      <c r="E19" s="60">
        <v>18500</v>
      </c>
      <c r="F19" s="61">
        <f>759.8+152.8</f>
        <v>912.59999999999991</v>
      </c>
      <c r="G19" s="7">
        <f t="shared" si="5"/>
        <v>17587.400000000001</v>
      </c>
      <c r="H19" s="7" t="s">
        <v>12</v>
      </c>
      <c r="I19" s="8">
        <v>1005</v>
      </c>
      <c r="J19" s="13">
        <v>130.5</v>
      </c>
      <c r="K19" s="13">
        <v>0.5</v>
      </c>
      <c r="L19" s="39">
        <f t="shared" si="2"/>
        <v>0.74200848334603176</v>
      </c>
      <c r="M19" s="39">
        <f t="shared" si="3"/>
        <v>2.8429443806361368E-3</v>
      </c>
      <c r="N19" s="12">
        <f t="shared" si="4"/>
        <v>17456.400000000001</v>
      </c>
      <c r="P19" s="3"/>
    </row>
    <row r="20" spans="2:16" ht="13.95" customHeight="1" x14ac:dyDescent="0.3">
      <c r="B20" s="6">
        <v>46145</v>
      </c>
      <c r="C20" s="19">
        <f t="shared" si="0"/>
        <v>19</v>
      </c>
      <c r="D20" s="37" t="str">
        <f t="shared" si="1"/>
        <v>May-26</v>
      </c>
      <c r="E20" s="60"/>
      <c r="F20" s="61"/>
      <c r="G20" s="7">
        <f t="shared" si="5"/>
        <v>0</v>
      </c>
      <c r="H20" s="7"/>
      <c r="I20" s="13"/>
      <c r="J20" s="13"/>
      <c r="K20" s="13"/>
      <c r="L20" s="39" t="str">
        <f t="shared" si="2"/>
        <v>0</v>
      </c>
      <c r="M20" s="39" t="str">
        <f t="shared" si="3"/>
        <v>0</v>
      </c>
      <c r="N20" s="12">
        <f t="shared" si="4"/>
        <v>0</v>
      </c>
      <c r="P20" s="3"/>
    </row>
    <row r="21" spans="2:16" ht="13.95" customHeight="1" x14ac:dyDescent="0.3">
      <c r="B21" s="6">
        <v>46146</v>
      </c>
      <c r="C21" s="19">
        <f t="shared" si="0"/>
        <v>19</v>
      </c>
      <c r="D21" s="37" t="str">
        <f t="shared" si="1"/>
        <v>May-26</v>
      </c>
      <c r="E21" s="60"/>
      <c r="F21" s="61"/>
      <c r="G21" s="7">
        <f t="shared" si="5"/>
        <v>0</v>
      </c>
      <c r="H21" s="7"/>
      <c r="I21" s="13"/>
      <c r="J21" s="13"/>
      <c r="K21" s="13"/>
      <c r="L21" s="39" t="str">
        <f t="shared" si="2"/>
        <v>0</v>
      </c>
      <c r="M21" s="39" t="str">
        <f t="shared" si="3"/>
        <v>0</v>
      </c>
      <c r="N21" s="12">
        <f t="shared" si="4"/>
        <v>0</v>
      </c>
      <c r="P21" s="3"/>
    </row>
    <row r="22" spans="2:16" ht="13.95" customHeight="1" x14ac:dyDescent="0.3">
      <c r="B22" s="6">
        <v>46147</v>
      </c>
      <c r="C22" s="19">
        <f t="shared" si="0"/>
        <v>19</v>
      </c>
      <c r="D22" s="37" t="str">
        <f t="shared" si="1"/>
        <v>May-26</v>
      </c>
      <c r="E22" s="60"/>
      <c r="F22" s="61"/>
      <c r="G22" s="7">
        <f t="shared" si="5"/>
        <v>0</v>
      </c>
      <c r="H22" s="7"/>
      <c r="I22" s="13"/>
      <c r="J22" s="13"/>
      <c r="K22" s="13"/>
      <c r="L22" s="39" t="str">
        <f t="shared" si="2"/>
        <v>0</v>
      </c>
      <c r="M22" s="39" t="str">
        <f t="shared" si="3"/>
        <v>0</v>
      </c>
      <c r="N22" s="12">
        <f t="shared" si="4"/>
        <v>0</v>
      </c>
      <c r="P22" s="3"/>
    </row>
    <row r="23" spans="2:16" ht="13.95" customHeight="1" x14ac:dyDescent="0.3">
      <c r="B23" s="6">
        <v>46147</v>
      </c>
      <c r="C23" s="19">
        <f t="shared" si="0"/>
        <v>19</v>
      </c>
      <c r="D23" s="37" t="str">
        <f t="shared" si="1"/>
        <v>May-26</v>
      </c>
      <c r="E23" s="60"/>
      <c r="F23" s="61"/>
      <c r="G23" s="7">
        <f t="shared" si="5"/>
        <v>0</v>
      </c>
      <c r="H23" s="7"/>
      <c r="I23" s="13"/>
      <c r="J23" s="13"/>
      <c r="K23" s="13"/>
      <c r="L23" s="39" t="str">
        <f t="shared" si="2"/>
        <v>0</v>
      </c>
      <c r="M23" s="39" t="str">
        <f t="shared" si="3"/>
        <v>0</v>
      </c>
      <c r="N23" s="12">
        <f t="shared" si="4"/>
        <v>0</v>
      </c>
      <c r="P23" s="3"/>
    </row>
    <row r="24" spans="2:16" ht="13.95" customHeight="1" x14ac:dyDescent="0.3">
      <c r="B24" s="6">
        <v>46148</v>
      </c>
      <c r="C24" s="19">
        <f t="shared" si="0"/>
        <v>19</v>
      </c>
      <c r="D24" s="37" t="str">
        <f t="shared" si="1"/>
        <v>May-26</v>
      </c>
      <c r="E24" s="60"/>
      <c r="F24" s="61"/>
      <c r="G24" s="7">
        <f t="shared" si="5"/>
        <v>0</v>
      </c>
      <c r="H24" s="7"/>
      <c r="I24" s="13"/>
      <c r="J24" s="13"/>
      <c r="K24" s="13"/>
      <c r="L24" s="39" t="str">
        <f t="shared" si="2"/>
        <v>0</v>
      </c>
      <c r="M24" s="39" t="str">
        <f t="shared" si="3"/>
        <v>0</v>
      </c>
      <c r="N24" s="12">
        <f t="shared" si="4"/>
        <v>0</v>
      </c>
    </row>
    <row r="25" spans="2:16" ht="13.95" customHeight="1" x14ac:dyDescent="0.3">
      <c r="B25" s="6">
        <v>46148</v>
      </c>
      <c r="C25" s="19">
        <f t="shared" si="0"/>
        <v>19</v>
      </c>
      <c r="D25" s="37" t="str">
        <f t="shared" si="1"/>
        <v>May-26</v>
      </c>
      <c r="E25" s="60"/>
      <c r="F25" s="61"/>
      <c r="G25" s="7">
        <f t="shared" si="5"/>
        <v>0</v>
      </c>
      <c r="H25" s="7"/>
      <c r="I25" s="13"/>
      <c r="J25" s="13"/>
      <c r="K25" s="13"/>
      <c r="L25" s="39" t="str">
        <f t="shared" si="2"/>
        <v>0</v>
      </c>
      <c r="M25" s="39" t="str">
        <f t="shared" si="3"/>
        <v>0</v>
      </c>
      <c r="N25" s="12">
        <f t="shared" si="4"/>
        <v>0</v>
      </c>
    </row>
    <row r="26" spans="2:16" ht="13.95" customHeight="1" x14ac:dyDescent="0.3">
      <c r="B26" s="6">
        <v>46149</v>
      </c>
      <c r="C26" s="19">
        <f t="shared" si="0"/>
        <v>19</v>
      </c>
      <c r="D26" s="37" t="str">
        <f t="shared" si="1"/>
        <v>May-26</v>
      </c>
      <c r="E26" s="60"/>
      <c r="F26" s="61"/>
      <c r="G26" s="7">
        <f t="shared" si="5"/>
        <v>0</v>
      </c>
      <c r="H26" s="7"/>
      <c r="I26" s="13"/>
      <c r="J26" s="13"/>
      <c r="K26" s="13"/>
      <c r="L26" s="39" t="str">
        <f t="shared" si="2"/>
        <v>0</v>
      </c>
      <c r="M26" s="39" t="str">
        <f t="shared" si="3"/>
        <v>0</v>
      </c>
      <c r="N26" s="12">
        <f t="shared" si="4"/>
        <v>0</v>
      </c>
    </row>
    <row r="27" spans="2:16" ht="13.95" customHeight="1" x14ac:dyDescent="0.3">
      <c r="B27" s="6">
        <v>46150</v>
      </c>
      <c r="C27" s="19">
        <f t="shared" si="0"/>
        <v>19</v>
      </c>
      <c r="D27" s="37" t="str">
        <f t="shared" si="1"/>
        <v>May-26</v>
      </c>
      <c r="E27" s="60"/>
      <c r="F27" s="61"/>
      <c r="G27" s="7">
        <f t="shared" si="5"/>
        <v>0</v>
      </c>
      <c r="H27" s="7"/>
      <c r="I27" s="31"/>
      <c r="J27" s="13"/>
      <c r="K27" s="13"/>
      <c r="L27" s="39" t="str">
        <f t="shared" si="2"/>
        <v>0</v>
      </c>
      <c r="M27" s="39" t="str">
        <f t="shared" si="3"/>
        <v>0</v>
      </c>
      <c r="N27" s="12">
        <f t="shared" si="4"/>
        <v>0</v>
      </c>
    </row>
    <row r="28" spans="2:16" ht="13.95" customHeight="1" x14ac:dyDescent="0.3">
      <c r="B28" s="6">
        <v>46151</v>
      </c>
      <c r="C28" s="19">
        <f t="shared" si="0"/>
        <v>19</v>
      </c>
      <c r="D28" s="37" t="str">
        <f t="shared" si="1"/>
        <v>May-26</v>
      </c>
      <c r="E28" s="62">
        <v>42450.8</v>
      </c>
      <c r="F28" s="63">
        <v>1695</v>
      </c>
      <c r="G28" s="7">
        <f t="shared" si="5"/>
        <v>40755.800000000003</v>
      </c>
      <c r="H28" s="7" t="s">
        <v>12</v>
      </c>
      <c r="I28" s="33">
        <v>1010</v>
      </c>
      <c r="J28" s="32">
        <f>370.6+76.8</f>
        <v>447.40000000000003</v>
      </c>
      <c r="K28" s="13">
        <v>6.5</v>
      </c>
      <c r="L28" s="39">
        <f t="shared" si="2"/>
        <v>1.0977578651382134</v>
      </c>
      <c r="M28" s="39">
        <f t="shared" si="3"/>
        <v>1.5948650253460855E-2</v>
      </c>
      <c r="N28" s="12">
        <f t="shared" si="4"/>
        <v>40301.9</v>
      </c>
    </row>
    <row r="29" spans="2:16" ht="13.95" customHeight="1" x14ac:dyDescent="0.3">
      <c r="B29" s="6">
        <v>46152</v>
      </c>
      <c r="C29" s="19">
        <f t="shared" si="0"/>
        <v>20</v>
      </c>
      <c r="D29" s="37" t="str">
        <f t="shared" si="1"/>
        <v>May-26</v>
      </c>
      <c r="E29" s="62"/>
      <c r="F29" s="63"/>
      <c r="G29" s="7">
        <f t="shared" si="5"/>
        <v>0</v>
      </c>
      <c r="H29" s="7"/>
      <c r="I29" s="31"/>
      <c r="J29" s="13"/>
      <c r="K29" s="13"/>
      <c r="L29" s="39" t="str">
        <f t="shared" si="2"/>
        <v>0</v>
      </c>
      <c r="M29" s="39" t="str">
        <f t="shared" si="3"/>
        <v>0</v>
      </c>
      <c r="N29" s="12">
        <f t="shared" si="4"/>
        <v>0</v>
      </c>
    </row>
    <row r="30" spans="2:16" ht="13.95" customHeight="1" x14ac:dyDescent="0.3">
      <c r="B30" s="6">
        <v>46153</v>
      </c>
      <c r="C30" s="19">
        <f t="shared" si="0"/>
        <v>20</v>
      </c>
      <c r="D30" s="37" t="str">
        <f t="shared" si="1"/>
        <v>May-26</v>
      </c>
      <c r="E30" s="62"/>
      <c r="F30" s="63"/>
      <c r="G30" s="7">
        <f t="shared" si="5"/>
        <v>0</v>
      </c>
      <c r="H30" s="7"/>
      <c r="I30" s="31"/>
      <c r="J30" s="13"/>
      <c r="K30" s="13"/>
      <c r="L30" s="39" t="str">
        <f t="shared" si="2"/>
        <v>0</v>
      </c>
      <c r="M30" s="39" t="str">
        <f t="shared" si="3"/>
        <v>0</v>
      </c>
      <c r="N30" s="12">
        <f t="shared" si="4"/>
        <v>0</v>
      </c>
    </row>
    <row r="31" spans="2:16" ht="13.95" customHeight="1" x14ac:dyDescent="0.3">
      <c r="B31" s="6">
        <v>46154</v>
      </c>
      <c r="C31" s="19">
        <f t="shared" si="0"/>
        <v>20</v>
      </c>
      <c r="D31" s="37" t="str">
        <f t="shared" si="1"/>
        <v>May-26</v>
      </c>
      <c r="E31" s="62"/>
      <c r="F31" s="63"/>
      <c r="G31" s="7">
        <f t="shared" si="5"/>
        <v>0</v>
      </c>
      <c r="H31" s="7"/>
      <c r="I31" s="31"/>
      <c r="J31" s="13"/>
      <c r="K31" s="13"/>
      <c r="L31" s="39" t="str">
        <f t="shared" si="2"/>
        <v>0</v>
      </c>
      <c r="M31" s="39" t="str">
        <f t="shared" si="3"/>
        <v>0</v>
      </c>
      <c r="N31" s="12">
        <f t="shared" si="4"/>
        <v>0</v>
      </c>
    </row>
    <row r="32" spans="2:16" ht="13.95" customHeight="1" x14ac:dyDescent="0.3">
      <c r="B32" s="6">
        <v>46155</v>
      </c>
      <c r="C32" s="19">
        <f t="shared" si="0"/>
        <v>20</v>
      </c>
      <c r="D32" s="37" t="str">
        <f t="shared" si="1"/>
        <v>May-26</v>
      </c>
      <c r="E32" s="62">
        <v>46468.3</v>
      </c>
      <c r="F32" s="63">
        <v>2443.7999999999997</v>
      </c>
      <c r="G32" s="7">
        <f t="shared" si="5"/>
        <v>44024.5</v>
      </c>
      <c r="H32" s="7" t="s">
        <v>12</v>
      </c>
      <c r="I32" s="33">
        <v>1013</v>
      </c>
      <c r="J32" s="32">
        <f>314.6-3.75</f>
        <v>310.85000000000002</v>
      </c>
      <c r="K32" s="13">
        <v>3.5</v>
      </c>
      <c r="L32" s="39">
        <f t="shared" si="2"/>
        <v>0.70608411225567591</v>
      </c>
      <c r="M32" s="39">
        <f t="shared" si="3"/>
        <v>7.9501186839146375E-3</v>
      </c>
      <c r="N32" s="12">
        <f t="shared" si="4"/>
        <v>43710.15</v>
      </c>
    </row>
    <row r="33" spans="2:14" ht="13.95" customHeight="1" x14ac:dyDescent="0.3">
      <c r="B33" s="6">
        <v>46156</v>
      </c>
      <c r="C33" s="19">
        <f t="shared" si="0"/>
        <v>20</v>
      </c>
      <c r="D33" s="37" t="str">
        <f t="shared" si="1"/>
        <v>May-26</v>
      </c>
      <c r="E33" s="60"/>
      <c r="F33" s="61"/>
      <c r="G33" s="7">
        <f t="shared" si="5"/>
        <v>0</v>
      </c>
      <c r="H33" s="7"/>
      <c r="I33" s="31"/>
      <c r="J33" s="13"/>
      <c r="K33" s="13"/>
      <c r="L33" s="39" t="str">
        <f t="shared" si="2"/>
        <v>0</v>
      </c>
      <c r="M33" s="39" t="str">
        <f t="shared" si="3"/>
        <v>0</v>
      </c>
      <c r="N33" s="12">
        <f t="shared" si="4"/>
        <v>0</v>
      </c>
    </row>
    <row r="34" spans="2:14" ht="13.95" customHeight="1" x14ac:dyDescent="0.3">
      <c r="B34" s="6">
        <v>46157</v>
      </c>
      <c r="C34" s="19">
        <f t="shared" si="0"/>
        <v>20</v>
      </c>
      <c r="D34" s="37" t="str">
        <f t="shared" si="1"/>
        <v>May-26</v>
      </c>
      <c r="E34" s="63">
        <v>45652.4</v>
      </c>
      <c r="F34" s="63">
        <v>2198</v>
      </c>
      <c r="G34" s="7">
        <f t="shared" si="5"/>
        <v>43454.400000000001</v>
      </c>
      <c r="H34" s="7" t="s">
        <v>12</v>
      </c>
      <c r="I34" s="34">
        <v>1011</v>
      </c>
      <c r="J34" s="32">
        <v>524.4</v>
      </c>
      <c r="K34" s="13">
        <v>6.8</v>
      </c>
      <c r="L34" s="39">
        <f t="shared" si="2"/>
        <v>1.2067822821164254</v>
      </c>
      <c r="M34" s="39">
        <f t="shared" si="3"/>
        <v>1.5648587945064251E-2</v>
      </c>
      <c r="N34" s="12">
        <f t="shared" si="4"/>
        <v>42923.199999999997</v>
      </c>
    </row>
    <row r="35" spans="2:14" ht="13.95" customHeight="1" x14ac:dyDescent="0.3">
      <c r="B35" s="6">
        <v>46157</v>
      </c>
      <c r="C35" s="19">
        <f t="shared" si="0"/>
        <v>20</v>
      </c>
      <c r="D35" s="37" t="str">
        <f t="shared" si="1"/>
        <v>May-26</v>
      </c>
      <c r="E35" s="60"/>
      <c r="F35" s="61"/>
      <c r="G35" s="7">
        <f t="shared" si="5"/>
        <v>0</v>
      </c>
      <c r="H35" s="7"/>
      <c r="I35" s="64"/>
      <c r="J35" s="13"/>
      <c r="K35" s="13"/>
      <c r="L35" s="39" t="str">
        <f t="shared" si="2"/>
        <v>0</v>
      </c>
      <c r="M35" s="39" t="str">
        <f t="shared" si="3"/>
        <v>0</v>
      </c>
      <c r="N35" s="12">
        <f t="shared" si="4"/>
        <v>0</v>
      </c>
    </row>
    <row r="36" spans="2:14" ht="13.95" customHeight="1" x14ac:dyDescent="0.3">
      <c r="B36" s="6">
        <v>46158</v>
      </c>
      <c r="C36" s="19">
        <f t="shared" si="0"/>
        <v>20</v>
      </c>
      <c r="D36" s="37" t="str">
        <f t="shared" si="1"/>
        <v>May-26</v>
      </c>
      <c r="E36" s="60">
        <v>45211.199999999997</v>
      </c>
      <c r="F36" s="61">
        <f>1726+375</f>
        <v>2101</v>
      </c>
      <c r="G36" s="7">
        <f t="shared" si="5"/>
        <v>43110.2</v>
      </c>
      <c r="H36" s="7" t="s">
        <v>12</v>
      </c>
      <c r="I36" s="33">
        <v>1014</v>
      </c>
      <c r="J36" s="13">
        <v>532</v>
      </c>
      <c r="K36" s="13">
        <v>3</v>
      </c>
      <c r="L36" s="39">
        <f t="shared" si="2"/>
        <v>1.2340466989250805</v>
      </c>
      <c r="M36" s="39">
        <f t="shared" si="3"/>
        <v>6.9589099563444386E-3</v>
      </c>
      <c r="N36" s="12">
        <f t="shared" si="4"/>
        <v>42575.199999999997</v>
      </c>
    </row>
    <row r="37" spans="2:14" ht="13.95" customHeight="1" x14ac:dyDescent="0.3">
      <c r="B37" s="6">
        <v>46159</v>
      </c>
      <c r="C37" s="19">
        <f t="shared" si="0"/>
        <v>21</v>
      </c>
      <c r="D37" s="37" t="str">
        <f t="shared" si="1"/>
        <v>May-26</v>
      </c>
      <c r="E37" s="60"/>
      <c r="F37" s="61"/>
      <c r="G37" s="7">
        <f t="shared" si="5"/>
        <v>0</v>
      </c>
      <c r="H37" s="7"/>
      <c r="I37" s="33"/>
      <c r="J37" s="13"/>
      <c r="K37" s="13"/>
      <c r="L37" s="39" t="str">
        <f t="shared" si="2"/>
        <v>0</v>
      </c>
      <c r="M37" s="39" t="str">
        <f t="shared" si="3"/>
        <v>0</v>
      </c>
      <c r="N37" s="12">
        <f t="shared" si="4"/>
        <v>0</v>
      </c>
    </row>
    <row r="38" spans="2:14" ht="13.95" customHeight="1" x14ac:dyDescent="0.3">
      <c r="B38" s="6">
        <v>46160</v>
      </c>
      <c r="C38" s="19">
        <f t="shared" si="0"/>
        <v>21</v>
      </c>
      <c r="D38" s="37" t="str">
        <f t="shared" si="1"/>
        <v>May-26</v>
      </c>
      <c r="E38" s="60"/>
      <c r="F38" s="61"/>
      <c r="G38" s="7">
        <f t="shared" si="5"/>
        <v>0</v>
      </c>
      <c r="H38" s="7"/>
      <c r="I38" s="33"/>
      <c r="J38" s="13"/>
      <c r="K38" s="13"/>
      <c r="L38" s="39" t="str">
        <f t="shared" si="2"/>
        <v>0</v>
      </c>
      <c r="M38" s="39" t="str">
        <f t="shared" si="3"/>
        <v>0</v>
      </c>
      <c r="N38" s="12">
        <f t="shared" si="4"/>
        <v>0</v>
      </c>
    </row>
    <row r="39" spans="2:14" ht="13.95" customHeight="1" x14ac:dyDescent="0.3">
      <c r="B39" s="6">
        <v>46161</v>
      </c>
      <c r="C39" s="19">
        <f t="shared" si="0"/>
        <v>21</v>
      </c>
      <c r="D39" s="37" t="str">
        <f t="shared" si="1"/>
        <v>May-26</v>
      </c>
      <c r="E39" s="63">
        <v>50879</v>
      </c>
      <c r="F39" s="63">
        <v>2386</v>
      </c>
      <c r="G39" s="7">
        <f t="shared" si="5"/>
        <v>48493</v>
      </c>
      <c r="H39" s="7" t="s">
        <v>12</v>
      </c>
      <c r="I39" s="33">
        <v>1016</v>
      </c>
      <c r="J39" s="32">
        <f>1055.5+468.3</f>
        <v>1523.8</v>
      </c>
      <c r="K39" s="13">
        <v>14</v>
      </c>
      <c r="L39" s="39">
        <f t="shared" si="2"/>
        <v>3.1423091992658732</v>
      </c>
      <c r="M39" s="39">
        <f t="shared" si="3"/>
        <v>2.8870146206669004E-2</v>
      </c>
      <c r="N39" s="12">
        <f t="shared" si="4"/>
        <v>46955.199999999997</v>
      </c>
    </row>
    <row r="40" spans="2:14" ht="13.95" customHeight="1" x14ac:dyDescent="0.3">
      <c r="B40" s="6">
        <v>46161</v>
      </c>
      <c r="C40" s="19">
        <f t="shared" si="0"/>
        <v>21</v>
      </c>
      <c r="D40" s="37" t="str">
        <f t="shared" si="1"/>
        <v>May-26</v>
      </c>
      <c r="E40" s="63">
        <v>47936</v>
      </c>
      <c r="F40" s="63">
        <v>2193</v>
      </c>
      <c r="G40" s="7">
        <f t="shared" si="5"/>
        <v>45743</v>
      </c>
      <c r="H40" s="7" t="s">
        <v>12</v>
      </c>
      <c r="I40" s="33">
        <v>1015</v>
      </c>
      <c r="J40" s="32">
        <v>409.8</v>
      </c>
      <c r="K40" s="13"/>
      <c r="L40" s="39">
        <f t="shared" si="2"/>
        <v>0.89587477865465759</v>
      </c>
      <c r="M40" s="39">
        <f t="shared" si="3"/>
        <v>0</v>
      </c>
      <c r="N40" s="12">
        <f t="shared" si="4"/>
        <v>45333.2</v>
      </c>
    </row>
    <row r="41" spans="2:14" ht="13.95" customHeight="1" x14ac:dyDescent="0.3">
      <c r="B41" s="6">
        <v>46162</v>
      </c>
      <c r="C41" s="19">
        <f t="shared" si="0"/>
        <v>21</v>
      </c>
      <c r="D41" s="37" t="str">
        <f t="shared" si="1"/>
        <v>May-26</v>
      </c>
      <c r="E41" s="63">
        <v>44309</v>
      </c>
      <c r="F41" s="63">
        <v>2096</v>
      </c>
      <c r="G41" s="7">
        <f t="shared" si="5"/>
        <v>42213</v>
      </c>
      <c r="H41" s="7" t="s">
        <v>12</v>
      </c>
      <c r="I41" s="65">
        <v>1018</v>
      </c>
      <c r="J41" s="32">
        <f>510+440</f>
        <v>950</v>
      </c>
      <c r="K41" s="13">
        <v>3</v>
      </c>
      <c r="L41" s="39">
        <f t="shared" si="2"/>
        <v>2.2504915547343236</v>
      </c>
      <c r="M41" s="39">
        <f t="shared" si="3"/>
        <v>7.1068154360031267E-3</v>
      </c>
      <c r="N41" s="12">
        <f t="shared" si="4"/>
        <v>41260</v>
      </c>
    </row>
    <row r="42" spans="2:14" ht="13.95" customHeight="1" x14ac:dyDescent="0.3">
      <c r="B42" s="6">
        <v>46163</v>
      </c>
      <c r="C42" s="19">
        <f t="shared" si="0"/>
        <v>21</v>
      </c>
      <c r="D42" s="37" t="str">
        <f t="shared" si="1"/>
        <v>May-26</v>
      </c>
      <c r="E42" s="60">
        <v>42570.3</v>
      </c>
      <c r="F42" s="61">
        <v>1960.2</v>
      </c>
      <c r="G42" s="7">
        <f t="shared" si="5"/>
        <v>40610.100000000006</v>
      </c>
      <c r="H42" s="7" t="s">
        <v>12</v>
      </c>
      <c r="I42" s="33">
        <v>1006</v>
      </c>
      <c r="J42" s="13">
        <v>528</v>
      </c>
      <c r="K42" s="13">
        <v>3.5</v>
      </c>
      <c r="L42" s="39">
        <f t="shared" si="2"/>
        <v>1.3001691697385624</v>
      </c>
      <c r="M42" s="39">
        <f t="shared" si="3"/>
        <v>8.6185456327366825E-3</v>
      </c>
      <c r="N42" s="12">
        <f t="shared" si="4"/>
        <v>40078.600000000006</v>
      </c>
    </row>
    <row r="43" spans="2:14" ht="13.95" customHeight="1" x14ac:dyDescent="0.3">
      <c r="B43" s="6">
        <v>46164</v>
      </c>
      <c r="C43" s="19">
        <f t="shared" si="0"/>
        <v>21</v>
      </c>
      <c r="D43" s="37" t="str">
        <f t="shared" si="1"/>
        <v>May-26</v>
      </c>
      <c r="E43" s="60"/>
      <c r="F43" s="61"/>
      <c r="G43" s="7">
        <f t="shared" si="5"/>
        <v>0</v>
      </c>
      <c r="H43" s="7"/>
      <c r="I43" s="13"/>
      <c r="J43" s="13"/>
      <c r="K43" s="13"/>
      <c r="L43" s="39" t="str">
        <f t="shared" si="2"/>
        <v>0</v>
      </c>
      <c r="M43" s="39" t="str">
        <f t="shared" si="3"/>
        <v>0</v>
      </c>
      <c r="N43" s="12">
        <f t="shared" si="4"/>
        <v>0</v>
      </c>
    </row>
    <row r="44" spans="2:14" ht="13.95" customHeight="1" x14ac:dyDescent="0.3">
      <c r="B44" s="6">
        <v>46165</v>
      </c>
      <c r="C44" s="19">
        <f t="shared" si="0"/>
        <v>21</v>
      </c>
      <c r="D44" s="37" t="str">
        <f t="shared" si="1"/>
        <v>May-26</v>
      </c>
      <c r="E44" s="60"/>
      <c r="F44" s="61"/>
      <c r="G44" s="7">
        <f t="shared" si="5"/>
        <v>0</v>
      </c>
      <c r="H44" s="7"/>
      <c r="I44" s="13"/>
      <c r="J44" s="13"/>
      <c r="K44" s="13"/>
      <c r="L44" s="39" t="str">
        <f t="shared" si="2"/>
        <v>0</v>
      </c>
      <c r="M44" s="39" t="str">
        <f t="shared" si="3"/>
        <v>0</v>
      </c>
      <c r="N44" s="12">
        <f t="shared" si="4"/>
        <v>0</v>
      </c>
    </row>
    <row r="45" spans="2:14" ht="13.95" customHeight="1" x14ac:dyDescent="0.3">
      <c r="B45" s="6">
        <v>46166</v>
      </c>
      <c r="C45" s="19">
        <f t="shared" si="0"/>
        <v>22</v>
      </c>
      <c r="D45" s="37" t="str">
        <f t="shared" si="1"/>
        <v>May-26</v>
      </c>
      <c r="E45" s="60"/>
      <c r="F45" s="61"/>
      <c r="G45" s="7">
        <f t="shared" si="5"/>
        <v>0</v>
      </c>
      <c r="H45" s="7"/>
      <c r="I45" s="13"/>
      <c r="J45" s="13"/>
      <c r="K45" s="13"/>
      <c r="L45" s="39" t="str">
        <f t="shared" si="2"/>
        <v>0</v>
      </c>
      <c r="M45" s="39" t="str">
        <f t="shared" si="3"/>
        <v>0</v>
      </c>
      <c r="N45" s="12">
        <f t="shared" si="4"/>
        <v>0</v>
      </c>
    </row>
    <row r="46" spans="2:14" ht="13.95" customHeight="1" x14ac:dyDescent="0.3">
      <c r="B46" s="6">
        <v>46167</v>
      </c>
      <c r="C46" s="19">
        <f t="shared" si="0"/>
        <v>22</v>
      </c>
      <c r="D46" s="37" t="str">
        <f t="shared" si="1"/>
        <v>May-26</v>
      </c>
      <c r="E46" s="66">
        <v>49994.7</v>
      </c>
      <c r="F46" s="67">
        <v>2530.4</v>
      </c>
      <c r="G46" s="7">
        <f t="shared" si="5"/>
        <v>47464.299999999996</v>
      </c>
      <c r="H46" s="8" t="s">
        <v>12</v>
      </c>
      <c r="I46" s="35">
        <v>1007</v>
      </c>
      <c r="J46" s="13">
        <v>610</v>
      </c>
      <c r="K46" s="13">
        <v>5</v>
      </c>
      <c r="L46" s="39">
        <f t="shared" si="2"/>
        <v>1.2851764378701467</v>
      </c>
      <c r="M46" s="39">
        <f t="shared" si="3"/>
        <v>1.0534233097296284E-2</v>
      </c>
      <c r="N46" s="12">
        <f t="shared" si="4"/>
        <v>46849.299999999996</v>
      </c>
    </row>
    <row r="47" spans="2:14" ht="13.95" customHeight="1" x14ac:dyDescent="0.3">
      <c r="B47" s="6">
        <v>46168</v>
      </c>
      <c r="C47" s="19">
        <f t="shared" si="0"/>
        <v>22</v>
      </c>
      <c r="D47" s="37" t="str">
        <f t="shared" si="1"/>
        <v>May-26</v>
      </c>
      <c r="E47" s="68">
        <v>41509</v>
      </c>
      <c r="F47" s="68">
        <v>1938</v>
      </c>
      <c r="G47" s="7">
        <f t="shared" si="5"/>
        <v>39571</v>
      </c>
      <c r="H47" s="8" t="s">
        <v>12</v>
      </c>
      <c r="I47" s="8">
        <v>1020</v>
      </c>
      <c r="J47" s="32">
        <f>610+301.1</f>
        <v>911.1</v>
      </c>
      <c r="K47" s="13">
        <v>6</v>
      </c>
      <c r="L47" s="39">
        <f t="shared" si="2"/>
        <v>2.3024437087766296</v>
      </c>
      <c r="M47" s="39">
        <f t="shared" si="3"/>
        <v>1.5162619089737435E-2</v>
      </c>
      <c r="N47" s="12">
        <f t="shared" si="4"/>
        <v>38653.9</v>
      </c>
    </row>
    <row r="48" spans="2:14" ht="13.95" customHeight="1" x14ac:dyDescent="0.3">
      <c r="B48" s="6">
        <v>46169</v>
      </c>
      <c r="C48" s="19">
        <f t="shared" si="0"/>
        <v>22</v>
      </c>
      <c r="D48" s="37" t="str">
        <f t="shared" si="1"/>
        <v>May-26</v>
      </c>
      <c r="E48" s="67">
        <v>40137.1</v>
      </c>
      <c r="F48" s="67">
        <v>1925.1</v>
      </c>
      <c r="G48" s="7">
        <f t="shared" si="5"/>
        <v>38212</v>
      </c>
      <c r="H48" s="8" t="s">
        <v>12</v>
      </c>
      <c r="I48" s="13">
        <v>1008</v>
      </c>
      <c r="J48" s="13">
        <v>450</v>
      </c>
      <c r="K48" s="13">
        <v>4</v>
      </c>
      <c r="L48" s="39">
        <f t="shared" si="2"/>
        <v>1.1776405317701246</v>
      </c>
      <c r="M48" s="39">
        <f t="shared" si="3"/>
        <v>1.0467915837956662E-2</v>
      </c>
      <c r="N48" s="12">
        <f t="shared" si="4"/>
        <v>37758</v>
      </c>
    </row>
    <row r="49" spans="2:16" ht="13.95" customHeight="1" x14ac:dyDescent="0.3">
      <c r="B49" s="6">
        <v>46170</v>
      </c>
      <c r="C49" s="19">
        <f t="shared" si="0"/>
        <v>22</v>
      </c>
      <c r="D49" s="37" t="str">
        <f t="shared" si="1"/>
        <v>May-26</v>
      </c>
      <c r="E49" s="67">
        <v>43594.3</v>
      </c>
      <c r="F49" s="67">
        <v>2053</v>
      </c>
      <c r="G49" s="7">
        <f t="shared" si="5"/>
        <v>41541.300000000003</v>
      </c>
      <c r="H49" s="8" t="s">
        <v>12</v>
      </c>
      <c r="I49" s="35">
        <v>1009</v>
      </c>
      <c r="J49" s="13"/>
      <c r="K49" s="13"/>
      <c r="L49" s="39">
        <f t="shared" si="2"/>
        <v>0</v>
      </c>
      <c r="M49" s="39">
        <f t="shared" si="3"/>
        <v>0</v>
      </c>
      <c r="N49" s="12">
        <f t="shared" si="4"/>
        <v>41541.300000000003</v>
      </c>
    </row>
    <row r="50" spans="2:16" ht="13.95" customHeight="1" x14ac:dyDescent="0.3">
      <c r="B50" s="6">
        <v>46170</v>
      </c>
      <c r="C50" s="19">
        <f t="shared" si="0"/>
        <v>22</v>
      </c>
      <c r="D50" s="37" t="str">
        <f t="shared" si="1"/>
        <v>May-26</v>
      </c>
      <c r="E50" s="69">
        <v>51571.4</v>
      </c>
      <c r="F50" s="68">
        <v>2216.9</v>
      </c>
      <c r="G50" s="7">
        <f t="shared" si="5"/>
        <v>49354.5</v>
      </c>
      <c r="H50" s="8" t="s">
        <v>12</v>
      </c>
      <c r="I50" s="36">
        <v>1012</v>
      </c>
      <c r="J50" s="32">
        <f>825-0.5</f>
        <v>824.5</v>
      </c>
      <c r="K50" s="13">
        <v>10</v>
      </c>
      <c r="L50" s="39">
        <f t="shared" si="2"/>
        <v>1.6705670202311846</v>
      </c>
      <c r="M50" s="39">
        <f t="shared" si="3"/>
        <v>2.0261576958534682E-2</v>
      </c>
      <c r="N50" s="12">
        <f t="shared" si="4"/>
        <v>48520</v>
      </c>
    </row>
    <row r="51" spans="2:16" ht="13.95" customHeight="1" x14ac:dyDescent="0.3">
      <c r="B51" s="6">
        <v>46171</v>
      </c>
      <c r="C51" s="19">
        <f t="shared" si="0"/>
        <v>22</v>
      </c>
      <c r="D51" s="37" t="str">
        <f t="shared" si="1"/>
        <v>May-26</v>
      </c>
      <c r="E51" s="63">
        <v>32297</v>
      </c>
      <c r="F51" s="63">
        <v>1663</v>
      </c>
      <c r="G51" s="7">
        <f t="shared" si="5"/>
        <v>30634</v>
      </c>
      <c r="H51" s="8" t="s">
        <v>12</v>
      </c>
      <c r="I51" s="13">
        <v>1022</v>
      </c>
      <c r="J51" s="32">
        <f>397.5+256.2</f>
        <v>653.70000000000005</v>
      </c>
      <c r="K51" s="13">
        <v>5</v>
      </c>
      <c r="L51" s="39">
        <f t="shared" si="2"/>
        <v>2.1339035059084681</v>
      </c>
      <c r="M51" s="39">
        <f t="shared" si="3"/>
        <v>1.6321734021022393E-2</v>
      </c>
      <c r="N51" s="12">
        <f t="shared" si="4"/>
        <v>29975.3</v>
      </c>
    </row>
    <row r="52" spans="2:16" ht="13.95" customHeight="1" x14ac:dyDescent="0.3">
      <c r="B52" s="6">
        <v>46172</v>
      </c>
      <c r="C52" s="19">
        <f t="shared" si="0"/>
        <v>22</v>
      </c>
      <c r="D52" s="37" t="str">
        <f t="shared" si="1"/>
        <v>May-26</v>
      </c>
      <c r="E52" s="60"/>
      <c r="F52" s="61"/>
      <c r="G52" s="7">
        <f t="shared" si="5"/>
        <v>0</v>
      </c>
      <c r="H52" s="7"/>
      <c r="I52" s="13"/>
      <c r="J52" s="13"/>
      <c r="K52" s="13"/>
      <c r="L52" s="39" t="str">
        <f t="shared" si="2"/>
        <v>0</v>
      </c>
      <c r="M52" s="39" t="str">
        <f t="shared" si="3"/>
        <v>0</v>
      </c>
      <c r="N52" s="12">
        <f t="shared" si="4"/>
        <v>0</v>
      </c>
    </row>
    <row r="53" spans="2:16" ht="13.95" customHeight="1" x14ac:dyDescent="0.3">
      <c r="B53" s="6">
        <v>46173</v>
      </c>
      <c r="C53" s="19">
        <f t="shared" si="0"/>
        <v>23</v>
      </c>
      <c r="D53" s="37" t="str">
        <f t="shared" si="1"/>
        <v>May-26</v>
      </c>
      <c r="E53" s="60"/>
      <c r="F53" s="61"/>
      <c r="G53" s="7">
        <f t="shared" si="5"/>
        <v>0</v>
      </c>
      <c r="H53" s="7"/>
      <c r="I53" s="13"/>
      <c r="J53" s="13"/>
      <c r="K53" s="13"/>
      <c r="L53" s="39" t="str">
        <f t="shared" si="2"/>
        <v>0</v>
      </c>
      <c r="M53" s="39" t="str">
        <f t="shared" si="3"/>
        <v>0</v>
      </c>
      <c r="N53" s="12">
        <f t="shared" si="4"/>
        <v>0</v>
      </c>
    </row>
    <row r="54" spans="2:16" ht="13.95" customHeight="1" x14ac:dyDescent="0.3">
      <c r="B54" s="6">
        <v>46174</v>
      </c>
      <c r="C54" s="19">
        <f t="shared" si="0"/>
        <v>23</v>
      </c>
      <c r="D54" s="37" t="str">
        <f t="shared" si="1"/>
        <v>Jun-26</v>
      </c>
      <c r="E54" s="67"/>
      <c r="F54" s="67"/>
      <c r="G54" s="7">
        <f t="shared" si="5"/>
        <v>0</v>
      </c>
      <c r="H54" s="8"/>
      <c r="I54" s="8"/>
      <c r="J54" s="13"/>
      <c r="K54" s="13"/>
      <c r="L54" s="39" t="str">
        <f t="shared" si="2"/>
        <v>0</v>
      </c>
      <c r="M54" s="39" t="str">
        <f t="shared" si="3"/>
        <v>0</v>
      </c>
      <c r="N54" s="12">
        <f t="shared" si="4"/>
        <v>0</v>
      </c>
    </row>
    <row r="55" spans="2:16" ht="13.95" customHeight="1" x14ac:dyDescent="0.3">
      <c r="B55" s="6">
        <v>46174</v>
      </c>
      <c r="C55" s="19">
        <f t="shared" si="0"/>
        <v>23</v>
      </c>
      <c r="D55" s="37" t="str">
        <f t="shared" si="1"/>
        <v>Jun-26</v>
      </c>
      <c r="E55" s="68">
        <v>77183</v>
      </c>
      <c r="F55" s="68">
        <v>3551</v>
      </c>
      <c r="G55" s="7">
        <f t="shared" si="5"/>
        <v>73632</v>
      </c>
      <c r="H55" s="8" t="s">
        <v>12</v>
      </c>
      <c r="I55" s="8">
        <v>1021</v>
      </c>
      <c r="J55" s="13">
        <f>700+533.5</f>
        <v>1233.5</v>
      </c>
      <c r="K55" s="13">
        <v>10</v>
      </c>
      <c r="L55" s="39">
        <f t="shared" si="2"/>
        <v>1.675222729248153</v>
      </c>
      <c r="M55" s="39">
        <f t="shared" si="3"/>
        <v>1.3581051716644936E-2</v>
      </c>
      <c r="N55" s="12">
        <f t="shared" si="4"/>
        <v>72388.5</v>
      </c>
      <c r="P55" s="14"/>
    </row>
    <row r="56" spans="2:16" ht="13.95" customHeight="1" x14ac:dyDescent="0.3">
      <c r="B56" s="6">
        <v>46175</v>
      </c>
      <c r="C56" s="19">
        <f t="shared" si="0"/>
        <v>23</v>
      </c>
      <c r="D56" s="37" t="str">
        <f t="shared" si="1"/>
        <v>Jun-26</v>
      </c>
      <c r="E56" s="68">
        <v>49948</v>
      </c>
      <c r="F56" s="68">
        <v>2385</v>
      </c>
      <c r="G56" s="7">
        <f t="shared" si="5"/>
        <v>47563</v>
      </c>
      <c r="H56" s="8" t="s">
        <v>12</v>
      </c>
      <c r="I56" s="13">
        <v>1023</v>
      </c>
      <c r="J56" s="13">
        <v>501.4</v>
      </c>
      <c r="K56" s="13"/>
      <c r="L56" s="39">
        <f t="shared" si="2"/>
        <v>1.0541807707671929</v>
      </c>
      <c r="M56" s="39">
        <f t="shared" si="3"/>
        <v>0</v>
      </c>
      <c r="N56" s="12">
        <f t="shared" si="4"/>
        <v>47061.599999999999</v>
      </c>
      <c r="P56" s="15"/>
    </row>
    <row r="57" spans="2:16" ht="13.95" customHeight="1" x14ac:dyDescent="0.3">
      <c r="B57" s="6">
        <v>46175</v>
      </c>
      <c r="C57" s="19">
        <f t="shared" si="0"/>
        <v>23</v>
      </c>
      <c r="D57" s="37" t="str">
        <f t="shared" si="1"/>
        <v>Jun-26</v>
      </c>
      <c r="E57" s="67">
        <v>69008.399999999994</v>
      </c>
      <c r="F57" s="67">
        <v>3244</v>
      </c>
      <c r="G57" s="7">
        <f t="shared" si="5"/>
        <v>65764.399999999994</v>
      </c>
      <c r="H57" s="8" t="s">
        <v>12</v>
      </c>
      <c r="I57" s="13">
        <v>1026</v>
      </c>
      <c r="J57" s="13">
        <v>935</v>
      </c>
      <c r="K57" s="13">
        <v>10</v>
      </c>
      <c r="L57" s="39">
        <f t="shared" si="2"/>
        <v>1.421741854255494</v>
      </c>
      <c r="M57" s="39">
        <f t="shared" si="3"/>
        <v>1.5205795232679082E-2</v>
      </c>
      <c r="N57" s="12">
        <f t="shared" si="4"/>
        <v>64819.399999999994</v>
      </c>
    </row>
    <row r="58" spans="2:16" ht="13.95" customHeight="1" x14ac:dyDescent="0.3">
      <c r="B58" s="6">
        <v>46176</v>
      </c>
      <c r="C58" s="19">
        <f t="shared" si="0"/>
        <v>23</v>
      </c>
      <c r="D58" s="37" t="str">
        <f t="shared" si="1"/>
        <v>Jun-26</v>
      </c>
      <c r="E58" s="62">
        <v>103479.6</v>
      </c>
      <c r="F58" s="63">
        <v>4845.2</v>
      </c>
      <c r="G58" s="7">
        <f t="shared" si="5"/>
        <v>98634.400000000009</v>
      </c>
      <c r="H58" s="8" t="s">
        <v>12</v>
      </c>
      <c r="I58" s="13">
        <v>1019</v>
      </c>
      <c r="J58" s="13">
        <f>678-27</f>
        <v>651</v>
      </c>
      <c r="K58" s="13">
        <v>3</v>
      </c>
      <c r="L58" s="39">
        <f t="shared" si="2"/>
        <v>0.66001313943208451</v>
      </c>
      <c r="M58" s="39">
        <f t="shared" si="3"/>
        <v>3.0415352047561497E-3</v>
      </c>
      <c r="N58" s="12">
        <f t="shared" si="4"/>
        <v>97980.400000000009</v>
      </c>
      <c r="P58" s="14"/>
    </row>
    <row r="59" spans="2:16" ht="13.95" customHeight="1" x14ac:dyDescent="0.3">
      <c r="B59" s="6">
        <v>46177</v>
      </c>
      <c r="C59" s="19">
        <f t="shared" si="0"/>
        <v>23</v>
      </c>
      <c r="D59" s="37" t="str">
        <f t="shared" si="1"/>
        <v>Jun-26</v>
      </c>
      <c r="E59" s="60"/>
      <c r="F59" s="61"/>
      <c r="G59" s="7">
        <f t="shared" si="5"/>
        <v>0</v>
      </c>
      <c r="H59" s="7"/>
      <c r="I59" s="13"/>
      <c r="J59" s="13"/>
      <c r="K59" s="13"/>
      <c r="L59" s="39" t="str">
        <f t="shared" si="2"/>
        <v>0</v>
      </c>
      <c r="M59" s="39" t="str">
        <f t="shared" si="3"/>
        <v>0</v>
      </c>
      <c r="N59" s="12">
        <f t="shared" si="4"/>
        <v>0</v>
      </c>
      <c r="O59" s="14"/>
    </row>
    <row r="60" spans="2:16" ht="13.95" customHeight="1" x14ac:dyDescent="0.3">
      <c r="B60" s="6">
        <v>46178</v>
      </c>
      <c r="C60" s="19">
        <f t="shared" si="0"/>
        <v>23</v>
      </c>
      <c r="D60" s="37" t="str">
        <f t="shared" si="1"/>
        <v>Jun-26</v>
      </c>
      <c r="E60" s="60">
        <v>61335.4</v>
      </c>
      <c r="F60" s="61">
        <v>2421.5</v>
      </c>
      <c r="G60" s="7">
        <f t="shared" si="5"/>
        <v>58913.9</v>
      </c>
      <c r="H60" s="8" t="s">
        <v>25</v>
      </c>
      <c r="I60" s="13">
        <v>1027</v>
      </c>
      <c r="J60" s="13">
        <v>480</v>
      </c>
      <c r="K60" s="13">
        <v>1</v>
      </c>
      <c r="L60" s="39">
        <f t="shared" si="2"/>
        <v>0.8147483021833557</v>
      </c>
      <c r="M60" s="39">
        <f t="shared" si="3"/>
        <v>1.6973922962153244E-3</v>
      </c>
      <c r="N60" s="12">
        <f t="shared" si="4"/>
        <v>58432.9</v>
      </c>
    </row>
    <row r="61" spans="2:16" ht="13.95" customHeight="1" x14ac:dyDescent="0.3">
      <c r="B61" s="6">
        <v>46179</v>
      </c>
      <c r="C61" s="19">
        <f t="shared" si="0"/>
        <v>23</v>
      </c>
      <c r="D61" s="37" t="str">
        <f t="shared" si="1"/>
        <v>Jun-26</v>
      </c>
      <c r="E61" s="60">
        <v>91632.8</v>
      </c>
      <c r="F61" s="61">
        <v>3551.25</v>
      </c>
      <c r="G61" s="7">
        <f t="shared" si="5"/>
        <v>88081.55</v>
      </c>
      <c r="H61" s="8" t="s">
        <v>25</v>
      </c>
      <c r="I61" s="13">
        <v>1028</v>
      </c>
      <c r="J61" s="13"/>
      <c r="K61" s="13"/>
      <c r="L61" s="39">
        <f t="shared" si="2"/>
        <v>0</v>
      </c>
      <c r="M61" s="39">
        <f t="shared" si="3"/>
        <v>0</v>
      </c>
      <c r="N61" s="12">
        <f t="shared" si="4"/>
        <v>88081.55</v>
      </c>
    </row>
    <row r="62" spans="2:16" ht="13.95" customHeight="1" x14ac:dyDescent="0.3">
      <c r="B62" s="6">
        <v>46179</v>
      </c>
      <c r="C62" s="19">
        <f t="shared" si="0"/>
        <v>23</v>
      </c>
      <c r="D62" s="37" t="str">
        <f t="shared" si="1"/>
        <v>Jun-26</v>
      </c>
      <c r="E62" s="61">
        <v>56756.9</v>
      </c>
      <c r="F62" s="61">
        <v>2300.5500000000002</v>
      </c>
      <c r="G62" s="7">
        <f t="shared" si="5"/>
        <v>54456.35</v>
      </c>
      <c r="H62" s="8" t="s">
        <v>25</v>
      </c>
      <c r="I62" s="13">
        <v>1029</v>
      </c>
      <c r="J62" s="13">
        <v>1021.3</v>
      </c>
      <c r="K62" s="13">
        <v>8.3000000000000007</v>
      </c>
      <c r="L62" s="39">
        <f t="shared" si="2"/>
        <v>1.8754470323479264</v>
      </c>
      <c r="M62" s="39">
        <f t="shared" si="3"/>
        <v>1.5241565033278949E-2</v>
      </c>
      <c r="N62" s="12">
        <f t="shared" si="4"/>
        <v>53426.749999999993</v>
      </c>
    </row>
    <row r="63" spans="2:16" ht="13.95" customHeight="1" x14ac:dyDescent="0.3">
      <c r="B63" s="6">
        <v>46180</v>
      </c>
      <c r="C63" s="19">
        <f t="shared" si="0"/>
        <v>24</v>
      </c>
      <c r="D63" s="37" t="str">
        <f t="shared" si="1"/>
        <v>Jun-26</v>
      </c>
      <c r="E63" s="61">
        <v>91727.4</v>
      </c>
      <c r="F63" s="61">
        <v>3859.55</v>
      </c>
      <c r="G63" s="7">
        <f t="shared" si="5"/>
        <v>87867.849999999991</v>
      </c>
      <c r="H63" s="8" t="s">
        <v>25</v>
      </c>
      <c r="I63" s="8">
        <v>1030</v>
      </c>
      <c r="J63" s="13">
        <v>585.5</v>
      </c>
      <c r="K63" s="13">
        <v>8</v>
      </c>
      <c r="L63" s="39">
        <f t="shared" si="2"/>
        <v>0.66634155723623612</v>
      </c>
      <c r="M63" s="39">
        <f t="shared" si="3"/>
        <v>9.1045814823055311E-3</v>
      </c>
      <c r="N63" s="12">
        <f t="shared" si="4"/>
        <v>87274.349999999991</v>
      </c>
    </row>
    <row r="64" spans="2:16" ht="13.95" customHeight="1" x14ac:dyDescent="0.3">
      <c r="B64" s="6">
        <v>46181</v>
      </c>
      <c r="C64" s="19">
        <f t="shared" si="0"/>
        <v>24</v>
      </c>
      <c r="D64" s="37" t="str">
        <f t="shared" si="1"/>
        <v>Jun-26</v>
      </c>
      <c r="E64" s="61">
        <v>96923</v>
      </c>
      <c r="F64" s="61">
        <f>3132.9+856.7</f>
        <v>3989.6000000000004</v>
      </c>
      <c r="G64" s="7">
        <f t="shared" si="5"/>
        <v>92933.4</v>
      </c>
      <c r="H64" s="8" t="s">
        <v>25</v>
      </c>
      <c r="I64" s="8">
        <v>1031</v>
      </c>
      <c r="J64" s="13"/>
      <c r="K64" s="13"/>
      <c r="L64" s="39">
        <f t="shared" si="2"/>
        <v>0</v>
      </c>
      <c r="M64" s="39">
        <f t="shared" si="3"/>
        <v>0</v>
      </c>
      <c r="N64" s="12">
        <f t="shared" si="4"/>
        <v>92933.4</v>
      </c>
    </row>
    <row r="65" spans="2:14" ht="13.95" customHeight="1" x14ac:dyDescent="0.3">
      <c r="B65" s="6">
        <v>46182</v>
      </c>
      <c r="C65" s="19">
        <f t="shared" si="0"/>
        <v>24</v>
      </c>
      <c r="D65" s="37" t="str">
        <f t="shared" si="1"/>
        <v>Jun-26</v>
      </c>
      <c r="E65" s="61">
        <v>79042.5</v>
      </c>
      <c r="F65" s="61">
        <v>3272.4</v>
      </c>
      <c r="G65" s="7">
        <f t="shared" si="5"/>
        <v>75770.100000000006</v>
      </c>
      <c r="H65" s="8" t="s">
        <v>25</v>
      </c>
      <c r="I65" s="13">
        <v>1032</v>
      </c>
      <c r="J65" s="13">
        <v>1330.3</v>
      </c>
      <c r="K65" s="13">
        <v>15</v>
      </c>
      <c r="L65" s="39">
        <f t="shared" si="2"/>
        <v>1.7557057467259511</v>
      </c>
      <c r="M65" s="39">
        <f t="shared" si="3"/>
        <v>1.979672720505846E-2</v>
      </c>
      <c r="N65" s="12">
        <f t="shared" si="4"/>
        <v>74424.800000000003</v>
      </c>
    </row>
    <row r="66" spans="2:14" ht="13.95" customHeight="1" x14ac:dyDescent="0.3">
      <c r="B66" s="6">
        <v>46183</v>
      </c>
      <c r="C66" s="19">
        <f t="shared" si="0"/>
        <v>24</v>
      </c>
      <c r="D66" s="37" t="str">
        <f t="shared" si="1"/>
        <v>Jun-26</v>
      </c>
      <c r="E66" s="60">
        <v>80892.600000000006</v>
      </c>
      <c r="F66" s="61">
        <v>3395.3</v>
      </c>
      <c r="G66" s="7">
        <f t="shared" si="5"/>
        <v>77497.3</v>
      </c>
      <c r="H66" s="8" t="s">
        <v>25</v>
      </c>
      <c r="I66" s="13">
        <v>1033</v>
      </c>
      <c r="J66" s="13">
        <v>658.5</v>
      </c>
      <c r="K66" s="13">
        <v>5</v>
      </c>
      <c r="L66" s="39">
        <f t="shared" si="2"/>
        <v>0.84970702205109072</v>
      </c>
      <c r="M66" s="39">
        <f t="shared" si="3"/>
        <v>6.4518376769255184E-3</v>
      </c>
      <c r="N66" s="12">
        <f t="shared" si="4"/>
        <v>76833.8</v>
      </c>
    </row>
    <row r="67" spans="2:14" ht="13.95" customHeight="1" x14ac:dyDescent="0.3">
      <c r="B67" s="6">
        <v>46184</v>
      </c>
      <c r="C67" s="19">
        <f t="shared" si="0"/>
        <v>24</v>
      </c>
      <c r="D67" s="37" t="str">
        <f t="shared" si="1"/>
        <v>Jun-26</v>
      </c>
      <c r="E67" s="61">
        <v>45204</v>
      </c>
      <c r="F67" s="61">
        <v>2149.66</v>
      </c>
      <c r="G67" s="7">
        <f t="shared" si="5"/>
        <v>43054.34</v>
      </c>
      <c r="H67" s="8" t="s">
        <v>28</v>
      </c>
      <c r="I67" s="8">
        <v>1034</v>
      </c>
      <c r="J67" s="13"/>
      <c r="K67" s="13"/>
      <c r="L67" s="39">
        <f t="shared" si="2"/>
        <v>0</v>
      </c>
      <c r="M67" s="39">
        <f t="shared" si="3"/>
        <v>0</v>
      </c>
      <c r="N67" s="12">
        <f t="shared" si="4"/>
        <v>43054.34</v>
      </c>
    </row>
    <row r="68" spans="2:14" ht="13.95" customHeight="1" x14ac:dyDescent="0.3">
      <c r="B68" s="6">
        <v>46184</v>
      </c>
      <c r="C68" s="19">
        <f t="shared" si="0"/>
        <v>24</v>
      </c>
      <c r="D68" s="37" t="str">
        <f t="shared" si="1"/>
        <v>Jun-26</v>
      </c>
      <c r="E68" s="61">
        <v>64555</v>
      </c>
      <c r="F68" s="61">
        <v>3188.95</v>
      </c>
      <c r="G68" s="7">
        <f t="shared" si="5"/>
        <v>61366.05</v>
      </c>
      <c r="H68" s="8" t="s">
        <v>28</v>
      </c>
      <c r="I68" s="8">
        <v>1035</v>
      </c>
      <c r="J68" s="13"/>
      <c r="K68" s="13"/>
      <c r="L68" s="39">
        <f t="shared" si="2"/>
        <v>0</v>
      </c>
      <c r="M68" s="39">
        <f t="shared" si="3"/>
        <v>0</v>
      </c>
      <c r="N68" s="12">
        <f t="shared" si="4"/>
        <v>61366.05</v>
      </c>
    </row>
    <row r="69" spans="2:14" ht="13.95" customHeight="1" x14ac:dyDescent="0.3">
      <c r="B69" s="6">
        <v>46185</v>
      </c>
      <c r="C69" s="19">
        <f t="shared" ref="C69:C132" si="6">WEEKNUM(B69)</f>
        <v>24</v>
      </c>
      <c r="D69" s="37" t="str">
        <f t="shared" ref="D69:D132" si="7">TEXT(B69,"mmm-yy")</f>
        <v>Jun-26</v>
      </c>
      <c r="E69" s="61">
        <v>68016</v>
      </c>
      <c r="F69" s="61">
        <v>3223</v>
      </c>
      <c r="G69" s="7">
        <f t="shared" si="5"/>
        <v>64793</v>
      </c>
      <c r="H69" s="8" t="s">
        <v>28</v>
      </c>
      <c r="I69" s="8">
        <v>1036</v>
      </c>
      <c r="J69" s="13">
        <v>1488.1</v>
      </c>
      <c r="K69" s="13">
        <v>21.5</v>
      </c>
      <c r="L69" s="39">
        <f t="shared" ref="L69:L132" si="8">IFERROR(J69/$G69%,"0")</f>
        <v>2.2966987174540461</v>
      </c>
      <c r="M69" s="39">
        <f t="shared" ref="M69:M132" si="9">IFERROR(K69/$G69%,"0")</f>
        <v>3.3182596885466029E-2</v>
      </c>
      <c r="N69" s="12">
        <f t="shared" ref="N69:N88" si="10">E69-F69-J69-K69</f>
        <v>63283.4</v>
      </c>
    </row>
    <row r="70" spans="2:14" ht="13.95" customHeight="1" x14ac:dyDescent="0.3">
      <c r="B70" s="6">
        <v>46186</v>
      </c>
      <c r="C70" s="19">
        <f t="shared" si="6"/>
        <v>24</v>
      </c>
      <c r="D70" s="37" t="str">
        <f t="shared" si="7"/>
        <v>Jun-26</v>
      </c>
      <c r="E70" s="60">
        <v>73579</v>
      </c>
      <c r="F70" s="61">
        <v>3481</v>
      </c>
      <c r="G70" s="7">
        <f t="shared" si="5"/>
        <v>70098</v>
      </c>
      <c r="H70" s="8" t="s">
        <v>28</v>
      </c>
      <c r="I70" s="13">
        <v>1037</v>
      </c>
      <c r="J70" s="13">
        <v>612</v>
      </c>
      <c r="K70" s="13">
        <v>15</v>
      </c>
      <c r="L70" s="39">
        <f t="shared" si="8"/>
        <v>0.87306342549002824</v>
      </c>
      <c r="M70" s="39">
        <f t="shared" si="9"/>
        <v>2.1398613369853634E-2</v>
      </c>
      <c r="N70" s="12">
        <f t="shared" si="10"/>
        <v>69471</v>
      </c>
    </row>
    <row r="71" spans="2:14" ht="13.95" customHeight="1" x14ac:dyDescent="0.3">
      <c r="B71" s="6">
        <v>46187</v>
      </c>
      <c r="C71" s="19">
        <f t="shared" si="6"/>
        <v>25</v>
      </c>
      <c r="D71" s="37" t="str">
        <f t="shared" si="7"/>
        <v>Jun-26</v>
      </c>
      <c r="E71" s="60"/>
      <c r="F71" s="61"/>
      <c r="G71" s="7">
        <f t="shared" si="5"/>
        <v>0</v>
      </c>
      <c r="H71" s="7"/>
      <c r="I71" s="13"/>
      <c r="J71" s="13"/>
      <c r="K71" s="13"/>
      <c r="L71" s="39" t="str">
        <f t="shared" si="8"/>
        <v>0</v>
      </c>
      <c r="M71" s="39" t="str">
        <f t="shared" si="9"/>
        <v>0</v>
      </c>
      <c r="N71" s="12">
        <f t="shared" si="10"/>
        <v>0</v>
      </c>
    </row>
    <row r="72" spans="2:14" ht="13.95" customHeight="1" x14ac:dyDescent="0.3">
      <c r="B72" s="6">
        <v>46188</v>
      </c>
      <c r="C72" s="19">
        <f t="shared" si="6"/>
        <v>25</v>
      </c>
      <c r="D72" s="37" t="str">
        <f t="shared" si="7"/>
        <v>Jun-26</v>
      </c>
      <c r="E72" s="60"/>
      <c r="F72" s="61"/>
      <c r="G72" s="7">
        <f t="shared" si="5"/>
        <v>0</v>
      </c>
      <c r="H72" s="7"/>
      <c r="I72" s="13"/>
      <c r="J72" s="13"/>
      <c r="K72" s="13"/>
      <c r="L72" s="39" t="str">
        <f t="shared" si="8"/>
        <v>0</v>
      </c>
      <c r="M72" s="39" t="str">
        <f t="shared" si="9"/>
        <v>0</v>
      </c>
      <c r="N72" s="12">
        <f t="shared" si="10"/>
        <v>0</v>
      </c>
    </row>
    <row r="73" spans="2:14" ht="13.95" customHeight="1" x14ac:dyDescent="0.3">
      <c r="B73" s="6">
        <v>46188</v>
      </c>
      <c r="C73" s="19">
        <f t="shared" si="6"/>
        <v>25</v>
      </c>
      <c r="D73" s="37" t="str">
        <f t="shared" si="7"/>
        <v>Jun-26</v>
      </c>
      <c r="E73" s="60">
        <v>101548</v>
      </c>
      <c r="F73" s="61">
        <v>4601</v>
      </c>
      <c r="G73" s="7">
        <f t="shared" si="5"/>
        <v>96947</v>
      </c>
      <c r="H73" s="8" t="s">
        <v>28</v>
      </c>
      <c r="I73" s="13">
        <v>1038</v>
      </c>
      <c r="J73" s="13"/>
      <c r="K73" s="13"/>
      <c r="L73" s="39">
        <f t="shared" si="8"/>
        <v>0</v>
      </c>
      <c r="M73" s="39">
        <f t="shared" si="9"/>
        <v>0</v>
      </c>
      <c r="N73" s="12">
        <f t="shared" si="10"/>
        <v>96947</v>
      </c>
    </row>
    <row r="74" spans="2:14" ht="13.95" customHeight="1" x14ac:dyDescent="0.3">
      <c r="B74" s="6">
        <v>46189</v>
      </c>
      <c r="C74" s="19">
        <f t="shared" si="6"/>
        <v>25</v>
      </c>
      <c r="D74" s="37" t="str">
        <f t="shared" si="7"/>
        <v>Jun-26</v>
      </c>
      <c r="E74" s="70">
        <v>105951</v>
      </c>
      <c r="F74" s="70">
        <v>5209</v>
      </c>
      <c r="G74" s="7">
        <f t="shared" si="5"/>
        <v>100742</v>
      </c>
      <c r="H74" s="8" t="s">
        <v>28</v>
      </c>
      <c r="I74" s="13">
        <v>1039</v>
      </c>
      <c r="J74" s="38">
        <v>1776.5</v>
      </c>
      <c r="K74" s="13">
        <v>38.5</v>
      </c>
      <c r="L74" s="39">
        <f t="shared" si="8"/>
        <v>1.7634154573067837</v>
      </c>
      <c r="M74" s="39">
        <f t="shared" si="9"/>
        <v>3.8216434059280144E-2</v>
      </c>
      <c r="N74" s="12">
        <f t="shared" si="10"/>
        <v>98927</v>
      </c>
    </row>
    <row r="75" spans="2:14" ht="13.95" customHeight="1" x14ac:dyDescent="0.3">
      <c r="B75" s="6">
        <v>46190</v>
      </c>
      <c r="C75" s="19">
        <f t="shared" si="6"/>
        <v>25</v>
      </c>
      <c r="D75" s="37" t="str">
        <f t="shared" si="7"/>
        <v>Jun-26</v>
      </c>
      <c r="E75" s="61">
        <v>115911.6</v>
      </c>
      <c r="F75" s="61">
        <v>4640.05</v>
      </c>
      <c r="G75" s="7">
        <f t="shared" si="5"/>
        <v>111271.55</v>
      </c>
      <c r="H75" s="8" t="s">
        <v>28</v>
      </c>
      <c r="I75" s="13">
        <v>1040</v>
      </c>
      <c r="J75" s="13">
        <v>1010.5</v>
      </c>
      <c r="K75" s="13">
        <v>22</v>
      </c>
      <c r="L75" s="39">
        <f t="shared" si="8"/>
        <v>0.90813869313404905</v>
      </c>
      <c r="M75" s="39">
        <f t="shared" si="9"/>
        <v>1.9771451013309332E-2</v>
      </c>
      <c r="N75" s="12">
        <f t="shared" si="10"/>
        <v>110239.05</v>
      </c>
    </row>
    <row r="76" spans="2:14" ht="13.95" customHeight="1" x14ac:dyDescent="0.3">
      <c r="B76" s="6">
        <v>46191</v>
      </c>
      <c r="C76" s="19">
        <f t="shared" si="6"/>
        <v>25</v>
      </c>
      <c r="D76" s="37" t="str">
        <f t="shared" si="7"/>
        <v>Jun-26</v>
      </c>
      <c r="E76" s="61">
        <v>160279</v>
      </c>
      <c r="F76" s="61">
        <v>6227</v>
      </c>
      <c r="G76" s="7">
        <f t="shared" si="5"/>
        <v>154052</v>
      </c>
      <c r="H76" s="8" t="s">
        <v>28</v>
      </c>
      <c r="I76" s="13">
        <v>1041</v>
      </c>
      <c r="J76" s="13">
        <v>1250</v>
      </c>
      <c r="K76" s="13">
        <v>4</v>
      </c>
      <c r="L76" s="39">
        <f t="shared" si="8"/>
        <v>0.81141432762963162</v>
      </c>
      <c r="M76" s="39">
        <f t="shared" si="9"/>
        <v>2.5965258484148212E-3</v>
      </c>
      <c r="N76" s="12">
        <f t="shared" si="10"/>
        <v>152798</v>
      </c>
    </row>
    <row r="77" spans="2:14" ht="13.95" customHeight="1" x14ac:dyDescent="0.3">
      <c r="B77" s="6">
        <v>46192</v>
      </c>
      <c r="C77" s="19">
        <f t="shared" si="6"/>
        <v>25</v>
      </c>
      <c r="D77" s="37" t="str">
        <f t="shared" si="7"/>
        <v>Jun-26</v>
      </c>
      <c r="E77" s="13"/>
      <c r="F77" s="13"/>
      <c r="G77" s="38">
        <f t="shared" ref="G77:G113" si="11">E77-F77</f>
        <v>0</v>
      </c>
      <c r="H77" s="38"/>
      <c r="I77" s="13"/>
      <c r="J77" s="13"/>
      <c r="K77" s="13"/>
      <c r="L77" s="39" t="str">
        <f t="shared" si="8"/>
        <v>0</v>
      </c>
      <c r="M77" s="39" t="str">
        <f t="shared" si="9"/>
        <v>0</v>
      </c>
      <c r="N77" s="12">
        <f t="shared" si="10"/>
        <v>0</v>
      </c>
    </row>
    <row r="78" spans="2:14" ht="13.95" customHeight="1" x14ac:dyDescent="0.3">
      <c r="B78" s="6">
        <v>46193</v>
      </c>
      <c r="C78" s="19">
        <f t="shared" si="6"/>
        <v>25</v>
      </c>
      <c r="D78" s="37" t="str">
        <f t="shared" si="7"/>
        <v>Jun-26</v>
      </c>
      <c r="E78" s="13"/>
      <c r="F78" s="13"/>
      <c r="G78" s="38">
        <f t="shared" si="11"/>
        <v>0</v>
      </c>
      <c r="H78" s="38"/>
      <c r="I78" s="13"/>
      <c r="J78" s="13"/>
      <c r="K78" s="13"/>
      <c r="L78" s="39" t="str">
        <f t="shared" si="8"/>
        <v>0</v>
      </c>
      <c r="M78" s="39" t="str">
        <f t="shared" si="9"/>
        <v>0</v>
      </c>
      <c r="N78" s="12">
        <f t="shared" si="10"/>
        <v>0</v>
      </c>
    </row>
    <row r="79" spans="2:14" ht="13.95" customHeight="1" x14ac:dyDescent="0.3">
      <c r="B79" s="6">
        <v>46194</v>
      </c>
      <c r="C79" s="19">
        <f t="shared" si="6"/>
        <v>26</v>
      </c>
      <c r="D79" s="37" t="str">
        <f t="shared" si="7"/>
        <v>Jun-26</v>
      </c>
      <c r="E79" s="39"/>
      <c r="F79" s="13"/>
      <c r="G79" s="38">
        <f t="shared" si="11"/>
        <v>0</v>
      </c>
      <c r="H79" s="38"/>
      <c r="I79" s="13"/>
      <c r="J79" s="13"/>
      <c r="K79" s="13"/>
      <c r="L79" s="39" t="str">
        <f t="shared" si="8"/>
        <v>0</v>
      </c>
      <c r="M79" s="39" t="str">
        <f t="shared" si="9"/>
        <v>0</v>
      </c>
      <c r="N79" s="12">
        <f t="shared" si="10"/>
        <v>0</v>
      </c>
    </row>
    <row r="80" spans="2:14" ht="13.95" customHeight="1" x14ac:dyDescent="0.3">
      <c r="B80" s="6">
        <v>46195</v>
      </c>
      <c r="C80" s="19">
        <f t="shared" si="6"/>
        <v>26</v>
      </c>
      <c r="D80" s="37" t="str">
        <f t="shared" si="7"/>
        <v>Jun-26</v>
      </c>
      <c r="E80" s="13">
        <v>53526</v>
      </c>
      <c r="F80" s="13">
        <v>2305.75</v>
      </c>
      <c r="G80" s="38">
        <f t="shared" si="11"/>
        <v>51220.25</v>
      </c>
      <c r="H80" s="38" t="s">
        <v>28</v>
      </c>
      <c r="I80" s="13">
        <v>1042</v>
      </c>
      <c r="J80" s="13"/>
      <c r="K80" s="13"/>
      <c r="L80" s="39">
        <f t="shared" si="8"/>
        <v>0</v>
      </c>
      <c r="M80" s="39">
        <f t="shared" si="9"/>
        <v>0</v>
      </c>
      <c r="N80" s="12">
        <f t="shared" si="10"/>
        <v>51220.25</v>
      </c>
    </row>
    <row r="81" spans="2:16" ht="13.95" customHeight="1" x14ac:dyDescent="0.3">
      <c r="B81" s="6">
        <v>46195</v>
      </c>
      <c r="C81" s="19">
        <f t="shared" si="6"/>
        <v>26</v>
      </c>
      <c r="D81" s="37" t="str">
        <f t="shared" si="7"/>
        <v>Jun-26</v>
      </c>
      <c r="E81" s="13">
        <v>98116</v>
      </c>
      <c r="F81" s="13">
        <v>4072.45</v>
      </c>
      <c r="G81" s="38">
        <f t="shared" si="11"/>
        <v>94043.55</v>
      </c>
      <c r="H81" s="38" t="s">
        <v>28</v>
      </c>
      <c r="I81" s="13">
        <v>1043</v>
      </c>
      <c r="J81" s="13">
        <v>1325</v>
      </c>
      <c r="K81" s="13">
        <v>18</v>
      </c>
      <c r="L81" s="39">
        <f t="shared" si="8"/>
        <v>1.4089217176510245</v>
      </c>
      <c r="M81" s="39">
        <f t="shared" si="9"/>
        <v>1.914006861714599E-2</v>
      </c>
      <c r="N81" s="12">
        <f t="shared" si="10"/>
        <v>92700.55</v>
      </c>
    </row>
    <row r="82" spans="2:16" ht="13.95" customHeight="1" x14ac:dyDescent="0.3">
      <c r="B82" s="6">
        <v>46196</v>
      </c>
      <c r="C82" s="19">
        <f t="shared" si="6"/>
        <v>26</v>
      </c>
      <c r="D82" s="37" t="str">
        <f t="shared" si="7"/>
        <v>Jun-26</v>
      </c>
      <c r="E82" s="13"/>
      <c r="F82" s="13"/>
      <c r="G82" s="38">
        <f t="shared" si="11"/>
        <v>0</v>
      </c>
      <c r="H82" s="38"/>
      <c r="I82" s="13"/>
      <c r="J82" s="13"/>
      <c r="K82" s="13"/>
      <c r="L82" s="39" t="str">
        <f t="shared" si="8"/>
        <v>0</v>
      </c>
      <c r="M82" s="39" t="str">
        <f t="shared" si="9"/>
        <v>0</v>
      </c>
      <c r="N82" s="12">
        <f t="shared" si="10"/>
        <v>0</v>
      </c>
    </row>
    <row r="83" spans="2:16" ht="13.95" customHeight="1" x14ac:dyDescent="0.3">
      <c r="B83" s="6">
        <v>46197</v>
      </c>
      <c r="C83" s="19">
        <f t="shared" si="6"/>
        <v>26</v>
      </c>
      <c r="D83" s="37" t="str">
        <f t="shared" si="7"/>
        <v>Jun-26</v>
      </c>
      <c r="E83" s="13"/>
      <c r="F83" s="13"/>
      <c r="G83" s="38">
        <f t="shared" si="11"/>
        <v>0</v>
      </c>
      <c r="H83" s="38"/>
      <c r="I83" s="13"/>
      <c r="J83" s="13"/>
      <c r="K83" s="13"/>
      <c r="L83" s="39" t="str">
        <f t="shared" si="8"/>
        <v>0</v>
      </c>
      <c r="M83" s="39" t="str">
        <f t="shared" si="9"/>
        <v>0</v>
      </c>
      <c r="N83" s="12">
        <f t="shared" si="10"/>
        <v>0</v>
      </c>
    </row>
    <row r="84" spans="2:16" ht="13.95" customHeight="1" x14ac:dyDescent="0.3">
      <c r="B84" s="6">
        <v>46197</v>
      </c>
      <c r="C84" s="19">
        <f t="shared" si="6"/>
        <v>26</v>
      </c>
      <c r="D84" s="37" t="str">
        <f t="shared" si="7"/>
        <v>Jun-26</v>
      </c>
      <c r="E84" s="13">
        <v>112691.6</v>
      </c>
      <c r="F84" s="13">
        <v>4530.2</v>
      </c>
      <c r="G84" s="38">
        <f t="shared" si="11"/>
        <v>108161.40000000001</v>
      </c>
      <c r="H84" s="38" t="s">
        <v>29</v>
      </c>
      <c r="I84" s="13">
        <v>1044</v>
      </c>
      <c r="J84" s="13">
        <v>958.5</v>
      </c>
      <c r="K84" s="13">
        <v>15</v>
      </c>
      <c r="L84" s="39">
        <f t="shared" si="8"/>
        <v>0.88617565970854661</v>
      </c>
      <c r="M84" s="39">
        <f t="shared" si="9"/>
        <v>1.3868163688709649E-2</v>
      </c>
      <c r="N84" s="12">
        <f t="shared" si="10"/>
        <v>107187.90000000001</v>
      </c>
    </row>
    <row r="85" spans="2:16" ht="13.95" customHeight="1" x14ac:dyDescent="0.3">
      <c r="B85" s="6">
        <v>46198</v>
      </c>
      <c r="C85" s="19">
        <f t="shared" si="6"/>
        <v>26</v>
      </c>
      <c r="D85" s="37" t="str">
        <f t="shared" si="7"/>
        <v>Jun-26</v>
      </c>
      <c r="E85" s="13">
        <v>102851.6</v>
      </c>
      <c r="F85" s="13">
        <v>4111.8499999999995</v>
      </c>
      <c r="G85" s="38">
        <f t="shared" si="11"/>
        <v>98739.75</v>
      </c>
      <c r="H85" s="38" t="s">
        <v>29</v>
      </c>
      <c r="I85" s="13">
        <v>1045</v>
      </c>
      <c r="J85" s="13">
        <v>854.5</v>
      </c>
      <c r="K85" s="13">
        <v>12</v>
      </c>
      <c r="L85" s="39">
        <f t="shared" si="8"/>
        <v>0.86540628267744246</v>
      </c>
      <c r="M85" s="39">
        <f t="shared" si="9"/>
        <v>1.2153160201438629E-2</v>
      </c>
      <c r="N85" s="12">
        <f t="shared" si="10"/>
        <v>97873.25</v>
      </c>
    </row>
    <row r="86" spans="2:16" ht="13.95" customHeight="1" x14ac:dyDescent="0.3">
      <c r="B86" s="6">
        <v>46199</v>
      </c>
      <c r="C86" s="19">
        <f t="shared" si="6"/>
        <v>26</v>
      </c>
      <c r="D86" s="37" t="str">
        <f t="shared" si="7"/>
        <v>Jun-26</v>
      </c>
      <c r="E86" s="13"/>
      <c r="F86" s="13"/>
      <c r="G86" s="38">
        <f t="shared" si="11"/>
        <v>0</v>
      </c>
      <c r="H86" s="38"/>
      <c r="I86" s="13"/>
      <c r="J86" s="13"/>
      <c r="K86" s="13"/>
      <c r="L86" s="39" t="str">
        <f t="shared" si="8"/>
        <v>0</v>
      </c>
      <c r="M86" s="39" t="str">
        <f t="shared" si="9"/>
        <v>0</v>
      </c>
      <c r="N86" s="12">
        <f t="shared" si="10"/>
        <v>0</v>
      </c>
    </row>
    <row r="87" spans="2:16" ht="13.95" customHeight="1" x14ac:dyDescent="0.3">
      <c r="B87" s="6">
        <v>46199</v>
      </c>
      <c r="C87" s="19">
        <f t="shared" si="6"/>
        <v>26</v>
      </c>
      <c r="D87" s="37" t="str">
        <f t="shared" si="7"/>
        <v>Jun-26</v>
      </c>
      <c r="E87" s="13">
        <v>120252.1</v>
      </c>
      <c r="F87" s="13">
        <v>4575.1000000000004</v>
      </c>
      <c r="G87" s="38">
        <f t="shared" si="11"/>
        <v>115677</v>
      </c>
      <c r="H87" s="38" t="s">
        <v>29</v>
      </c>
      <c r="I87" s="13">
        <v>1046</v>
      </c>
      <c r="J87" s="13">
        <v>925</v>
      </c>
      <c r="K87" s="13">
        <v>8</v>
      </c>
      <c r="L87" s="39">
        <f t="shared" si="8"/>
        <v>0.79964037794894405</v>
      </c>
      <c r="M87" s="39">
        <f t="shared" si="9"/>
        <v>6.9158086741530293E-3</v>
      </c>
      <c r="N87" s="12">
        <f t="shared" si="10"/>
        <v>114744</v>
      </c>
    </row>
    <row r="88" spans="2:16" ht="13.95" customHeight="1" x14ac:dyDescent="0.3">
      <c r="B88" s="6">
        <v>46200</v>
      </c>
      <c r="C88" s="19">
        <f t="shared" si="6"/>
        <v>26</v>
      </c>
      <c r="D88" s="37" t="str">
        <f t="shared" si="7"/>
        <v>Jun-26</v>
      </c>
      <c r="E88" s="13">
        <v>114357.2</v>
      </c>
      <c r="F88" s="13">
        <v>4517.7</v>
      </c>
      <c r="G88" s="38">
        <f t="shared" si="11"/>
        <v>109839.5</v>
      </c>
      <c r="H88" s="38" t="s">
        <v>29</v>
      </c>
      <c r="I88" s="13">
        <v>1047</v>
      </c>
      <c r="J88" s="13">
        <v>960.5</v>
      </c>
      <c r="K88" s="13">
        <v>10</v>
      </c>
      <c r="L88" s="39">
        <f t="shared" si="8"/>
        <v>0.87445773150824613</v>
      </c>
      <c r="M88" s="39">
        <f t="shared" si="9"/>
        <v>9.1041929360567014E-3</v>
      </c>
      <c r="N88" s="12">
        <f t="shared" si="10"/>
        <v>108869</v>
      </c>
    </row>
    <row r="89" spans="2:16" ht="13.95" customHeight="1" x14ac:dyDescent="0.3">
      <c r="B89" s="6">
        <v>46201</v>
      </c>
      <c r="C89" s="19">
        <f t="shared" si="6"/>
        <v>27</v>
      </c>
      <c r="D89" s="37" t="str">
        <f t="shared" si="7"/>
        <v>Jun-26</v>
      </c>
      <c r="E89" s="13"/>
      <c r="F89" s="13"/>
      <c r="G89" s="38">
        <f t="shared" si="11"/>
        <v>0</v>
      </c>
      <c r="H89" s="38"/>
      <c r="I89" s="13"/>
      <c r="J89" s="13"/>
      <c r="K89" s="13"/>
      <c r="L89" s="39" t="str">
        <f t="shared" si="8"/>
        <v>0</v>
      </c>
      <c r="M89" s="39" t="str">
        <f t="shared" si="9"/>
        <v>0</v>
      </c>
      <c r="N89" s="12">
        <f>E89-F89-J89-K89</f>
        <v>0</v>
      </c>
    </row>
    <row r="90" spans="2:16" ht="13.95" customHeight="1" x14ac:dyDescent="0.3">
      <c r="B90" s="6">
        <v>46202</v>
      </c>
      <c r="C90" s="19">
        <f t="shared" si="6"/>
        <v>27</v>
      </c>
      <c r="D90" s="37" t="str">
        <f t="shared" si="7"/>
        <v>Jun-26</v>
      </c>
      <c r="E90" s="13">
        <v>87594.5</v>
      </c>
      <c r="F90" s="13">
        <v>3673.7</v>
      </c>
      <c r="G90" s="38">
        <f t="shared" si="11"/>
        <v>83920.8</v>
      </c>
      <c r="H90" s="38" t="s">
        <v>29</v>
      </c>
      <c r="I90" s="13">
        <v>1048</v>
      </c>
      <c r="J90" s="13">
        <v>650</v>
      </c>
      <c r="K90" s="13">
        <v>8</v>
      </c>
      <c r="L90" s="39">
        <f t="shared" si="8"/>
        <v>0.77453980419633739</v>
      </c>
      <c r="M90" s="39">
        <f t="shared" si="9"/>
        <v>9.5327975901087682E-3</v>
      </c>
      <c r="N90" s="12">
        <f t="shared" ref="N90:N138" si="12">E90-F90-J90-K90</f>
        <v>83262.8</v>
      </c>
    </row>
    <row r="91" spans="2:16" ht="13.95" customHeight="1" x14ac:dyDescent="0.3">
      <c r="B91" s="6">
        <v>46203</v>
      </c>
      <c r="C91" s="19">
        <f t="shared" si="6"/>
        <v>27</v>
      </c>
      <c r="D91" s="37" t="str">
        <f t="shared" si="7"/>
        <v>Jun-26</v>
      </c>
      <c r="E91" s="13">
        <v>107540.1</v>
      </c>
      <c r="F91" s="13">
        <v>4593.3</v>
      </c>
      <c r="G91" s="38">
        <f t="shared" si="11"/>
        <v>102946.8</v>
      </c>
      <c r="H91" s="38" t="s">
        <v>29</v>
      </c>
      <c r="I91" s="13">
        <v>1049</v>
      </c>
      <c r="J91" s="13">
        <v>825</v>
      </c>
      <c r="K91" s="13">
        <v>10</v>
      </c>
      <c r="L91" s="39">
        <f t="shared" si="8"/>
        <v>0.80138479292216946</v>
      </c>
      <c r="M91" s="39">
        <f t="shared" si="9"/>
        <v>9.7137550657232664E-3</v>
      </c>
      <c r="N91" s="12">
        <f t="shared" si="12"/>
        <v>102111.8</v>
      </c>
    </row>
    <row r="92" spans="2:16" ht="13.95" customHeight="1" x14ac:dyDescent="0.3">
      <c r="B92" s="6">
        <v>46204</v>
      </c>
      <c r="C92" s="19">
        <f t="shared" si="6"/>
        <v>27</v>
      </c>
      <c r="D92" s="37" t="str">
        <f t="shared" si="7"/>
        <v>Jul-26</v>
      </c>
      <c r="E92" s="13">
        <v>230679.4</v>
      </c>
      <c r="F92" s="13">
        <v>9006.85</v>
      </c>
      <c r="G92" s="38">
        <f t="shared" si="11"/>
        <v>221672.55</v>
      </c>
      <c r="H92" s="38" t="s">
        <v>29</v>
      </c>
      <c r="I92" s="13">
        <v>1050</v>
      </c>
      <c r="J92" s="13">
        <v>1850</v>
      </c>
      <c r="K92" s="13">
        <v>18</v>
      </c>
      <c r="L92" s="39">
        <f t="shared" si="8"/>
        <v>0.83456431569898937</v>
      </c>
      <c r="M92" s="39">
        <f t="shared" si="9"/>
        <v>8.1200852338280047E-3</v>
      </c>
      <c r="N92" s="12">
        <f t="shared" si="12"/>
        <v>219804.55</v>
      </c>
    </row>
    <row r="93" spans="2:16" ht="13.95" customHeight="1" x14ac:dyDescent="0.3">
      <c r="B93" s="6">
        <v>46205</v>
      </c>
      <c r="C93" s="19">
        <f t="shared" si="6"/>
        <v>27</v>
      </c>
      <c r="D93" s="37" t="str">
        <f t="shared" si="7"/>
        <v>Jul-26</v>
      </c>
      <c r="E93" s="13">
        <v>244434.9</v>
      </c>
      <c r="F93" s="13">
        <v>9759.4</v>
      </c>
      <c r="G93" s="38">
        <f t="shared" si="11"/>
        <v>234675.5</v>
      </c>
      <c r="H93" s="38" t="s">
        <v>29</v>
      </c>
      <c r="I93" s="13">
        <v>1051</v>
      </c>
      <c r="J93" s="13">
        <v>1865</v>
      </c>
      <c r="K93" s="13">
        <v>35</v>
      </c>
      <c r="L93" s="39">
        <f t="shared" si="8"/>
        <v>0.79471440350611799</v>
      </c>
      <c r="M93" s="39">
        <f t="shared" si="9"/>
        <v>1.491421132585208E-2</v>
      </c>
      <c r="N93" s="12">
        <f t="shared" si="12"/>
        <v>232775.5</v>
      </c>
      <c r="P93" s="17"/>
    </row>
    <row r="94" spans="2:16" ht="13.95" customHeight="1" x14ac:dyDescent="0.3">
      <c r="B94" s="42">
        <v>46206</v>
      </c>
      <c r="C94" s="19">
        <f t="shared" si="6"/>
        <v>27</v>
      </c>
      <c r="D94" s="37" t="str">
        <f t="shared" si="7"/>
        <v>Jul-26</v>
      </c>
      <c r="E94" s="13"/>
      <c r="F94" s="13"/>
      <c r="G94" s="38">
        <f t="shared" si="11"/>
        <v>0</v>
      </c>
      <c r="H94" s="38"/>
      <c r="I94" s="13"/>
      <c r="J94" s="13"/>
      <c r="K94" s="13"/>
      <c r="L94" s="39" t="str">
        <f t="shared" si="8"/>
        <v>0</v>
      </c>
      <c r="M94" s="39" t="str">
        <f t="shared" si="9"/>
        <v>0</v>
      </c>
      <c r="N94" s="12">
        <f t="shared" si="12"/>
        <v>0</v>
      </c>
    </row>
    <row r="95" spans="2:16" ht="13.95" customHeight="1" x14ac:dyDescent="0.3">
      <c r="B95" s="42">
        <v>46207</v>
      </c>
      <c r="C95" s="19">
        <f t="shared" si="6"/>
        <v>27</v>
      </c>
      <c r="D95" s="37" t="str">
        <f t="shared" si="7"/>
        <v>Jul-26</v>
      </c>
      <c r="E95" s="13"/>
      <c r="F95" s="13"/>
      <c r="G95" s="38">
        <f t="shared" si="11"/>
        <v>0</v>
      </c>
      <c r="H95" s="38"/>
      <c r="I95" s="13"/>
      <c r="J95" s="13"/>
      <c r="K95" s="13"/>
      <c r="L95" s="39" t="str">
        <f t="shared" si="8"/>
        <v>0</v>
      </c>
      <c r="M95" s="39" t="str">
        <f t="shared" si="9"/>
        <v>0</v>
      </c>
      <c r="N95" s="12">
        <f t="shared" si="12"/>
        <v>0</v>
      </c>
    </row>
    <row r="96" spans="2:16" ht="13.95" customHeight="1" x14ac:dyDescent="0.3">
      <c r="B96" s="42">
        <v>46208</v>
      </c>
      <c r="C96" s="19">
        <f t="shared" si="6"/>
        <v>28</v>
      </c>
      <c r="D96" s="37" t="str">
        <f t="shared" si="7"/>
        <v>Jul-26</v>
      </c>
      <c r="E96" s="13"/>
      <c r="F96" s="13"/>
      <c r="G96" s="38">
        <f t="shared" si="11"/>
        <v>0</v>
      </c>
      <c r="H96" s="38"/>
      <c r="I96" s="13"/>
      <c r="J96" s="13"/>
      <c r="K96" s="13"/>
      <c r="L96" s="39" t="str">
        <f t="shared" si="8"/>
        <v>0</v>
      </c>
      <c r="M96" s="39" t="str">
        <f t="shared" si="9"/>
        <v>0</v>
      </c>
      <c r="N96" s="12">
        <f t="shared" si="12"/>
        <v>0</v>
      </c>
    </row>
    <row r="97" spans="2:14" ht="13.95" customHeight="1" x14ac:dyDescent="0.3">
      <c r="B97" s="42">
        <v>46209</v>
      </c>
      <c r="C97" s="19">
        <f t="shared" si="6"/>
        <v>28</v>
      </c>
      <c r="D97" s="37" t="str">
        <f t="shared" si="7"/>
        <v>Jul-26</v>
      </c>
      <c r="E97" s="13">
        <v>226161.9</v>
      </c>
      <c r="F97" s="13">
        <v>9342.9499999999989</v>
      </c>
      <c r="G97" s="38">
        <f t="shared" si="11"/>
        <v>216818.94999999998</v>
      </c>
      <c r="H97" s="38" t="s">
        <v>29</v>
      </c>
      <c r="I97" s="13">
        <v>1052</v>
      </c>
      <c r="J97" s="13">
        <v>1926.5</v>
      </c>
      <c r="K97" s="13">
        <v>30</v>
      </c>
      <c r="L97" s="39">
        <f t="shared" si="8"/>
        <v>0.88852934671992467</v>
      </c>
      <c r="M97" s="39">
        <f t="shared" si="9"/>
        <v>1.3836428965272639E-2</v>
      </c>
      <c r="N97" s="12">
        <f t="shared" si="12"/>
        <v>214862.44999999998</v>
      </c>
    </row>
    <row r="98" spans="2:14" ht="13.95" customHeight="1" x14ac:dyDescent="0.3">
      <c r="B98" s="42">
        <v>46210</v>
      </c>
      <c r="C98" s="19">
        <f t="shared" si="6"/>
        <v>28</v>
      </c>
      <c r="D98" s="37" t="str">
        <f t="shared" si="7"/>
        <v>Jul-26</v>
      </c>
      <c r="E98" s="13">
        <v>120817.8</v>
      </c>
      <c r="F98" s="13">
        <v>4895.7</v>
      </c>
      <c r="G98" s="38">
        <f t="shared" si="11"/>
        <v>115922.1</v>
      </c>
      <c r="H98" s="38" t="s">
        <v>29</v>
      </c>
      <c r="I98" s="13">
        <v>1053</v>
      </c>
      <c r="J98" s="13">
        <v>988</v>
      </c>
      <c r="K98" s="13">
        <v>18</v>
      </c>
      <c r="L98" s="39">
        <f t="shared" si="8"/>
        <v>0.85229649911449157</v>
      </c>
      <c r="M98" s="39">
        <f t="shared" si="9"/>
        <v>1.5527669012207335E-2</v>
      </c>
      <c r="N98" s="12">
        <f t="shared" si="12"/>
        <v>114916.1</v>
      </c>
    </row>
    <row r="99" spans="2:14" ht="13.95" customHeight="1" x14ac:dyDescent="0.3">
      <c r="B99" s="42">
        <v>46211</v>
      </c>
      <c r="C99" s="19">
        <f t="shared" si="6"/>
        <v>28</v>
      </c>
      <c r="D99" s="37" t="str">
        <f t="shared" si="7"/>
        <v>Jul-26</v>
      </c>
      <c r="E99" s="13">
        <v>39359.699999999997</v>
      </c>
      <c r="F99" s="13">
        <v>1656.0500000000002</v>
      </c>
      <c r="G99" s="38">
        <f t="shared" si="11"/>
        <v>37703.649999999994</v>
      </c>
      <c r="H99" s="38" t="s">
        <v>29</v>
      </c>
      <c r="I99" s="13">
        <v>1053</v>
      </c>
      <c r="J99" s="13">
        <v>335</v>
      </c>
      <c r="K99" s="13">
        <v>10</v>
      </c>
      <c r="L99" s="39">
        <f t="shared" si="8"/>
        <v>0.88850814178468152</v>
      </c>
      <c r="M99" s="39">
        <f t="shared" si="9"/>
        <v>2.6522631098050194E-2</v>
      </c>
      <c r="N99" s="12">
        <f t="shared" si="12"/>
        <v>37358.649999999994</v>
      </c>
    </row>
    <row r="100" spans="2:14" ht="13.95" customHeight="1" x14ac:dyDescent="0.3">
      <c r="B100" s="42">
        <v>46212</v>
      </c>
      <c r="C100" s="19">
        <f t="shared" si="6"/>
        <v>28</v>
      </c>
      <c r="D100" s="37" t="str">
        <f t="shared" si="7"/>
        <v>Jul-26</v>
      </c>
      <c r="E100" s="13">
        <v>95080.5</v>
      </c>
      <c r="F100" s="13">
        <v>4002.6</v>
      </c>
      <c r="G100" s="38">
        <f t="shared" si="11"/>
        <v>91077.9</v>
      </c>
      <c r="H100" s="38" t="s">
        <v>29</v>
      </c>
      <c r="I100" s="13">
        <v>1054</v>
      </c>
      <c r="J100" s="13">
        <v>780</v>
      </c>
      <c r="K100" s="13">
        <v>17</v>
      </c>
      <c r="L100" s="39">
        <f t="shared" si="8"/>
        <v>0.85640973276722454</v>
      </c>
      <c r="M100" s="39">
        <f t="shared" si="9"/>
        <v>1.8665340329542073E-2</v>
      </c>
      <c r="N100" s="12">
        <f t="shared" si="12"/>
        <v>90280.9</v>
      </c>
    </row>
    <row r="101" spans="2:14" ht="13.95" customHeight="1" x14ac:dyDescent="0.3">
      <c r="B101" s="42">
        <v>46213</v>
      </c>
      <c r="C101" s="19">
        <f t="shared" si="6"/>
        <v>28</v>
      </c>
      <c r="D101" s="37" t="str">
        <f t="shared" si="7"/>
        <v>Jul-26</v>
      </c>
      <c r="E101" s="13">
        <v>129704.6</v>
      </c>
      <c r="F101" s="13">
        <v>5354.15</v>
      </c>
      <c r="G101" s="38">
        <f t="shared" si="11"/>
        <v>124350.45000000001</v>
      </c>
      <c r="H101" s="38" t="s">
        <v>29</v>
      </c>
      <c r="I101" s="13">
        <v>1054</v>
      </c>
      <c r="J101" s="13">
        <v>1025.3</v>
      </c>
      <c r="K101" s="13">
        <v>20</v>
      </c>
      <c r="L101" s="39">
        <f t="shared" si="8"/>
        <v>0.82452455942057301</v>
      </c>
      <c r="M101" s="39">
        <f t="shared" si="9"/>
        <v>1.6083576697953243E-2</v>
      </c>
      <c r="N101" s="12">
        <f t="shared" si="12"/>
        <v>123305.15000000001</v>
      </c>
    </row>
    <row r="102" spans="2:14" ht="13.95" customHeight="1" x14ac:dyDescent="0.3">
      <c r="B102" s="42">
        <v>46214</v>
      </c>
      <c r="C102" s="19">
        <f t="shared" si="6"/>
        <v>28</v>
      </c>
      <c r="D102" s="37" t="str">
        <f t="shared" si="7"/>
        <v>Jul-26</v>
      </c>
      <c r="E102" s="13">
        <v>111500.7</v>
      </c>
      <c r="F102" s="13">
        <v>4704.55</v>
      </c>
      <c r="G102" s="38">
        <f t="shared" si="11"/>
        <v>106796.15</v>
      </c>
      <c r="H102" s="38" t="s">
        <v>29</v>
      </c>
      <c r="I102" s="13">
        <v>1055</v>
      </c>
      <c r="J102" s="13">
        <v>945</v>
      </c>
      <c r="K102" s="13">
        <v>12</v>
      </c>
      <c r="L102" s="39">
        <f t="shared" si="8"/>
        <v>0.88486335883831024</v>
      </c>
      <c r="M102" s="39">
        <f t="shared" si="9"/>
        <v>1.1236360112232512E-2</v>
      </c>
      <c r="N102" s="12">
        <f t="shared" si="12"/>
        <v>105839.15</v>
      </c>
    </row>
    <row r="103" spans="2:14" ht="13.95" customHeight="1" x14ac:dyDescent="0.3">
      <c r="B103" s="42">
        <v>46215</v>
      </c>
      <c r="C103" s="19">
        <f t="shared" si="6"/>
        <v>29</v>
      </c>
      <c r="D103" s="37" t="str">
        <f t="shared" si="7"/>
        <v>Jul-26</v>
      </c>
      <c r="E103" s="13"/>
      <c r="F103" s="13"/>
      <c r="G103" s="38">
        <f t="shared" si="11"/>
        <v>0</v>
      </c>
      <c r="H103" s="38"/>
      <c r="I103" s="13"/>
      <c r="J103" s="13"/>
      <c r="K103" s="13"/>
      <c r="L103" s="39" t="str">
        <f t="shared" si="8"/>
        <v>0</v>
      </c>
      <c r="M103" s="39" t="str">
        <f t="shared" si="9"/>
        <v>0</v>
      </c>
      <c r="N103" s="12">
        <f t="shared" si="12"/>
        <v>0</v>
      </c>
    </row>
    <row r="104" spans="2:14" ht="13.95" customHeight="1" x14ac:dyDescent="0.3">
      <c r="B104" s="42">
        <v>46216</v>
      </c>
      <c r="C104" s="19">
        <f t="shared" si="6"/>
        <v>29</v>
      </c>
      <c r="D104" s="37" t="str">
        <f t="shared" si="7"/>
        <v>Jul-26</v>
      </c>
      <c r="E104" s="13">
        <v>96214.1</v>
      </c>
      <c r="F104" s="13">
        <v>4012.4</v>
      </c>
      <c r="G104" s="38">
        <f t="shared" si="11"/>
        <v>92201.700000000012</v>
      </c>
      <c r="H104" s="38" t="s">
        <v>29</v>
      </c>
      <c r="I104" s="13">
        <v>101</v>
      </c>
      <c r="J104" s="13">
        <v>787.5</v>
      </c>
      <c r="K104" s="13">
        <v>12.5</v>
      </c>
      <c r="L104" s="39">
        <f t="shared" si="8"/>
        <v>0.8541057269009138</v>
      </c>
      <c r="M104" s="39">
        <f t="shared" si="9"/>
        <v>1.3557233760331966E-2</v>
      </c>
      <c r="N104" s="12">
        <f t="shared" si="12"/>
        <v>91401.700000000012</v>
      </c>
    </row>
    <row r="105" spans="2:14" ht="13.95" customHeight="1" x14ac:dyDescent="0.3">
      <c r="B105" s="42">
        <v>46216</v>
      </c>
      <c r="C105" s="19">
        <f t="shared" si="6"/>
        <v>29</v>
      </c>
      <c r="D105" s="37" t="str">
        <f t="shared" si="7"/>
        <v>Jul-26</v>
      </c>
      <c r="E105" s="13">
        <v>93027.9</v>
      </c>
      <c r="F105" s="13">
        <v>3936.2999999999997</v>
      </c>
      <c r="G105" s="38">
        <f t="shared" si="11"/>
        <v>89091.599999999991</v>
      </c>
      <c r="H105" s="38" t="s">
        <v>29</v>
      </c>
      <c r="I105" s="13">
        <v>102</v>
      </c>
      <c r="J105" s="13">
        <v>787.5</v>
      </c>
      <c r="K105" s="13">
        <v>12.5</v>
      </c>
      <c r="L105" s="39">
        <f t="shared" si="8"/>
        <v>0.8839217165254637</v>
      </c>
      <c r="M105" s="39">
        <f t="shared" si="9"/>
        <v>1.4030503436912123E-2</v>
      </c>
      <c r="N105" s="12">
        <f t="shared" si="12"/>
        <v>88291.599999999991</v>
      </c>
    </row>
    <row r="106" spans="2:14" ht="13.95" customHeight="1" x14ac:dyDescent="0.3">
      <c r="B106" s="42">
        <v>46217</v>
      </c>
      <c r="C106" s="19">
        <f t="shared" si="6"/>
        <v>29</v>
      </c>
      <c r="D106" s="37" t="str">
        <f t="shared" si="7"/>
        <v>Jul-26</v>
      </c>
      <c r="E106" s="13">
        <v>100356.6</v>
      </c>
      <c r="F106" s="13">
        <v>4018.0499999999997</v>
      </c>
      <c r="G106" s="38">
        <f t="shared" si="11"/>
        <v>96338.55</v>
      </c>
      <c r="H106" s="38" t="s">
        <v>29</v>
      </c>
      <c r="I106" s="13">
        <v>103</v>
      </c>
      <c r="J106" s="13">
        <v>820.5</v>
      </c>
      <c r="K106" s="13">
        <v>11.5</v>
      </c>
      <c r="L106" s="39">
        <f t="shared" si="8"/>
        <v>0.85168398320298577</v>
      </c>
      <c r="M106" s="39">
        <f t="shared" si="9"/>
        <v>1.1937069843795656E-2</v>
      </c>
      <c r="N106" s="12">
        <f t="shared" si="12"/>
        <v>95506.55</v>
      </c>
    </row>
    <row r="107" spans="2:14" ht="13.95" customHeight="1" x14ac:dyDescent="0.3">
      <c r="B107" s="42">
        <v>46218</v>
      </c>
      <c r="C107" s="19">
        <f t="shared" si="6"/>
        <v>29</v>
      </c>
      <c r="D107" s="37" t="str">
        <f t="shared" si="7"/>
        <v>Jul-26</v>
      </c>
      <c r="E107" s="13">
        <v>102254.3</v>
      </c>
      <c r="F107" s="13">
        <v>4206.75</v>
      </c>
      <c r="G107" s="38">
        <f t="shared" si="11"/>
        <v>98047.55</v>
      </c>
      <c r="H107" s="38" t="s">
        <v>29</v>
      </c>
      <c r="I107" s="13">
        <v>104</v>
      </c>
      <c r="J107" s="13">
        <v>850.8</v>
      </c>
      <c r="K107" s="13">
        <v>13.8</v>
      </c>
      <c r="L107" s="39">
        <f t="shared" si="8"/>
        <v>0.86774223323275279</v>
      </c>
      <c r="M107" s="39">
        <f t="shared" si="9"/>
        <v>1.4074803500954384E-2</v>
      </c>
      <c r="N107" s="12">
        <f t="shared" si="12"/>
        <v>97182.95</v>
      </c>
    </row>
    <row r="108" spans="2:14" ht="13.95" customHeight="1" x14ac:dyDescent="0.3">
      <c r="B108" s="42">
        <v>46219</v>
      </c>
      <c r="C108" s="19">
        <f t="shared" si="6"/>
        <v>29</v>
      </c>
      <c r="D108" s="37" t="str">
        <f t="shared" si="7"/>
        <v>Jul-26</v>
      </c>
      <c r="E108" s="13">
        <v>185021.6</v>
      </c>
      <c r="F108" s="13">
        <v>7493.55</v>
      </c>
      <c r="G108" s="38">
        <f t="shared" si="11"/>
        <v>177528.05000000002</v>
      </c>
      <c r="H108" s="38" t="s">
        <v>29</v>
      </c>
      <c r="I108" s="13">
        <v>105</v>
      </c>
      <c r="J108" s="13">
        <v>1425</v>
      </c>
      <c r="K108" s="13">
        <v>10</v>
      </c>
      <c r="L108" s="39">
        <f t="shared" si="8"/>
        <v>0.80269005376896774</v>
      </c>
      <c r="M108" s="39">
        <f t="shared" si="9"/>
        <v>5.6329126580278435E-3</v>
      </c>
      <c r="N108" s="12">
        <f t="shared" si="12"/>
        <v>176093.05000000002</v>
      </c>
    </row>
    <row r="109" spans="2:14" ht="13.95" customHeight="1" x14ac:dyDescent="0.3">
      <c r="B109" s="42">
        <v>46220</v>
      </c>
      <c r="C109" s="19">
        <f t="shared" si="6"/>
        <v>29</v>
      </c>
      <c r="D109" s="37" t="str">
        <f t="shared" si="7"/>
        <v>Jul-26</v>
      </c>
      <c r="E109" s="13">
        <v>55817.5</v>
      </c>
      <c r="F109" s="13">
        <v>2337.65</v>
      </c>
      <c r="G109" s="38">
        <f t="shared" si="11"/>
        <v>53479.85</v>
      </c>
      <c r="H109" s="38" t="s">
        <v>29</v>
      </c>
      <c r="I109" s="13">
        <v>106</v>
      </c>
      <c r="J109" s="13">
        <v>380.5</v>
      </c>
      <c r="K109" s="13">
        <v>5</v>
      </c>
      <c r="L109" s="39">
        <f t="shared" si="8"/>
        <v>0.71148292300745053</v>
      </c>
      <c r="M109" s="39">
        <f t="shared" si="9"/>
        <v>9.3493156768390331E-3</v>
      </c>
      <c r="N109" s="12">
        <f t="shared" si="12"/>
        <v>53094.35</v>
      </c>
    </row>
    <row r="110" spans="2:14" ht="13.95" customHeight="1" x14ac:dyDescent="0.3">
      <c r="B110" s="42">
        <v>46221</v>
      </c>
      <c r="C110" s="19">
        <f t="shared" si="6"/>
        <v>29</v>
      </c>
      <c r="D110" s="37" t="str">
        <f t="shared" si="7"/>
        <v>Jul-26</v>
      </c>
      <c r="E110" s="13">
        <v>0</v>
      </c>
      <c r="F110" s="13">
        <v>0</v>
      </c>
      <c r="G110" s="38">
        <f t="shared" si="11"/>
        <v>0</v>
      </c>
      <c r="H110" s="13"/>
      <c r="I110" s="13">
        <v>0</v>
      </c>
      <c r="J110" s="13">
        <v>0</v>
      </c>
      <c r="K110" s="13"/>
      <c r="L110" s="39" t="str">
        <f>IFERROR(J111/$G110%,"0")</f>
        <v>0</v>
      </c>
      <c r="M110" s="39" t="str">
        <f>IFERROR(K111/$G110%,"0")</f>
        <v>0</v>
      </c>
      <c r="N110" s="12">
        <f t="shared" si="12"/>
        <v>0</v>
      </c>
    </row>
    <row r="111" spans="2:14" ht="13.95" customHeight="1" x14ac:dyDescent="0.3">
      <c r="B111" s="42">
        <v>46222</v>
      </c>
      <c r="C111" s="19">
        <f t="shared" si="6"/>
        <v>30</v>
      </c>
      <c r="D111" s="37" t="str">
        <f t="shared" si="7"/>
        <v>Jul-26</v>
      </c>
      <c r="E111" s="13">
        <v>93913.7</v>
      </c>
      <c r="F111" s="13">
        <v>3791.4500000000003</v>
      </c>
      <c r="G111" s="38">
        <f t="shared" si="11"/>
        <v>90122.25</v>
      </c>
      <c r="H111" s="61" t="s">
        <v>31</v>
      </c>
      <c r="I111" s="13">
        <v>107</v>
      </c>
      <c r="J111" s="13">
        <v>655.5</v>
      </c>
      <c r="K111" s="13">
        <v>5</v>
      </c>
      <c r="L111" s="39">
        <f>IFERROR(J112/$G111%,"0")</f>
        <v>2.170829068293346</v>
      </c>
      <c r="M111" s="39" t="str">
        <f>IFERROR(#REF!/$G111%,"0")</f>
        <v>0</v>
      </c>
      <c r="N111" s="12">
        <f t="shared" si="12"/>
        <v>89461.75</v>
      </c>
    </row>
    <row r="112" spans="2:14" ht="13.95" customHeight="1" x14ac:dyDescent="0.3">
      <c r="B112" s="42">
        <v>46223</v>
      </c>
      <c r="C112" s="19">
        <f t="shared" si="6"/>
        <v>30</v>
      </c>
      <c r="D112" s="37" t="str">
        <f t="shared" si="7"/>
        <v>Jul-26</v>
      </c>
      <c r="E112" s="60">
        <v>86128.9</v>
      </c>
      <c r="F112" s="61">
        <v>3344.5</v>
      </c>
      <c r="G112" s="38">
        <f t="shared" si="11"/>
        <v>82784.399999999994</v>
      </c>
      <c r="H112" s="59" t="s">
        <v>31</v>
      </c>
      <c r="I112" s="13">
        <v>108</v>
      </c>
      <c r="J112" s="13">
        <v>1956.4</v>
      </c>
      <c r="K112" s="13">
        <v>14</v>
      </c>
      <c r="L112" s="39">
        <f>IFERROR(J113/$G112%,"0")</f>
        <v>1.6404056802972542</v>
      </c>
      <c r="M112" s="39">
        <f t="shared" si="9"/>
        <v>1.6911398765951074E-2</v>
      </c>
      <c r="N112" s="12">
        <f t="shared" si="12"/>
        <v>80814</v>
      </c>
    </row>
    <row r="113" spans="2:18" ht="13.95" customHeight="1" x14ac:dyDescent="0.3">
      <c r="B113" s="42">
        <v>46223</v>
      </c>
      <c r="C113" s="19">
        <f t="shared" si="6"/>
        <v>30</v>
      </c>
      <c r="D113" s="37" t="str">
        <f t="shared" si="7"/>
        <v>Jul-26</v>
      </c>
      <c r="E113" s="61">
        <v>174333.3</v>
      </c>
      <c r="F113" s="61">
        <v>6747.98</v>
      </c>
      <c r="G113" s="38">
        <f t="shared" si="11"/>
        <v>167585.31999999998</v>
      </c>
      <c r="H113" s="59" t="s">
        <v>31</v>
      </c>
      <c r="I113" s="13">
        <v>109</v>
      </c>
      <c r="J113" s="61">
        <v>1358</v>
      </c>
      <c r="K113" s="13">
        <v>10</v>
      </c>
      <c r="L113" s="39" t="str">
        <f>IFERROR(#REF!/$G113%,"0")</f>
        <v>0</v>
      </c>
      <c r="M113" s="39">
        <f t="shared" si="9"/>
        <v>5.9671097683257701E-3</v>
      </c>
      <c r="N113" s="12">
        <f t="shared" si="12"/>
        <v>166217.31999999998</v>
      </c>
    </row>
    <row r="114" spans="2:18" ht="13.95" customHeight="1" x14ac:dyDescent="0.3">
      <c r="B114" s="42">
        <v>46224</v>
      </c>
      <c r="C114" s="19">
        <f t="shared" si="6"/>
        <v>30</v>
      </c>
      <c r="D114" s="37" t="str">
        <f t="shared" si="7"/>
        <v>Jul-26</v>
      </c>
      <c r="E114" s="60">
        <v>186066.7</v>
      </c>
      <c r="F114" s="61">
        <v>7481.25</v>
      </c>
      <c r="G114" s="38">
        <f t="shared" ref="G114:G175" si="13">E114-F114</f>
        <v>178585.45</v>
      </c>
      <c r="H114" s="59" t="s">
        <v>31</v>
      </c>
      <c r="I114" s="13">
        <v>110</v>
      </c>
      <c r="J114" s="13">
        <v>1450</v>
      </c>
      <c r="K114" s="13">
        <v>12</v>
      </c>
      <c r="L114" s="39">
        <f t="shared" si="8"/>
        <v>0.81193624676590392</v>
      </c>
      <c r="M114" s="39">
        <f t="shared" si="9"/>
        <v>6.7194723870281697E-3</v>
      </c>
      <c r="N114" s="12">
        <f t="shared" si="12"/>
        <v>177123.45</v>
      </c>
    </row>
    <row r="115" spans="2:18" ht="13.95" customHeight="1" x14ac:dyDescent="0.3">
      <c r="B115" s="42">
        <v>46225</v>
      </c>
      <c r="C115" s="19">
        <f t="shared" si="6"/>
        <v>30</v>
      </c>
      <c r="D115" s="37" t="str">
        <f t="shared" si="7"/>
        <v>Jul-26</v>
      </c>
      <c r="E115" s="60">
        <v>233839.9</v>
      </c>
      <c r="F115" s="61">
        <v>9310.65</v>
      </c>
      <c r="G115" s="38">
        <f t="shared" si="13"/>
        <v>224529.25</v>
      </c>
      <c r="H115" s="59" t="s">
        <v>31</v>
      </c>
      <c r="I115" s="13">
        <v>111</v>
      </c>
      <c r="J115" s="13">
        <v>1805</v>
      </c>
      <c r="K115" s="13">
        <v>15</v>
      </c>
      <c r="L115" s="39">
        <f t="shared" si="8"/>
        <v>0.80390416838786039</v>
      </c>
      <c r="M115" s="39">
        <f t="shared" si="9"/>
        <v>6.6806440586248787E-3</v>
      </c>
      <c r="N115" s="12">
        <f t="shared" si="12"/>
        <v>222709.25</v>
      </c>
      <c r="P115" s="18"/>
      <c r="R115" s="11"/>
    </row>
    <row r="116" spans="2:18" ht="13.95" customHeight="1" x14ac:dyDescent="0.3">
      <c r="B116" s="42">
        <v>46226</v>
      </c>
      <c r="C116" s="19">
        <f t="shared" si="6"/>
        <v>30</v>
      </c>
      <c r="D116" s="37" t="str">
        <f t="shared" si="7"/>
        <v>Jul-26</v>
      </c>
      <c r="E116" s="13">
        <v>214697.1</v>
      </c>
      <c r="F116" s="13">
        <v>8398.7000000000007</v>
      </c>
      <c r="G116" s="38">
        <f t="shared" si="13"/>
        <v>206298.4</v>
      </c>
      <c r="H116" s="38" t="s">
        <v>32</v>
      </c>
      <c r="I116" s="13">
        <v>112</v>
      </c>
      <c r="J116" s="13">
        <v>1850</v>
      </c>
      <c r="K116" s="13">
        <v>10</v>
      </c>
      <c r="L116" s="39">
        <f t="shared" si="8"/>
        <v>0.89675925746394547</v>
      </c>
      <c r="M116" s="39">
        <f t="shared" si="9"/>
        <v>4.8473473376429484E-3</v>
      </c>
      <c r="N116" s="12">
        <f t="shared" si="12"/>
        <v>204438.39999999999</v>
      </c>
    </row>
    <row r="117" spans="2:18" ht="13.95" customHeight="1" x14ac:dyDescent="0.3">
      <c r="B117" s="42">
        <v>46227</v>
      </c>
      <c r="C117" s="19">
        <f t="shared" si="6"/>
        <v>30</v>
      </c>
      <c r="D117" s="37" t="str">
        <f t="shared" si="7"/>
        <v>Jul-26</v>
      </c>
      <c r="E117" s="13"/>
      <c r="F117" s="13"/>
      <c r="G117" s="38">
        <f t="shared" si="13"/>
        <v>0</v>
      </c>
      <c r="H117" s="38"/>
      <c r="I117" s="13"/>
      <c r="J117" s="13"/>
      <c r="K117" s="13"/>
      <c r="L117" s="39" t="str">
        <f t="shared" si="8"/>
        <v>0</v>
      </c>
      <c r="M117" s="39" t="str">
        <f t="shared" si="9"/>
        <v>0</v>
      </c>
      <c r="N117" s="12">
        <f t="shared" si="12"/>
        <v>0</v>
      </c>
    </row>
    <row r="118" spans="2:18" ht="13.95" customHeight="1" x14ac:dyDescent="0.3">
      <c r="B118" s="42">
        <v>46228</v>
      </c>
      <c r="C118" s="19">
        <f t="shared" si="6"/>
        <v>30</v>
      </c>
      <c r="D118" s="37" t="str">
        <f t="shared" si="7"/>
        <v>Jul-26</v>
      </c>
      <c r="E118" s="40">
        <v>143519.6</v>
      </c>
      <c r="F118" s="13">
        <v>5687.7</v>
      </c>
      <c r="G118" s="38">
        <f t="shared" si="13"/>
        <v>137831.9</v>
      </c>
      <c r="H118" s="38" t="s">
        <v>32</v>
      </c>
      <c r="I118" s="13">
        <v>113</v>
      </c>
      <c r="J118" s="13">
        <v>1250</v>
      </c>
      <c r="K118" s="13">
        <v>8</v>
      </c>
      <c r="L118" s="39">
        <f t="shared" si="8"/>
        <v>0.90690181300555239</v>
      </c>
      <c r="M118" s="39">
        <f t="shared" si="9"/>
        <v>5.8041716032355356E-3</v>
      </c>
      <c r="N118" s="12">
        <f t="shared" si="12"/>
        <v>136573.9</v>
      </c>
    </row>
    <row r="119" spans="2:18" ht="13.95" customHeight="1" x14ac:dyDescent="0.3">
      <c r="B119" s="42">
        <v>46229</v>
      </c>
      <c r="C119" s="19">
        <f t="shared" si="6"/>
        <v>31</v>
      </c>
      <c r="D119" s="37" t="str">
        <f t="shared" si="7"/>
        <v>Jul-26</v>
      </c>
      <c r="E119" s="40"/>
      <c r="F119" s="13"/>
      <c r="G119" s="38">
        <f t="shared" si="13"/>
        <v>0</v>
      </c>
      <c r="H119" s="38"/>
      <c r="I119" s="13"/>
      <c r="J119" s="13"/>
      <c r="K119" s="13"/>
      <c r="L119" s="39" t="str">
        <f t="shared" si="8"/>
        <v>0</v>
      </c>
      <c r="M119" s="39" t="str">
        <f t="shared" si="9"/>
        <v>0</v>
      </c>
      <c r="N119" s="12">
        <f t="shared" si="12"/>
        <v>0</v>
      </c>
    </row>
    <row r="120" spans="2:18" ht="13.95" customHeight="1" x14ac:dyDescent="0.3">
      <c r="B120" s="42">
        <v>46230</v>
      </c>
      <c r="C120" s="19">
        <f t="shared" si="6"/>
        <v>31</v>
      </c>
      <c r="D120" s="37" t="str">
        <f t="shared" si="7"/>
        <v>Jul-26</v>
      </c>
      <c r="E120" s="40">
        <v>127712.3</v>
      </c>
      <c r="F120" s="13">
        <v>5065.05</v>
      </c>
      <c r="G120" s="38">
        <f t="shared" si="13"/>
        <v>122647.25</v>
      </c>
      <c r="H120" s="38" t="s">
        <v>32</v>
      </c>
      <c r="I120" s="13">
        <v>114</v>
      </c>
      <c r="J120" s="13">
        <v>1100</v>
      </c>
      <c r="K120" s="13">
        <v>5</v>
      </c>
      <c r="L120" s="39">
        <f t="shared" si="8"/>
        <v>0.89688109598869925</v>
      </c>
      <c r="M120" s="39">
        <f t="shared" si="9"/>
        <v>4.0767322544940877E-3</v>
      </c>
      <c r="N120" s="12">
        <f t="shared" si="12"/>
        <v>121542.25</v>
      </c>
    </row>
    <row r="121" spans="2:18" ht="13.95" customHeight="1" x14ac:dyDescent="0.3">
      <c r="B121" s="42">
        <v>46231</v>
      </c>
      <c r="C121" s="19">
        <f t="shared" si="6"/>
        <v>31</v>
      </c>
      <c r="D121" s="37" t="str">
        <f t="shared" si="7"/>
        <v>Jul-26</v>
      </c>
      <c r="E121" s="40">
        <v>140595.79999999999</v>
      </c>
      <c r="F121" s="13">
        <v>5511.85</v>
      </c>
      <c r="G121" s="38">
        <f t="shared" si="13"/>
        <v>135083.94999999998</v>
      </c>
      <c r="H121" s="38" t="s">
        <v>32</v>
      </c>
      <c r="I121" s="13">
        <v>115</v>
      </c>
      <c r="J121" s="13">
        <v>1250</v>
      </c>
      <c r="K121" s="13">
        <v>8</v>
      </c>
      <c r="L121" s="39">
        <f t="shared" si="8"/>
        <v>0.92535049500699396</v>
      </c>
      <c r="M121" s="39">
        <f t="shared" si="9"/>
        <v>5.922243168044761E-3</v>
      </c>
      <c r="N121" s="12">
        <f t="shared" si="12"/>
        <v>133825.94999999998</v>
      </c>
    </row>
    <row r="122" spans="2:18" ht="13.95" customHeight="1" x14ac:dyDescent="0.3">
      <c r="B122" s="42">
        <v>46232</v>
      </c>
      <c r="C122" s="19">
        <f t="shared" si="6"/>
        <v>31</v>
      </c>
      <c r="D122" s="37" t="str">
        <f t="shared" si="7"/>
        <v>Jul-26</v>
      </c>
      <c r="E122" s="40">
        <v>141338.6</v>
      </c>
      <c r="F122" s="13">
        <v>5478.0499999999993</v>
      </c>
      <c r="G122" s="38">
        <f t="shared" si="13"/>
        <v>135860.55000000002</v>
      </c>
      <c r="H122" s="38" t="s">
        <v>32</v>
      </c>
      <c r="I122" s="13">
        <v>116</v>
      </c>
      <c r="J122" s="13">
        <v>1230</v>
      </c>
      <c r="K122" s="13">
        <v>7</v>
      </c>
      <c r="L122" s="39">
        <f t="shared" si="8"/>
        <v>0.90534007112439918</v>
      </c>
      <c r="M122" s="39">
        <f t="shared" si="9"/>
        <v>5.1523418681876376E-3</v>
      </c>
      <c r="N122" s="12">
        <f t="shared" si="12"/>
        <v>134623.55000000002</v>
      </c>
    </row>
    <row r="123" spans="2:18" ht="13.95" customHeight="1" x14ac:dyDescent="0.3">
      <c r="B123" s="42">
        <v>46233</v>
      </c>
      <c r="C123" s="19">
        <f t="shared" si="6"/>
        <v>31</v>
      </c>
      <c r="D123" s="37" t="str">
        <f t="shared" si="7"/>
        <v>Jul-26</v>
      </c>
      <c r="E123" s="40">
        <v>140767.29999999999</v>
      </c>
      <c r="F123" s="13">
        <v>5485.55</v>
      </c>
      <c r="G123" s="38">
        <f t="shared" si="13"/>
        <v>135281.75</v>
      </c>
      <c r="H123" s="38" t="s">
        <v>32</v>
      </c>
      <c r="I123" s="13">
        <v>117</v>
      </c>
      <c r="J123" s="13">
        <v>1200</v>
      </c>
      <c r="K123" s="13">
        <v>10</v>
      </c>
      <c r="L123" s="39">
        <f t="shared" si="8"/>
        <v>0.88703760854660729</v>
      </c>
      <c r="M123" s="39">
        <f t="shared" si="9"/>
        <v>7.3919800712217276E-3</v>
      </c>
      <c r="N123" s="12">
        <f t="shared" si="12"/>
        <v>134071.75</v>
      </c>
    </row>
    <row r="124" spans="2:18" ht="13.95" customHeight="1" x14ac:dyDescent="0.3">
      <c r="B124" s="42">
        <v>46234</v>
      </c>
      <c r="C124" s="19">
        <f t="shared" si="6"/>
        <v>31</v>
      </c>
      <c r="D124" s="37" t="str">
        <f t="shared" si="7"/>
        <v>Jul-26</v>
      </c>
      <c r="E124" s="13">
        <v>133980.20000000001</v>
      </c>
      <c r="F124" s="13">
        <v>5235.3999999999996</v>
      </c>
      <c r="G124" s="38">
        <f t="shared" si="13"/>
        <v>128744.80000000002</v>
      </c>
      <c r="H124" s="38" t="s">
        <v>32</v>
      </c>
      <c r="I124" s="13">
        <v>118</v>
      </c>
      <c r="J124" s="13">
        <v>1180</v>
      </c>
      <c r="K124" s="13">
        <v>5</v>
      </c>
      <c r="L124" s="39">
        <f t="shared" si="8"/>
        <v>0.91654187198240233</v>
      </c>
      <c r="M124" s="39">
        <f t="shared" si="9"/>
        <v>3.8836519999254338E-3</v>
      </c>
      <c r="N124" s="12">
        <f t="shared" si="12"/>
        <v>127559.80000000002</v>
      </c>
    </row>
    <row r="125" spans="2:18" ht="13.95" customHeight="1" x14ac:dyDescent="0.3">
      <c r="B125" s="42">
        <v>46235</v>
      </c>
      <c r="C125" s="19">
        <f t="shared" si="6"/>
        <v>31</v>
      </c>
      <c r="D125" s="37" t="str">
        <f t="shared" si="7"/>
        <v>Aug-26</v>
      </c>
      <c r="E125" s="40"/>
      <c r="F125" s="13"/>
      <c r="G125" s="38">
        <f t="shared" si="13"/>
        <v>0</v>
      </c>
      <c r="H125" s="38"/>
      <c r="I125" s="13"/>
      <c r="J125" s="13"/>
      <c r="K125" s="13"/>
      <c r="L125" s="39" t="str">
        <f t="shared" si="8"/>
        <v>0</v>
      </c>
      <c r="M125" s="39" t="str">
        <f t="shared" si="9"/>
        <v>0</v>
      </c>
      <c r="N125" s="12">
        <f t="shared" si="12"/>
        <v>0</v>
      </c>
    </row>
    <row r="126" spans="2:18" ht="13.95" customHeight="1" x14ac:dyDescent="0.3">
      <c r="B126" s="42">
        <v>46236</v>
      </c>
      <c r="C126" s="19">
        <f t="shared" si="6"/>
        <v>32</v>
      </c>
      <c r="D126" s="37" t="str">
        <f t="shared" si="7"/>
        <v>Aug-26</v>
      </c>
      <c r="E126" s="40">
        <v>122379.2</v>
      </c>
      <c r="F126" s="13">
        <v>4933.8500000000004</v>
      </c>
      <c r="G126" s="38">
        <f t="shared" si="13"/>
        <v>117445.34999999999</v>
      </c>
      <c r="H126" s="38" t="s">
        <v>32</v>
      </c>
      <c r="I126" s="13">
        <v>119</v>
      </c>
      <c r="J126" s="13">
        <v>1100</v>
      </c>
      <c r="K126" s="13">
        <v>8</v>
      </c>
      <c r="L126" s="39">
        <f t="shared" si="8"/>
        <v>0.93660583411774079</v>
      </c>
      <c r="M126" s="39">
        <f t="shared" si="9"/>
        <v>6.8116787935835693E-3</v>
      </c>
      <c r="N126" s="12">
        <f t="shared" si="12"/>
        <v>116337.34999999999</v>
      </c>
    </row>
    <row r="127" spans="2:18" ht="13.95" customHeight="1" x14ac:dyDescent="0.3">
      <c r="B127" s="42">
        <v>46237</v>
      </c>
      <c r="C127" s="19">
        <f t="shared" si="6"/>
        <v>32</v>
      </c>
      <c r="D127" s="37" t="str">
        <f t="shared" si="7"/>
        <v>Aug-26</v>
      </c>
      <c r="E127" s="40">
        <v>139381.6</v>
      </c>
      <c r="F127" s="13">
        <v>5517.8</v>
      </c>
      <c r="G127" s="38">
        <f t="shared" si="13"/>
        <v>133863.80000000002</v>
      </c>
      <c r="H127" s="38" t="s">
        <v>32</v>
      </c>
      <c r="I127" s="13">
        <v>120</v>
      </c>
      <c r="J127" s="13">
        <v>1250</v>
      </c>
      <c r="K127" s="13">
        <v>5</v>
      </c>
      <c r="L127" s="39">
        <f t="shared" si="8"/>
        <v>0.93378493662961892</v>
      </c>
      <c r="M127" s="39">
        <f t="shared" si="9"/>
        <v>3.7351397465184757E-3</v>
      </c>
      <c r="N127" s="12">
        <f t="shared" si="12"/>
        <v>132608.80000000002</v>
      </c>
    </row>
    <row r="128" spans="2:18" ht="13.95" customHeight="1" x14ac:dyDescent="0.3">
      <c r="B128" s="42">
        <v>46238</v>
      </c>
      <c r="C128" s="19">
        <f t="shared" si="6"/>
        <v>32</v>
      </c>
      <c r="D128" s="37" t="str">
        <f t="shared" si="7"/>
        <v>Aug-26</v>
      </c>
      <c r="E128" s="40">
        <v>162521.20000000001</v>
      </c>
      <c r="F128" s="13">
        <v>6535</v>
      </c>
      <c r="G128" s="38">
        <f t="shared" si="13"/>
        <v>155986.20000000001</v>
      </c>
      <c r="H128" s="38" t="s">
        <v>32</v>
      </c>
      <c r="I128" s="13">
        <v>121</v>
      </c>
      <c r="J128" s="13">
        <v>1385</v>
      </c>
      <c r="K128" s="13">
        <v>7</v>
      </c>
      <c r="L128" s="39">
        <f t="shared" si="8"/>
        <v>0.88789905773715871</v>
      </c>
      <c r="M128" s="39">
        <f t="shared" si="9"/>
        <v>4.4875764650975534E-3</v>
      </c>
      <c r="N128" s="12">
        <f t="shared" si="12"/>
        <v>154594.20000000001</v>
      </c>
    </row>
    <row r="129" spans="2:14" ht="13.95" customHeight="1" x14ac:dyDescent="0.3">
      <c r="B129" s="42">
        <v>46239</v>
      </c>
      <c r="C129" s="19">
        <f t="shared" si="6"/>
        <v>32</v>
      </c>
      <c r="D129" s="37" t="str">
        <f t="shared" si="7"/>
        <v>Aug-26</v>
      </c>
      <c r="E129" s="40">
        <v>122227.8</v>
      </c>
      <c r="F129" s="13">
        <v>4896</v>
      </c>
      <c r="G129" s="38">
        <f t="shared" si="13"/>
        <v>117331.8</v>
      </c>
      <c r="H129" s="38" t="s">
        <v>32</v>
      </c>
      <c r="I129" s="13">
        <v>122</v>
      </c>
      <c r="J129" s="13">
        <v>1045</v>
      </c>
      <c r="K129" s="13">
        <v>9</v>
      </c>
      <c r="L129" s="39">
        <f t="shared" si="8"/>
        <v>0.89063663900153245</v>
      </c>
      <c r="M129" s="39">
        <f t="shared" si="9"/>
        <v>7.6705547856591311E-3</v>
      </c>
      <c r="N129" s="12">
        <f t="shared" si="12"/>
        <v>116277.8</v>
      </c>
    </row>
    <row r="130" spans="2:14" ht="13.95" customHeight="1" x14ac:dyDescent="0.3">
      <c r="B130" s="42">
        <v>46240</v>
      </c>
      <c r="C130" s="19">
        <f t="shared" si="6"/>
        <v>32</v>
      </c>
      <c r="D130" s="37" t="str">
        <f t="shared" si="7"/>
        <v>Aug-26</v>
      </c>
      <c r="E130" s="40">
        <v>90230.5</v>
      </c>
      <c r="F130" s="13">
        <v>3777.5</v>
      </c>
      <c r="G130" s="38">
        <f t="shared" si="13"/>
        <v>86453</v>
      </c>
      <c r="H130" s="38" t="s">
        <v>32</v>
      </c>
      <c r="I130" s="13">
        <v>123</v>
      </c>
      <c r="J130" s="13">
        <v>815</v>
      </c>
      <c r="K130" s="13">
        <v>5</v>
      </c>
      <c r="L130" s="39">
        <f t="shared" si="8"/>
        <v>0.94270875504609442</v>
      </c>
      <c r="M130" s="39">
        <f t="shared" si="9"/>
        <v>5.7834892947613153E-3</v>
      </c>
      <c r="N130" s="12">
        <f t="shared" si="12"/>
        <v>85633</v>
      </c>
    </row>
    <row r="131" spans="2:14" ht="13.95" customHeight="1" x14ac:dyDescent="0.3">
      <c r="B131" s="42">
        <v>46242</v>
      </c>
      <c r="C131" s="19">
        <f t="shared" si="6"/>
        <v>32</v>
      </c>
      <c r="D131" s="37" t="str">
        <f t="shared" si="7"/>
        <v>Aug-26</v>
      </c>
      <c r="E131" s="13"/>
      <c r="F131" s="13"/>
      <c r="G131" s="38">
        <f t="shared" si="13"/>
        <v>0</v>
      </c>
      <c r="H131" s="38"/>
      <c r="I131" s="13"/>
      <c r="J131" s="13"/>
      <c r="K131" s="13"/>
      <c r="L131" s="39" t="str">
        <f t="shared" si="8"/>
        <v>0</v>
      </c>
      <c r="M131" s="39" t="str">
        <f t="shared" si="9"/>
        <v>0</v>
      </c>
      <c r="N131" s="12">
        <f t="shared" si="12"/>
        <v>0</v>
      </c>
    </row>
    <row r="132" spans="2:14" ht="13.95" customHeight="1" x14ac:dyDescent="0.3">
      <c r="B132" s="42">
        <v>46243</v>
      </c>
      <c r="C132" s="19">
        <f t="shared" si="6"/>
        <v>33</v>
      </c>
      <c r="D132" s="37" t="str">
        <f t="shared" si="7"/>
        <v>Aug-26</v>
      </c>
      <c r="E132" s="40">
        <v>161808</v>
      </c>
      <c r="F132" s="13">
        <v>6517.1500000000005</v>
      </c>
      <c r="G132" s="38">
        <f t="shared" si="13"/>
        <v>155290.85</v>
      </c>
      <c r="H132" s="38" t="s">
        <v>32</v>
      </c>
      <c r="I132" s="13">
        <v>124</v>
      </c>
      <c r="J132" s="13">
        <v>1400</v>
      </c>
      <c r="K132" s="13">
        <v>5</v>
      </c>
      <c r="L132" s="39">
        <f t="shared" si="8"/>
        <v>0.90153412129562049</v>
      </c>
      <c r="M132" s="39">
        <f t="shared" si="9"/>
        <v>3.21976471891293E-3</v>
      </c>
      <c r="N132" s="12">
        <f t="shared" si="12"/>
        <v>153885.85</v>
      </c>
    </row>
    <row r="133" spans="2:14" ht="13.95" customHeight="1" x14ac:dyDescent="0.3">
      <c r="B133" s="42">
        <v>46244</v>
      </c>
      <c r="C133" s="19">
        <f t="shared" ref="C133:C196" si="14">WEEKNUM(B133)</f>
        <v>33</v>
      </c>
      <c r="D133" s="37" t="str">
        <f t="shared" ref="D133:D196" si="15">TEXT(B133,"mmm-yy")</f>
        <v>Aug-26</v>
      </c>
      <c r="E133" s="40">
        <v>96509.1</v>
      </c>
      <c r="F133" s="13">
        <v>3729.1</v>
      </c>
      <c r="G133" s="38">
        <f t="shared" si="13"/>
        <v>92780</v>
      </c>
      <c r="H133" s="38" t="s">
        <v>32</v>
      </c>
      <c r="I133" s="13">
        <v>125</v>
      </c>
      <c r="J133" s="13">
        <v>818.5</v>
      </c>
      <c r="K133" s="13">
        <v>2</v>
      </c>
      <c r="L133" s="39">
        <f t="shared" ref="L133:L196" si="16">IFERROR(J133/$G133%,"0")</f>
        <v>0.88219443845656398</v>
      </c>
      <c r="M133" s="39">
        <f t="shared" ref="M133:M196" si="17">IFERROR(K133/$G133%,"0")</f>
        <v>2.1556369907307612E-3</v>
      </c>
      <c r="N133" s="12">
        <f t="shared" si="12"/>
        <v>91959.5</v>
      </c>
    </row>
    <row r="134" spans="2:14" ht="13.95" customHeight="1" x14ac:dyDescent="0.3">
      <c r="B134" s="42">
        <v>46245</v>
      </c>
      <c r="C134" s="19">
        <f t="shared" si="14"/>
        <v>33</v>
      </c>
      <c r="D134" s="37" t="str">
        <f t="shared" si="15"/>
        <v>Aug-26</v>
      </c>
      <c r="E134" s="13">
        <v>143492.5</v>
      </c>
      <c r="F134" s="13">
        <v>5499.2000000000007</v>
      </c>
      <c r="G134" s="38">
        <f t="shared" si="13"/>
        <v>137993.29999999999</v>
      </c>
      <c r="H134" s="38" t="s">
        <v>32</v>
      </c>
      <c r="I134" s="13">
        <v>126</v>
      </c>
      <c r="J134" s="13">
        <v>1158</v>
      </c>
      <c r="K134" s="13">
        <v>3</v>
      </c>
      <c r="L134" s="39">
        <f t="shared" si="16"/>
        <v>0.83917117715135447</v>
      </c>
      <c r="M134" s="39">
        <f t="shared" si="17"/>
        <v>2.1740185936563587E-3</v>
      </c>
      <c r="N134" s="12">
        <f t="shared" si="12"/>
        <v>136832.29999999999</v>
      </c>
    </row>
    <row r="135" spans="2:14" ht="13.95" customHeight="1" x14ac:dyDescent="0.3">
      <c r="B135" s="42">
        <v>46246</v>
      </c>
      <c r="C135" s="19">
        <f t="shared" si="14"/>
        <v>33</v>
      </c>
      <c r="D135" s="37" t="str">
        <f t="shared" si="15"/>
        <v>Aug-26</v>
      </c>
      <c r="E135" s="13">
        <v>145618.6</v>
      </c>
      <c r="F135" s="13">
        <v>5592.3</v>
      </c>
      <c r="G135" s="38">
        <f t="shared" si="13"/>
        <v>140026.30000000002</v>
      </c>
      <c r="H135" s="38" t="s">
        <v>32</v>
      </c>
      <c r="I135" s="13">
        <v>127</v>
      </c>
      <c r="J135" s="13">
        <v>1294.8</v>
      </c>
      <c r="K135" s="13">
        <v>4</v>
      </c>
      <c r="L135" s="39">
        <f t="shared" si="16"/>
        <v>0.92468343446909607</v>
      </c>
      <c r="M135" s="39">
        <f t="shared" si="17"/>
        <v>2.8566062232594875E-3</v>
      </c>
      <c r="N135" s="12">
        <f t="shared" si="12"/>
        <v>138727.50000000003</v>
      </c>
    </row>
    <row r="136" spans="2:14" ht="13.95" customHeight="1" x14ac:dyDescent="0.3">
      <c r="B136" s="42">
        <v>46247</v>
      </c>
      <c r="C136" s="19">
        <f t="shared" si="14"/>
        <v>33</v>
      </c>
      <c r="D136" s="37" t="str">
        <f t="shared" si="15"/>
        <v>Aug-26</v>
      </c>
      <c r="E136" s="13">
        <v>151735.20000000001</v>
      </c>
      <c r="F136" s="13">
        <v>6048.95</v>
      </c>
      <c r="G136" s="38">
        <f t="shared" si="13"/>
        <v>145686.25</v>
      </c>
      <c r="H136" s="38" t="s">
        <v>32</v>
      </c>
      <c r="I136" s="13">
        <v>128</v>
      </c>
      <c r="J136" s="13">
        <v>1378.5</v>
      </c>
      <c r="K136" s="13">
        <v>5</v>
      </c>
      <c r="L136" s="39">
        <f t="shared" si="16"/>
        <v>0.94621146470583195</v>
      </c>
      <c r="M136" s="39">
        <f t="shared" si="17"/>
        <v>3.4320328788749795E-3</v>
      </c>
      <c r="N136" s="12">
        <f t="shared" si="12"/>
        <v>144302.75</v>
      </c>
    </row>
    <row r="137" spans="2:14" ht="13.95" customHeight="1" x14ac:dyDescent="0.3">
      <c r="B137" s="42">
        <v>46248</v>
      </c>
      <c r="C137" s="19">
        <f t="shared" si="14"/>
        <v>33</v>
      </c>
      <c r="D137" s="37" t="str">
        <f t="shared" si="15"/>
        <v>Aug-26</v>
      </c>
      <c r="E137" s="13">
        <v>174428.79999999999</v>
      </c>
      <c r="F137" s="13">
        <v>6971.35</v>
      </c>
      <c r="G137" s="38">
        <f t="shared" si="13"/>
        <v>167457.44999999998</v>
      </c>
      <c r="H137" s="38" t="s">
        <v>32</v>
      </c>
      <c r="I137" s="13">
        <v>129</v>
      </c>
      <c r="J137" s="13">
        <v>1625.8</v>
      </c>
      <c r="K137" s="13">
        <v>1</v>
      </c>
      <c r="L137" s="39">
        <f t="shared" si="16"/>
        <v>0.9708734965210567</v>
      </c>
      <c r="M137" s="39">
        <f t="shared" si="17"/>
        <v>5.9716662352137819E-4</v>
      </c>
      <c r="N137" s="12">
        <f t="shared" si="12"/>
        <v>165830.65</v>
      </c>
    </row>
    <row r="138" spans="2:14" ht="13.95" customHeight="1" x14ac:dyDescent="0.3">
      <c r="B138" s="42">
        <v>46251</v>
      </c>
      <c r="C138" s="19">
        <f t="shared" si="14"/>
        <v>34</v>
      </c>
      <c r="D138" s="37" t="str">
        <f t="shared" si="15"/>
        <v>Aug-26</v>
      </c>
      <c r="E138" s="13">
        <v>102017.8</v>
      </c>
      <c r="F138" s="13">
        <v>4008.75</v>
      </c>
      <c r="G138" s="38">
        <f t="shared" si="13"/>
        <v>98009.05</v>
      </c>
      <c r="H138" s="38" t="s">
        <v>32</v>
      </c>
      <c r="I138" s="13">
        <v>130</v>
      </c>
      <c r="J138" s="13">
        <v>925.7</v>
      </c>
      <c r="K138" s="13">
        <v>0.5</v>
      </c>
      <c r="L138" s="39">
        <f t="shared" si="16"/>
        <v>0.94450461462487401</v>
      </c>
      <c r="M138" s="39">
        <f t="shared" si="17"/>
        <v>5.1015697019816031E-4</v>
      </c>
      <c r="N138" s="12">
        <f t="shared" si="12"/>
        <v>97082.85</v>
      </c>
    </row>
    <row r="139" spans="2:14" ht="13.95" customHeight="1" x14ac:dyDescent="0.3">
      <c r="B139" s="42">
        <v>46252</v>
      </c>
      <c r="C139" s="19">
        <f t="shared" si="14"/>
        <v>34</v>
      </c>
      <c r="D139" s="37" t="str">
        <f t="shared" si="15"/>
        <v>Aug-26</v>
      </c>
      <c r="E139" s="13">
        <v>53637.3</v>
      </c>
      <c r="F139" s="13">
        <v>2075.75</v>
      </c>
      <c r="G139" s="38">
        <f t="shared" si="13"/>
        <v>51561.55</v>
      </c>
      <c r="H139" s="38" t="s">
        <v>32</v>
      </c>
      <c r="I139" s="13">
        <v>131</v>
      </c>
      <c r="J139" s="13"/>
      <c r="K139" s="13"/>
      <c r="L139" s="39">
        <f t="shared" si="16"/>
        <v>0</v>
      </c>
      <c r="M139" s="39">
        <f t="shared" si="17"/>
        <v>0</v>
      </c>
      <c r="N139" s="25">
        <f t="shared" ref="N139:N165" si="18">E139-F139-J139-K139</f>
        <v>51561.55</v>
      </c>
    </row>
    <row r="140" spans="2:14" ht="13.95" customHeight="1" x14ac:dyDescent="0.3">
      <c r="B140" s="42">
        <v>46252</v>
      </c>
      <c r="C140" s="19">
        <f t="shared" si="14"/>
        <v>34</v>
      </c>
      <c r="D140" s="37" t="str">
        <f t="shared" si="15"/>
        <v>Aug-26</v>
      </c>
      <c r="E140" s="13">
        <v>160837.29999999999</v>
      </c>
      <c r="F140" s="13">
        <v>6852.7</v>
      </c>
      <c r="G140" s="38">
        <f t="shared" si="13"/>
        <v>153984.59999999998</v>
      </c>
      <c r="H140" s="38" t="s">
        <v>32</v>
      </c>
      <c r="I140" s="13">
        <v>132</v>
      </c>
      <c r="J140" s="13">
        <v>1970.6</v>
      </c>
      <c r="K140" s="13">
        <v>2.5</v>
      </c>
      <c r="L140" s="39">
        <f t="shared" si="16"/>
        <v>1.2797383634467343</v>
      </c>
      <c r="M140" s="39">
        <f t="shared" si="17"/>
        <v>1.623538977274351E-3</v>
      </c>
      <c r="N140" s="25">
        <f t="shared" si="18"/>
        <v>152011.49999999997</v>
      </c>
    </row>
    <row r="141" spans="2:14" ht="13.95" customHeight="1" x14ac:dyDescent="0.3">
      <c r="B141" s="42">
        <v>46253</v>
      </c>
      <c r="C141" s="19">
        <f t="shared" si="14"/>
        <v>34</v>
      </c>
      <c r="D141" s="37" t="str">
        <f t="shared" si="15"/>
        <v>Aug-26</v>
      </c>
      <c r="E141" s="13">
        <v>119917.1</v>
      </c>
      <c r="F141" s="13">
        <v>5215.7</v>
      </c>
      <c r="G141" s="38">
        <f t="shared" si="13"/>
        <v>114701.40000000001</v>
      </c>
      <c r="H141" s="38" t="s">
        <v>32</v>
      </c>
      <c r="I141" s="13">
        <v>133</v>
      </c>
      <c r="J141" s="13">
        <v>1099.5999999999999</v>
      </c>
      <c r="K141" s="13">
        <v>1</v>
      </c>
      <c r="L141" s="39">
        <f t="shared" si="16"/>
        <v>0.95866310262995902</v>
      </c>
      <c r="M141" s="39">
        <f t="shared" si="17"/>
        <v>8.7182894018730361E-4</v>
      </c>
      <c r="N141" s="25">
        <f t="shared" si="18"/>
        <v>113600.8</v>
      </c>
    </row>
    <row r="142" spans="2:14" ht="13.95" customHeight="1" x14ac:dyDescent="0.3">
      <c r="B142" s="42">
        <v>46254</v>
      </c>
      <c r="C142" s="19">
        <f t="shared" si="14"/>
        <v>34</v>
      </c>
      <c r="D142" s="37" t="str">
        <f t="shared" si="15"/>
        <v>Aug-26</v>
      </c>
      <c r="E142" s="13">
        <v>161817.1</v>
      </c>
      <c r="F142" s="13">
        <v>6772.65</v>
      </c>
      <c r="G142" s="38">
        <f t="shared" si="13"/>
        <v>155044.45000000001</v>
      </c>
      <c r="H142" s="38" t="s">
        <v>32</v>
      </c>
      <c r="I142" s="13">
        <v>134</v>
      </c>
      <c r="J142" s="13">
        <v>1489.5</v>
      </c>
      <c r="K142" s="13">
        <v>1.5</v>
      </c>
      <c r="L142" s="39">
        <f t="shared" si="16"/>
        <v>0.96069224019305433</v>
      </c>
      <c r="M142" s="39">
        <f t="shared" si="17"/>
        <v>9.6746449163449572E-4</v>
      </c>
      <c r="N142" s="25">
        <f t="shared" si="18"/>
        <v>153553.45000000001</v>
      </c>
    </row>
    <row r="143" spans="2:14" ht="13.95" customHeight="1" x14ac:dyDescent="0.3">
      <c r="B143" s="42">
        <v>46255</v>
      </c>
      <c r="C143" s="19">
        <f t="shared" si="14"/>
        <v>34</v>
      </c>
      <c r="D143" s="37" t="str">
        <f t="shared" si="15"/>
        <v>Aug-26</v>
      </c>
      <c r="E143" s="13">
        <v>150129.9</v>
      </c>
      <c r="F143" s="13">
        <v>6354.9500000000007</v>
      </c>
      <c r="G143" s="38">
        <f t="shared" si="13"/>
        <v>143774.94999999998</v>
      </c>
      <c r="H143" s="38" t="s">
        <v>32</v>
      </c>
      <c r="I143" s="13">
        <v>135</v>
      </c>
      <c r="J143" s="13">
        <v>1395.6</v>
      </c>
      <c r="K143" s="13">
        <v>1</v>
      </c>
      <c r="L143" s="39">
        <f t="shared" si="16"/>
        <v>0.97068369698615786</v>
      </c>
      <c r="M143" s="39">
        <f t="shared" si="17"/>
        <v>6.9553145384505441E-4</v>
      </c>
      <c r="N143" s="25">
        <f t="shared" si="18"/>
        <v>142378.34999999998</v>
      </c>
    </row>
    <row r="144" spans="2:14" ht="13.95" customHeight="1" x14ac:dyDescent="0.3">
      <c r="B144" s="42">
        <v>46256</v>
      </c>
      <c r="C144" s="19">
        <f t="shared" si="14"/>
        <v>34</v>
      </c>
      <c r="D144" s="37" t="str">
        <f t="shared" si="15"/>
        <v>Aug-26</v>
      </c>
      <c r="E144" s="13">
        <v>31939.599999999999</v>
      </c>
      <c r="F144" s="13">
        <v>1313.1</v>
      </c>
      <c r="G144" s="38">
        <f t="shared" si="13"/>
        <v>30626.5</v>
      </c>
      <c r="H144" s="38" t="s">
        <v>32</v>
      </c>
      <c r="I144" s="13">
        <v>136</v>
      </c>
      <c r="J144" s="13"/>
      <c r="K144" s="13"/>
      <c r="L144" s="39">
        <f t="shared" si="16"/>
        <v>0</v>
      </c>
      <c r="M144" s="39">
        <f t="shared" si="17"/>
        <v>0</v>
      </c>
      <c r="N144" s="25">
        <f t="shared" si="18"/>
        <v>30626.5</v>
      </c>
    </row>
    <row r="145" spans="2:14" ht="13.95" customHeight="1" x14ac:dyDescent="0.3">
      <c r="B145" s="42">
        <v>46256</v>
      </c>
      <c r="C145" s="19">
        <f t="shared" si="14"/>
        <v>34</v>
      </c>
      <c r="D145" s="37" t="str">
        <f t="shared" si="15"/>
        <v>Aug-26</v>
      </c>
      <c r="E145" s="13">
        <v>96376.9</v>
      </c>
      <c r="F145" s="13">
        <v>3906.9</v>
      </c>
      <c r="G145" s="38">
        <f t="shared" si="13"/>
        <v>92470</v>
      </c>
      <c r="H145" s="38" t="s">
        <v>32</v>
      </c>
      <c r="I145" s="13">
        <v>136</v>
      </c>
      <c r="J145" s="13">
        <v>1180.3</v>
      </c>
      <c r="K145" s="13">
        <v>2.2000000000000002</v>
      </c>
      <c r="L145" s="39">
        <f t="shared" si="16"/>
        <v>1.276413972099059</v>
      </c>
      <c r="M145" s="39">
        <f t="shared" si="17"/>
        <v>2.3791499945928409E-3</v>
      </c>
      <c r="N145" s="25">
        <f t="shared" si="18"/>
        <v>91287.5</v>
      </c>
    </row>
    <row r="146" spans="2:14" ht="13.95" customHeight="1" x14ac:dyDescent="0.3">
      <c r="B146" s="42">
        <v>46258</v>
      </c>
      <c r="C146" s="19">
        <f t="shared" si="14"/>
        <v>35</v>
      </c>
      <c r="D146" s="37" t="str">
        <f t="shared" si="15"/>
        <v>Aug-26</v>
      </c>
      <c r="E146" s="13">
        <v>232839.2</v>
      </c>
      <c r="F146" s="13">
        <v>9770.7999999999993</v>
      </c>
      <c r="G146" s="38">
        <f t="shared" si="13"/>
        <v>223068.40000000002</v>
      </c>
      <c r="H146" s="38" t="s">
        <v>32</v>
      </c>
      <c r="I146" s="13">
        <v>137</v>
      </c>
      <c r="J146" s="13">
        <v>2170.37</v>
      </c>
      <c r="K146" s="13">
        <v>2</v>
      </c>
      <c r="L146" s="39">
        <f t="shared" si="16"/>
        <v>0.97296165660398326</v>
      </c>
      <c r="M146" s="39">
        <f t="shared" si="17"/>
        <v>8.9658597990571493E-4</v>
      </c>
      <c r="N146" s="25">
        <f t="shared" si="18"/>
        <v>220896.03000000003</v>
      </c>
    </row>
    <row r="147" spans="2:14" ht="13.95" customHeight="1" x14ac:dyDescent="0.3">
      <c r="B147" s="42">
        <v>46259</v>
      </c>
      <c r="C147" s="19">
        <f t="shared" si="14"/>
        <v>35</v>
      </c>
      <c r="D147" s="37" t="str">
        <f t="shared" si="15"/>
        <v>Aug-26</v>
      </c>
      <c r="E147" s="13"/>
      <c r="F147" s="13"/>
      <c r="G147" s="38">
        <f t="shared" si="13"/>
        <v>0</v>
      </c>
      <c r="H147" s="38"/>
      <c r="I147" s="13"/>
      <c r="J147" s="13"/>
      <c r="K147" s="13"/>
      <c r="L147" s="39" t="str">
        <f t="shared" si="16"/>
        <v>0</v>
      </c>
      <c r="M147" s="39" t="str">
        <f t="shared" si="17"/>
        <v>0</v>
      </c>
      <c r="N147" s="25">
        <f t="shared" si="18"/>
        <v>0</v>
      </c>
    </row>
    <row r="148" spans="2:14" ht="13.95" customHeight="1" x14ac:dyDescent="0.3">
      <c r="B148" s="42">
        <v>46260</v>
      </c>
      <c r="C148" s="19">
        <f t="shared" si="14"/>
        <v>35</v>
      </c>
      <c r="D148" s="37" t="str">
        <f t="shared" si="15"/>
        <v>Aug-26</v>
      </c>
      <c r="E148" s="13">
        <v>4078.76</v>
      </c>
      <c r="F148" s="13">
        <v>0</v>
      </c>
      <c r="G148" s="38">
        <f t="shared" si="13"/>
        <v>4078.76</v>
      </c>
      <c r="H148" s="38" t="s">
        <v>32</v>
      </c>
      <c r="I148" s="13">
        <v>138</v>
      </c>
      <c r="J148" s="13">
        <v>0</v>
      </c>
      <c r="K148" s="13">
        <v>0</v>
      </c>
      <c r="L148" s="39">
        <f t="shared" si="16"/>
        <v>0</v>
      </c>
      <c r="M148" s="39">
        <f t="shared" si="17"/>
        <v>0</v>
      </c>
      <c r="N148" s="25">
        <f t="shared" si="18"/>
        <v>4078.76</v>
      </c>
    </row>
    <row r="149" spans="2:14" ht="13.95" customHeight="1" x14ac:dyDescent="0.3">
      <c r="B149" s="42">
        <v>46260</v>
      </c>
      <c r="C149" s="19">
        <f t="shared" si="14"/>
        <v>35</v>
      </c>
      <c r="D149" s="37" t="str">
        <f t="shared" si="15"/>
        <v>Aug-26</v>
      </c>
      <c r="E149" s="13">
        <v>75090</v>
      </c>
      <c r="F149" s="13">
        <v>2977.6</v>
      </c>
      <c r="G149" s="38">
        <f t="shared" si="13"/>
        <v>72112.399999999994</v>
      </c>
      <c r="H149" s="38" t="s">
        <v>33</v>
      </c>
      <c r="I149" s="13">
        <v>139</v>
      </c>
      <c r="J149" s="13">
        <v>592.79999999999995</v>
      </c>
      <c r="K149" s="13">
        <v>2.8</v>
      </c>
      <c r="L149" s="39">
        <f t="shared" si="16"/>
        <v>0.82205002191024013</v>
      </c>
      <c r="M149" s="39">
        <f t="shared" si="17"/>
        <v>3.882827363948503E-3</v>
      </c>
      <c r="N149" s="25">
        <f t="shared" si="18"/>
        <v>71516.799999999988</v>
      </c>
    </row>
    <row r="150" spans="2:14" ht="13.95" customHeight="1" x14ac:dyDescent="0.3">
      <c r="B150" s="42">
        <v>46261</v>
      </c>
      <c r="C150" s="19">
        <f t="shared" si="14"/>
        <v>35</v>
      </c>
      <c r="D150" s="37" t="str">
        <f t="shared" si="15"/>
        <v>Aug-26</v>
      </c>
      <c r="E150" s="13">
        <v>50146</v>
      </c>
      <c r="F150" s="13">
        <v>2078.7500000000005</v>
      </c>
      <c r="G150" s="38">
        <f t="shared" si="13"/>
        <v>48067.25</v>
      </c>
      <c r="H150" s="38" t="s">
        <v>33</v>
      </c>
      <c r="I150" s="13">
        <v>139</v>
      </c>
      <c r="J150" s="13"/>
      <c r="K150" s="13"/>
      <c r="L150" s="39">
        <f t="shared" si="16"/>
        <v>0</v>
      </c>
      <c r="M150" s="39">
        <f t="shared" si="17"/>
        <v>0</v>
      </c>
      <c r="N150" s="25">
        <f t="shared" si="18"/>
        <v>48067.25</v>
      </c>
    </row>
    <row r="151" spans="2:14" ht="13.95" customHeight="1" x14ac:dyDescent="0.3">
      <c r="B151" s="42">
        <v>46261</v>
      </c>
      <c r="C151" s="19">
        <f t="shared" si="14"/>
        <v>35</v>
      </c>
      <c r="D151" s="37" t="str">
        <f t="shared" si="15"/>
        <v>Aug-26</v>
      </c>
      <c r="E151" s="13">
        <v>105230</v>
      </c>
      <c r="F151" s="13">
        <v>4085.4999999999995</v>
      </c>
      <c r="G151" s="38">
        <f t="shared" si="13"/>
        <v>101144.5</v>
      </c>
      <c r="H151" s="38" t="s">
        <v>33</v>
      </c>
      <c r="I151" s="13">
        <v>140</v>
      </c>
      <c r="J151" s="13">
        <v>1377.2</v>
      </c>
      <c r="K151" s="13">
        <v>4.0999999999999996</v>
      </c>
      <c r="L151" s="39">
        <f t="shared" si="16"/>
        <v>1.3616163014301321</v>
      </c>
      <c r="M151" s="39">
        <f t="shared" si="17"/>
        <v>4.0536064739061439E-3</v>
      </c>
      <c r="N151" s="25">
        <f t="shared" si="18"/>
        <v>99763.199999999997</v>
      </c>
    </row>
    <row r="152" spans="2:14" ht="13.95" customHeight="1" x14ac:dyDescent="0.3">
      <c r="B152" s="42">
        <v>46262</v>
      </c>
      <c r="C152" s="19">
        <f t="shared" si="14"/>
        <v>35</v>
      </c>
      <c r="D152" s="37" t="str">
        <f t="shared" si="15"/>
        <v>Aug-26</v>
      </c>
      <c r="E152" s="13">
        <v>105230.5</v>
      </c>
      <c r="F152" s="13">
        <v>4333.8999999999996</v>
      </c>
      <c r="G152" s="38">
        <f t="shared" si="13"/>
        <v>100896.6</v>
      </c>
      <c r="H152" s="38" t="s">
        <v>33</v>
      </c>
      <c r="I152" s="13">
        <v>140</v>
      </c>
      <c r="J152" s="13">
        <v>974.6</v>
      </c>
      <c r="K152" s="13">
        <v>1.2</v>
      </c>
      <c r="L152" s="39">
        <f t="shared" si="16"/>
        <v>0.96593938745210439</v>
      </c>
      <c r="M152" s="39">
        <f t="shared" si="17"/>
        <v>1.1893364097501798E-3</v>
      </c>
      <c r="N152" s="25">
        <f t="shared" si="18"/>
        <v>99920.8</v>
      </c>
    </row>
    <row r="153" spans="2:14" ht="13.95" customHeight="1" x14ac:dyDescent="0.3">
      <c r="B153" s="42">
        <v>46263</v>
      </c>
      <c r="C153" s="19">
        <f t="shared" si="14"/>
        <v>35</v>
      </c>
      <c r="D153" s="37" t="str">
        <f t="shared" si="15"/>
        <v>Aug-26</v>
      </c>
      <c r="E153" s="13">
        <v>280045.09999999998</v>
      </c>
      <c r="F153" s="13">
        <v>11293.65</v>
      </c>
      <c r="G153" s="38">
        <f t="shared" si="13"/>
        <v>268751.44999999995</v>
      </c>
      <c r="H153" s="38" t="s">
        <v>33</v>
      </c>
      <c r="I153" s="13">
        <v>141</v>
      </c>
      <c r="J153" s="13">
        <v>2625.9</v>
      </c>
      <c r="K153" s="13">
        <v>2.2000000000000002</v>
      </c>
      <c r="L153" s="39">
        <f t="shared" si="16"/>
        <v>0.97707379811346162</v>
      </c>
      <c r="M153" s="39">
        <f t="shared" si="17"/>
        <v>8.1860023452896748E-4</v>
      </c>
      <c r="N153" s="25">
        <f t="shared" si="18"/>
        <v>266123.34999999992</v>
      </c>
    </row>
    <row r="154" spans="2:14" ht="13.95" customHeight="1" x14ac:dyDescent="0.3">
      <c r="B154" s="42">
        <v>46265</v>
      </c>
      <c r="C154" s="19">
        <f t="shared" si="14"/>
        <v>36</v>
      </c>
      <c r="D154" s="37" t="str">
        <f t="shared" si="15"/>
        <v>Aug-26</v>
      </c>
      <c r="E154" s="13">
        <v>257887.8</v>
      </c>
      <c r="F154" s="13">
        <v>10304.200000000001</v>
      </c>
      <c r="G154" s="38">
        <f t="shared" si="13"/>
        <v>247583.59999999998</v>
      </c>
      <c r="H154" s="38" t="s">
        <v>33</v>
      </c>
      <c r="I154" s="13">
        <v>142</v>
      </c>
      <c r="J154" s="13">
        <v>2395.8000000000002</v>
      </c>
      <c r="K154" s="13">
        <v>3.8</v>
      </c>
      <c r="L154" s="39">
        <f t="shared" si="16"/>
        <v>0.96767314151664341</v>
      </c>
      <c r="M154" s="39">
        <f t="shared" si="17"/>
        <v>1.5348351021634713E-3</v>
      </c>
      <c r="N154" s="25">
        <f t="shared" si="18"/>
        <v>245184</v>
      </c>
    </row>
    <row r="155" spans="2:14" ht="13.95" customHeight="1" x14ac:dyDescent="0.3">
      <c r="B155" s="42">
        <v>46266</v>
      </c>
      <c r="C155" s="19">
        <f t="shared" si="14"/>
        <v>36</v>
      </c>
      <c r="D155" s="37" t="str">
        <f t="shared" si="15"/>
        <v>Sep-26</v>
      </c>
      <c r="E155" s="13">
        <v>187423.3</v>
      </c>
      <c r="F155" s="13">
        <v>7393.85</v>
      </c>
      <c r="G155" s="38">
        <f t="shared" si="13"/>
        <v>180029.44999999998</v>
      </c>
      <c r="H155" s="38" t="s">
        <v>33</v>
      </c>
      <c r="I155" s="13">
        <v>143</v>
      </c>
      <c r="J155" s="13">
        <v>1758.3</v>
      </c>
      <c r="K155" s="13">
        <v>2.2000000000000002</v>
      </c>
      <c r="L155" s="39">
        <f t="shared" si="16"/>
        <v>0.97667353869047546</v>
      </c>
      <c r="M155" s="39">
        <f t="shared" si="17"/>
        <v>1.2220222857982405E-3</v>
      </c>
      <c r="N155" s="25">
        <f t="shared" si="18"/>
        <v>178268.94999999998</v>
      </c>
    </row>
    <row r="156" spans="2:14" ht="13.95" customHeight="1" x14ac:dyDescent="0.3">
      <c r="B156" s="42">
        <v>46267</v>
      </c>
      <c r="C156" s="19">
        <f t="shared" si="14"/>
        <v>36</v>
      </c>
      <c r="D156" s="37" t="str">
        <f t="shared" si="15"/>
        <v>Sep-26</v>
      </c>
      <c r="E156" s="13">
        <v>115047.8</v>
      </c>
      <c r="F156" s="13">
        <v>4746.8500000000004</v>
      </c>
      <c r="G156" s="38">
        <f t="shared" si="13"/>
        <v>110300.95</v>
      </c>
      <c r="H156" s="38" t="s">
        <v>33</v>
      </c>
      <c r="I156" s="13">
        <v>144</v>
      </c>
      <c r="J156" s="13">
        <v>1075.5999999999999</v>
      </c>
      <c r="K156" s="13">
        <v>1.9</v>
      </c>
      <c r="L156" s="39">
        <f t="shared" si="16"/>
        <v>0.97515025935860034</v>
      </c>
      <c r="M156" s="39">
        <f t="shared" si="17"/>
        <v>1.7225599598190225E-3</v>
      </c>
      <c r="N156" s="25">
        <f t="shared" si="18"/>
        <v>109223.45</v>
      </c>
    </row>
    <row r="157" spans="2:14" ht="13.95" customHeight="1" x14ac:dyDescent="0.3">
      <c r="B157" s="42">
        <v>46268</v>
      </c>
      <c r="C157" s="19">
        <f t="shared" si="14"/>
        <v>36</v>
      </c>
      <c r="D157" s="37" t="str">
        <f t="shared" si="15"/>
        <v>Sep-26</v>
      </c>
      <c r="E157" s="13">
        <v>142375</v>
      </c>
      <c r="F157" s="13">
        <v>5853.9</v>
      </c>
      <c r="G157" s="38">
        <f t="shared" si="13"/>
        <v>136521.1</v>
      </c>
      <c r="H157" s="38" t="s">
        <v>33</v>
      </c>
      <c r="I157" s="13">
        <v>145</v>
      </c>
      <c r="J157" s="13">
        <v>1328.8</v>
      </c>
      <c r="K157" s="13">
        <v>2.1</v>
      </c>
      <c r="L157" s="39">
        <f t="shared" si="16"/>
        <v>0.9733293974338032</v>
      </c>
      <c r="M157" s="39">
        <f t="shared" si="17"/>
        <v>1.5382237617481841E-3</v>
      </c>
      <c r="N157" s="25">
        <f t="shared" si="18"/>
        <v>135190.20000000001</v>
      </c>
    </row>
    <row r="158" spans="2:14" ht="13.95" customHeight="1" x14ac:dyDescent="0.3">
      <c r="B158" s="42">
        <v>46269</v>
      </c>
      <c r="C158" s="19">
        <f t="shared" si="14"/>
        <v>36</v>
      </c>
      <c r="D158" s="37" t="str">
        <f t="shared" si="15"/>
        <v>Sep-26</v>
      </c>
      <c r="E158" s="13">
        <v>162690.4</v>
      </c>
      <c r="F158" s="13">
        <v>6561.9500000000007</v>
      </c>
      <c r="G158" s="38">
        <f t="shared" si="13"/>
        <v>156128.44999999998</v>
      </c>
      <c r="H158" s="38" t="s">
        <v>33</v>
      </c>
      <c r="I158" s="13">
        <v>146</v>
      </c>
      <c r="J158" s="13">
        <v>1495</v>
      </c>
      <c r="K158" s="13">
        <v>2.8</v>
      </c>
      <c r="L158" s="39">
        <f t="shared" si="16"/>
        <v>0.9575448933234143</v>
      </c>
      <c r="M158" s="39">
        <f t="shared" si="17"/>
        <v>1.7933951179301404E-3</v>
      </c>
      <c r="N158" s="25">
        <f t="shared" si="18"/>
        <v>154630.65</v>
      </c>
    </row>
    <row r="159" spans="2:14" ht="13.95" customHeight="1" x14ac:dyDescent="0.3">
      <c r="B159" s="42">
        <v>46270</v>
      </c>
      <c r="C159" s="19">
        <f t="shared" si="14"/>
        <v>36</v>
      </c>
      <c r="D159" s="37" t="str">
        <f t="shared" si="15"/>
        <v>Sep-26</v>
      </c>
      <c r="E159" s="13">
        <v>167808.7</v>
      </c>
      <c r="F159" s="13">
        <v>6564.95</v>
      </c>
      <c r="G159" s="38">
        <f t="shared" si="13"/>
        <v>161243.75</v>
      </c>
      <c r="H159" s="38" t="s">
        <v>33</v>
      </c>
      <c r="I159" s="13">
        <v>147</v>
      </c>
      <c r="J159" s="13">
        <v>1559.8</v>
      </c>
      <c r="K159" s="13">
        <v>3.3</v>
      </c>
      <c r="L159" s="39">
        <f t="shared" si="16"/>
        <v>0.96735532384976164</v>
      </c>
      <c r="M159" s="39">
        <f t="shared" si="17"/>
        <v>2.0465909531377185E-3</v>
      </c>
      <c r="N159" s="25">
        <f t="shared" si="18"/>
        <v>159680.65000000002</v>
      </c>
    </row>
    <row r="160" spans="2:14" ht="13.95" customHeight="1" x14ac:dyDescent="0.3">
      <c r="B160" s="42">
        <v>46272</v>
      </c>
      <c r="C160" s="19">
        <f t="shared" si="14"/>
        <v>37</v>
      </c>
      <c r="D160" s="37" t="str">
        <f t="shared" si="15"/>
        <v>Sep-26</v>
      </c>
      <c r="E160" s="13">
        <v>195057.7</v>
      </c>
      <c r="F160" s="13">
        <v>7522.75</v>
      </c>
      <c r="G160" s="38">
        <f t="shared" si="13"/>
        <v>187534.95</v>
      </c>
      <c r="H160" s="38" t="s">
        <v>33</v>
      </c>
      <c r="I160" s="13">
        <v>148</v>
      </c>
      <c r="J160" s="13">
        <v>1825.9</v>
      </c>
      <c r="K160" s="13">
        <v>2.6</v>
      </c>
      <c r="L160" s="39">
        <f t="shared" si="16"/>
        <v>0.97363184835679961</v>
      </c>
      <c r="M160" s="39">
        <f t="shared" si="17"/>
        <v>1.3864082401706989E-3</v>
      </c>
      <c r="N160" s="25">
        <f t="shared" si="18"/>
        <v>185706.45</v>
      </c>
    </row>
    <row r="161" spans="2:16" ht="13.95" customHeight="1" x14ac:dyDescent="0.3">
      <c r="B161" s="42">
        <v>46273</v>
      </c>
      <c r="C161" s="19">
        <f t="shared" si="14"/>
        <v>37</v>
      </c>
      <c r="D161" s="37" t="str">
        <f t="shared" si="15"/>
        <v>Sep-26</v>
      </c>
      <c r="E161" s="13">
        <v>127408.9</v>
      </c>
      <c r="F161" s="13">
        <v>4979</v>
      </c>
      <c r="G161" s="38">
        <f t="shared" si="13"/>
        <v>122429.9</v>
      </c>
      <c r="H161" s="38" t="s">
        <v>33</v>
      </c>
      <c r="I161" s="13">
        <v>149</v>
      </c>
      <c r="J161" s="13">
        <v>1178</v>
      </c>
      <c r="K161" s="13">
        <v>1.8</v>
      </c>
      <c r="L161" s="39">
        <f t="shared" si="16"/>
        <v>0.96218325752124279</v>
      </c>
      <c r="M161" s="39">
        <f t="shared" si="17"/>
        <v>1.4702290861954475E-3</v>
      </c>
      <c r="N161" s="25">
        <f t="shared" si="18"/>
        <v>121250.09999999999</v>
      </c>
    </row>
    <row r="162" spans="2:16" ht="13.95" customHeight="1" x14ac:dyDescent="0.3">
      <c r="B162" s="42">
        <v>46274</v>
      </c>
      <c r="C162" s="19">
        <f t="shared" si="14"/>
        <v>37</v>
      </c>
      <c r="D162" s="37" t="str">
        <f t="shared" si="15"/>
        <v>Sep-26</v>
      </c>
      <c r="E162" s="13">
        <v>203477.3</v>
      </c>
      <c r="F162" s="13">
        <v>8114.5</v>
      </c>
      <c r="G162" s="38">
        <f t="shared" si="13"/>
        <v>195362.8</v>
      </c>
      <c r="H162" s="38" t="s">
        <v>33</v>
      </c>
      <c r="I162" s="13">
        <v>150</v>
      </c>
      <c r="J162" s="13">
        <v>1895.6</v>
      </c>
      <c r="K162" s="13">
        <v>3.4</v>
      </c>
      <c r="L162" s="39">
        <f t="shared" si="16"/>
        <v>0.97029731351106763</v>
      </c>
      <c r="M162" s="39">
        <f t="shared" si="17"/>
        <v>1.7403517967596698E-3</v>
      </c>
      <c r="N162" s="25">
        <f t="shared" si="18"/>
        <v>193463.8</v>
      </c>
    </row>
    <row r="163" spans="2:16" ht="13.95" customHeight="1" x14ac:dyDescent="0.3">
      <c r="B163" s="42">
        <v>46275</v>
      </c>
      <c r="C163" s="19">
        <f t="shared" si="14"/>
        <v>37</v>
      </c>
      <c r="D163" s="37" t="str">
        <f t="shared" si="15"/>
        <v>Sep-26</v>
      </c>
      <c r="E163" s="13">
        <v>150665.20000000001</v>
      </c>
      <c r="F163" s="13">
        <v>6190.65</v>
      </c>
      <c r="G163" s="38">
        <f t="shared" si="13"/>
        <v>144474.55000000002</v>
      </c>
      <c r="H163" s="38" t="s">
        <v>33</v>
      </c>
      <c r="I163" s="13">
        <v>151</v>
      </c>
      <c r="J163" s="13">
        <v>1385.6</v>
      </c>
      <c r="K163" s="13">
        <v>2.7</v>
      </c>
      <c r="L163" s="39">
        <f t="shared" si="16"/>
        <v>0.95906164788192783</v>
      </c>
      <c r="M163" s="39">
        <f t="shared" si="17"/>
        <v>1.8688412595851656E-3</v>
      </c>
      <c r="N163" s="25">
        <f t="shared" si="18"/>
        <v>143086.25</v>
      </c>
    </row>
    <row r="164" spans="2:16" ht="13.95" customHeight="1" x14ac:dyDescent="0.3">
      <c r="B164" s="42">
        <v>46276</v>
      </c>
      <c r="C164" s="19">
        <f t="shared" si="14"/>
        <v>37</v>
      </c>
      <c r="D164" s="37" t="str">
        <f t="shared" si="15"/>
        <v>Sep-26</v>
      </c>
      <c r="E164" s="16">
        <v>147762.4</v>
      </c>
      <c r="F164" s="16">
        <v>5977.2000000000007</v>
      </c>
      <c r="G164" s="38">
        <f t="shared" si="13"/>
        <v>141785.19999999998</v>
      </c>
      <c r="H164" s="38" t="s">
        <v>33</v>
      </c>
      <c r="I164" s="16">
        <v>152</v>
      </c>
      <c r="J164" s="16">
        <v>1375</v>
      </c>
      <c r="K164" s="16">
        <v>2.8</v>
      </c>
      <c r="L164" s="39">
        <f t="shared" si="16"/>
        <v>0.96977681732649113</v>
      </c>
      <c r="M164" s="39">
        <f t="shared" si="17"/>
        <v>1.9748182461921272E-3</v>
      </c>
      <c r="N164" s="25">
        <f t="shared" si="18"/>
        <v>140407.4</v>
      </c>
    </row>
    <row r="165" spans="2:16" ht="13.95" customHeight="1" x14ac:dyDescent="0.3">
      <c r="B165" s="42">
        <v>46277</v>
      </c>
      <c r="C165" s="19">
        <f t="shared" si="14"/>
        <v>37</v>
      </c>
      <c r="D165" s="37" t="str">
        <f t="shared" si="15"/>
        <v>Sep-26</v>
      </c>
      <c r="E165" s="13">
        <v>153162.4</v>
      </c>
      <c r="F165" s="13">
        <v>5997.15</v>
      </c>
      <c r="G165" s="38">
        <f t="shared" si="13"/>
        <v>147165.25</v>
      </c>
      <c r="H165" s="38" t="s">
        <v>33</v>
      </c>
      <c r="I165" s="13">
        <v>153</v>
      </c>
      <c r="J165" s="13">
        <v>1343.7</v>
      </c>
      <c r="K165" s="13">
        <v>3.9</v>
      </c>
      <c r="L165" s="39">
        <f t="shared" si="16"/>
        <v>0.91305522193588506</v>
      </c>
      <c r="M165" s="39">
        <f t="shared" si="17"/>
        <v>2.6500821355584965E-3</v>
      </c>
      <c r="N165" s="25">
        <f t="shared" si="18"/>
        <v>145817.65</v>
      </c>
    </row>
    <row r="166" spans="2:16" ht="13.95" customHeight="1" x14ac:dyDescent="0.3">
      <c r="B166" s="42">
        <v>46279</v>
      </c>
      <c r="C166" s="19">
        <f t="shared" si="14"/>
        <v>38</v>
      </c>
      <c r="D166" s="37" t="str">
        <f t="shared" si="15"/>
        <v>Sep-26</v>
      </c>
      <c r="E166" s="13"/>
      <c r="F166" s="13"/>
      <c r="G166" s="38">
        <f t="shared" si="13"/>
        <v>0</v>
      </c>
      <c r="H166" s="38"/>
      <c r="I166" s="13"/>
      <c r="J166" s="13"/>
      <c r="K166" s="13"/>
      <c r="L166" s="39" t="str">
        <f t="shared" si="16"/>
        <v>0</v>
      </c>
      <c r="M166" s="39" t="str">
        <f t="shared" si="17"/>
        <v>0</v>
      </c>
      <c r="N166" s="25">
        <v>0</v>
      </c>
    </row>
    <row r="167" spans="2:16" ht="13.95" customHeight="1" x14ac:dyDescent="0.3">
      <c r="B167" s="42">
        <v>46280</v>
      </c>
      <c r="C167" s="19">
        <f t="shared" si="14"/>
        <v>38</v>
      </c>
      <c r="D167" s="37" t="str">
        <f t="shared" si="15"/>
        <v>Sep-26</v>
      </c>
      <c r="E167" s="13"/>
      <c r="F167" s="13"/>
      <c r="G167" s="38">
        <f t="shared" si="13"/>
        <v>0</v>
      </c>
      <c r="H167" s="38"/>
      <c r="I167" s="13"/>
      <c r="J167" s="13"/>
      <c r="K167" s="13"/>
      <c r="L167" s="39" t="str">
        <f t="shared" si="16"/>
        <v>0</v>
      </c>
      <c r="M167" s="39" t="str">
        <f t="shared" si="17"/>
        <v>0</v>
      </c>
      <c r="N167" s="25">
        <v>0</v>
      </c>
    </row>
    <row r="168" spans="2:16" ht="13.95" customHeight="1" x14ac:dyDescent="0.3">
      <c r="B168" s="42"/>
      <c r="C168" s="19">
        <f t="shared" si="14"/>
        <v>0</v>
      </c>
      <c r="D168" s="37" t="str">
        <f t="shared" si="15"/>
        <v>Jan-00</v>
      </c>
      <c r="E168" s="13"/>
      <c r="F168" s="13"/>
      <c r="G168" s="38">
        <f t="shared" si="13"/>
        <v>0</v>
      </c>
      <c r="H168" s="38"/>
      <c r="I168" s="13"/>
      <c r="J168" s="13"/>
      <c r="K168" s="13"/>
      <c r="L168" s="39" t="str">
        <f t="shared" si="16"/>
        <v>0</v>
      </c>
      <c r="M168" s="39" t="str">
        <f t="shared" si="17"/>
        <v>0</v>
      </c>
      <c r="N168" s="25">
        <f t="shared" ref="N168:N199" si="19">E168-F168-J168-K168</f>
        <v>0</v>
      </c>
    </row>
    <row r="169" spans="2:16" ht="13.95" customHeight="1" x14ac:dyDescent="0.3">
      <c r="B169" s="42"/>
      <c r="C169" s="19">
        <f t="shared" si="14"/>
        <v>0</v>
      </c>
      <c r="D169" s="37" t="str">
        <f t="shared" si="15"/>
        <v>Jan-00</v>
      </c>
      <c r="E169" s="13"/>
      <c r="F169" s="13"/>
      <c r="G169" s="38">
        <f t="shared" si="13"/>
        <v>0</v>
      </c>
      <c r="H169" s="38"/>
      <c r="I169" s="13"/>
      <c r="J169" s="13"/>
      <c r="K169" s="13"/>
      <c r="L169" s="39" t="str">
        <f t="shared" si="16"/>
        <v>0</v>
      </c>
      <c r="M169" s="39" t="str">
        <f t="shared" si="17"/>
        <v>0</v>
      </c>
      <c r="N169" s="25">
        <f t="shared" si="19"/>
        <v>0</v>
      </c>
    </row>
    <row r="170" spans="2:16" ht="13.95" customHeight="1" x14ac:dyDescent="0.3">
      <c r="B170" s="42"/>
      <c r="C170" s="19">
        <f t="shared" si="14"/>
        <v>0</v>
      </c>
      <c r="D170" s="37" t="str">
        <f t="shared" si="15"/>
        <v>Jan-00</v>
      </c>
      <c r="E170" s="13"/>
      <c r="F170" s="13"/>
      <c r="G170" s="38">
        <f t="shared" si="13"/>
        <v>0</v>
      </c>
      <c r="H170" s="38"/>
      <c r="I170" s="13"/>
      <c r="J170" s="13"/>
      <c r="K170" s="13"/>
      <c r="L170" s="39" t="str">
        <f t="shared" si="16"/>
        <v>0</v>
      </c>
      <c r="M170" s="39" t="str">
        <f t="shared" si="17"/>
        <v>0</v>
      </c>
      <c r="N170" s="25">
        <f t="shared" si="19"/>
        <v>0</v>
      </c>
    </row>
    <row r="171" spans="2:16" ht="13.95" customHeight="1" x14ac:dyDescent="0.3">
      <c r="B171" s="42"/>
      <c r="C171" s="19">
        <f t="shared" si="14"/>
        <v>0</v>
      </c>
      <c r="D171" s="37" t="str">
        <f t="shared" si="15"/>
        <v>Jan-00</v>
      </c>
      <c r="E171" s="13"/>
      <c r="F171" s="13"/>
      <c r="G171" s="38">
        <f t="shared" si="13"/>
        <v>0</v>
      </c>
      <c r="H171" s="38"/>
      <c r="I171" s="13"/>
      <c r="J171" s="13"/>
      <c r="K171" s="13"/>
      <c r="L171" s="39" t="str">
        <f t="shared" si="16"/>
        <v>0</v>
      </c>
      <c r="M171" s="39" t="str">
        <f t="shared" si="17"/>
        <v>0</v>
      </c>
      <c r="N171" s="25">
        <f t="shared" si="19"/>
        <v>0</v>
      </c>
    </row>
    <row r="172" spans="2:16" ht="13.95" customHeight="1" x14ac:dyDescent="0.3">
      <c r="B172" s="42"/>
      <c r="C172" s="19">
        <f t="shared" si="14"/>
        <v>0</v>
      </c>
      <c r="D172" s="37" t="str">
        <f t="shared" si="15"/>
        <v>Jan-00</v>
      </c>
      <c r="E172" s="13"/>
      <c r="F172" s="13"/>
      <c r="G172" s="38">
        <f t="shared" si="13"/>
        <v>0</v>
      </c>
      <c r="H172" s="38"/>
      <c r="I172" s="13"/>
      <c r="J172" s="13"/>
      <c r="K172" s="13"/>
      <c r="L172" s="39" t="str">
        <f t="shared" si="16"/>
        <v>0</v>
      </c>
      <c r="M172" s="39" t="str">
        <f t="shared" si="17"/>
        <v>0</v>
      </c>
      <c r="N172" s="25">
        <f t="shared" si="19"/>
        <v>0</v>
      </c>
    </row>
    <row r="173" spans="2:16" ht="13.95" customHeight="1" x14ac:dyDescent="0.3">
      <c r="B173" s="42"/>
      <c r="C173" s="19">
        <f t="shared" si="14"/>
        <v>0</v>
      </c>
      <c r="D173" s="37" t="str">
        <f t="shared" si="15"/>
        <v>Jan-00</v>
      </c>
      <c r="E173" s="13"/>
      <c r="F173" s="13"/>
      <c r="G173" s="38">
        <f t="shared" si="13"/>
        <v>0</v>
      </c>
      <c r="H173" s="38"/>
      <c r="I173" s="13"/>
      <c r="J173" s="13"/>
      <c r="K173" s="13"/>
      <c r="L173" s="39" t="str">
        <f t="shared" si="16"/>
        <v>0</v>
      </c>
      <c r="M173" s="39" t="str">
        <f t="shared" si="17"/>
        <v>0</v>
      </c>
      <c r="N173" s="25">
        <f t="shared" si="19"/>
        <v>0</v>
      </c>
      <c r="P173" s="20"/>
    </row>
    <row r="174" spans="2:16" ht="13.95" customHeight="1" x14ac:dyDescent="0.3">
      <c r="B174" s="42"/>
      <c r="C174" s="19">
        <f t="shared" si="14"/>
        <v>0</v>
      </c>
      <c r="D174" s="37" t="str">
        <f t="shared" si="15"/>
        <v>Jan-00</v>
      </c>
      <c r="E174" s="13"/>
      <c r="F174" s="13"/>
      <c r="G174" s="38">
        <f t="shared" si="13"/>
        <v>0</v>
      </c>
      <c r="H174" s="38"/>
      <c r="I174" s="13"/>
      <c r="J174" s="13"/>
      <c r="K174" s="13"/>
      <c r="L174" s="39" t="str">
        <f t="shared" si="16"/>
        <v>0</v>
      </c>
      <c r="M174" s="39" t="str">
        <f t="shared" si="17"/>
        <v>0</v>
      </c>
      <c r="N174" s="25">
        <f t="shared" si="19"/>
        <v>0</v>
      </c>
    </row>
    <row r="175" spans="2:16" ht="13.95" customHeight="1" x14ac:dyDescent="0.3">
      <c r="B175" s="42"/>
      <c r="C175" s="19">
        <f t="shared" si="14"/>
        <v>0</v>
      </c>
      <c r="D175" s="37" t="str">
        <f t="shared" si="15"/>
        <v>Jan-00</v>
      </c>
      <c r="E175" s="13"/>
      <c r="F175" s="13"/>
      <c r="G175" s="38">
        <f t="shared" si="13"/>
        <v>0</v>
      </c>
      <c r="H175" s="38"/>
      <c r="I175" s="13"/>
      <c r="J175" s="13"/>
      <c r="K175" s="13"/>
      <c r="L175" s="39" t="str">
        <f t="shared" si="16"/>
        <v>0</v>
      </c>
      <c r="M175" s="39" t="str">
        <f t="shared" si="17"/>
        <v>0</v>
      </c>
      <c r="N175" s="25">
        <f t="shared" si="19"/>
        <v>0</v>
      </c>
    </row>
    <row r="176" spans="2:16" ht="13.95" customHeight="1" x14ac:dyDescent="0.3">
      <c r="B176" s="42"/>
      <c r="C176" s="19">
        <f t="shared" si="14"/>
        <v>0</v>
      </c>
      <c r="D176" s="37" t="str">
        <f t="shared" si="15"/>
        <v>Jan-00</v>
      </c>
      <c r="E176" s="13"/>
      <c r="F176" s="13"/>
      <c r="G176" s="38">
        <f t="shared" ref="G176:G239" si="20">E176-F176</f>
        <v>0</v>
      </c>
      <c r="H176" s="38"/>
      <c r="I176" s="13"/>
      <c r="J176" s="13"/>
      <c r="K176" s="13"/>
      <c r="L176" s="39" t="str">
        <f t="shared" si="16"/>
        <v>0</v>
      </c>
      <c r="M176" s="39" t="str">
        <f t="shared" si="17"/>
        <v>0</v>
      </c>
      <c r="N176" s="25">
        <f t="shared" si="19"/>
        <v>0</v>
      </c>
    </row>
    <row r="177" spans="2:14" ht="14.4" customHeight="1" x14ac:dyDescent="0.3">
      <c r="B177" s="42"/>
      <c r="C177" s="19">
        <f t="shared" si="14"/>
        <v>0</v>
      </c>
      <c r="D177" s="37" t="str">
        <f t="shared" si="15"/>
        <v>Jan-00</v>
      </c>
      <c r="E177" s="13"/>
      <c r="F177" s="13"/>
      <c r="G177" s="38">
        <f t="shared" si="20"/>
        <v>0</v>
      </c>
      <c r="H177" s="38"/>
      <c r="I177" s="13"/>
      <c r="J177" s="13"/>
      <c r="K177" s="13"/>
      <c r="L177" s="39" t="str">
        <f t="shared" si="16"/>
        <v>0</v>
      </c>
      <c r="M177" s="39" t="str">
        <f t="shared" si="17"/>
        <v>0</v>
      </c>
      <c r="N177" s="25">
        <f t="shared" si="19"/>
        <v>0</v>
      </c>
    </row>
    <row r="178" spans="2:14" ht="14.4" customHeight="1" x14ac:dyDescent="0.3">
      <c r="B178" s="42"/>
      <c r="C178" s="19">
        <f t="shared" si="14"/>
        <v>0</v>
      </c>
      <c r="D178" s="37" t="str">
        <f t="shared" si="15"/>
        <v>Jan-00</v>
      </c>
      <c r="E178" s="13"/>
      <c r="F178" s="13"/>
      <c r="G178" s="38">
        <f t="shared" si="20"/>
        <v>0</v>
      </c>
      <c r="H178" s="38"/>
      <c r="I178" s="13"/>
      <c r="J178" s="13"/>
      <c r="K178" s="13"/>
      <c r="L178" s="39" t="str">
        <f t="shared" si="16"/>
        <v>0</v>
      </c>
      <c r="M178" s="39" t="str">
        <f t="shared" si="17"/>
        <v>0</v>
      </c>
      <c r="N178" s="25">
        <f t="shared" si="19"/>
        <v>0</v>
      </c>
    </row>
    <row r="179" spans="2:14" ht="14.4" customHeight="1" x14ac:dyDescent="0.3">
      <c r="B179" s="42"/>
      <c r="C179" s="19">
        <f t="shared" si="14"/>
        <v>0</v>
      </c>
      <c r="D179" s="37" t="str">
        <f t="shared" si="15"/>
        <v>Jan-00</v>
      </c>
      <c r="E179" s="13"/>
      <c r="F179" s="13"/>
      <c r="G179" s="38">
        <f t="shared" si="20"/>
        <v>0</v>
      </c>
      <c r="H179" s="38"/>
      <c r="I179" s="13"/>
      <c r="J179" s="13"/>
      <c r="K179" s="13"/>
      <c r="L179" s="39" t="str">
        <f t="shared" si="16"/>
        <v>0</v>
      </c>
      <c r="M179" s="39" t="str">
        <f t="shared" si="17"/>
        <v>0</v>
      </c>
      <c r="N179" s="25">
        <f t="shared" si="19"/>
        <v>0</v>
      </c>
    </row>
    <row r="180" spans="2:14" ht="14.4" customHeight="1" x14ac:dyDescent="0.3">
      <c r="B180" s="42"/>
      <c r="C180" s="19">
        <f t="shared" si="14"/>
        <v>0</v>
      </c>
      <c r="D180" s="37" t="str">
        <f t="shared" si="15"/>
        <v>Jan-00</v>
      </c>
      <c r="E180" s="13"/>
      <c r="F180" s="13"/>
      <c r="G180" s="38">
        <f t="shared" si="20"/>
        <v>0</v>
      </c>
      <c r="H180" s="38"/>
      <c r="I180" s="13"/>
      <c r="J180" s="13"/>
      <c r="K180" s="13"/>
      <c r="L180" s="39" t="str">
        <f t="shared" si="16"/>
        <v>0</v>
      </c>
      <c r="M180" s="39" t="str">
        <f t="shared" si="17"/>
        <v>0</v>
      </c>
      <c r="N180" s="25">
        <f t="shared" si="19"/>
        <v>0</v>
      </c>
    </row>
    <row r="181" spans="2:14" ht="14.4" customHeight="1" x14ac:dyDescent="0.3">
      <c r="B181" s="42"/>
      <c r="C181" s="19">
        <f t="shared" si="14"/>
        <v>0</v>
      </c>
      <c r="D181" s="37" t="str">
        <f t="shared" si="15"/>
        <v>Jan-00</v>
      </c>
      <c r="E181" s="13"/>
      <c r="F181" s="13"/>
      <c r="G181" s="38">
        <f t="shared" si="20"/>
        <v>0</v>
      </c>
      <c r="H181" s="38"/>
      <c r="I181" s="13"/>
      <c r="J181" s="13"/>
      <c r="K181" s="13"/>
      <c r="L181" s="39" t="str">
        <f t="shared" si="16"/>
        <v>0</v>
      </c>
      <c r="M181" s="39" t="str">
        <f t="shared" si="17"/>
        <v>0</v>
      </c>
      <c r="N181" s="25">
        <f t="shared" si="19"/>
        <v>0</v>
      </c>
    </row>
    <row r="182" spans="2:14" ht="14.4" customHeight="1" x14ac:dyDescent="0.3">
      <c r="B182" s="42"/>
      <c r="C182" s="19">
        <f t="shared" si="14"/>
        <v>0</v>
      </c>
      <c r="D182" s="37" t="str">
        <f t="shared" si="15"/>
        <v>Jan-00</v>
      </c>
      <c r="E182" s="19"/>
      <c r="F182" s="19"/>
      <c r="G182" s="38">
        <f t="shared" si="20"/>
        <v>0</v>
      </c>
      <c r="H182" s="38"/>
      <c r="I182" s="19"/>
      <c r="J182" s="19"/>
      <c r="K182" s="19"/>
      <c r="L182" s="39" t="str">
        <f t="shared" si="16"/>
        <v>0</v>
      </c>
      <c r="M182" s="39" t="str">
        <f t="shared" si="17"/>
        <v>0</v>
      </c>
      <c r="N182" s="26">
        <f t="shared" si="19"/>
        <v>0</v>
      </c>
    </row>
    <row r="183" spans="2:14" ht="14.4" customHeight="1" x14ac:dyDescent="0.3">
      <c r="B183" s="42"/>
      <c r="C183" s="19">
        <f t="shared" si="14"/>
        <v>0</v>
      </c>
      <c r="D183" s="37" t="str">
        <f t="shared" si="15"/>
        <v>Jan-00</v>
      </c>
      <c r="E183" s="13"/>
      <c r="F183" s="13"/>
      <c r="G183" s="38">
        <f t="shared" si="20"/>
        <v>0</v>
      </c>
      <c r="H183" s="38"/>
      <c r="I183" s="13"/>
      <c r="J183" s="13"/>
      <c r="K183" s="13"/>
      <c r="L183" s="39" t="str">
        <f t="shared" si="16"/>
        <v>0</v>
      </c>
      <c r="M183" s="39" t="str">
        <f t="shared" si="17"/>
        <v>0</v>
      </c>
      <c r="N183" s="25">
        <f t="shared" si="19"/>
        <v>0</v>
      </c>
    </row>
    <row r="184" spans="2:14" ht="14.4" customHeight="1" x14ac:dyDescent="0.3">
      <c r="B184" s="42"/>
      <c r="C184" s="19">
        <f t="shared" si="14"/>
        <v>0</v>
      </c>
      <c r="D184" s="37" t="str">
        <f t="shared" si="15"/>
        <v>Jan-00</v>
      </c>
      <c r="E184" s="13"/>
      <c r="F184" s="13"/>
      <c r="G184" s="38">
        <f t="shared" si="20"/>
        <v>0</v>
      </c>
      <c r="H184" s="38"/>
      <c r="I184" s="13"/>
      <c r="J184" s="13"/>
      <c r="K184" s="13"/>
      <c r="L184" s="39" t="str">
        <f t="shared" si="16"/>
        <v>0</v>
      </c>
      <c r="M184" s="39" t="str">
        <f t="shared" si="17"/>
        <v>0</v>
      </c>
      <c r="N184" s="25">
        <f t="shared" si="19"/>
        <v>0</v>
      </c>
    </row>
    <row r="185" spans="2:14" ht="14.4" customHeight="1" x14ac:dyDescent="0.3">
      <c r="B185" s="42"/>
      <c r="C185" s="19">
        <f t="shared" si="14"/>
        <v>0</v>
      </c>
      <c r="D185" s="37" t="str">
        <f t="shared" si="15"/>
        <v>Jan-00</v>
      </c>
      <c r="E185" s="13"/>
      <c r="F185" s="13"/>
      <c r="G185" s="38">
        <f t="shared" si="20"/>
        <v>0</v>
      </c>
      <c r="H185" s="38"/>
      <c r="I185" s="13"/>
      <c r="J185" s="13"/>
      <c r="K185" s="13"/>
      <c r="L185" s="39" t="str">
        <f t="shared" si="16"/>
        <v>0</v>
      </c>
      <c r="M185" s="39" t="str">
        <f t="shared" si="17"/>
        <v>0</v>
      </c>
      <c r="N185" s="25">
        <f t="shared" si="19"/>
        <v>0</v>
      </c>
    </row>
    <row r="186" spans="2:14" ht="14.4" customHeight="1" x14ac:dyDescent="0.3">
      <c r="B186" s="42"/>
      <c r="C186" s="19">
        <f t="shared" si="14"/>
        <v>0</v>
      </c>
      <c r="D186" s="37" t="str">
        <f t="shared" si="15"/>
        <v>Jan-00</v>
      </c>
      <c r="E186" s="13"/>
      <c r="F186" s="13"/>
      <c r="G186" s="38">
        <f t="shared" si="20"/>
        <v>0</v>
      </c>
      <c r="H186" s="38"/>
      <c r="I186" s="13"/>
      <c r="J186" s="13"/>
      <c r="K186" s="13"/>
      <c r="L186" s="39" t="str">
        <f t="shared" si="16"/>
        <v>0</v>
      </c>
      <c r="M186" s="39" t="str">
        <f t="shared" si="17"/>
        <v>0</v>
      </c>
      <c r="N186" s="25">
        <f t="shared" si="19"/>
        <v>0</v>
      </c>
    </row>
    <row r="187" spans="2:14" ht="14.4" customHeight="1" x14ac:dyDescent="0.3">
      <c r="B187" s="42"/>
      <c r="C187" s="19">
        <f t="shared" si="14"/>
        <v>0</v>
      </c>
      <c r="D187" s="37" t="str">
        <f t="shared" si="15"/>
        <v>Jan-00</v>
      </c>
      <c r="E187" s="13"/>
      <c r="F187" s="13"/>
      <c r="G187" s="38">
        <f t="shared" si="20"/>
        <v>0</v>
      </c>
      <c r="H187" s="38"/>
      <c r="I187" s="13"/>
      <c r="J187" s="13"/>
      <c r="K187" s="13"/>
      <c r="L187" s="39" t="str">
        <f t="shared" si="16"/>
        <v>0</v>
      </c>
      <c r="M187" s="39" t="str">
        <f t="shared" si="17"/>
        <v>0</v>
      </c>
      <c r="N187" s="25">
        <f t="shared" si="19"/>
        <v>0</v>
      </c>
    </row>
    <row r="188" spans="2:14" ht="14.4" customHeight="1" x14ac:dyDescent="0.3">
      <c r="B188" s="42"/>
      <c r="C188" s="19">
        <f t="shared" si="14"/>
        <v>0</v>
      </c>
      <c r="D188" s="37" t="str">
        <f t="shared" si="15"/>
        <v>Jan-00</v>
      </c>
      <c r="E188" s="13"/>
      <c r="F188" s="13"/>
      <c r="G188" s="38">
        <f t="shared" si="20"/>
        <v>0</v>
      </c>
      <c r="H188" s="38"/>
      <c r="I188" s="13"/>
      <c r="J188" s="13"/>
      <c r="K188" s="13"/>
      <c r="L188" s="39" t="str">
        <f t="shared" si="16"/>
        <v>0</v>
      </c>
      <c r="M188" s="39" t="str">
        <f t="shared" si="17"/>
        <v>0</v>
      </c>
      <c r="N188" s="27">
        <f t="shared" si="19"/>
        <v>0</v>
      </c>
    </row>
    <row r="189" spans="2:14" ht="14.4" customHeight="1" x14ac:dyDescent="0.3">
      <c r="B189" s="42"/>
      <c r="C189" s="19">
        <f t="shared" si="14"/>
        <v>0</v>
      </c>
      <c r="D189" s="37" t="str">
        <f t="shared" si="15"/>
        <v>Jan-00</v>
      </c>
      <c r="E189" s="13"/>
      <c r="F189" s="13"/>
      <c r="G189" s="38">
        <f t="shared" si="20"/>
        <v>0</v>
      </c>
      <c r="H189" s="38"/>
      <c r="I189" s="13"/>
      <c r="J189" s="13"/>
      <c r="K189" s="13"/>
      <c r="L189" s="39" t="str">
        <f t="shared" si="16"/>
        <v>0</v>
      </c>
      <c r="M189" s="39" t="str">
        <f t="shared" si="17"/>
        <v>0</v>
      </c>
      <c r="N189" s="25">
        <f t="shared" si="19"/>
        <v>0</v>
      </c>
    </row>
    <row r="190" spans="2:14" ht="14.4" customHeight="1" x14ac:dyDescent="0.3">
      <c r="B190" s="42"/>
      <c r="C190" s="19">
        <f t="shared" si="14"/>
        <v>0</v>
      </c>
      <c r="D190" s="37" t="str">
        <f t="shared" si="15"/>
        <v>Jan-00</v>
      </c>
      <c r="E190" s="13"/>
      <c r="F190" s="13"/>
      <c r="G190" s="38">
        <f t="shared" si="20"/>
        <v>0</v>
      </c>
      <c r="H190" s="38"/>
      <c r="I190" s="13"/>
      <c r="J190" s="13"/>
      <c r="K190" s="13"/>
      <c r="L190" s="39" t="str">
        <f t="shared" si="16"/>
        <v>0</v>
      </c>
      <c r="M190" s="39" t="str">
        <f t="shared" si="17"/>
        <v>0</v>
      </c>
      <c r="N190" s="25">
        <f t="shared" si="19"/>
        <v>0</v>
      </c>
    </row>
    <row r="191" spans="2:14" ht="14.4" customHeight="1" x14ac:dyDescent="0.3">
      <c r="B191" s="42"/>
      <c r="C191" s="19">
        <f t="shared" si="14"/>
        <v>0</v>
      </c>
      <c r="D191" s="37" t="str">
        <f t="shared" si="15"/>
        <v>Jan-00</v>
      </c>
      <c r="E191" s="13"/>
      <c r="F191" s="13"/>
      <c r="G191" s="38">
        <f t="shared" si="20"/>
        <v>0</v>
      </c>
      <c r="H191" s="38"/>
      <c r="I191" s="13"/>
      <c r="J191" s="13"/>
      <c r="K191" s="13"/>
      <c r="L191" s="39" t="str">
        <f t="shared" si="16"/>
        <v>0</v>
      </c>
      <c r="M191" s="39" t="str">
        <f t="shared" si="17"/>
        <v>0</v>
      </c>
      <c r="N191" s="25">
        <f t="shared" si="19"/>
        <v>0</v>
      </c>
    </row>
    <row r="192" spans="2:14" ht="14.4" customHeight="1" x14ac:dyDescent="0.3">
      <c r="B192" s="42"/>
      <c r="C192" s="19">
        <f t="shared" si="14"/>
        <v>0</v>
      </c>
      <c r="D192" s="37" t="str">
        <f t="shared" si="15"/>
        <v>Jan-00</v>
      </c>
      <c r="E192" s="13"/>
      <c r="F192" s="13"/>
      <c r="G192" s="38">
        <f t="shared" si="20"/>
        <v>0</v>
      </c>
      <c r="H192" s="38"/>
      <c r="I192" s="13"/>
      <c r="J192" s="13"/>
      <c r="K192" s="13"/>
      <c r="L192" s="39" t="str">
        <f t="shared" si="16"/>
        <v>0</v>
      </c>
      <c r="M192" s="39" t="str">
        <f t="shared" si="17"/>
        <v>0</v>
      </c>
      <c r="N192" s="25">
        <f t="shared" si="19"/>
        <v>0</v>
      </c>
    </row>
    <row r="193" spans="2:19" ht="14.4" customHeight="1" x14ac:dyDescent="0.3">
      <c r="B193" s="42"/>
      <c r="C193" s="19">
        <f t="shared" si="14"/>
        <v>0</v>
      </c>
      <c r="D193" s="37" t="str">
        <f t="shared" si="15"/>
        <v>Jan-00</v>
      </c>
      <c r="E193" s="13"/>
      <c r="F193" s="13"/>
      <c r="G193" s="38">
        <f t="shared" si="20"/>
        <v>0</v>
      </c>
      <c r="H193" s="38"/>
      <c r="I193" s="13"/>
      <c r="J193" s="13"/>
      <c r="K193" s="13"/>
      <c r="L193" s="39" t="str">
        <f t="shared" si="16"/>
        <v>0</v>
      </c>
      <c r="M193" s="39" t="str">
        <f t="shared" si="17"/>
        <v>0</v>
      </c>
      <c r="N193" s="25">
        <f t="shared" si="19"/>
        <v>0</v>
      </c>
    </row>
    <row r="194" spans="2:19" ht="14.4" customHeight="1" x14ac:dyDescent="0.3">
      <c r="B194" s="42"/>
      <c r="C194" s="19">
        <f t="shared" si="14"/>
        <v>0</v>
      </c>
      <c r="D194" s="37" t="str">
        <f t="shared" si="15"/>
        <v>Jan-00</v>
      </c>
      <c r="E194" s="13"/>
      <c r="F194" s="13"/>
      <c r="G194" s="38">
        <f t="shared" si="20"/>
        <v>0</v>
      </c>
      <c r="H194" s="38"/>
      <c r="I194" s="13"/>
      <c r="J194" s="13"/>
      <c r="K194" s="13"/>
      <c r="L194" s="39" t="str">
        <f t="shared" si="16"/>
        <v>0</v>
      </c>
      <c r="M194" s="39" t="str">
        <f t="shared" si="17"/>
        <v>0</v>
      </c>
      <c r="N194" s="25">
        <f t="shared" si="19"/>
        <v>0</v>
      </c>
    </row>
    <row r="195" spans="2:19" ht="14.4" customHeight="1" x14ac:dyDescent="0.3">
      <c r="B195" s="42"/>
      <c r="C195" s="19">
        <f t="shared" si="14"/>
        <v>0</v>
      </c>
      <c r="D195" s="37" t="str">
        <f t="shared" si="15"/>
        <v>Jan-00</v>
      </c>
      <c r="E195" s="13"/>
      <c r="F195" s="13"/>
      <c r="G195" s="38">
        <f t="shared" si="20"/>
        <v>0</v>
      </c>
      <c r="H195" s="38"/>
      <c r="I195" s="13"/>
      <c r="J195" s="13"/>
      <c r="K195" s="13"/>
      <c r="L195" s="39" t="str">
        <f t="shared" si="16"/>
        <v>0</v>
      </c>
      <c r="M195" s="39" t="str">
        <f t="shared" si="17"/>
        <v>0</v>
      </c>
      <c r="N195" s="25">
        <f t="shared" si="19"/>
        <v>0</v>
      </c>
    </row>
    <row r="196" spans="2:19" ht="14.4" customHeight="1" x14ac:dyDescent="0.3">
      <c r="B196" s="42"/>
      <c r="C196" s="19">
        <f t="shared" si="14"/>
        <v>0</v>
      </c>
      <c r="D196" s="37" t="str">
        <f t="shared" si="15"/>
        <v>Jan-00</v>
      </c>
      <c r="E196" s="13"/>
      <c r="F196" s="13"/>
      <c r="G196" s="38">
        <f t="shared" si="20"/>
        <v>0</v>
      </c>
      <c r="H196" s="38"/>
      <c r="I196" s="13"/>
      <c r="J196" s="13"/>
      <c r="K196" s="13"/>
      <c r="L196" s="39" t="str">
        <f t="shared" si="16"/>
        <v>0</v>
      </c>
      <c r="M196" s="39" t="str">
        <f t="shared" si="17"/>
        <v>0</v>
      </c>
      <c r="N196" s="25">
        <f t="shared" si="19"/>
        <v>0</v>
      </c>
    </row>
    <row r="197" spans="2:19" ht="14.4" customHeight="1" x14ac:dyDescent="0.3">
      <c r="B197" s="42"/>
      <c r="C197" s="19">
        <f t="shared" ref="C197:C260" si="21">WEEKNUM(B197)</f>
        <v>0</v>
      </c>
      <c r="D197" s="37" t="str">
        <f t="shared" ref="D197:D260" si="22">TEXT(B197,"mmm-yy")</f>
        <v>Jan-00</v>
      </c>
      <c r="E197" s="13"/>
      <c r="F197" s="13"/>
      <c r="G197" s="38">
        <f t="shared" si="20"/>
        <v>0</v>
      </c>
      <c r="H197" s="38"/>
      <c r="I197" s="13"/>
      <c r="J197" s="13"/>
      <c r="K197" s="13"/>
      <c r="L197" s="39" t="str">
        <f t="shared" ref="L197:L260" si="23">IFERROR(J197/$G197%,"0")</f>
        <v>0</v>
      </c>
      <c r="M197" s="39" t="str">
        <f t="shared" ref="M197:M260" si="24">IFERROR(K197/$G197%,"0")</f>
        <v>0</v>
      </c>
      <c r="N197" s="25">
        <f t="shared" si="19"/>
        <v>0</v>
      </c>
    </row>
    <row r="198" spans="2:19" ht="14.4" customHeight="1" x14ac:dyDescent="0.3">
      <c r="B198" s="42"/>
      <c r="C198" s="19">
        <f t="shared" si="21"/>
        <v>0</v>
      </c>
      <c r="D198" s="37" t="str">
        <f t="shared" si="22"/>
        <v>Jan-00</v>
      </c>
      <c r="E198" s="13"/>
      <c r="F198" s="13"/>
      <c r="G198" s="38">
        <f t="shared" si="20"/>
        <v>0</v>
      </c>
      <c r="H198" s="38"/>
      <c r="I198" s="13"/>
      <c r="J198" s="13"/>
      <c r="K198" s="13"/>
      <c r="L198" s="39" t="str">
        <f t="shared" si="23"/>
        <v>0</v>
      </c>
      <c r="M198" s="39" t="str">
        <f t="shared" si="24"/>
        <v>0</v>
      </c>
      <c r="N198" s="25">
        <f t="shared" si="19"/>
        <v>0</v>
      </c>
    </row>
    <row r="199" spans="2:19" ht="14.4" customHeight="1" x14ac:dyDescent="0.3">
      <c r="B199" s="42"/>
      <c r="C199" s="19">
        <f t="shared" si="21"/>
        <v>0</v>
      </c>
      <c r="D199" s="37" t="str">
        <f t="shared" si="22"/>
        <v>Jan-00</v>
      </c>
      <c r="E199" s="13"/>
      <c r="F199" s="13"/>
      <c r="G199" s="38">
        <f t="shared" si="20"/>
        <v>0</v>
      </c>
      <c r="H199" s="38"/>
      <c r="I199" s="13"/>
      <c r="J199" s="13"/>
      <c r="K199" s="13"/>
      <c r="L199" s="39" t="str">
        <f t="shared" si="23"/>
        <v>0</v>
      </c>
      <c r="M199" s="39" t="str">
        <f t="shared" si="24"/>
        <v>0</v>
      </c>
      <c r="N199" s="25">
        <f t="shared" si="19"/>
        <v>0</v>
      </c>
    </row>
    <row r="200" spans="2:19" ht="14.4" customHeight="1" x14ac:dyDescent="0.3">
      <c r="B200" s="42"/>
      <c r="C200" s="19">
        <f t="shared" si="21"/>
        <v>0</v>
      </c>
      <c r="D200" s="37" t="str">
        <f t="shared" si="22"/>
        <v>Jan-00</v>
      </c>
      <c r="E200" s="13"/>
      <c r="F200" s="13"/>
      <c r="G200" s="38">
        <f t="shared" si="20"/>
        <v>0</v>
      </c>
      <c r="H200" s="38"/>
      <c r="I200" s="13"/>
      <c r="J200" s="13"/>
      <c r="K200" s="13"/>
      <c r="L200" s="39" t="str">
        <f t="shared" si="23"/>
        <v>0</v>
      </c>
      <c r="M200" s="39" t="str">
        <f t="shared" si="24"/>
        <v>0</v>
      </c>
      <c r="N200" s="25">
        <f t="shared" ref="N200:N231" si="25">E200-F200-J200-K200</f>
        <v>0</v>
      </c>
    </row>
    <row r="201" spans="2:19" ht="14.4" customHeight="1" x14ac:dyDescent="0.3">
      <c r="B201" s="42"/>
      <c r="C201" s="19">
        <f t="shared" si="21"/>
        <v>0</v>
      </c>
      <c r="D201" s="37" t="str">
        <f t="shared" si="22"/>
        <v>Jan-00</v>
      </c>
      <c r="E201" s="13"/>
      <c r="F201" s="13"/>
      <c r="G201" s="38">
        <f t="shared" si="20"/>
        <v>0</v>
      </c>
      <c r="H201" s="38"/>
      <c r="I201" s="13"/>
      <c r="J201" s="13"/>
      <c r="K201" s="13"/>
      <c r="L201" s="39" t="str">
        <f t="shared" si="23"/>
        <v>0</v>
      </c>
      <c r="M201" s="39" t="str">
        <f t="shared" si="24"/>
        <v>0</v>
      </c>
      <c r="N201" s="25">
        <f t="shared" si="25"/>
        <v>0</v>
      </c>
    </row>
    <row r="202" spans="2:19" ht="14.4" customHeight="1" x14ac:dyDescent="0.3">
      <c r="B202" s="42"/>
      <c r="C202" s="19">
        <f t="shared" si="21"/>
        <v>0</v>
      </c>
      <c r="D202" s="37" t="str">
        <f t="shared" si="22"/>
        <v>Jan-00</v>
      </c>
      <c r="E202" s="13"/>
      <c r="F202" s="13"/>
      <c r="G202" s="38">
        <f t="shared" si="20"/>
        <v>0</v>
      </c>
      <c r="H202" s="38"/>
      <c r="I202" s="13"/>
      <c r="J202" s="13"/>
      <c r="K202" s="13"/>
      <c r="L202" s="39" t="str">
        <f t="shared" si="23"/>
        <v>0</v>
      </c>
      <c r="M202" s="39" t="str">
        <f t="shared" si="24"/>
        <v>0</v>
      </c>
      <c r="N202" s="25">
        <f t="shared" si="25"/>
        <v>0</v>
      </c>
    </row>
    <row r="203" spans="2:19" ht="14.4" customHeight="1" x14ac:dyDescent="0.3">
      <c r="B203" s="42"/>
      <c r="C203" s="19">
        <f t="shared" si="21"/>
        <v>0</v>
      </c>
      <c r="D203" s="37" t="str">
        <f t="shared" si="22"/>
        <v>Jan-00</v>
      </c>
      <c r="E203" s="13"/>
      <c r="F203" s="13"/>
      <c r="G203" s="38">
        <f t="shared" si="20"/>
        <v>0</v>
      </c>
      <c r="H203" s="38"/>
      <c r="I203" s="13"/>
      <c r="J203" s="13"/>
      <c r="K203" s="13"/>
      <c r="L203" s="39" t="str">
        <f t="shared" si="23"/>
        <v>0</v>
      </c>
      <c r="M203" s="39" t="str">
        <f t="shared" si="24"/>
        <v>0</v>
      </c>
      <c r="N203" s="25">
        <f t="shared" si="25"/>
        <v>0</v>
      </c>
    </row>
    <row r="204" spans="2:19" ht="14.4" customHeight="1" x14ac:dyDescent="0.3">
      <c r="B204" s="42"/>
      <c r="C204" s="19">
        <f t="shared" si="21"/>
        <v>0</v>
      </c>
      <c r="D204" s="37" t="str">
        <f t="shared" si="22"/>
        <v>Jan-00</v>
      </c>
      <c r="E204" s="13"/>
      <c r="F204" s="13"/>
      <c r="G204" s="38">
        <f t="shared" si="20"/>
        <v>0</v>
      </c>
      <c r="H204" s="38"/>
      <c r="I204" s="13"/>
      <c r="J204" s="13"/>
      <c r="K204" s="13"/>
      <c r="L204" s="39" t="str">
        <f t="shared" si="23"/>
        <v>0</v>
      </c>
      <c r="M204" s="39" t="str">
        <f t="shared" si="24"/>
        <v>0</v>
      </c>
      <c r="N204" s="25">
        <f t="shared" si="25"/>
        <v>0</v>
      </c>
    </row>
    <row r="205" spans="2:19" ht="14.4" customHeight="1" x14ac:dyDescent="0.3">
      <c r="B205" s="42"/>
      <c r="C205" s="19">
        <f t="shared" si="21"/>
        <v>0</v>
      </c>
      <c r="D205" s="37" t="str">
        <f t="shared" si="22"/>
        <v>Jan-00</v>
      </c>
      <c r="E205" s="13"/>
      <c r="F205" s="13"/>
      <c r="G205" s="38">
        <f t="shared" si="20"/>
        <v>0</v>
      </c>
      <c r="H205" s="38"/>
      <c r="I205" s="13"/>
      <c r="J205" s="13"/>
      <c r="K205" s="13"/>
      <c r="L205" s="39" t="str">
        <f t="shared" si="23"/>
        <v>0</v>
      </c>
      <c r="M205" s="39" t="str">
        <f t="shared" si="24"/>
        <v>0</v>
      </c>
      <c r="N205" s="25">
        <f t="shared" si="25"/>
        <v>0</v>
      </c>
      <c r="P205" s="21"/>
      <c r="S205" s="21"/>
    </row>
    <row r="206" spans="2:19" x14ac:dyDescent="0.3">
      <c r="B206" s="42"/>
      <c r="C206" s="19">
        <f t="shared" si="21"/>
        <v>0</v>
      </c>
      <c r="D206" s="37" t="str">
        <f t="shared" si="22"/>
        <v>Jan-00</v>
      </c>
      <c r="E206" s="13"/>
      <c r="F206" s="13"/>
      <c r="G206" s="38">
        <f t="shared" si="20"/>
        <v>0</v>
      </c>
      <c r="H206" s="38"/>
      <c r="I206" s="13"/>
      <c r="J206" s="13"/>
      <c r="K206" s="13"/>
      <c r="L206" s="39" t="str">
        <f t="shared" si="23"/>
        <v>0</v>
      </c>
      <c r="M206" s="39" t="str">
        <f t="shared" si="24"/>
        <v>0</v>
      </c>
      <c r="N206" s="25">
        <f t="shared" si="25"/>
        <v>0</v>
      </c>
    </row>
    <row r="207" spans="2:19" x14ac:dyDescent="0.3">
      <c r="B207" s="42"/>
      <c r="C207" s="19">
        <f t="shared" si="21"/>
        <v>0</v>
      </c>
      <c r="D207" s="37" t="str">
        <f t="shared" si="22"/>
        <v>Jan-00</v>
      </c>
      <c r="E207" s="13"/>
      <c r="F207" s="13"/>
      <c r="G207" s="38">
        <f t="shared" si="20"/>
        <v>0</v>
      </c>
      <c r="H207" s="38"/>
      <c r="I207" s="13"/>
      <c r="J207" s="13"/>
      <c r="K207" s="13"/>
      <c r="L207" s="39" t="str">
        <f t="shared" si="23"/>
        <v>0</v>
      </c>
      <c r="M207" s="39" t="str">
        <f t="shared" si="24"/>
        <v>0</v>
      </c>
      <c r="N207" s="25">
        <f t="shared" si="25"/>
        <v>0</v>
      </c>
    </row>
    <row r="208" spans="2:19" x14ac:dyDescent="0.3">
      <c r="B208" s="42"/>
      <c r="C208" s="19">
        <f t="shared" si="21"/>
        <v>0</v>
      </c>
      <c r="D208" s="37" t="str">
        <f t="shared" si="22"/>
        <v>Jan-00</v>
      </c>
      <c r="E208" s="13"/>
      <c r="F208" s="13"/>
      <c r="G208" s="38">
        <f t="shared" si="20"/>
        <v>0</v>
      </c>
      <c r="H208" s="38"/>
      <c r="I208" s="13"/>
      <c r="J208" s="13"/>
      <c r="K208" s="13"/>
      <c r="L208" s="39" t="str">
        <f t="shared" si="23"/>
        <v>0</v>
      </c>
      <c r="M208" s="39" t="str">
        <f t="shared" si="24"/>
        <v>0</v>
      </c>
      <c r="N208" s="25">
        <f t="shared" si="25"/>
        <v>0</v>
      </c>
    </row>
    <row r="209" spans="2:14" x14ac:dyDescent="0.3">
      <c r="B209" s="42"/>
      <c r="C209" s="19">
        <f t="shared" si="21"/>
        <v>0</v>
      </c>
      <c r="D209" s="37" t="str">
        <f t="shared" si="22"/>
        <v>Jan-00</v>
      </c>
      <c r="E209" s="13"/>
      <c r="F209" s="13"/>
      <c r="G209" s="38">
        <f t="shared" si="20"/>
        <v>0</v>
      </c>
      <c r="H209" s="38"/>
      <c r="I209" s="13"/>
      <c r="J209" s="13"/>
      <c r="K209" s="13"/>
      <c r="L209" s="39" t="str">
        <f t="shared" si="23"/>
        <v>0</v>
      </c>
      <c r="M209" s="39" t="str">
        <f t="shared" si="24"/>
        <v>0</v>
      </c>
      <c r="N209" s="25">
        <f t="shared" si="25"/>
        <v>0</v>
      </c>
    </row>
    <row r="210" spans="2:14" x14ac:dyDescent="0.3">
      <c r="B210" s="42"/>
      <c r="C210" s="19">
        <f t="shared" si="21"/>
        <v>0</v>
      </c>
      <c r="D210" s="37" t="str">
        <f t="shared" si="22"/>
        <v>Jan-00</v>
      </c>
      <c r="E210" s="13"/>
      <c r="F210" s="13"/>
      <c r="G210" s="38">
        <f t="shared" si="20"/>
        <v>0</v>
      </c>
      <c r="H210" s="38"/>
      <c r="I210" s="13"/>
      <c r="J210" s="13"/>
      <c r="K210" s="13"/>
      <c r="L210" s="39" t="str">
        <f t="shared" si="23"/>
        <v>0</v>
      </c>
      <c r="M210" s="39" t="str">
        <f t="shared" si="24"/>
        <v>0</v>
      </c>
      <c r="N210" s="25">
        <f t="shared" si="25"/>
        <v>0</v>
      </c>
    </row>
    <row r="211" spans="2:14" x14ac:dyDescent="0.3">
      <c r="B211" s="42"/>
      <c r="C211" s="19">
        <f t="shared" si="21"/>
        <v>0</v>
      </c>
      <c r="D211" s="37" t="str">
        <f t="shared" si="22"/>
        <v>Jan-00</v>
      </c>
      <c r="E211" s="13"/>
      <c r="F211" s="13"/>
      <c r="G211" s="38">
        <f t="shared" si="20"/>
        <v>0</v>
      </c>
      <c r="H211" s="38"/>
      <c r="I211" s="13"/>
      <c r="J211" s="13"/>
      <c r="K211" s="13"/>
      <c r="L211" s="39" t="str">
        <f t="shared" si="23"/>
        <v>0</v>
      </c>
      <c r="M211" s="39" t="str">
        <f t="shared" si="24"/>
        <v>0</v>
      </c>
      <c r="N211" s="25">
        <f t="shared" si="25"/>
        <v>0</v>
      </c>
    </row>
    <row r="212" spans="2:14" x14ac:dyDescent="0.3">
      <c r="B212" s="42"/>
      <c r="C212" s="19">
        <f t="shared" si="21"/>
        <v>0</v>
      </c>
      <c r="D212" s="37" t="str">
        <f t="shared" si="22"/>
        <v>Jan-00</v>
      </c>
      <c r="E212" s="13"/>
      <c r="F212" s="13"/>
      <c r="G212" s="38">
        <f t="shared" si="20"/>
        <v>0</v>
      </c>
      <c r="H212" s="38"/>
      <c r="I212" s="13"/>
      <c r="J212" s="13"/>
      <c r="K212" s="13"/>
      <c r="L212" s="39" t="str">
        <f t="shared" si="23"/>
        <v>0</v>
      </c>
      <c r="M212" s="39" t="str">
        <f t="shared" si="24"/>
        <v>0</v>
      </c>
      <c r="N212" s="25">
        <f t="shared" si="25"/>
        <v>0</v>
      </c>
    </row>
    <row r="213" spans="2:14" x14ac:dyDescent="0.3">
      <c r="B213" s="42"/>
      <c r="C213" s="19">
        <f t="shared" si="21"/>
        <v>0</v>
      </c>
      <c r="D213" s="37" t="str">
        <f t="shared" si="22"/>
        <v>Jan-00</v>
      </c>
      <c r="E213" s="13"/>
      <c r="F213" s="13"/>
      <c r="G213" s="38">
        <f t="shared" si="20"/>
        <v>0</v>
      </c>
      <c r="H213" s="38"/>
      <c r="I213" s="13"/>
      <c r="J213" s="13"/>
      <c r="K213" s="13"/>
      <c r="L213" s="39" t="str">
        <f t="shared" si="23"/>
        <v>0</v>
      </c>
      <c r="M213" s="39" t="str">
        <f t="shared" si="24"/>
        <v>0</v>
      </c>
      <c r="N213" s="25">
        <f t="shared" si="25"/>
        <v>0</v>
      </c>
    </row>
    <row r="214" spans="2:14" x14ac:dyDescent="0.3">
      <c r="B214" s="42"/>
      <c r="C214" s="19">
        <f t="shared" si="21"/>
        <v>0</v>
      </c>
      <c r="D214" s="37" t="str">
        <f t="shared" si="22"/>
        <v>Jan-00</v>
      </c>
      <c r="E214" s="13"/>
      <c r="F214" s="13"/>
      <c r="G214" s="38">
        <f t="shared" si="20"/>
        <v>0</v>
      </c>
      <c r="H214" s="38"/>
      <c r="I214" s="13"/>
      <c r="J214" s="13"/>
      <c r="K214" s="13"/>
      <c r="L214" s="39" t="str">
        <f t="shared" si="23"/>
        <v>0</v>
      </c>
      <c r="M214" s="39" t="str">
        <f t="shared" si="24"/>
        <v>0</v>
      </c>
      <c r="N214" s="25">
        <f t="shared" si="25"/>
        <v>0</v>
      </c>
    </row>
    <row r="215" spans="2:14" x14ac:dyDescent="0.3">
      <c r="B215" s="42"/>
      <c r="C215" s="19">
        <f t="shared" si="21"/>
        <v>0</v>
      </c>
      <c r="D215" s="37" t="str">
        <f t="shared" si="22"/>
        <v>Jan-00</v>
      </c>
      <c r="E215" s="13"/>
      <c r="F215" s="13"/>
      <c r="G215" s="38">
        <f t="shared" si="20"/>
        <v>0</v>
      </c>
      <c r="H215" s="38"/>
      <c r="I215" s="13"/>
      <c r="J215" s="13"/>
      <c r="K215" s="13"/>
      <c r="L215" s="39" t="str">
        <f t="shared" si="23"/>
        <v>0</v>
      </c>
      <c r="M215" s="39" t="str">
        <f t="shared" si="24"/>
        <v>0</v>
      </c>
      <c r="N215" s="25">
        <f t="shared" si="25"/>
        <v>0</v>
      </c>
    </row>
    <row r="216" spans="2:14" x14ac:dyDescent="0.3">
      <c r="B216" s="42"/>
      <c r="C216" s="19">
        <f t="shared" si="21"/>
        <v>0</v>
      </c>
      <c r="D216" s="37" t="str">
        <f t="shared" si="22"/>
        <v>Jan-00</v>
      </c>
      <c r="E216" s="13"/>
      <c r="F216" s="13"/>
      <c r="G216" s="38">
        <f t="shared" si="20"/>
        <v>0</v>
      </c>
      <c r="H216" s="38"/>
      <c r="I216" s="13"/>
      <c r="J216" s="13"/>
      <c r="K216" s="13"/>
      <c r="L216" s="39" t="str">
        <f t="shared" si="23"/>
        <v>0</v>
      </c>
      <c r="M216" s="39" t="str">
        <f t="shared" si="24"/>
        <v>0</v>
      </c>
      <c r="N216" s="25">
        <f t="shared" si="25"/>
        <v>0</v>
      </c>
    </row>
    <row r="217" spans="2:14" x14ac:dyDescent="0.3">
      <c r="B217" s="42"/>
      <c r="C217" s="19">
        <f t="shared" si="21"/>
        <v>0</v>
      </c>
      <c r="D217" s="37" t="str">
        <f t="shared" si="22"/>
        <v>Jan-00</v>
      </c>
      <c r="E217" s="13"/>
      <c r="F217" s="13"/>
      <c r="G217" s="38">
        <f t="shared" si="20"/>
        <v>0</v>
      </c>
      <c r="H217" s="38"/>
      <c r="I217" s="13"/>
      <c r="J217" s="13"/>
      <c r="K217" s="13"/>
      <c r="L217" s="39" t="str">
        <f t="shared" si="23"/>
        <v>0</v>
      </c>
      <c r="M217" s="39" t="str">
        <f t="shared" si="24"/>
        <v>0</v>
      </c>
      <c r="N217" s="25">
        <f t="shared" si="25"/>
        <v>0</v>
      </c>
    </row>
    <row r="218" spans="2:14" x14ac:dyDescent="0.3">
      <c r="B218" s="42"/>
      <c r="C218" s="19">
        <f t="shared" si="21"/>
        <v>0</v>
      </c>
      <c r="D218" s="37" t="str">
        <f t="shared" si="22"/>
        <v>Jan-00</v>
      </c>
      <c r="E218" s="41"/>
      <c r="F218" s="13"/>
      <c r="G218" s="38">
        <f t="shared" si="20"/>
        <v>0</v>
      </c>
      <c r="H218" s="38"/>
      <c r="I218" s="13"/>
      <c r="J218" s="13"/>
      <c r="K218" s="13"/>
      <c r="L218" s="39" t="str">
        <f t="shared" si="23"/>
        <v>0</v>
      </c>
      <c r="M218" s="39" t="str">
        <f t="shared" si="24"/>
        <v>0</v>
      </c>
      <c r="N218" s="25">
        <f t="shared" si="25"/>
        <v>0</v>
      </c>
    </row>
    <row r="219" spans="2:14" x14ac:dyDescent="0.3">
      <c r="B219" s="42"/>
      <c r="C219" s="19">
        <f t="shared" si="21"/>
        <v>0</v>
      </c>
      <c r="D219" s="37" t="str">
        <f t="shared" si="22"/>
        <v>Jan-00</v>
      </c>
      <c r="E219" s="13"/>
      <c r="F219" s="13"/>
      <c r="G219" s="38">
        <f t="shared" si="20"/>
        <v>0</v>
      </c>
      <c r="H219" s="38"/>
      <c r="I219" s="13"/>
      <c r="J219" s="13"/>
      <c r="K219" s="13"/>
      <c r="L219" s="39" t="str">
        <f t="shared" si="23"/>
        <v>0</v>
      </c>
      <c r="M219" s="39" t="str">
        <f t="shared" si="24"/>
        <v>0</v>
      </c>
      <c r="N219" s="25">
        <f t="shared" si="25"/>
        <v>0</v>
      </c>
    </row>
    <row r="220" spans="2:14" x14ac:dyDescent="0.3">
      <c r="B220" s="42"/>
      <c r="C220" s="19">
        <f t="shared" si="21"/>
        <v>0</v>
      </c>
      <c r="D220" s="37" t="str">
        <f t="shared" si="22"/>
        <v>Jan-00</v>
      </c>
      <c r="E220" s="13"/>
      <c r="F220" s="13"/>
      <c r="G220" s="38">
        <f t="shared" si="20"/>
        <v>0</v>
      </c>
      <c r="H220" s="38"/>
      <c r="I220" s="13"/>
      <c r="J220" s="13"/>
      <c r="K220" s="13"/>
      <c r="L220" s="39" t="str">
        <f t="shared" si="23"/>
        <v>0</v>
      </c>
      <c r="M220" s="39" t="str">
        <f t="shared" si="24"/>
        <v>0</v>
      </c>
      <c r="N220" s="25">
        <f t="shared" si="25"/>
        <v>0</v>
      </c>
    </row>
    <row r="221" spans="2:14" x14ac:dyDescent="0.3">
      <c r="B221" s="42"/>
      <c r="C221" s="19">
        <f t="shared" si="21"/>
        <v>0</v>
      </c>
      <c r="D221" s="37" t="str">
        <f t="shared" si="22"/>
        <v>Jan-00</v>
      </c>
      <c r="E221" s="13"/>
      <c r="F221" s="13"/>
      <c r="G221" s="38">
        <f t="shared" si="20"/>
        <v>0</v>
      </c>
      <c r="H221" s="38"/>
      <c r="I221" s="13"/>
      <c r="J221" s="13"/>
      <c r="K221" s="13"/>
      <c r="L221" s="39" t="str">
        <f t="shared" si="23"/>
        <v>0</v>
      </c>
      <c r="M221" s="39" t="str">
        <f t="shared" si="24"/>
        <v>0</v>
      </c>
      <c r="N221" s="25">
        <f t="shared" si="25"/>
        <v>0</v>
      </c>
    </row>
    <row r="222" spans="2:14" x14ac:dyDescent="0.3">
      <c r="B222" s="42"/>
      <c r="C222" s="19">
        <f t="shared" si="21"/>
        <v>0</v>
      </c>
      <c r="D222" s="37" t="str">
        <f t="shared" si="22"/>
        <v>Jan-00</v>
      </c>
      <c r="E222" s="13"/>
      <c r="F222" s="13"/>
      <c r="G222" s="38">
        <f t="shared" si="20"/>
        <v>0</v>
      </c>
      <c r="H222" s="38"/>
      <c r="I222" s="13"/>
      <c r="J222" s="13"/>
      <c r="K222" s="13"/>
      <c r="L222" s="39" t="str">
        <f t="shared" si="23"/>
        <v>0</v>
      </c>
      <c r="M222" s="39" t="str">
        <f t="shared" si="24"/>
        <v>0</v>
      </c>
      <c r="N222" s="25">
        <f t="shared" si="25"/>
        <v>0</v>
      </c>
    </row>
    <row r="223" spans="2:14" x14ac:dyDescent="0.3">
      <c r="B223" s="42"/>
      <c r="C223" s="19">
        <f t="shared" si="21"/>
        <v>0</v>
      </c>
      <c r="D223" s="37" t="str">
        <f t="shared" si="22"/>
        <v>Jan-00</v>
      </c>
      <c r="E223" s="13"/>
      <c r="F223" s="13"/>
      <c r="G223" s="38">
        <f t="shared" si="20"/>
        <v>0</v>
      </c>
      <c r="H223" s="38"/>
      <c r="I223" s="13"/>
      <c r="J223" s="13"/>
      <c r="K223" s="13"/>
      <c r="L223" s="39" t="str">
        <f t="shared" si="23"/>
        <v>0</v>
      </c>
      <c r="M223" s="39" t="str">
        <f t="shared" si="24"/>
        <v>0</v>
      </c>
      <c r="N223" s="25">
        <f t="shared" si="25"/>
        <v>0</v>
      </c>
    </row>
    <row r="224" spans="2:14" x14ac:dyDescent="0.3">
      <c r="B224" s="42"/>
      <c r="C224" s="19">
        <f t="shared" si="21"/>
        <v>0</v>
      </c>
      <c r="D224" s="37" t="str">
        <f t="shared" si="22"/>
        <v>Jan-00</v>
      </c>
      <c r="E224" s="13"/>
      <c r="F224" s="13"/>
      <c r="G224" s="38">
        <f t="shared" si="20"/>
        <v>0</v>
      </c>
      <c r="H224" s="38"/>
      <c r="I224" s="13"/>
      <c r="J224" s="13"/>
      <c r="K224" s="13"/>
      <c r="L224" s="39" t="str">
        <f t="shared" si="23"/>
        <v>0</v>
      </c>
      <c r="M224" s="39" t="str">
        <f t="shared" si="24"/>
        <v>0</v>
      </c>
      <c r="N224" s="25">
        <f t="shared" si="25"/>
        <v>0</v>
      </c>
    </row>
    <row r="225" spans="2:14" x14ac:dyDescent="0.3">
      <c r="B225" s="42"/>
      <c r="C225" s="19">
        <f t="shared" si="21"/>
        <v>0</v>
      </c>
      <c r="D225" s="37" t="str">
        <f t="shared" si="22"/>
        <v>Jan-00</v>
      </c>
      <c r="E225" s="13"/>
      <c r="F225" s="13"/>
      <c r="G225" s="38">
        <f t="shared" si="20"/>
        <v>0</v>
      </c>
      <c r="H225" s="38"/>
      <c r="I225" s="13"/>
      <c r="J225" s="13"/>
      <c r="K225" s="13"/>
      <c r="L225" s="39" t="str">
        <f t="shared" si="23"/>
        <v>0</v>
      </c>
      <c r="M225" s="39" t="str">
        <f t="shared" si="24"/>
        <v>0</v>
      </c>
      <c r="N225" s="25">
        <f t="shared" si="25"/>
        <v>0</v>
      </c>
    </row>
    <row r="226" spans="2:14" x14ac:dyDescent="0.3">
      <c r="B226" s="42"/>
      <c r="C226" s="19">
        <f t="shared" si="21"/>
        <v>0</v>
      </c>
      <c r="D226" s="37" t="str">
        <f t="shared" si="22"/>
        <v>Jan-00</v>
      </c>
      <c r="E226" s="13"/>
      <c r="F226" s="13"/>
      <c r="G226" s="38">
        <f t="shared" si="20"/>
        <v>0</v>
      </c>
      <c r="H226" s="38"/>
      <c r="I226" s="13"/>
      <c r="J226" s="13"/>
      <c r="K226" s="13"/>
      <c r="L226" s="39" t="str">
        <f t="shared" si="23"/>
        <v>0</v>
      </c>
      <c r="M226" s="39" t="str">
        <f t="shared" si="24"/>
        <v>0</v>
      </c>
      <c r="N226" s="25">
        <f t="shared" si="25"/>
        <v>0</v>
      </c>
    </row>
    <row r="227" spans="2:14" x14ac:dyDescent="0.3">
      <c r="B227" s="42"/>
      <c r="C227" s="19">
        <f t="shared" si="21"/>
        <v>0</v>
      </c>
      <c r="D227" s="37" t="str">
        <f t="shared" si="22"/>
        <v>Jan-00</v>
      </c>
      <c r="E227" s="13"/>
      <c r="F227" s="13"/>
      <c r="G227" s="38">
        <f t="shared" si="20"/>
        <v>0</v>
      </c>
      <c r="H227" s="38"/>
      <c r="I227" s="13"/>
      <c r="J227" s="13"/>
      <c r="K227" s="13"/>
      <c r="L227" s="39" t="str">
        <f t="shared" si="23"/>
        <v>0</v>
      </c>
      <c r="M227" s="39" t="str">
        <f t="shared" si="24"/>
        <v>0</v>
      </c>
      <c r="N227" s="25">
        <f t="shared" si="25"/>
        <v>0</v>
      </c>
    </row>
    <row r="228" spans="2:14" x14ac:dyDescent="0.3">
      <c r="B228" s="42"/>
      <c r="C228" s="19">
        <f t="shared" si="21"/>
        <v>0</v>
      </c>
      <c r="D228" s="37" t="str">
        <f t="shared" si="22"/>
        <v>Jan-00</v>
      </c>
      <c r="E228" s="13"/>
      <c r="F228" s="13"/>
      <c r="G228" s="38">
        <f t="shared" si="20"/>
        <v>0</v>
      </c>
      <c r="H228" s="38"/>
      <c r="I228" s="13"/>
      <c r="J228" s="13"/>
      <c r="K228" s="13"/>
      <c r="L228" s="39" t="str">
        <f t="shared" si="23"/>
        <v>0</v>
      </c>
      <c r="M228" s="39" t="str">
        <f t="shared" si="24"/>
        <v>0</v>
      </c>
      <c r="N228" s="25">
        <f t="shared" si="25"/>
        <v>0</v>
      </c>
    </row>
    <row r="229" spans="2:14" x14ac:dyDescent="0.3">
      <c r="B229" s="42"/>
      <c r="C229" s="19">
        <f t="shared" si="21"/>
        <v>0</v>
      </c>
      <c r="D229" s="37" t="str">
        <f t="shared" si="22"/>
        <v>Jan-00</v>
      </c>
      <c r="E229" s="13"/>
      <c r="F229" s="13"/>
      <c r="G229" s="38">
        <f t="shared" si="20"/>
        <v>0</v>
      </c>
      <c r="H229" s="38"/>
      <c r="I229" s="13"/>
      <c r="J229" s="13"/>
      <c r="K229" s="13"/>
      <c r="L229" s="39" t="str">
        <f t="shared" si="23"/>
        <v>0</v>
      </c>
      <c r="M229" s="39" t="str">
        <f t="shared" si="24"/>
        <v>0</v>
      </c>
      <c r="N229" s="25">
        <f t="shared" si="25"/>
        <v>0</v>
      </c>
    </row>
    <row r="230" spans="2:14" x14ac:dyDescent="0.3">
      <c r="B230" s="42"/>
      <c r="C230" s="19">
        <f t="shared" si="21"/>
        <v>0</v>
      </c>
      <c r="D230" s="37" t="str">
        <f t="shared" si="22"/>
        <v>Jan-00</v>
      </c>
      <c r="E230" s="13"/>
      <c r="F230" s="13"/>
      <c r="G230" s="38">
        <f t="shared" si="20"/>
        <v>0</v>
      </c>
      <c r="H230" s="38"/>
      <c r="I230" s="13"/>
      <c r="J230" s="13"/>
      <c r="K230" s="13"/>
      <c r="L230" s="39" t="str">
        <f t="shared" si="23"/>
        <v>0</v>
      </c>
      <c r="M230" s="39" t="str">
        <f t="shared" si="24"/>
        <v>0</v>
      </c>
      <c r="N230" s="25">
        <f t="shared" si="25"/>
        <v>0</v>
      </c>
    </row>
    <row r="231" spans="2:14" x14ac:dyDescent="0.3">
      <c r="B231" s="42"/>
      <c r="C231" s="19">
        <f t="shared" si="21"/>
        <v>0</v>
      </c>
      <c r="D231" s="37" t="str">
        <f t="shared" si="22"/>
        <v>Jan-00</v>
      </c>
      <c r="E231" s="13"/>
      <c r="F231" s="13"/>
      <c r="G231" s="38">
        <f t="shared" si="20"/>
        <v>0</v>
      </c>
      <c r="H231" s="38"/>
      <c r="I231" s="13"/>
      <c r="J231" s="13"/>
      <c r="K231" s="13"/>
      <c r="L231" s="39" t="str">
        <f t="shared" si="23"/>
        <v>0</v>
      </c>
      <c r="M231" s="39" t="str">
        <f t="shared" si="24"/>
        <v>0</v>
      </c>
      <c r="N231" s="25">
        <f t="shared" si="25"/>
        <v>0</v>
      </c>
    </row>
    <row r="232" spans="2:14" x14ac:dyDescent="0.3">
      <c r="B232" s="42"/>
      <c r="C232" s="19">
        <f t="shared" si="21"/>
        <v>0</v>
      </c>
      <c r="D232" s="37" t="str">
        <f t="shared" si="22"/>
        <v>Jan-00</v>
      </c>
      <c r="E232" s="13"/>
      <c r="F232" s="13"/>
      <c r="G232" s="38">
        <f t="shared" si="20"/>
        <v>0</v>
      </c>
      <c r="H232" s="38"/>
      <c r="I232" s="13"/>
      <c r="J232" s="13"/>
      <c r="K232" s="13"/>
      <c r="L232" s="39" t="str">
        <f t="shared" si="23"/>
        <v>0</v>
      </c>
      <c r="M232" s="39" t="str">
        <f t="shared" si="24"/>
        <v>0</v>
      </c>
      <c r="N232" s="25">
        <f t="shared" ref="N232:N263" si="26">E232-F232-J232-K232</f>
        <v>0</v>
      </c>
    </row>
    <row r="233" spans="2:14" x14ac:dyDescent="0.3">
      <c r="B233" s="42"/>
      <c r="C233" s="19">
        <f t="shared" si="21"/>
        <v>0</v>
      </c>
      <c r="D233" s="37" t="str">
        <f t="shared" si="22"/>
        <v>Jan-00</v>
      </c>
      <c r="E233" s="13"/>
      <c r="F233" s="13"/>
      <c r="G233" s="38">
        <f t="shared" si="20"/>
        <v>0</v>
      </c>
      <c r="H233" s="38"/>
      <c r="I233" s="13"/>
      <c r="J233" s="13"/>
      <c r="K233" s="13"/>
      <c r="L233" s="39" t="str">
        <f t="shared" si="23"/>
        <v>0</v>
      </c>
      <c r="M233" s="39" t="str">
        <f t="shared" si="24"/>
        <v>0</v>
      </c>
      <c r="N233" s="25">
        <f t="shared" si="26"/>
        <v>0</v>
      </c>
    </row>
    <row r="234" spans="2:14" x14ac:dyDescent="0.3">
      <c r="B234" s="42"/>
      <c r="C234" s="19">
        <f t="shared" si="21"/>
        <v>0</v>
      </c>
      <c r="D234" s="37" t="str">
        <f t="shared" si="22"/>
        <v>Jan-00</v>
      </c>
      <c r="E234" s="13"/>
      <c r="F234" s="13"/>
      <c r="G234" s="38">
        <f t="shared" si="20"/>
        <v>0</v>
      </c>
      <c r="H234" s="38"/>
      <c r="I234" s="13"/>
      <c r="J234" s="13"/>
      <c r="K234" s="13"/>
      <c r="L234" s="39" t="str">
        <f t="shared" si="23"/>
        <v>0</v>
      </c>
      <c r="M234" s="39" t="str">
        <f t="shared" si="24"/>
        <v>0</v>
      </c>
      <c r="N234" s="25">
        <f t="shared" si="26"/>
        <v>0</v>
      </c>
    </row>
    <row r="235" spans="2:14" x14ac:dyDescent="0.3">
      <c r="B235" s="42"/>
      <c r="C235" s="19">
        <f t="shared" si="21"/>
        <v>0</v>
      </c>
      <c r="D235" s="37" t="str">
        <f t="shared" si="22"/>
        <v>Jan-00</v>
      </c>
      <c r="E235" s="13"/>
      <c r="F235" s="13"/>
      <c r="G235" s="38">
        <f t="shared" si="20"/>
        <v>0</v>
      </c>
      <c r="H235" s="38"/>
      <c r="I235" s="13"/>
      <c r="J235" s="13"/>
      <c r="K235" s="13"/>
      <c r="L235" s="39" t="str">
        <f t="shared" si="23"/>
        <v>0</v>
      </c>
      <c r="M235" s="39" t="str">
        <f t="shared" si="24"/>
        <v>0</v>
      </c>
      <c r="N235" s="25">
        <f t="shared" si="26"/>
        <v>0</v>
      </c>
    </row>
    <row r="236" spans="2:14" x14ac:dyDescent="0.3">
      <c r="B236" s="42"/>
      <c r="C236" s="19">
        <f t="shared" si="21"/>
        <v>0</v>
      </c>
      <c r="D236" s="37" t="str">
        <f t="shared" si="22"/>
        <v>Jan-00</v>
      </c>
      <c r="E236" s="13"/>
      <c r="F236" s="13"/>
      <c r="G236" s="38">
        <f t="shared" si="20"/>
        <v>0</v>
      </c>
      <c r="H236" s="38"/>
      <c r="I236" s="13"/>
      <c r="J236" s="13"/>
      <c r="K236" s="13"/>
      <c r="L236" s="39" t="str">
        <f t="shared" si="23"/>
        <v>0</v>
      </c>
      <c r="M236" s="39" t="str">
        <f t="shared" si="24"/>
        <v>0</v>
      </c>
      <c r="N236" s="25">
        <f t="shared" si="26"/>
        <v>0</v>
      </c>
    </row>
    <row r="237" spans="2:14" x14ac:dyDescent="0.3">
      <c r="B237" s="42"/>
      <c r="C237" s="19">
        <f t="shared" si="21"/>
        <v>0</v>
      </c>
      <c r="D237" s="37" t="str">
        <f t="shared" si="22"/>
        <v>Jan-00</v>
      </c>
      <c r="E237" s="13"/>
      <c r="F237" s="13"/>
      <c r="G237" s="38">
        <f t="shared" si="20"/>
        <v>0</v>
      </c>
      <c r="H237" s="38"/>
      <c r="I237" s="13"/>
      <c r="J237" s="13"/>
      <c r="K237" s="13"/>
      <c r="L237" s="39" t="str">
        <f t="shared" si="23"/>
        <v>0</v>
      </c>
      <c r="M237" s="39" t="str">
        <f t="shared" si="24"/>
        <v>0</v>
      </c>
      <c r="N237" s="25">
        <f t="shared" si="26"/>
        <v>0</v>
      </c>
    </row>
    <row r="238" spans="2:14" x14ac:dyDescent="0.3">
      <c r="B238" s="42"/>
      <c r="C238" s="19">
        <f t="shared" si="21"/>
        <v>0</v>
      </c>
      <c r="D238" s="37" t="str">
        <f t="shared" si="22"/>
        <v>Jan-00</v>
      </c>
      <c r="E238" s="13"/>
      <c r="F238" s="13"/>
      <c r="G238" s="38">
        <f t="shared" si="20"/>
        <v>0</v>
      </c>
      <c r="H238" s="38"/>
      <c r="I238" s="13"/>
      <c r="J238" s="13"/>
      <c r="K238" s="13"/>
      <c r="L238" s="39" t="str">
        <f t="shared" si="23"/>
        <v>0</v>
      </c>
      <c r="M238" s="39" t="str">
        <f t="shared" si="24"/>
        <v>0</v>
      </c>
      <c r="N238" s="25">
        <f t="shared" si="26"/>
        <v>0</v>
      </c>
    </row>
    <row r="239" spans="2:14" x14ac:dyDescent="0.3">
      <c r="B239" s="42"/>
      <c r="C239" s="19">
        <f t="shared" si="21"/>
        <v>0</v>
      </c>
      <c r="D239" s="37" t="str">
        <f t="shared" si="22"/>
        <v>Jan-00</v>
      </c>
      <c r="E239" s="39"/>
      <c r="F239" s="13"/>
      <c r="G239" s="38">
        <f t="shared" si="20"/>
        <v>0</v>
      </c>
      <c r="H239" s="38"/>
      <c r="I239" s="13"/>
      <c r="J239" s="13"/>
      <c r="K239" s="13"/>
      <c r="L239" s="39" t="str">
        <f t="shared" si="23"/>
        <v>0</v>
      </c>
      <c r="M239" s="39" t="str">
        <f t="shared" si="24"/>
        <v>0</v>
      </c>
      <c r="N239" s="27">
        <f t="shared" si="26"/>
        <v>0</v>
      </c>
    </row>
    <row r="240" spans="2:14" x14ac:dyDescent="0.3">
      <c r="B240" s="42"/>
      <c r="C240" s="19">
        <f t="shared" si="21"/>
        <v>0</v>
      </c>
      <c r="D240" s="37" t="str">
        <f t="shared" si="22"/>
        <v>Jan-00</v>
      </c>
      <c r="E240" s="13"/>
      <c r="F240" s="13"/>
      <c r="G240" s="38">
        <f t="shared" ref="G240:G296" si="27">E240-F240</f>
        <v>0</v>
      </c>
      <c r="H240" s="38"/>
      <c r="I240" s="13"/>
      <c r="J240" s="13"/>
      <c r="K240" s="13"/>
      <c r="L240" s="39" t="str">
        <f t="shared" si="23"/>
        <v>0</v>
      </c>
      <c r="M240" s="39" t="str">
        <f t="shared" si="24"/>
        <v>0</v>
      </c>
      <c r="N240" s="27">
        <f t="shared" si="26"/>
        <v>0</v>
      </c>
    </row>
    <row r="241" spans="2:14" x14ac:dyDescent="0.3">
      <c r="B241" s="42"/>
      <c r="C241" s="19">
        <f t="shared" si="21"/>
        <v>0</v>
      </c>
      <c r="D241" s="37" t="str">
        <f t="shared" si="22"/>
        <v>Jan-00</v>
      </c>
      <c r="E241" s="13"/>
      <c r="F241" s="13"/>
      <c r="G241" s="38">
        <f t="shared" si="27"/>
        <v>0</v>
      </c>
      <c r="H241" s="38"/>
      <c r="I241" s="13"/>
      <c r="J241" s="13"/>
      <c r="K241" s="13"/>
      <c r="L241" s="39" t="str">
        <f t="shared" si="23"/>
        <v>0</v>
      </c>
      <c r="M241" s="39" t="str">
        <f t="shared" si="24"/>
        <v>0</v>
      </c>
      <c r="N241" s="27">
        <f t="shared" si="26"/>
        <v>0</v>
      </c>
    </row>
    <row r="242" spans="2:14" x14ac:dyDescent="0.3">
      <c r="B242" s="42"/>
      <c r="C242" s="19">
        <f t="shared" si="21"/>
        <v>0</v>
      </c>
      <c r="D242" s="37" t="str">
        <f t="shared" si="22"/>
        <v>Jan-00</v>
      </c>
      <c r="E242" s="13"/>
      <c r="F242" s="13"/>
      <c r="G242" s="38">
        <f t="shared" si="27"/>
        <v>0</v>
      </c>
      <c r="H242" s="38"/>
      <c r="I242" s="13"/>
      <c r="J242" s="13"/>
      <c r="K242" s="13"/>
      <c r="L242" s="39" t="str">
        <f t="shared" si="23"/>
        <v>0</v>
      </c>
      <c r="M242" s="39" t="str">
        <f t="shared" si="24"/>
        <v>0</v>
      </c>
      <c r="N242" s="27">
        <f t="shared" si="26"/>
        <v>0</v>
      </c>
    </row>
    <row r="243" spans="2:14" x14ac:dyDescent="0.3">
      <c r="B243" s="42"/>
      <c r="C243" s="19">
        <f t="shared" si="21"/>
        <v>0</v>
      </c>
      <c r="D243" s="37" t="str">
        <f t="shared" si="22"/>
        <v>Jan-00</v>
      </c>
      <c r="E243" s="13"/>
      <c r="F243" s="13"/>
      <c r="G243" s="38">
        <f t="shared" si="27"/>
        <v>0</v>
      </c>
      <c r="H243" s="38"/>
      <c r="I243" s="13"/>
      <c r="J243" s="13"/>
      <c r="K243" s="13"/>
      <c r="L243" s="39" t="str">
        <f t="shared" si="23"/>
        <v>0</v>
      </c>
      <c r="M243" s="39" t="str">
        <f t="shared" si="24"/>
        <v>0</v>
      </c>
      <c r="N243" s="27">
        <f t="shared" si="26"/>
        <v>0</v>
      </c>
    </row>
    <row r="244" spans="2:14" x14ac:dyDescent="0.3">
      <c r="B244" s="42"/>
      <c r="C244" s="19">
        <f t="shared" si="21"/>
        <v>0</v>
      </c>
      <c r="D244" s="37" t="str">
        <f t="shared" si="22"/>
        <v>Jan-00</v>
      </c>
      <c r="E244" s="13"/>
      <c r="F244" s="13"/>
      <c r="G244" s="38">
        <f t="shared" si="27"/>
        <v>0</v>
      </c>
      <c r="H244" s="38"/>
      <c r="I244" s="13"/>
      <c r="J244" s="13"/>
      <c r="K244" s="13"/>
      <c r="L244" s="39" t="str">
        <f t="shared" si="23"/>
        <v>0</v>
      </c>
      <c r="M244" s="39" t="str">
        <f t="shared" si="24"/>
        <v>0</v>
      </c>
      <c r="N244" s="27">
        <f t="shared" si="26"/>
        <v>0</v>
      </c>
    </row>
    <row r="245" spans="2:14" x14ac:dyDescent="0.3">
      <c r="B245" s="42"/>
      <c r="C245" s="19">
        <f t="shared" si="21"/>
        <v>0</v>
      </c>
      <c r="D245" s="37" t="str">
        <f t="shared" si="22"/>
        <v>Jan-00</v>
      </c>
      <c r="E245" s="13"/>
      <c r="F245" s="13"/>
      <c r="G245" s="38">
        <f t="shared" si="27"/>
        <v>0</v>
      </c>
      <c r="H245" s="38"/>
      <c r="I245" s="13"/>
      <c r="J245" s="13"/>
      <c r="K245" s="13"/>
      <c r="L245" s="39" t="str">
        <f t="shared" si="23"/>
        <v>0</v>
      </c>
      <c r="M245" s="39" t="str">
        <f t="shared" si="24"/>
        <v>0</v>
      </c>
      <c r="N245" s="27">
        <f t="shared" si="26"/>
        <v>0</v>
      </c>
    </row>
    <row r="246" spans="2:14" x14ac:dyDescent="0.3">
      <c r="B246" s="42"/>
      <c r="C246" s="19">
        <f t="shared" si="21"/>
        <v>0</v>
      </c>
      <c r="D246" s="37" t="str">
        <f t="shared" si="22"/>
        <v>Jan-00</v>
      </c>
      <c r="E246" s="13"/>
      <c r="F246" s="13"/>
      <c r="G246" s="38">
        <f t="shared" si="27"/>
        <v>0</v>
      </c>
      <c r="H246" s="38"/>
      <c r="I246" s="13"/>
      <c r="J246" s="13"/>
      <c r="K246" s="13"/>
      <c r="L246" s="39" t="str">
        <f t="shared" si="23"/>
        <v>0</v>
      </c>
      <c r="M246" s="39" t="str">
        <f t="shared" si="24"/>
        <v>0</v>
      </c>
      <c r="N246" s="27">
        <f t="shared" si="26"/>
        <v>0</v>
      </c>
    </row>
    <row r="247" spans="2:14" x14ac:dyDescent="0.3">
      <c r="B247" s="42"/>
      <c r="C247" s="19">
        <f t="shared" si="21"/>
        <v>0</v>
      </c>
      <c r="D247" s="37" t="str">
        <f t="shared" si="22"/>
        <v>Jan-00</v>
      </c>
      <c r="E247" s="13"/>
      <c r="F247" s="13"/>
      <c r="G247" s="38">
        <f t="shared" si="27"/>
        <v>0</v>
      </c>
      <c r="H247" s="38"/>
      <c r="I247" s="13"/>
      <c r="J247" s="13"/>
      <c r="K247" s="13"/>
      <c r="L247" s="39" t="str">
        <f t="shared" si="23"/>
        <v>0</v>
      </c>
      <c r="M247" s="39" t="str">
        <f t="shared" si="24"/>
        <v>0</v>
      </c>
      <c r="N247" s="27">
        <f t="shared" si="26"/>
        <v>0</v>
      </c>
    </row>
    <row r="248" spans="2:14" x14ac:dyDescent="0.3">
      <c r="B248" s="42"/>
      <c r="C248" s="19">
        <f t="shared" si="21"/>
        <v>0</v>
      </c>
      <c r="D248" s="37" t="str">
        <f t="shared" si="22"/>
        <v>Jan-00</v>
      </c>
      <c r="E248" s="13"/>
      <c r="F248" s="13"/>
      <c r="G248" s="38">
        <f t="shared" si="27"/>
        <v>0</v>
      </c>
      <c r="H248" s="38"/>
      <c r="I248" s="13"/>
      <c r="J248" s="13"/>
      <c r="K248" s="13"/>
      <c r="L248" s="39" t="str">
        <f t="shared" si="23"/>
        <v>0</v>
      </c>
      <c r="M248" s="39" t="str">
        <f t="shared" si="24"/>
        <v>0</v>
      </c>
      <c r="N248" s="27">
        <f t="shared" si="26"/>
        <v>0</v>
      </c>
    </row>
    <row r="249" spans="2:14" x14ac:dyDescent="0.3">
      <c r="B249" s="42"/>
      <c r="C249" s="19">
        <f t="shared" si="21"/>
        <v>0</v>
      </c>
      <c r="D249" s="37" t="str">
        <f t="shared" si="22"/>
        <v>Jan-00</v>
      </c>
      <c r="E249" s="13"/>
      <c r="F249" s="13"/>
      <c r="G249" s="38">
        <f t="shared" si="27"/>
        <v>0</v>
      </c>
      <c r="H249" s="38"/>
      <c r="I249" s="13"/>
      <c r="J249" s="13"/>
      <c r="K249" s="13"/>
      <c r="L249" s="39" t="str">
        <f t="shared" si="23"/>
        <v>0</v>
      </c>
      <c r="M249" s="39" t="str">
        <f t="shared" si="24"/>
        <v>0</v>
      </c>
      <c r="N249" s="27">
        <f t="shared" si="26"/>
        <v>0</v>
      </c>
    </row>
    <row r="250" spans="2:14" x14ac:dyDescent="0.3">
      <c r="B250" s="42"/>
      <c r="C250" s="19">
        <f t="shared" si="21"/>
        <v>0</v>
      </c>
      <c r="D250" s="37" t="str">
        <f t="shared" si="22"/>
        <v>Jan-00</v>
      </c>
      <c r="E250" s="13"/>
      <c r="F250" s="13"/>
      <c r="G250" s="38">
        <f t="shared" si="27"/>
        <v>0</v>
      </c>
      <c r="H250" s="38"/>
      <c r="I250" s="13"/>
      <c r="J250" s="13"/>
      <c r="K250" s="13"/>
      <c r="L250" s="39" t="str">
        <f t="shared" si="23"/>
        <v>0</v>
      </c>
      <c r="M250" s="39" t="str">
        <f t="shared" si="24"/>
        <v>0</v>
      </c>
      <c r="N250" s="27">
        <f t="shared" si="26"/>
        <v>0</v>
      </c>
    </row>
    <row r="251" spans="2:14" x14ac:dyDescent="0.3">
      <c r="B251" s="42"/>
      <c r="C251" s="19">
        <f t="shared" si="21"/>
        <v>0</v>
      </c>
      <c r="D251" s="37" t="str">
        <f t="shared" si="22"/>
        <v>Jan-00</v>
      </c>
      <c r="E251" s="13"/>
      <c r="F251" s="13"/>
      <c r="G251" s="38">
        <f t="shared" si="27"/>
        <v>0</v>
      </c>
      <c r="H251" s="38"/>
      <c r="I251" s="13"/>
      <c r="J251" s="13"/>
      <c r="K251" s="13"/>
      <c r="L251" s="39" t="str">
        <f t="shared" si="23"/>
        <v>0</v>
      </c>
      <c r="M251" s="39" t="str">
        <f t="shared" si="24"/>
        <v>0</v>
      </c>
      <c r="N251" s="27">
        <f t="shared" si="26"/>
        <v>0</v>
      </c>
    </row>
    <row r="252" spans="2:14" x14ac:dyDescent="0.3">
      <c r="B252" s="42"/>
      <c r="C252" s="19">
        <f t="shared" si="21"/>
        <v>0</v>
      </c>
      <c r="D252" s="37" t="str">
        <f t="shared" si="22"/>
        <v>Jan-00</v>
      </c>
      <c r="E252" s="13"/>
      <c r="F252" s="13"/>
      <c r="G252" s="38">
        <f t="shared" si="27"/>
        <v>0</v>
      </c>
      <c r="H252" s="38"/>
      <c r="I252" s="13"/>
      <c r="J252" s="13"/>
      <c r="K252" s="13"/>
      <c r="L252" s="39" t="str">
        <f t="shared" si="23"/>
        <v>0</v>
      </c>
      <c r="M252" s="39" t="str">
        <f t="shared" si="24"/>
        <v>0</v>
      </c>
      <c r="N252" s="27">
        <f t="shared" si="26"/>
        <v>0</v>
      </c>
    </row>
    <row r="253" spans="2:14" x14ac:dyDescent="0.3">
      <c r="B253" s="42"/>
      <c r="C253" s="19">
        <f t="shared" si="21"/>
        <v>0</v>
      </c>
      <c r="D253" s="37" t="str">
        <f t="shared" si="22"/>
        <v>Jan-00</v>
      </c>
      <c r="E253" s="13"/>
      <c r="F253" s="13"/>
      <c r="G253" s="38">
        <f t="shared" si="27"/>
        <v>0</v>
      </c>
      <c r="H253" s="38"/>
      <c r="I253" s="13"/>
      <c r="J253" s="13"/>
      <c r="K253" s="13"/>
      <c r="L253" s="39" t="str">
        <f t="shared" si="23"/>
        <v>0</v>
      </c>
      <c r="M253" s="39" t="str">
        <f t="shared" si="24"/>
        <v>0</v>
      </c>
      <c r="N253" s="27">
        <f t="shared" si="26"/>
        <v>0</v>
      </c>
    </row>
    <row r="254" spans="2:14" x14ac:dyDescent="0.3">
      <c r="B254" s="42"/>
      <c r="C254" s="19">
        <f t="shared" si="21"/>
        <v>0</v>
      </c>
      <c r="D254" s="37" t="str">
        <f t="shared" si="22"/>
        <v>Jan-00</v>
      </c>
      <c r="E254" s="13"/>
      <c r="F254" s="13"/>
      <c r="G254" s="38">
        <f t="shared" si="27"/>
        <v>0</v>
      </c>
      <c r="H254" s="38"/>
      <c r="I254" s="13"/>
      <c r="J254" s="13"/>
      <c r="K254" s="13"/>
      <c r="L254" s="39" t="str">
        <f t="shared" si="23"/>
        <v>0</v>
      </c>
      <c r="M254" s="39" t="str">
        <f t="shared" si="24"/>
        <v>0</v>
      </c>
      <c r="N254" s="25">
        <f t="shared" si="26"/>
        <v>0</v>
      </c>
    </row>
    <row r="255" spans="2:14" x14ac:dyDescent="0.3">
      <c r="B255" s="42"/>
      <c r="C255" s="19">
        <f t="shared" si="21"/>
        <v>0</v>
      </c>
      <c r="D255" s="37" t="str">
        <f t="shared" si="22"/>
        <v>Jan-00</v>
      </c>
      <c r="E255" s="13"/>
      <c r="F255" s="13"/>
      <c r="G255" s="38">
        <f t="shared" si="27"/>
        <v>0</v>
      </c>
      <c r="H255" s="38"/>
      <c r="I255" s="13"/>
      <c r="J255" s="13"/>
      <c r="K255" s="13"/>
      <c r="L255" s="39" t="str">
        <f t="shared" si="23"/>
        <v>0</v>
      </c>
      <c r="M255" s="39" t="str">
        <f t="shared" si="24"/>
        <v>0</v>
      </c>
      <c r="N255" s="25">
        <f t="shared" si="26"/>
        <v>0</v>
      </c>
    </row>
    <row r="256" spans="2:14" x14ac:dyDescent="0.3">
      <c r="B256" s="42"/>
      <c r="C256" s="19">
        <f t="shared" si="21"/>
        <v>0</v>
      </c>
      <c r="D256" s="37" t="str">
        <f t="shared" si="22"/>
        <v>Jan-00</v>
      </c>
      <c r="E256" s="13"/>
      <c r="F256" s="13"/>
      <c r="G256" s="38">
        <f t="shared" si="27"/>
        <v>0</v>
      </c>
      <c r="H256" s="38"/>
      <c r="I256" s="13"/>
      <c r="J256" s="13"/>
      <c r="K256" s="13"/>
      <c r="L256" s="39" t="str">
        <f t="shared" si="23"/>
        <v>0</v>
      </c>
      <c r="M256" s="39" t="str">
        <f t="shared" si="24"/>
        <v>0</v>
      </c>
      <c r="N256" s="25">
        <f t="shared" si="26"/>
        <v>0</v>
      </c>
    </row>
    <row r="257" spans="2:14" x14ac:dyDescent="0.3">
      <c r="B257" s="42"/>
      <c r="C257" s="19">
        <f t="shared" si="21"/>
        <v>0</v>
      </c>
      <c r="D257" s="37" t="str">
        <f t="shared" si="22"/>
        <v>Jan-00</v>
      </c>
      <c r="E257" s="13"/>
      <c r="F257" s="13"/>
      <c r="G257" s="38">
        <f t="shared" si="27"/>
        <v>0</v>
      </c>
      <c r="H257" s="38"/>
      <c r="I257" s="13"/>
      <c r="J257" s="13"/>
      <c r="K257" s="13"/>
      <c r="L257" s="39" t="str">
        <f t="shared" si="23"/>
        <v>0</v>
      </c>
      <c r="M257" s="39" t="str">
        <f t="shared" si="24"/>
        <v>0</v>
      </c>
      <c r="N257" s="27">
        <f t="shared" si="26"/>
        <v>0</v>
      </c>
    </row>
    <row r="258" spans="2:14" x14ac:dyDescent="0.3">
      <c r="B258" s="42"/>
      <c r="C258" s="19">
        <f t="shared" si="21"/>
        <v>0</v>
      </c>
      <c r="D258" s="37" t="str">
        <f t="shared" si="22"/>
        <v>Jan-00</v>
      </c>
      <c r="E258" s="13"/>
      <c r="F258" s="13"/>
      <c r="G258" s="38">
        <f t="shared" si="27"/>
        <v>0</v>
      </c>
      <c r="H258" s="38"/>
      <c r="I258" s="13"/>
      <c r="J258" s="13"/>
      <c r="K258" s="13"/>
      <c r="L258" s="39" t="str">
        <f t="shared" si="23"/>
        <v>0</v>
      </c>
      <c r="M258" s="39" t="str">
        <f t="shared" si="24"/>
        <v>0</v>
      </c>
      <c r="N258" s="27">
        <f t="shared" si="26"/>
        <v>0</v>
      </c>
    </row>
    <row r="259" spans="2:14" x14ac:dyDescent="0.3">
      <c r="B259" s="42"/>
      <c r="C259" s="19">
        <f t="shared" si="21"/>
        <v>0</v>
      </c>
      <c r="D259" s="37" t="str">
        <f t="shared" si="22"/>
        <v>Jan-00</v>
      </c>
      <c r="E259" s="13"/>
      <c r="F259" s="13"/>
      <c r="G259" s="38">
        <f t="shared" si="27"/>
        <v>0</v>
      </c>
      <c r="H259" s="38"/>
      <c r="I259" s="13"/>
      <c r="J259" s="13"/>
      <c r="K259" s="13"/>
      <c r="L259" s="39" t="str">
        <f t="shared" si="23"/>
        <v>0</v>
      </c>
      <c r="M259" s="39" t="str">
        <f t="shared" si="24"/>
        <v>0</v>
      </c>
      <c r="N259" s="27">
        <f t="shared" si="26"/>
        <v>0</v>
      </c>
    </row>
    <row r="260" spans="2:14" x14ac:dyDescent="0.3">
      <c r="B260" s="42"/>
      <c r="C260" s="19">
        <f t="shared" si="21"/>
        <v>0</v>
      </c>
      <c r="D260" s="37" t="str">
        <f t="shared" si="22"/>
        <v>Jan-00</v>
      </c>
      <c r="E260" s="13"/>
      <c r="F260" s="13"/>
      <c r="G260" s="38">
        <f t="shared" si="27"/>
        <v>0</v>
      </c>
      <c r="H260" s="38"/>
      <c r="I260" s="13"/>
      <c r="J260" s="13"/>
      <c r="K260" s="13"/>
      <c r="L260" s="39" t="str">
        <f t="shared" si="23"/>
        <v>0</v>
      </c>
      <c r="M260" s="39" t="str">
        <f t="shared" si="24"/>
        <v>0</v>
      </c>
      <c r="N260" s="25">
        <f t="shared" si="26"/>
        <v>0</v>
      </c>
    </row>
    <row r="261" spans="2:14" x14ac:dyDescent="0.3">
      <c r="B261" s="42"/>
      <c r="C261" s="19">
        <f t="shared" ref="C261:C296" si="28">WEEKNUM(B261)</f>
        <v>0</v>
      </c>
      <c r="D261" s="37" t="str">
        <f t="shared" ref="D261:D296" si="29">TEXT(B261,"mmm-yy")</f>
        <v>Jan-00</v>
      </c>
      <c r="E261" s="13"/>
      <c r="F261" s="13"/>
      <c r="G261" s="38">
        <f t="shared" si="27"/>
        <v>0</v>
      </c>
      <c r="H261" s="38"/>
      <c r="I261" s="13"/>
      <c r="J261" s="13"/>
      <c r="K261" s="13"/>
      <c r="L261" s="39" t="str">
        <f t="shared" ref="L261:L296" si="30">IFERROR(J261/$G261%,"0")</f>
        <v>0</v>
      </c>
      <c r="M261" s="39" t="str">
        <f t="shared" ref="M261:M296" si="31">IFERROR(K261/$G261%,"0")</f>
        <v>0</v>
      </c>
      <c r="N261" s="27">
        <f t="shared" si="26"/>
        <v>0</v>
      </c>
    </row>
    <row r="262" spans="2:14" x14ac:dyDescent="0.3">
      <c r="B262" s="42"/>
      <c r="C262" s="19">
        <f t="shared" si="28"/>
        <v>0</v>
      </c>
      <c r="D262" s="37" t="str">
        <f t="shared" si="29"/>
        <v>Jan-00</v>
      </c>
      <c r="E262" s="13"/>
      <c r="F262" s="13"/>
      <c r="G262" s="38">
        <f t="shared" si="27"/>
        <v>0</v>
      </c>
      <c r="H262" s="38"/>
      <c r="I262" s="13"/>
      <c r="J262" s="13"/>
      <c r="K262" s="13"/>
      <c r="L262" s="39" t="str">
        <f t="shared" si="30"/>
        <v>0</v>
      </c>
      <c r="M262" s="39" t="str">
        <f t="shared" si="31"/>
        <v>0</v>
      </c>
      <c r="N262" s="25">
        <f t="shared" si="26"/>
        <v>0</v>
      </c>
    </row>
    <row r="263" spans="2:14" x14ac:dyDescent="0.3">
      <c r="B263" s="42"/>
      <c r="C263" s="19">
        <f t="shared" si="28"/>
        <v>0</v>
      </c>
      <c r="D263" s="37" t="str">
        <f t="shared" si="29"/>
        <v>Jan-00</v>
      </c>
      <c r="E263" s="13"/>
      <c r="F263" s="13"/>
      <c r="G263" s="38">
        <f t="shared" si="27"/>
        <v>0</v>
      </c>
      <c r="H263" s="38"/>
      <c r="I263" s="13"/>
      <c r="J263" s="13"/>
      <c r="K263" s="13"/>
      <c r="L263" s="39" t="str">
        <f t="shared" si="30"/>
        <v>0</v>
      </c>
      <c r="M263" s="39" t="str">
        <f t="shared" si="31"/>
        <v>0</v>
      </c>
      <c r="N263" s="25">
        <f t="shared" si="26"/>
        <v>0</v>
      </c>
    </row>
    <row r="264" spans="2:14" x14ac:dyDescent="0.3">
      <c r="B264" s="42"/>
      <c r="C264" s="19">
        <f t="shared" si="28"/>
        <v>0</v>
      </c>
      <c r="D264" s="37" t="str">
        <f t="shared" si="29"/>
        <v>Jan-00</v>
      </c>
      <c r="E264" s="13"/>
      <c r="F264" s="13"/>
      <c r="G264" s="38">
        <f t="shared" si="27"/>
        <v>0</v>
      </c>
      <c r="H264" s="38"/>
      <c r="I264" s="13"/>
      <c r="J264" s="13"/>
      <c r="K264" s="13"/>
      <c r="L264" s="39" t="str">
        <f t="shared" si="30"/>
        <v>0</v>
      </c>
      <c r="M264" s="39" t="str">
        <f t="shared" si="31"/>
        <v>0</v>
      </c>
      <c r="N264" s="27">
        <f t="shared" ref="N264:N296" si="32">E264-F264-J264-K264</f>
        <v>0</v>
      </c>
    </row>
    <row r="265" spans="2:14" x14ac:dyDescent="0.3">
      <c r="B265" s="42"/>
      <c r="C265" s="19">
        <f t="shared" si="28"/>
        <v>0</v>
      </c>
      <c r="D265" s="37" t="str">
        <f t="shared" si="29"/>
        <v>Jan-00</v>
      </c>
      <c r="E265" s="13"/>
      <c r="F265" s="13"/>
      <c r="G265" s="38">
        <f t="shared" si="27"/>
        <v>0</v>
      </c>
      <c r="H265" s="38"/>
      <c r="I265" s="13"/>
      <c r="J265" s="13"/>
      <c r="K265" s="13"/>
      <c r="L265" s="39" t="str">
        <f t="shared" si="30"/>
        <v>0</v>
      </c>
      <c r="M265" s="39" t="str">
        <f t="shared" si="31"/>
        <v>0</v>
      </c>
      <c r="N265" s="27">
        <f t="shared" si="32"/>
        <v>0</v>
      </c>
    </row>
    <row r="266" spans="2:14" x14ac:dyDescent="0.3">
      <c r="B266" s="42"/>
      <c r="C266" s="19">
        <f t="shared" si="28"/>
        <v>0</v>
      </c>
      <c r="D266" s="37" t="str">
        <f t="shared" si="29"/>
        <v>Jan-00</v>
      </c>
      <c r="E266" s="13"/>
      <c r="F266" s="13"/>
      <c r="G266" s="38">
        <f t="shared" si="27"/>
        <v>0</v>
      </c>
      <c r="H266" s="38"/>
      <c r="I266" s="13"/>
      <c r="J266" s="13"/>
      <c r="K266" s="13"/>
      <c r="L266" s="39" t="str">
        <f t="shared" si="30"/>
        <v>0</v>
      </c>
      <c r="M266" s="39" t="str">
        <f t="shared" si="31"/>
        <v>0</v>
      </c>
      <c r="N266" s="27">
        <f t="shared" si="32"/>
        <v>0</v>
      </c>
    </row>
    <row r="267" spans="2:14" x14ac:dyDescent="0.3">
      <c r="B267" s="42"/>
      <c r="C267" s="19">
        <f t="shared" si="28"/>
        <v>0</v>
      </c>
      <c r="D267" s="37" t="str">
        <f t="shared" si="29"/>
        <v>Jan-00</v>
      </c>
      <c r="E267" s="13"/>
      <c r="F267" s="13"/>
      <c r="G267" s="38">
        <f t="shared" si="27"/>
        <v>0</v>
      </c>
      <c r="H267" s="38"/>
      <c r="I267" s="13"/>
      <c r="J267" s="13"/>
      <c r="K267" s="13"/>
      <c r="L267" s="39" t="str">
        <f t="shared" si="30"/>
        <v>0</v>
      </c>
      <c r="M267" s="39" t="str">
        <f t="shared" si="31"/>
        <v>0</v>
      </c>
      <c r="N267" s="25">
        <f t="shared" si="32"/>
        <v>0</v>
      </c>
    </row>
    <row r="268" spans="2:14" x14ac:dyDescent="0.3">
      <c r="B268" s="42"/>
      <c r="C268" s="19">
        <f t="shared" si="28"/>
        <v>0</v>
      </c>
      <c r="D268" s="37" t="str">
        <f t="shared" si="29"/>
        <v>Jan-00</v>
      </c>
      <c r="E268" s="13"/>
      <c r="F268" s="13"/>
      <c r="G268" s="38">
        <f t="shared" si="27"/>
        <v>0</v>
      </c>
      <c r="H268" s="38"/>
      <c r="I268" s="13"/>
      <c r="J268" s="13"/>
      <c r="K268" s="13"/>
      <c r="L268" s="39" t="str">
        <f t="shared" si="30"/>
        <v>0</v>
      </c>
      <c r="M268" s="39" t="str">
        <f t="shared" si="31"/>
        <v>0</v>
      </c>
      <c r="N268" s="25">
        <f t="shared" si="32"/>
        <v>0</v>
      </c>
    </row>
    <row r="269" spans="2:14" x14ac:dyDescent="0.3">
      <c r="B269" s="42"/>
      <c r="C269" s="19">
        <f t="shared" si="28"/>
        <v>0</v>
      </c>
      <c r="D269" s="37" t="str">
        <f t="shared" si="29"/>
        <v>Jan-00</v>
      </c>
      <c r="E269" s="13"/>
      <c r="F269" s="13"/>
      <c r="G269" s="38">
        <f t="shared" si="27"/>
        <v>0</v>
      </c>
      <c r="H269" s="38"/>
      <c r="I269" s="13"/>
      <c r="J269" s="13"/>
      <c r="K269" s="13"/>
      <c r="L269" s="39" t="str">
        <f t="shared" si="30"/>
        <v>0</v>
      </c>
      <c r="M269" s="39" t="str">
        <f t="shared" si="31"/>
        <v>0</v>
      </c>
      <c r="N269" s="25">
        <f t="shared" si="32"/>
        <v>0</v>
      </c>
    </row>
    <row r="270" spans="2:14" x14ac:dyDescent="0.3">
      <c r="B270" s="42"/>
      <c r="C270" s="19">
        <f t="shared" si="28"/>
        <v>0</v>
      </c>
      <c r="D270" s="37" t="str">
        <f t="shared" si="29"/>
        <v>Jan-00</v>
      </c>
      <c r="E270" s="13"/>
      <c r="F270" s="13"/>
      <c r="G270" s="38">
        <f t="shared" si="27"/>
        <v>0</v>
      </c>
      <c r="H270" s="38"/>
      <c r="I270" s="13"/>
      <c r="J270" s="13"/>
      <c r="K270" s="13"/>
      <c r="L270" s="39" t="str">
        <f t="shared" si="30"/>
        <v>0</v>
      </c>
      <c r="M270" s="39" t="str">
        <f t="shared" si="31"/>
        <v>0</v>
      </c>
      <c r="N270" s="25">
        <f t="shared" si="32"/>
        <v>0</v>
      </c>
    </row>
    <row r="271" spans="2:14" x14ac:dyDescent="0.3">
      <c r="B271" s="42"/>
      <c r="C271" s="19">
        <f t="shared" si="28"/>
        <v>0</v>
      </c>
      <c r="D271" s="37" t="str">
        <f t="shared" si="29"/>
        <v>Jan-00</v>
      </c>
      <c r="E271" s="13"/>
      <c r="F271" s="13"/>
      <c r="G271" s="38">
        <f t="shared" si="27"/>
        <v>0</v>
      </c>
      <c r="H271" s="38"/>
      <c r="I271" s="13"/>
      <c r="J271" s="13"/>
      <c r="K271" s="13"/>
      <c r="L271" s="39" t="str">
        <f t="shared" si="30"/>
        <v>0</v>
      </c>
      <c r="M271" s="39" t="str">
        <f t="shared" si="31"/>
        <v>0</v>
      </c>
      <c r="N271" s="25">
        <f t="shared" si="32"/>
        <v>0</v>
      </c>
    </row>
    <row r="272" spans="2:14" x14ac:dyDescent="0.3">
      <c r="B272" s="42"/>
      <c r="C272" s="19">
        <f t="shared" si="28"/>
        <v>0</v>
      </c>
      <c r="D272" s="37" t="str">
        <f t="shared" si="29"/>
        <v>Jan-00</v>
      </c>
      <c r="E272" s="13"/>
      <c r="F272" s="13"/>
      <c r="G272" s="38">
        <f t="shared" si="27"/>
        <v>0</v>
      </c>
      <c r="H272" s="38"/>
      <c r="I272" s="13"/>
      <c r="J272" s="13"/>
      <c r="K272" s="13"/>
      <c r="L272" s="39" t="str">
        <f t="shared" si="30"/>
        <v>0</v>
      </c>
      <c r="M272" s="39" t="str">
        <f t="shared" si="31"/>
        <v>0</v>
      </c>
      <c r="N272" s="25">
        <f t="shared" si="32"/>
        <v>0</v>
      </c>
    </row>
    <row r="273" spans="2:14" x14ac:dyDescent="0.3">
      <c r="B273" s="42"/>
      <c r="C273" s="19">
        <f t="shared" si="28"/>
        <v>0</v>
      </c>
      <c r="D273" s="37" t="str">
        <f t="shared" si="29"/>
        <v>Jan-00</v>
      </c>
      <c r="E273" s="13"/>
      <c r="F273" s="13"/>
      <c r="G273" s="38">
        <f t="shared" si="27"/>
        <v>0</v>
      </c>
      <c r="H273" s="38"/>
      <c r="I273" s="13"/>
      <c r="J273" s="13"/>
      <c r="K273" s="13"/>
      <c r="L273" s="39" t="str">
        <f t="shared" si="30"/>
        <v>0</v>
      </c>
      <c r="M273" s="39" t="str">
        <f t="shared" si="31"/>
        <v>0</v>
      </c>
      <c r="N273" s="25">
        <f t="shared" si="32"/>
        <v>0</v>
      </c>
    </row>
    <row r="274" spans="2:14" x14ac:dyDescent="0.3">
      <c r="B274" s="42"/>
      <c r="C274" s="19">
        <f t="shared" si="28"/>
        <v>0</v>
      </c>
      <c r="D274" s="37" t="str">
        <f t="shared" si="29"/>
        <v>Jan-00</v>
      </c>
      <c r="E274" s="13"/>
      <c r="F274" s="13"/>
      <c r="G274" s="38">
        <f t="shared" si="27"/>
        <v>0</v>
      </c>
      <c r="H274" s="38"/>
      <c r="I274" s="13"/>
      <c r="J274" s="13"/>
      <c r="K274" s="13"/>
      <c r="L274" s="39" t="str">
        <f t="shared" si="30"/>
        <v>0</v>
      </c>
      <c r="M274" s="39" t="str">
        <f t="shared" si="31"/>
        <v>0</v>
      </c>
      <c r="N274" s="28">
        <f t="shared" si="32"/>
        <v>0</v>
      </c>
    </row>
    <row r="275" spans="2:14" x14ac:dyDescent="0.3">
      <c r="B275" s="42"/>
      <c r="C275" s="19">
        <f t="shared" si="28"/>
        <v>0</v>
      </c>
      <c r="D275" s="37" t="str">
        <f t="shared" si="29"/>
        <v>Jan-00</v>
      </c>
      <c r="E275" s="13"/>
      <c r="F275" s="13"/>
      <c r="G275" s="38">
        <f t="shared" si="27"/>
        <v>0</v>
      </c>
      <c r="H275" s="38"/>
      <c r="I275" s="13"/>
      <c r="J275" s="13"/>
      <c r="K275" s="13"/>
      <c r="L275" s="39" t="str">
        <f t="shared" si="30"/>
        <v>0</v>
      </c>
      <c r="M275" s="39" t="str">
        <f t="shared" si="31"/>
        <v>0</v>
      </c>
      <c r="N275" s="25">
        <f t="shared" si="32"/>
        <v>0</v>
      </c>
    </row>
    <row r="276" spans="2:14" x14ac:dyDescent="0.3">
      <c r="B276" s="42"/>
      <c r="C276" s="19">
        <f t="shared" si="28"/>
        <v>0</v>
      </c>
      <c r="D276" s="37" t="str">
        <f t="shared" si="29"/>
        <v>Jan-00</v>
      </c>
      <c r="E276" s="39"/>
      <c r="F276" s="13"/>
      <c r="G276" s="38">
        <f t="shared" si="27"/>
        <v>0</v>
      </c>
      <c r="H276" s="38"/>
      <c r="I276" s="13"/>
      <c r="J276" s="13"/>
      <c r="K276" s="13"/>
      <c r="L276" s="39" t="str">
        <f t="shared" si="30"/>
        <v>0</v>
      </c>
      <c r="M276" s="39" t="str">
        <f t="shared" si="31"/>
        <v>0</v>
      </c>
      <c r="N276" s="25">
        <f t="shared" si="32"/>
        <v>0</v>
      </c>
    </row>
    <row r="277" spans="2:14" x14ac:dyDescent="0.3">
      <c r="B277" s="42"/>
      <c r="C277" s="19">
        <f t="shared" si="28"/>
        <v>0</v>
      </c>
      <c r="D277" s="37" t="str">
        <f t="shared" si="29"/>
        <v>Jan-00</v>
      </c>
      <c r="E277" s="13"/>
      <c r="F277" s="13"/>
      <c r="G277" s="38">
        <f t="shared" si="27"/>
        <v>0</v>
      </c>
      <c r="H277" s="38"/>
      <c r="I277" s="13"/>
      <c r="J277" s="13"/>
      <c r="K277" s="13"/>
      <c r="L277" s="39" t="str">
        <f t="shared" si="30"/>
        <v>0</v>
      </c>
      <c r="M277" s="39" t="str">
        <f t="shared" si="31"/>
        <v>0</v>
      </c>
      <c r="N277" s="25">
        <f t="shared" si="32"/>
        <v>0</v>
      </c>
    </row>
    <row r="278" spans="2:14" x14ac:dyDescent="0.3">
      <c r="B278" s="42"/>
      <c r="C278" s="19">
        <f t="shared" si="28"/>
        <v>0</v>
      </c>
      <c r="D278" s="37" t="str">
        <f t="shared" si="29"/>
        <v>Jan-00</v>
      </c>
      <c r="E278" s="13"/>
      <c r="F278" s="13"/>
      <c r="G278" s="38">
        <f t="shared" si="27"/>
        <v>0</v>
      </c>
      <c r="H278" s="38"/>
      <c r="I278" s="13"/>
      <c r="J278" s="13"/>
      <c r="K278" s="13"/>
      <c r="L278" s="39" t="str">
        <f t="shared" si="30"/>
        <v>0</v>
      </c>
      <c r="M278" s="39" t="str">
        <f t="shared" si="31"/>
        <v>0</v>
      </c>
      <c r="N278" s="25">
        <f t="shared" si="32"/>
        <v>0</v>
      </c>
    </row>
    <row r="279" spans="2:14" x14ac:dyDescent="0.3">
      <c r="B279" s="42"/>
      <c r="C279" s="19">
        <f t="shared" si="28"/>
        <v>0</v>
      </c>
      <c r="D279" s="37" t="str">
        <f t="shared" si="29"/>
        <v>Jan-00</v>
      </c>
      <c r="E279" s="13"/>
      <c r="F279" s="13"/>
      <c r="G279" s="38">
        <f t="shared" si="27"/>
        <v>0</v>
      </c>
      <c r="H279" s="38"/>
      <c r="I279" s="13"/>
      <c r="J279" s="13"/>
      <c r="K279" s="13"/>
      <c r="L279" s="39" t="str">
        <f t="shared" si="30"/>
        <v>0</v>
      </c>
      <c r="M279" s="39" t="str">
        <f t="shared" si="31"/>
        <v>0</v>
      </c>
      <c r="N279" s="25">
        <f t="shared" si="32"/>
        <v>0</v>
      </c>
    </row>
    <row r="280" spans="2:14" x14ac:dyDescent="0.3">
      <c r="B280" s="42"/>
      <c r="C280" s="19">
        <f t="shared" si="28"/>
        <v>0</v>
      </c>
      <c r="D280" s="37" t="str">
        <f t="shared" si="29"/>
        <v>Jan-00</v>
      </c>
      <c r="E280" s="13"/>
      <c r="F280" s="13"/>
      <c r="G280" s="38">
        <f t="shared" si="27"/>
        <v>0</v>
      </c>
      <c r="H280" s="38"/>
      <c r="I280" s="13"/>
      <c r="J280" s="13"/>
      <c r="K280" s="13"/>
      <c r="L280" s="39" t="str">
        <f t="shared" si="30"/>
        <v>0</v>
      </c>
      <c r="M280" s="39" t="str">
        <f t="shared" si="31"/>
        <v>0</v>
      </c>
      <c r="N280" s="25">
        <f t="shared" si="32"/>
        <v>0</v>
      </c>
    </row>
    <row r="281" spans="2:14" x14ac:dyDescent="0.3">
      <c r="B281" s="42"/>
      <c r="C281" s="19">
        <f t="shared" si="28"/>
        <v>0</v>
      </c>
      <c r="D281" s="37" t="str">
        <f t="shared" si="29"/>
        <v>Jan-00</v>
      </c>
      <c r="E281" s="13"/>
      <c r="F281" s="13"/>
      <c r="G281" s="38">
        <f t="shared" si="27"/>
        <v>0</v>
      </c>
      <c r="H281" s="38"/>
      <c r="I281" s="13"/>
      <c r="J281" s="13"/>
      <c r="K281" s="13"/>
      <c r="L281" s="39" t="str">
        <f t="shared" si="30"/>
        <v>0</v>
      </c>
      <c r="M281" s="39" t="str">
        <f t="shared" si="31"/>
        <v>0</v>
      </c>
      <c r="N281" s="25">
        <f t="shared" si="32"/>
        <v>0</v>
      </c>
    </row>
    <row r="282" spans="2:14" x14ac:dyDescent="0.3">
      <c r="B282" s="42"/>
      <c r="C282" s="19">
        <f t="shared" si="28"/>
        <v>0</v>
      </c>
      <c r="D282" s="37" t="str">
        <f t="shared" si="29"/>
        <v>Jan-00</v>
      </c>
      <c r="E282" s="13"/>
      <c r="F282" s="13"/>
      <c r="G282" s="38">
        <f t="shared" si="27"/>
        <v>0</v>
      </c>
      <c r="H282" s="38"/>
      <c r="I282" s="13"/>
      <c r="J282" s="13"/>
      <c r="K282" s="13"/>
      <c r="L282" s="39" t="str">
        <f t="shared" si="30"/>
        <v>0</v>
      </c>
      <c r="M282" s="39" t="str">
        <f t="shared" si="31"/>
        <v>0</v>
      </c>
      <c r="N282" s="25">
        <f t="shared" si="32"/>
        <v>0</v>
      </c>
    </row>
    <row r="283" spans="2:14" x14ac:dyDescent="0.3">
      <c r="B283" s="42"/>
      <c r="C283" s="19">
        <f t="shared" si="28"/>
        <v>0</v>
      </c>
      <c r="D283" s="37" t="str">
        <f t="shared" si="29"/>
        <v>Jan-00</v>
      </c>
      <c r="E283" s="13"/>
      <c r="F283" s="13"/>
      <c r="G283" s="38">
        <f t="shared" si="27"/>
        <v>0</v>
      </c>
      <c r="H283" s="38"/>
      <c r="I283" s="13"/>
      <c r="J283" s="13"/>
      <c r="K283" s="13"/>
      <c r="L283" s="39" t="str">
        <f t="shared" si="30"/>
        <v>0</v>
      </c>
      <c r="M283" s="39" t="str">
        <f t="shared" si="31"/>
        <v>0</v>
      </c>
      <c r="N283" s="25">
        <f t="shared" si="32"/>
        <v>0</v>
      </c>
    </row>
    <row r="284" spans="2:14" x14ac:dyDescent="0.3">
      <c r="B284" s="42"/>
      <c r="C284" s="19">
        <f t="shared" si="28"/>
        <v>0</v>
      </c>
      <c r="D284" s="37" t="str">
        <f t="shared" si="29"/>
        <v>Jan-00</v>
      </c>
      <c r="E284" s="13"/>
      <c r="F284" s="13"/>
      <c r="G284" s="38">
        <f t="shared" si="27"/>
        <v>0</v>
      </c>
      <c r="H284" s="38"/>
      <c r="I284" s="13"/>
      <c r="J284" s="13"/>
      <c r="K284" s="13"/>
      <c r="L284" s="39" t="str">
        <f t="shared" si="30"/>
        <v>0</v>
      </c>
      <c r="M284" s="39" t="str">
        <f t="shared" si="31"/>
        <v>0</v>
      </c>
      <c r="N284" s="25">
        <f t="shared" si="32"/>
        <v>0</v>
      </c>
    </row>
    <row r="285" spans="2:14" x14ac:dyDescent="0.3">
      <c r="B285" s="42"/>
      <c r="C285" s="19">
        <f t="shared" si="28"/>
        <v>0</v>
      </c>
      <c r="D285" s="37" t="str">
        <f t="shared" si="29"/>
        <v>Jan-00</v>
      </c>
      <c r="E285" s="13"/>
      <c r="F285" s="13"/>
      <c r="G285" s="38">
        <f t="shared" si="27"/>
        <v>0</v>
      </c>
      <c r="H285" s="38"/>
      <c r="I285" s="13"/>
      <c r="J285" s="13"/>
      <c r="K285" s="13"/>
      <c r="L285" s="39" t="str">
        <f t="shared" si="30"/>
        <v>0</v>
      </c>
      <c r="M285" s="39" t="str">
        <f t="shared" si="31"/>
        <v>0</v>
      </c>
      <c r="N285" s="25">
        <f t="shared" si="32"/>
        <v>0</v>
      </c>
    </row>
    <row r="286" spans="2:14" x14ac:dyDescent="0.3">
      <c r="B286" s="42"/>
      <c r="C286" s="19">
        <f t="shared" si="28"/>
        <v>0</v>
      </c>
      <c r="D286" s="37" t="str">
        <f t="shared" si="29"/>
        <v>Jan-00</v>
      </c>
      <c r="E286" s="13"/>
      <c r="F286" s="13"/>
      <c r="G286" s="38">
        <f t="shared" si="27"/>
        <v>0</v>
      </c>
      <c r="H286" s="38"/>
      <c r="I286" s="13"/>
      <c r="J286" s="13"/>
      <c r="K286" s="13"/>
      <c r="L286" s="39" t="str">
        <f t="shared" si="30"/>
        <v>0</v>
      </c>
      <c r="M286" s="39" t="str">
        <f t="shared" si="31"/>
        <v>0</v>
      </c>
      <c r="N286" s="25">
        <f t="shared" si="32"/>
        <v>0</v>
      </c>
    </row>
    <row r="287" spans="2:14" x14ac:dyDescent="0.3">
      <c r="B287" s="42"/>
      <c r="C287" s="19">
        <f t="shared" si="28"/>
        <v>0</v>
      </c>
      <c r="D287" s="37" t="str">
        <f t="shared" si="29"/>
        <v>Jan-00</v>
      </c>
      <c r="E287" s="13"/>
      <c r="F287" s="13"/>
      <c r="G287" s="38">
        <f t="shared" si="27"/>
        <v>0</v>
      </c>
      <c r="H287" s="38"/>
      <c r="I287" s="13"/>
      <c r="J287" s="13"/>
      <c r="K287" s="13"/>
      <c r="L287" s="39" t="str">
        <f t="shared" si="30"/>
        <v>0</v>
      </c>
      <c r="M287" s="39" t="str">
        <f t="shared" si="31"/>
        <v>0</v>
      </c>
      <c r="N287" s="25">
        <f t="shared" si="32"/>
        <v>0</v>
      </c>
    </row>
    <row r="288" spans="2:14" x14ac:dyDescent="0.3">
      <c r="B288" s="42"/>
      <c r="C288" s="19">
        <f t="shared" si="28"/>
        <v>0</v>
      </c>
      <c r="D288" s="37" t="str">
        <f t="shared" si="29"/>
        <v>Jan-00</v>
      </c>
      <c r="E288" s="13"/>
      <c r="F288" s="13"/>
      <c r="G288" s="38">
        <f t="shared" si="27"/>
        <v>0</v>
      </c>
      <c r="H288" s="38"/>
      <c r="I288" s="13"/>
      <c r="J288" s="13"/>
      <c r="K288" s="13"/>
      <c r="L288" s="39" t="str">
        <f t="shared" si="30"/>
        <v>0</v>
      </c>
      <c r="M288" s="39" t="str">
        <f t="shared" si="31"/>
        <v>0</v>
      </c>
      <c r="N288" s="25">
        <f t="shared" si="32"/>
        <v>0</v>
      </c>
    </row>
    <row r="289" spans="2:14" x14ac:dyDescent="0.3">
      <c r="B289" s="42"/>
      <c r="C289" s="19">
        <f t="shared" si="28"/>
        <v>0</v>
      </c>
      <c r="D289" s="37" t="str">
        <f t="shared" si="29"/>
        <v>Jan-00</v>
      </c>
      <c r="E289" s="13"/>
      <c r="F289" s="13"/>
      <c r="G289" s="38">
        <f t="shared" si="27"/>
        <v>0</v>
      </c>
      <c r="H289" s="38"/>
      <c r="I289" s="13"/>
      <c r="J289" s="13"/>
      <c r="K289" s="13"/>
      <c r="L289" s="39" t="str">
        <f t="shared" si="30"/>
        <v>0</v>
      </c>
      <c r="M289" s="39" t="str">
        <f t="shared" si="31"/>
        <v>0</v>
      </c>
      <c r="N289" s="25">
        <f t="shared" si="32"/>
        <v>0</v>
      </c>
    </row>
    <row r="290" spans="2:14" x14ac:dyDescent="0.3">
      <c r="B290" s="42"/>
      <c r="C290" s="19">
        <f t="shared" si="28"/>
        <v>0</v>
      </c>
      <c r="D290" s="37" t="str">
        <f t="shared" si="29"/>
        <v>Jan-00</v>
      </c>
      <c r="E290" s="13"/>
      <c r="F290" s="13"/>
      <c r="G290" s="38">
        <f t="shared" si="27"/>
        <v>0</v>
      </c>
      <c r="H290" s="38"/>
      <c r="I290" s="13"/>
      <c r="J290" s="13"/>
      <c r="K290" s="13"/>
      <c r="L290" s="39" t="str">
        <f t="shared" si="30"/>
        <v>0</v>
      </c>
      <c r="M290" s="39" t="str">
        <f t="shared" si="31"/>
        <v>0</v>
      </c>
      <c r="N290" s="25">
        <f t="shared" si="32"/>
        <v>0</v>
      </c>
    </row>
    <row r="291" spans="2:14" x14ac:dyDescent="0.3">
      <c r="B291" s="42"/>
      <c r="C291" s="19">
        <f t="shared" si="28"/>
        <v>0</v>
      </c>
      <c r="D291" s="37" t="str">
        <f t="shared" si="29"/>
        <v>Jan-00</v>
      </c>
      <c r="E291" s="13"/>
      <c r="F291" s="13"/>
      <c r="G291" s="38">
        <f t="shared" si="27"/>
        <v>0</v>
      </c>
      <c r="H291" s="38"/>
      <c r="I291" s="13"/>
      <c r="J291" s="13"/>
      <c r="K291" s="13"/>
      <c r="L291" s="39" t="str">
        <f t="shared" si="30"/>
        <v>0</v>
      </c>
      <c r="M291" s="39" t="str">
        <f t="shared" si="31"/>
        <v>0</v>
      </c>
      <c r="N291" s="25">
        <f t="shared" si="32"/>
        <v>0</v>
      </c>
    </row>
    <row r="292" spans="2:14" x14ac:dyDescent="0.3">
      <c r="B292" s="42"/>
      <c r="C292" s="19">
        <f t="shared" si="28"/>
        <v>0</v>
      </c>
      <c r="D292" s="37" t="str">
        <f t="shared" si="29"/>
        <v>Jan-00</v>
      </c>
      <c r="E292" s="13"/>
      <c r="F292" s="13"/>
      <c r="G292" s="38">
        <f t="shared" si="27"/>
        <v>0</v>
      </c>
      <c r="H292" s="38"/>
      <c r="I292" s="13"/>
      <c r="J292" s="13"/>
      <c r="K292" s="13"/>
      <c r="L292" s="39" t="str">
        <f t="shared" si="30"/>
        <v>0</v>
      </c>
      <c r="M292" s="39" t="str">
        <f t="shared" si="31"/>
        <v>0</v>
      </c>
      <c r="N292" s="25">
        <f t="shared" si="32"/>
        <v>0</v>
      </c>
    </row>
    <row r="293" spans="2:14" x14ac:dyDescent="0.3">
      <c r="B293" s="42"/>
      <c r="C293" s="19">
        <f t="shared" si="28"/>
        <v>0</v>
      </c>
      <c r="D293" s="37" t="str">
        <f t="shared" si="29"/>
        <v>Jan-00</v>
      </c>
      <c r="E293" s="13"/>
      <c r="F293" s="13"/>
      <c r="G293" s="38">
        <f t="shared" si="27"/>
        <v>0</v>
      </c>
      <c r="H293" s="38"/>
      <c r="I293" s="13"/>
      <c r="J293" s="13"/>
      <c r="K293" s="13"/>
      <c r="L293" s="39" t="str">
        <f t="shared" si="30"/>
        <v>0</v>
      </c>
      <c r="M293" s="39" t="str">
        <f t="shared" si="31"/>
        <v>0</v>
      </c>
      <c r="N293" s="25">
        <f t="shared" si="32"/>
        <v>0</v>
      </c>
    </row>
    <row r="294" spans="2:14" x14ac:dyDescent="0.3">
      <c r="B294" s="42"/>
      <c r="C294" s="19">
        <f t="shared" si="28"/>
        <v>0</v>
      </c>
      <c r="D294" s="37" t="str">
        <f t="shared" si="29"/>
        <v>Jan-00</v>
      </c>
      <c r="E294" s="13"/>
      <c r="F294" s="13"/>
      <c r="G294" s="38">
        <f t="shared" si="27"/>
        <v>0</v>
      </c>
      <c r="H294" s="38"/>
      <c r="I294" s="13"/>
      <c r="J294" s="13"/>
      <c r="K294" s="13"/>
      <c r="L294" s="39" t="str">
        <f t="shared" si="30"/>
        <v>0</v>
      </c>
      <c r="M294" s="39" t="str">
        <f t="shared" si="31"/>
        <v>0</v>
      </c>
      <c r="N294" s="25">
        <f t="shared" si="32"/>
        <v>0</v>
      </c>
    </row>
    <row r="295" spans="2:14" x14ac:dyDescent="0.3">
      <c r="B295" s="42"/>
      <c r="C295" s="19">
        <f t="shared" si="28"/>
        <v>0</v>
      </c>
      <c r="D295" s="37" t="str">
        <f t="shared" si="29"/>
        <v>Jan-00</v>
      </c>
      <c r="E295" s="13"/>
      <c r="F295" s="13"/>
      <c r="G295" s="38">
        <f t="shared" si="27"/>
        <v>0</v>
      </c>
      <c r="H295" s="38"/>
      <c r="I295" s="13"/>
      <c r="J295" s="13"/>
      <c r="K295" s="13"/>
      <c r="L295" s="39" t="str">
        <f t="shared" si="30"/>
        <v>0</v>
      </c>
      <c r="M295" s="39" t="str">
        <f t="shared" si="31"/>
        <v>0</v>
      </c>
      <c r="N295" s="25">
        <f t="shared" si="32"/>
        <v>0</v>
      </c>
    </row>
    <row r="296" spans="2:14" ht="14.4" thickBot="1" x14ac:dyDescent="0.35">
      <c r="B296" s="43"/>
      <c r="C296" s="44">
        <f t="shared" si="28"/>
        <v>0</v>
      </c>
      <c r="D296" s="45" t="str">
        <f t="shared" si="29"/>
        <v>Jan-00</v>
      </c>
      <c r="E296" s="29"/>
      <c r="F296" s="29"/>
      <c r="G296" s="46">
        <f t="shared" si="27"/>
        <v>0</v>
      </c>
      <c r="H296" s="46"/>
      <c r="I296" s="29"/>
      <c r="J296" s="29"/>
      <c r="K296" s="29"/>
      <c r="L296" s="47" t="str">
        <f t="shared" si="30"/>
        <v>0</v>
      </c>
      <c r="M296" s="47" t="str">
        <f t="shared" si="31"/>
        <v>0</v>
      </c>
      <c r="N296" s="30">
        <f t="shared" si="3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Sheet6</vt:lpstr>
      <vt:lpstr>4.Calibration Process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2026-05-20T23:56:58Z</dcterms:created>
  <dcterms:modified xsi:type="dcterms:W3CDTF">2026-09-16T16:42:09Z</dcterms:modified>
</cp:coreProperties>
</file>