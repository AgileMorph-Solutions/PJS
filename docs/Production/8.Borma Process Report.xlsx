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A670EEDD-1916-4CE3-BC67-BDD9010D021E}" xr6:coauthVersionLast="47" xr6:coauthVersionMax="47" xr10:uidLastSave="{00000000-0000-0000-0000-000000000000}"/>
  <bookViews>
    <workbookView xWindow="-108" yWindow="-108" windowWidth="23256" windowHeight="13896" firstSheet="2" activeTab="2" xr2:uid="{3ADF18B9-64AC-49D0-9B02-D65E1D897E2F}"/>
  </bookViews>
  <sheets>
    <sheet name="Sheet2" sheetId="2" state="hidden" r:id="rId1"/>
    <sheet name="Sheet3" sheetId="3" state="hidden" r:id="rId2"/>
    <sheet name="Sheet1" sheetId="1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7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5" i="1"/>
  <c r="P6" i="1"/>
  <c r="P7" i="1"/>
  <c r="P8" i="1"/>
  <c r="P9" i="1"/>
  <c r="P10" i="1"/>
  <c r="P11" i="1"/>
  <c r="P4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Q37" i="1" s="1"/>
  <c r="R37" i="1" s="1"/>
  <c r="K38" i="1"/>
  <c r="Q38" i="1" s="1"/>
  <c r="R38" i="1" s="1"/>
  <c r="K39" i="1"/>
  <c r="Q39" i="1" s="1"/>
  <c r="R39" i="1" s="1"/>
  <c r="K40" i="1"/>
  <c r="K41" i="1"/>
  <c r="K42" i="1"/>
  <c r="Q42" i="1" s="1"/>
  <c r="R42" i="1" s="1"/>
  <c r="K43" i="1"/>
  <c r="Q43" i="1" s="1"/>
  <c r="R43" i="1" s="1"/>
  <c r="K44" i="1"/>
  <c r="K45" i="1"/>
  <c r="Q45" i="1" s="1"/>
  <c r="R45" i="1" s="1"/>
  <c r="K46" i="1"/>
  <c r="Q46" i="1" s="1"/>
  <c r="R46" i="1" s="1"/>
  <c r="K47" i="1"/>
  <c r="Q47" i="1" s="1"/>
  <c r="R47" i="1" s="1"/>
  <c r="K48" i="1"/>
  <c r="Q48" i="1" s="1"/>
  <c r="R48" i="1" s="1"/>
  <c r="K49" i="1"/>
  <c r="Q49" i="1" s="1"/>
  <c r="R49" i="1" s="1"/>
  <c r="K50" i="1"/>
  <c r="Q50" i="1" s="1"/>
  <c r="R50" i="1" s="1"/>
  <c r="K51" i="1"/>
  <c r="Q51" i="1" s="1"/>
  <c r="R51" i="1" s="1"/>
  <c r="K52" i="1"/>
  <c r="Q52" i="1" s="1"/>
  <c r="R52" i="1" s="1"/>
  <c r="K53" i="1"/>
  <c r="Q53" i="1" s="1"/>
  <c r="R53" i="1" s="1"/>
  <c r="K54" i="1"/>
  <c r="Q54" i="1" s="1"/>
  <c r="R54" i="1" s="1"/>
  <c r="K55" i="1"/>
  <c r="Q55" i="1" s="1"/>
  <c r="R55" i="1" s="1"/>
  <c r="K56" i="1"/>
  <c r="Q56" i="1" s="1"/>
  <c r="R56" i="1" s="1"/>
  <c r="K57" i="1"/>
  <c r="Q57" i="1" s="1"/>
  <c r="R57" i="1" s="1"/>
  <c r="K58" i="1"/>
  <c r="K59" i="1"/>
  <c r="Q59" i="1" s="1"/>
  <c r="R59" i="1" s="1"/>
  <c r="K60" i="1"/>
  <c r="K61" i="1"/>
  <c r="K62" i="1"/>
  <c r="K63" i="1"/>
  <c r="Q63" i="1" s="1"/>
  <c r="R63" i="1" s="1"/>
  <c r="K64" i="1"/>
  <c r="Q64" i="1" s="1"/>
  <c r="R64" i="1" s="1"/>
  <c r="K65" i="1"/>
  <c r="K66" i="1"/>
  <c r="Q66" i="1" s="1"/>
  <c r="R66" i="1" s="1"/>
  <c r="K67" i="1"/>
  <c r="K68" i="1"/>
  <c r="Q68" i="1" s="1"/>
  <c r="R68" i="1" s="1"/>
  <c r="K69" i="1"/>
  <c r="K70" i="1"/>
  <c r="Q70" i="1" s="1"/>
  <c r="R70" i="1" s="1"/>
  <c r="K71" i="1"/>
  <c r="Q71" i="1" s="1"/>
  <c r="R71" i="1" s="1"/>
  <c r="K72" i="1"/>
  <c r="Q72" i="1" s="1"/>
  <c r="R72" i="1" s="1"/>
  <c r="K73" i="1"/>
  <c r="Q73" i="1" s="1"/>
  <c r="R73" i="1" s="1"/>
  <c r="K74" i="1"/>
  <c r="Q74" i="1" s="1"/>
  <c r="R74" i="1" s="1"/>
  <c r="K75" i="1"/>
  <c r="Q75" i="1" s="1"/>
  <c r="R75" i="1" s="1"/>
  <c r="K76" i="1"/>
  <c r="K77" i="1"/>
  <c r="Q77" i="1" s="1"/>
  <c r="R77" i="1" s="1"/>
  <c r="K78" i="1"/>
  <c r="Q78" i="1" s="1"/>
  <c r="R78" i="1" s="1"/>
  <c r="K79" i="1"/>
  <c r="K80" i="1"/>
  <c r="K81" i="1"/>
  <c r="K82" i="1"/>
  <c r="Q82" i="1" s="1"/>
  <c r="R82" i="1" s="1"/>
  <c r="K83" i="1"/>
  <c r="Q83" i="1" s="1"/>
  <c r="R83" i="1" s="1"/>
  <c r="K84" i="1"/>
  <c r="Q84" i="1" s="1"/>
  <c r="R84" i="1" s="1"/>
  <c r="K85" i="1"/>
  <c r="Q85" i="1" s="1"/>
  <c r="R85" i="1" s="1"/>
  <c r="K86" i="1"/>
  <c r="Q86" i="1" s="1"/>
  <c r="R86" i="1" s="1"/>
  <c r="K87" i="1"/>
  <c r="Q87" i="1" s="1"/>
  <c r="R87" i="1" s="1"/>
  <c r="K88" i="1"/>
  <c r="Q88" i="1" s="1"/>
  <c r="R88" i="1" s="1"/>
  <c r="K89" i="1"/>
  <c r="Q89" i="1" s="1"/>
  <c r="R89" i="1" s="1"/>
  <c r="K90" i="1"/>
  <c r="Q90" i="1" s="1"/>
  <c r="R90" i="1" s="1"/>
  <c r="K91" i="1"/>
  <c r="Q91" i="1" s="1"/>
  <c r="R91" i="1" s="1"/>
  <c r="K92" i="1"/>
  <c r="Q92" i="1" s="1"/>
  <c r="R92" i="1" s="1"/>
  <c r="K93" i="1"/>
  <c r="K94" i="1"/>
  <c r="Q94" i="1" s="1"/>
  <c r="R94" i="1" s="1"/>
  <c r="K95" i="1"/>
  <c r="Q95" i="1" s="1"/>
  <c r="R95" i="1" s="1"/>
  <c r="K96" i="1"/>
  <c r="Q96" i="1" s="1"/>
  <c r="R96" i="1" s="1"/>
  <c r="K97" i="1"/>
  <c r="Q97" i="1" s="1"/>
  <c r="R97" i="1" s="1"/>
  <c r="K98" i="1"/>
  <c r="Q98" i="1" s="1"/>
  <c r="R98" i="1" s="1"/>
  <c r="K99" i="1"/>
  <c r="Q99" i="1" s="1"/>
  <c r="R99" i="1" s="1"/>
  <c r="K100" i="1"/>
  <c r="Q100" i="1" s="1"/>
  <c r="R100" i="1" s="1"/>
  <c r="K101" i="1"/>
  <c r="Q101" i="1" s="1"/>
  <c r="R101" i="1" s="1"/>
  <c r="K102" i="1"/>
  <c r="Q102" i="1" s="1"/>
  <c r="R102" i="1" s="1"/>
  <c r="K103" i="1"/>
  <c r="Q103" i="1" s="1"/>
  <c r="R103" i="1" s="1"/>
  <c r="K104" i="1"/>
  <c r="Q104" i="1" s="1"/>
  <c r="R104" i="1" s="1"/>
  <c r="K105" i="1"/>
  <c r="Q105" i="1" s="1"/>
  <c r="R105" i="1" s="1"/>
  <c r="K106" i="1"/>
  <c r="Q106" i="1" s="1"/>
  <c r="R106" i="1" s="1"/>
  <c r="K107" i="1"/>
  <c r="K108" i="1"/>
  <c r="Q108" i="1" s="1"/>
  <c r="R108" i="1" s="1"/>
  <c r="K109" i="1"/>
  <c r="Q109" i="1" s="1"/>
  <c r="R109" i="1" s="1"/>
  <c r="K110" i="1"/>
  <c r="Q110" i="1" s="1"/>
  <c r="R110" i="1" s="1"/>
  <c r="K111" i="1"/>
  <c r="Q111" i="1" s="1"/>
  <c r="R111" i="1" s="1"/>
  <c r="K112" i="1"/>
  <c r="Q112" i="1" s="1"/>
  <c r="R112" i="1" s="1"/>
  <c r="K113" i="1"/>
  <c r="Q113" i="1" s="1"/>
  <c r="R113" i="1" s="1"/>
  <c r="K114" i="1"/>
  <c r="Q114" i="1" s="1"/>
  <c r="R114" i="1" s="1"/>
  <c r="K115" i="1"/>
  <c r="Q115" i="1" s="1"/>
  <c r="R115" i="1" s="1"/>
  <c r="K116" i="1"/>
  <c r="Q116" i="1" s="1"/>
  <c r="R116" i="1" s="1"/>
  <c r="K117" i="1"/>
  <c r="Q117" i="1" s="1"/>
  <c r="R117" i="1" s="1"/>
  <c r="K118" i="1"/>
  <c r="Q118" i="1" s="1"/>
  <c r="R118" i="1" s="1"/>
  <c r="K119" i="1"/>
  <c r="Q119" i="1" s="1"/>
  <c r="R119" i="1" s="1"/>
  <c r="K120" i="1"/>
  <c r="Q120" i="1" s="1"/>
  <c r="R120" i="1" s="1"/>
  <c r="K121" i="1"/>
  <c r="Q121" i="1" s="1"/>
  <c r="R121" i="1" s="1"/>
  <c r="K122" i="1"/>
  <c r="Q122" i="1" s="1"/>
  <c r="R122" i="1" s="1"/>
  <c r="K123" i="1"/>
  <c r="Q123" i="1" s="1"/>
  <c r="R123" i="1" s="1"/>
  <c r="K124" i="1"/>
  <c r="K125" i="1"/>
  <c r="Q125" i="1" s="1"/>
  <c r="R125" i="1" s="1"/>
  <c r="K126" i="1"/>
  <c r="Q126" i="1" s="1"/>
  <c r="R126" i="1" s="1"/>
  <c r="K127" i="1"/>
  <c r="Q127" i="1" s="1"/>
  <c r="R127" i="1" s="1"/>
  <c r="K128" i="1"/>
  <c r="Q128" i="1" s="1"/>
  <c r="R128" i="1" s="1"/>
  <c r="K129" i="1"/>
  <c r="Q129" i="1" s="1"/>
  <c r="R129" i="1" s="1"/>
  <c r="K130" i="1"/>
  <c r="Q130" i="1" s="1"/>
  <c r="R130" i="1" s="1"/>
  <c r="K131" i="1"/>
  <c r="Q131" i="1" s="1"/>
  <c r="R131" i="1" s="1"/>
  <c r="K132" i="1"/>
  <c r="Q132" i="1" s="1"/>
  <c r="R132" i="1" s="1"/>
  <c r="K133" i="1"/>
  <c r="Q133" i="1" s="1"/>
  <c r="R133" i="1" s="1"/>
  <c r="K134" i="1"/>
  <c r="Q134" i="1" s="1"/>
  <c r="R134" i="1" s="1"/>
  <c r="K135" i="1"/>
  <c r="Q135" i="1" s="1"/>
  <c r="R135" i="1" s="1"/>
  <c r="K136" i="1"/>
  <c r="K137" i="1"/>
  <c r="Q137" i="1" s="1"/>
  <c r="R137" i="1" s="1"/>
  <c r="K138" i="1"/>
  <c r="Q138" i="1" s="1"/>
  <c r="R138" i="1" s="1"/>
  <c r="K139" i="1"/>
  <c r="Q139" i="1" s="1"/>
  <c r="R139" i="1" s="1"/>
  <c r="K140" i="1"/>
  <c r="Q140" i="1" s="1"/>
  <c r="R140" i="1" s="1"/>
  <c r="K141" i="1"/>
  <c r="Q141" i="1" s="1"/>
  <c r="R141" i="1" s="1"/>
  <c r="K142" i="1"/>
  <c r="Q142" i="1" s="1"/>
  <c r="R142" i="1" s="1"/>
  <c r="K143" i="1"/>
  <c r="Q143" i="1" s="1"/>
  <c r="R143" i="1" s="1"/>
  <c r="K144" i="1"/>
  <c r="K145" i="1"/>
  <c r="Q145" i="1" s="1"/>
  <c r="R145" i="1" s="1"/>
  <c r="K146" i="1"/>
  <c r="Q146" i="1" s="1"/>
  <c r="R146" i="1" s="1"/>
  <c r="K147" i="1"/>
  <c r="Q147" i="1" s="1"/>
  <c r="R147" i="1" s="1"/>
  <c r="K148" i="1"/>
  <c r="Q148" i="1" s="1"/>
  <c r="R148" i="1" s="1"/>
  <c r="K149" i="1"/>
  <c r="Q149" i="1" s="1"/>
  <c r="R149" i="1" s="1"/>
  <c r="K150" i="1"/>
  <c r="Q150" i="1" s="1"/>
  <c r="R150" i="1" s="1"/>
  <c r="K151" i="1"/>
  <c r="Q151" i="1" s="1"/>
  <c r="R151" i="1" s="1"/>
  <c r="K152" i="1"/>
  <c r="Q152" i="1" s="1"/>
  <c r="R152" i="1" s="1"/>
  <c r="K153" i="1"/>
  <c r="Q153" i="1" s="1"/>
  <c r="R153" i="1" s="1"/>
  <c r="K154" i="1"/>
  <c r="Q154" i="1" s="1"/>
  <c r="R154" i="1" s="1"/>
  <c r="K155" i="1"/>
  <c r="Q155" i="1" s="1"/>
  <c r="R155" i="1" s="1"/>
  <c r="K156" i="1"/>
  <c r="Q156" i="1" s="1"/>
  <c r="R156" i="1" s="1"/>
  <c r="K157" i="1"/>
  <c r="Q157" i="1" s="1"/>
  <c r="R157" i="1" s="1"/>
  <c r="K158" i="1"/>
  <c r="Q158" i="1" s="1"/>
  <c r="R158" i="1" s="1"/>
  <c r="K159" i="1"/>
  <c r="Q159" i="1" s="1"/>
  <c r="R159" i="1" s="1"/>
  <c r="K160" i="1"/>
  <c r="Q160" i="1" s="1"/>
  <c r="R160" i="1" s="1"/>
  <c r="K161" i="1"/>
  <c r="Q161" i="1" s="1"/>
  <c r="R161" i="1" s="1"/>
  <c r="K162" i="1"/>
  <c r="Q162" i="1" s="1"/>
  <c r="R162" i="1" s="1"/>
  <c r="K163" i="1"/>
  <c r="K164" i="1"/>
  <c r="K165" i="1"/>
  <c r="Q165" i="1" s="1"/>
  <c r="R165" i="1" s="1"/>
  <c r="K166" i="1"/>
  <c r="Q166" i="1" s="1"/>
  <c r="R166" i="1" s="1"/>
  <c r="K167" i="1"/>
  <c r="Q167" i="1" s="1"/>
  <c r="R167" i="1" s="1"/>
  <c r="K168" i="1"/>
  <c r="Q168" i="1" s="1"/>
  <c r="R168" i="1" s="1"/>
  <c r="K169" i="1"/>
  <c r="Q169" i="1" s="1"/>
  <c r="R169" i="1" s="1"/>
  <c r="K170" i="1"/>
  <c r="Q170" i="1" s="1"/>
  <c r="R170" i="1" s="1"/>
  <c r="K171" i="1"/>
  <c r="Q171" i="1" s="1"/>
  <c r="R171" i="1" s="1"/>
  <c r="K172" i="1"/>
  <c r="Q172" i="1" s="1"/>
  <c r="R172" i="1" s="1"/>
  <c r="K173" i="1"/>
  <c r="Q173" i="1" s="1"/>
  <c r="R173" i="1" s="1"/>
  <c r="K174" i="1"/>
  <c r="Q174" i="1" s="1"/>
  <c r="R174" i="1" s="1"/>
  <c r="K175" i="1"/>
  <c r="Q175" i="1" s="1"/>
  <c r="R175" i="1" s="1"/>
  <c r="K176" i="1"/>
  <c r="Q176" i="1" s="1"/>
  <c r="R176" i="1" s="1"/>
  <c r="K177" i="1"/>
  <c r="Q177" i="1" s="1"/>
  <c r="R177" i="1" s="1"/>
  <c r="K178" i="1"/>
  <c r="Q178" i="1" s="1"/>
  <c r="R178" i="1" s="1"/>
  <c r="K179" i="1"/>
  <c r="Q179" i="1" s="1"/>
  <c r="R179" i="1" s="1"/>
  <c r="K180" i="1"/>
  <c r="Q180" i="1" s="1"/>
  <c r="R180" i="1" s="1"/>
  <c r="K181" i="1"/>
  <c r="Q181" i="1" s="1"/>
  <c r="R181" i="1" s="1"/>
  <c r="K182" i="1"/>
  <c r="Q182" i="1" s="1"/>
  <c r="R182" i="1" s="1"/>
  <c r="K183" i="1"/>
  <c r="Q183" i="1" s="1"/>
  <c r="R183" i="1" s="1"/>
  <c r="K184" i="1"/>
  <c r="Q184" i="1" s="1"/>
  <c r="R184" i="1" s="1"/>
  <c r="K185" i="1"/>
  <c r="Q185" i="1" s="1"/>
  <c r="R185" i="1" s="1"/>
  <c r="K186" i="1"/>
  <c r="Q186" i="1" s="1"/>
  <c r="R186" i="1" s="1"/>
  <c r="K187" i="1"/>
  <c r="Q187" i="1" s="1"/>
  <c r="R187" i="1" s="1"/>
  <c r="K188" i="1"/>
  <c r="Q188" i="1" s="1"/>
  <c r="R188" i="1" s="1"/>
  <c r="K189" i="1"/>
  <c r="Q189" i="1" s="1"/>
  <c r="R189" i="1" s="1"/>
  <c r="K190" i="1"/>
  <c r="Q190" i="1" s="1"/>
  <c r="R190" i="1" s="1"/>
  <c r="K191" i="1"/>
  <c r="Q191" i="1" s="1"/>
  <c r="R191" i="1" s="1"/>
  <c r="K192" i="1"/>
  <c r="Q192" i="1" s="1"/>
  <c r="R192" i="1" s="1"/>
  <c r="K193" i="1"/>
  <c r="Q193" i="1" s="1"/>
  <c r="R193" i="1" s="1"/>
  <c r="K194" i="1"/>
  <c r="Q194" i="1" s="1"/>
  <c r="R194" i="1" s="1"/>
  <c r="K195" i="1"/>
  <c r="Q195" i="1" s="1"/>
  <c r="R195" i="1" s="1"/>
  <c r="K196" i="1"/>
  <c r="Q196" i="1" s="1"/>
  <c r="R196" i="1" s="1"/>
  <c r="K197" i="1"/>
  <c r="Q197" i="1" s="1"/>
  <c r="R197" i="1" s="1"/>
  <c r="K198" i="1"/>
  <c r="Q198" i="1" s="1"/>
  <c r="R198" i="1" s="1"/>
  <c r="K199" i="1"/>
  <c r="Q199" i="1" s="1"/>
  <c r="R199" i="1" s="1"/>
  <c r="K200" i="1"/>
  <c r="Q200" i="1" s="1"/>
  <c r="R200" i="1" s="1"/>
  <c r="K201" i="1"/>
  <c r="Q201" i="1" s="1"/>
  <c r="R201" i="1" s="1"/>
  <c r="K202" i="1"/>
  <c r="Q202" i="1" s="1"/>
  <c r="R202" i="1" s="1"/>
  <c r="K203" i="1"/>
  <c r="Q203" i="1" s="1"/>
  <c r="R203" i="1" s="1"/>
  <c r="K204" i="1"/>
  <c r="Q204" i="1" s="1"/>
  <c r="R204" i="1" s="1"/>
  <c r="K205" i="1"/>
  <c r="Q205" i="1" s="1"/>
  <c r="R205" i="1" s="1"/>
  <c r="K206" i="1"/>
  <c r="Q206" i="1" s="1"/>
  <c r="R206" i="1" s="1"/>
  <c r="K207" i="1"/>
  <c r="Q207" i="1" s="1"/>
  <c r="R207" i="1" s="1"/>
  <c r="K208" i="1"/>
  <c r="Q208" i="1" s="1"/>
  <c r="R208" i="1" s="1"/>
  <c r="K209" i="1"/>
  <c r="Q209" i="1" s="1"/>
  <c r="R209" i="1" s="1"/>
  <c r="K210" i="1"/>
  <c r="Q210" i="1" s="1"/>
  <c r="R210" i="1" s="1"/>
  <c r="K211" i="1"/>
  <c r="Q211" i="1" s="1"/>
  <c r="R211" i="1" s="1"/>
  <c r="K212" i="1"/>
  <c r="Q212" i="1" s="1"/>
  <c r="R212" i="1" s="1"/>
  <c r="K213" i="1"/>
  <c r="Q213" i="1" s="1"/>
  <c r="R213" i="1" s="1"/>
  <c r="K214" i="1"/>
  <c r="Q214" i="1" s="1"/>
  <c r="R214" i="1" s="1"/>
  <c r="K215" i="1"/>
  <c r="Q215" i="1" s="1"/>
  <c r="R215" i="1" s="1"/>
  <c r="K216" i="1"/>
  <c r="Q216" i="1" s="1"/>
  <c r="R216" i="1" s="1"/>
  <c r="K217" i="1"/>
  <c r="Q217" i="1" s="1"/>
  <c r="R217" i="1" s="1"/>
  <c r="K218" i="1"/>
  <c r="Q218" i="1" s="1"/>
  <c r="R218" i="1" s="1"/>
  <c r="K219" i="1"/>
  <c r="Q219" i="1" s="1"/>
  <c r="R219" i="1" s="1"/>
  <c r="K220" i="1"/>
  <c r="Q220" i="1" s="1"/>
  <c r="R220" i="1" s="1"/>
  <c r="K221" i="1"/>
  <c r="Q221" i="1" s="1"/>
  <c r="R221" i="1" s="1"/>
  <c r="K222" i="1"/>
  <c r="Q222" i="1" s="1"/>
  <c r="R222" i="1" s="1"/>
  <c r="K223" i="1"/>
  <c r="Q223" i="1" s="1"/>
  <c r="R223" i="1" s="1"/>
  <c r="K224" i="1"/>
  <c r="Q224" i="1" s="1"/>
  <c r="R224" i="1" s="1"/>
  <c r="K225" i="1"/>
  <c r="Q225" i="1" s="1"/>
  <c r="R225" i="1" s="1"/>
  <c r="K226" i="1"/>
  <c r="Q226" i="1" s="1"/>
  <c r="R226" i="1" s="1"/>
  <c r="K227" i="1"/>
  <c r="Q227" i="1" s="1"/>
  <c r="R227" i="1" s="1"/>
  <c r="K228" i="1"/>
  <c r="Q228" i="1" s="1"/>
  <c r="R228" i="1" s="1"/>
  <c r="K229" i="1"/>
  <c r="Q229" i="1" s="1"/>
  <c r="R229" i="1" s="1"/>
  <c r="K230" i="1"/>
  <c r="Q230" i="1" s="1"/>
  <c r="R230" i="1" s="1"/>
  <c r="K231" i="1"/>
  <c r="Q231" i="1" s="1"/>
  <c r="R231" i="1" s="1"/>
  <c r="K232" i="1"/>
  <c r="Q232" i="1" s="1"/>
  <c r="R232" i="1" s="1"/>
  <c r="K233" i="1"/>
  <c r="Q233" i="1" s="1"/>
  <c r="R233" i="1" s="1"/>
  <c r="K234" i="1"/>
  <c r="Q234" i="1" s="1"/>
  <c r="R234" i="1" s="1"/>
  <c r="K235" i="1"/>
  <c r="Q235" i="1" s="1"/>
  <c r="R235" i="1" s="1"/>
  <c r="K236" i="1"/>
  <c r="Q236" i="1" s="1"/>
  <c r="R236" i="1" s="1"/>
  <c r="K237" i="1"/>
  <c r="Q237" i="1" s="1"/>
  <c r="R237" i="1" s="1"/>
  <c r="K238" i="1"/>
  <c r="Q238" i="1" s="1"/>
  <c r="R238" i="1" s="1"/>
  <c r="K239" i="1"/>
  <c r="Q239" i="1" s="1"/>
  <c r="R239" i="1" s="1"/>
  <c r="K240" i="1"/>
  <c r="Q240" i="1" s="1"/>
  <c r="R240" i="1" s="1"/>
  <c r="K241" i="1"/>
  <c r="Q241" i="1" s="1"/>
  <c r="R241" i="1" s="1"/>
  <c r="K242" i="1"/>
  <c r="Q242" i="1" s="1"/>
  <c r="R242" i="1" s="1"/>
  <c r="K243" i="1"/>
  <c r="Q243" i="1" s="1"/>
  <c r="R243" i="1" s="1"/>
  <c r="K244" i="1"/>
  <c r="Q244" i="1" s="1"/>
  <c r="R244" i="1" s="1"/>
  <c r="K245" i="1"/>
  <c r="Q245" i="1" s="1"/>
  <c r="R245" i="1" s="1"/>
  <c r="K246" i="1"/>
  <c r="Q246" i="1" s="1"/>
  <c r="R246" i="1" s="1"/>
  <c r="K247" i="1"/>
  <c r="Q247" i="1" s="1"/>
  <c r="R247" i="1" s="1"/>
  <c r="K248" i="1"/>
  <c r="Q248" i="1" s="1"/>
  <c r="R248" i="1" s="1"/>
  <c r="K249" i="1"/>
  <c r="Q249" i="1" s="1"/>
  <c r="R249" i="1" s="1"/>
  <c r="K250" i="1"/>
  <c r="Q250" i="1" s="1"/>
  <c r="R250" i="1" s="1"/>
  <c r="K251" i="1"/>
  <c r="Q251" i="1" s="1"/>
  <c r="R251" i="1" s="1"/>
  <c r="K252" i="1"/>
  <c r="Q252" i="1" s="1"/>
  <c r="R252" i="1" s="1"/>
  <c r="K253" i="1"/>
  <c r="Q253" i="1" s="1"/>
  <c r="R253" i="1" s="1"/>
  <c r="K254" i="1"/>
  <c r="Q254" i="1" s="1"/>
  <c r="R254" i="1" s="1"/>
  <c r="K255" i="1"/>
  <c r="Q255" i="1" s="1"/>
  <c r="R255" i="1" s="1"/>
  <c r="K256" i="1"/>
  <c r="Q256" i="1" s="1"/>
  <c r="R256" i="1" s="1"/>
  <c r="K257" i="1"/>
  <c r="K258" i="1"/>
  <c r="Q258" i="1" s="1"/>
  <c r="R258" i="1" s="1"/>
  <c r="K259" i="1"/>
  <c r="Q259" i="1" s="1"/>
  <c r="R259" i="1" s="1"/>
  <c r="K260" i="1"/>
  <c r="Q260" i="1" s="1"/>
  <c r="R260" i="1" s="1"/>
  <c r="K261" i="1"/>
  <c r="Q261" i="1" s="1"/>
  <c r="R261" i="1" s="1"/>
  <c r="K262" i="1"/>
  <c r="Q262" i="1" s="1"/>
  <c r="R262" i="1" s="1"/>
  <c r="K263" i="1"/>
  <c r="Q263" i="1" s="1"/>
  <c r="R263" i="1" s="1"/>
  <c r="K264" i="1"/>
  <c r="Q264" i="1" s="1"/>
  <c r="R264" i="1" s="1"/>
  <c r="K265" i="1"/>
  <c r="Q265" i="1" s="1"/>
  <c r="R265" i="1" s="1"/>
  <c r="K266" i="1"/>
  <c r="Q266" i="1" s="1"/>
  <c r="R266" i="1" s="1"/>
  <c r="K267" i="1"/>
  <c r="Q267" i="1" s="1"/>
  <c r="R267" i="1" s="1"/>
  <c r="K268" i="1"/>
  <c r="Q268" i="1" s="1"/>
  <c r="R268" i="1" s="1"/>
  <c r="K269" i="1"/>
  <c r="Q269" i="1" s="1"/>
  <c r="R269" i="1" s="1"/>
  <c r="K270" i="1"/>
  <c r="Q270" i="1" s="1"/>
  <c r="R270" i="1" s="1"/>
  <c r="K271" i="1"/>
  <c r="Q271" i="1" s="1"/>
  <c r="R271" i="1" s="1"/>
  <c r="K272" i="1"/>
  <c r="Q272" i="1" s="1"/>
  <c r="R272" i="1" s="1"/>
  <c r="K273" i="1"/>
  <c r="Q273" i="1" s="1"/>
  <c r="R273" i="1" s="1"/>
  <c r="K274" i="1"/>
  <c r="Q274" i="1" s="1"/>
  <c r="R274" i="1" s="1"/>
  <c r="K275" i="1"/>
  <c r="Q275" i="1" s="1"/>
  <c r="R275" i="1" s="1"/>
  <c r="K276" i="1"/>
  <c r="Q276" i="1" s="1"/>
  <c r="R276" i="1" s="1"/>
  <c r="K277" i="1"/>
  <c r="Q277" i="1" s="1"/>
  <c r="R277" i="1" s="1"/>
  <c r="K278" i="1"/>
  <c r="Q278" i="1" s="1"/>
  <c r="R278" i="1" s="1"/>
  <c r="K279" i="1"/>
  <c r="Q279" i="1" s="1"/>
  <c r="R279" i="1" s="1"/>
  <c r="K280" i="1"/>
  <c r="K281" i="1"/>
  <c r="Q281" i="1" s="1"/>
  <c r="R281" i="1" s="1"/>
  <c r="K282" i="1"/>
  <c r="Q282" i="1" s="1"/>
  <c r="R282" i="1" s="1"/>
  <c r="K283" i="1"/>
  <c r="Q283" i="1" s="1"/>
  <c r="R283" i="1" s="1"/>
  <c r="K284" i="1"/>
  <c r="Q284" i="1" s="1"/>
  <c r="R284" i="1" s="1"/>
  <c r="K285" i="1"/>
  <c r="Q285" i="1" s="1"/>
  <c r="R285" i="1" s="1"/>
  <c r="K286" i="1"/>
  <c r="Q286" i="1" s="1"/>
  <c r="R286" i="1" s="1"/>
  <c r="K287" i="1"/>
  <c r="Q287" i="1" s="1"/>
  <c r="R287" i="1" s="1"/>
  <c r="K288" i="1"/>
  <c r="Q288" i="1" s="1"/>
  <c r="R288" i="1" s="1"/>
  <c r="K289" i="1"/>
  <c r="Q289" i="1" s="1"/>
  <c r="R289" i="1" s="1"/>
  <c r="K290" i="1"/>
  <c r="Q290" i="1" s="1"/>
  <c r="R290" i="1" s="1"/>
  <c r="K291" i="1"/>
  <c r="Q291" i="1" s="1"/>
  <c r="R291" i="1" s="1"/>
  <c r="K292" i="1"/>
  <c r="Q292" i="1" s="1"/>
  <c r="R292" i="1" s="1"/>
  <c r="K293" i="1"/>
  <c r="Q293" i="1" s="1"/>
  <c r="R293" i="1" s="1"/>
  <c r="K294" i="1"/>
  <c r="Q294" i="1" s="1"/>
  <c r="R294" i="1" s="1"/>
  <c r="K295" i="1"/>
  <c r="Q295" i="1" s="1"/>
  <c r="R295" i="1" s="1"/>
  <c r="K296" i="1"/>
  <c r="Q296" i="1" s="1"/>
  <c r="R296" i="1" s="1"/>
  <c r="K297" i="1"/>
  <c r="K298" i="1"/>
  <c r="Q298" i="1" s="1"/>
  <c r="R298" i="1" s="1"/>
  <c r="K299" i="1"/>
  <c r="Q299" i="1" s="1"/>
  <c r="R299" i="1" s="1"/>
  <c r="K300" i="1"/>
  <c r="K301" i="1"/>
  <c r="Q301" i="1" s="1"/>
  <c r="R301" i="1" s="1"/>
  <c r="K302" i="1"/>
  <c r="Q302" i="1" s="1"/>
  <c r="R302" i="1" s="1"/>
  <c r="K303" i="1"/>
  <c r="Q303" i="1" s="1"/>
  <c r="R303" i="1" s="1"/>
  <c r="K304" i="1"/>
  <c r="Q304" i="1" s="1"/>
  <c r="R304" i="1" s="1"/>
  <c r="K305" i="1"/>
  <c r="Q305" i="1" s="1"/>
  <c r="R305" i="1" s="1"/>
  <c r="K306" i="1"/>
  <c r="Q306" i="1" s="1"/>
  <c r="R306" i="1" s="1"/>
  <c r="K307" i="1"/>
  <c r="Q307" i="1" s="1"/>
  <c r="R307" i="1" s="1"/>
  <c r="K308" i="1"/>
  <c r="Q308" i="1" s="1"/>
  <c r="R308" i="1" s="1"/>
  <c r="K309" i="1"/>
  <c r="Q309" i="1" s="1"/>
  <c r="R309" i="1" s="1"/>
  <c r="K310" i="1"/>
  <c r="Q310" i="1" s="1"/>
  <c r="R310" i="1" s="1"/>
  <c r="K311" i="1"/>
  <c r="Q311" i="1" s="1"/>
  <c r="R311" i="1" s="1"/>
  <c r="K312" i="1"/>
  <c r="Q312" i="1" s="1"/>
  <c r="R312" i="1" s="1"/>
  <c r="K313" i="1"/>
  <c r="Q313" i="1" s="1"/>
  <c r="R313" i="1" s="1"/>
  <c r="K314" i="1"/>
  <c r="Q314" i="1" s="1"/>
  <c r="R314" i="1" s="1"/>
  <c r="K315" i="1"/>
  <c r="Q315" i="1" s="1"/>
  <c r="R315" i="1" s="1"/>
  <c r="K316" i="1"/>
  <c r="Q316" i="1" s="1"/>
  <c r="R316" i="1" s="1"/>
  <c r="K317" i="1"/>
  <c r="K318" i="1"/>
  <c r="Q318" i="1" s="1"/>
  <c r="R318" i="1" s="1"/>
  <c r="K319" i="1"/>
  <c r="Q319" i="1" s="1"/>
  <c r="R319" i="1" s="1"/>
  <c r="K320" i="1"/>
  <c r="Q320" i="1" s="1"/>
  <c r="R320" i="1" s="1"/>
  <c r="K321" i="1"/>
  <c r="Q321" i="1" s="1"/>
  <c r="R321" i="1" s="1"/>
  <c r="K322" i="1"/>
  <c r="Q322" i="1" s="1"/>
  <c r="R322" i="1" s="1"/>
  <c r="K323" i="1"/>
  <c r="Q323" i="1" s="1"/>
  <c r="R323" i="1" s="1"/>
  <c r="K324" i="1"/>
  <c r="Q324" i="1" s="1"/>
  <c r="R324" i="1" s="1"/>
  <c r="K325" i="1"/>
  <c r="Q325" i="1" s="1"/>
  <c r="R325" i="1" s="1"/>
  <c r="K326" i="1"/>
  <c r="Q326" i="1" s="1"/>
  <c r="R326" i="1" s="1"/>
  <c r="K327" i="1"/>
  <c r="Q327" i="1" s="1"/>
  <c r="R327" i="1" s="1"/>
  <c r="K328" i="1"/>
  <c r="Q328" i="1" s="1"/>
  <c r="R328" i="1" s="1"/>
  <c r="K329" i="1"/>
  <c r="Q329" i="1" s="1"/>
  <c r="R329" i="1" s="1"/>
  <c r="K330" i="1"/>
  <c r="Q330" i="1" s="1"/>
  <c r="R330" i="1" s="1"/>
  <c r="K331" i="1"/>
  <c r="Q331" i="1" s="1"/>
  <c r="R331" i="1" s="1"/>
  <c r="K332" i="1"/>
  <c r="Q332" i="1" s="1"/>
  <c r="R332" i="1" s="1"/>
  <c r="K333" i="1"/>
  <c r="Q333" i="1" s="1"/>
  <c r="R333" i="1" s="1"/>
  <c r="K334" i="1"/>
  <c r="Q334" i="1" s="1"/>
  <c r="R334" i="1" s="1"/>
  <c r="K335" i="1"/>
  <c r="Q335" i="1" s="1"/>
  <c r="R335" i="1" s="1"/>
  <c r="K336" i="1"/>
  <c r="Q336" i="1" s="1"/>
  <c r="R336" i="1" s="1"/>
  <c r="K337" i="1"/>
  <c r="Q337" i="1" s="1"/>
  <c r="R337" i="1" s="1"/>
  <c r="K338" i="1"/>
  <c r="Q338" i="1" s="1"/>
  <c r="R338" i="1" s="1"/>
  <c r="K339" i="1"/>
  <c r="Q339" i="1" s="1"/>
  <c r="R339" i="1" s="1"/>
  <c r="K340" i="1"/>
  <c r="Q340" i="1" s="1"/>
  <c r="R340" i="1" s="1"/>
  <c r="K341" i="1"/>
  <c r="Q341" i="1" s="1"/>
  <c r="R341" i="1" s="1"/>
  <c r="K342" i="1"/>
  <c r="Q342" i="1" s="1"/>
  <c r="R342" i="1" s="1"/>
  <c r="K343" i="1"/>
  <c r="Q343" i="1" s="1"/>
  <c r="R343" i="1" s="1"/>
  <c r="K344" i="1"/>
  <c r="Q344" i="1" s="1"/>
  <c r="R344" i="1" s="1"/>
  <c r="K345" i="1"/>
  <c r="Q345" i="1" s="1"/>
  <c r="R345" i="1" s="1"/>
  <c r="K346" i="1"/>
  <c r="Q346" i="1" s="1"/>
  <c r="R346" i="1" s="1"/>
  <c r="K347" i="1"/>
  <c r="Q347" i="1" s="1"/>
  <c r="R347" i="1" s="1"/>
  <c r="K348" i="1"/>
  <c r="Q348" i="1" s="1"/>
  <c r="R348" i="1" s="1"/>
  <c r="K349" i="1"/>
  <c r="Q349" i="1" s="1"/>
  <c r="R349" i="1" s="1"/>
  <c r="K350" i="1"/>
  <c r="Q350" i="1" s="1"/>
  <c r="R350" i="1" s="1"/>
  <c r="K351" i="1"/>
  <c r="Q351" i="1" s="1"/>
  <c r="R351" i="1" s="1"/>
  <c r="K352" i="1"/>
  <c r="Q352" i="1" s="1"/>
  <c r="R352" i="1" s="1"/>
  <c r="K353" i="1"/>
  <c r="Q353" i="1" s="1"/>
  <c r="R353" i="1" s="1"/>
  <c r="K354" i="1"/>
  <c r="Q354" i="1" s="1"/>
  <c r="R354" i="1" s="1"/>
  <c r="K355" i="1"/>
  <c r="Q355" i="1" s="1"/>
  <c r="R355" i="1" s="1"/>
  <c r="K356" i="1"/>
  <c r="Q356" i="1" s="1"/>
  <c r="R356" i="1" s="1"/>
  <c r="K357" i="1"/>
  <c r="Q357" i="1" s="1"/>
  <c r="R357" i="1" s="1"/>
  <c r="K358" i="1"/>
  <c r="Q358" i="1" s="1"/>
  <c r="R358" i="1" s="1"/>
  <c r="K359" i="1"/>
  <c r="Q359" i="1" s="1"/>
  <c r="R359" i="1" s="1"/>
  <c r="K360" i="1"/>
  <c r="Q360" i="1" s="1"/>
  <c r="R360" i="1" s="1"/>
  <c r="K361" i="1"/>
  <c r="Q361" i="1" s="1"/>
  <c r="R361" i="1" s="1"/>
  <c r="K362" i="1"/>
  <c r="Q362" i="1" s="1"/>
  <c r="R362" i="1" s="1"/>
  <c r="K363" i="1"/>
  <c r="Q363" i="1" s="1"/>
  <c r="R363" i="1" s="1"/>
  <c r="K364" i="1"/>
  <c r="Q364" i="1" s="1"/>
  <c r="R364" i="1" s="1"/>
  <c r="K365" i="1"/>
  <c r="Q365" i="1" s="1"/>
  <c r="R365" i="1" s="1"/>
  <c r="K366" i="1"/>
  <c r="Q366" i="1" s="1"/>
  <c r="R366" i="1" s="1"/>
  <c r="K367" i="1"/>
  <c r="Q367" i="1" s="1"/>
  <c r="R367" i="1" s="1"/>
  <c r="K368" i="1"/>
  <c r="Q368" i="1" s="1"/>
  <c r="R368" i="1" s="1"/>
  <c r="K369" i="1"/>
  <c r="Q369" i="1" s="1"/>
  <c r="R369" i="1" s="1"/>
  <c r="K370" i="1"/>
  <c r="Q370" i="1" s="1"/>
  <c r="R370" i="1" s="1"/>
  <c r="K371" i="1"/>
  <c r="Q371" i="1" s="1"/>
  <c r="R371" i="1" s="1"/>
  <c r="K372" i="1"/>
  <c r="K373" i="1"/>
  <c r="Q373" i="1" s="1"/>
  <c r="R373" i="1" s="1"/>
  <c r="K374" i="1"/>
  <c r="Q374" i="1" s="1"/>
  <c r="R374" i="1" s="1"/>
  <c r="K375" i="1"/>
  <c r="Q375" i="1" s="1"/>
  <c r="R375" i="1" s="1"/>
  <c r="K376" i="1"/>
  <c r="Q376" i="1" s="1"/>
  <c r="R376" i="1" s="1"/>
  <c r="K377" i="1"/>
  <c r="K378" i="1"/>
  <c r="Q378" i="1" s="1"/>
  <c r="R378" i="1" s="1"/>
  <c r="K379" i="1"/>
  <c r="Q379" i="1" s="1"/>
  <c r="R379" i="1" s="1"/>
  <c r="K380" i="1"/>
  <c r="Q380" i="1" s="1"/>
  <c r="R380" i="1" s="1"/>
  <c r="K381" i="1"/>
  <c r="Q381" i="1" s="1"/>
  <c r="R381" i="1" s="1"/>
  <c r="K382" i="1"/>
  <c r="Q382" i="1" s="1"/>
  <c r="R382" i="1" s="1"/>
  <c r="K383" i="1"/>
  <c r="K384" i="1"/>
  <c r="K385" i="1"/>
  <c r="Q385" i="1" s="1"/>
  <c r="R385" i="1" s="1"/>
  <c r="K386" i="1"/>
  <c r="Q386" i="1" s="1"/>
  <c r="R386" i="1" s="1"/>
  <c r="K387" i="1"/>
  <c r="Q387" i="1" s="1"/>
  <c r="R387" i="1" s="1"/>
  <c r="K388" i="1"/>
  <c r="Q388" i="1" s="1"/>
  <c r="R388" i="1" s="1"/>
  <c r="K389" i="1"/>
  <c r="Q389" i="1" s="1"/>
  <c r="R389" i="1" s="1"/>
  <c r="K390" i="1"/>
  <c r="Q390" i="1" s="1"/>
  <c r="R390" i="1" s="1"/>
  <c r="K391" i="1"/>
  <c r="Q391" i="1" s="1"/>
  <c r="R391" i="1" s="1"/>
  <c r="K392" i="1"/>
  <c r="Q392" i="1" s="1"/>
  <c r="R392" i="1" s="1"/>
  <c r="K393" i="1"/>
  <c r="Q393" i="1" s="1"/>
  <c r="R393" i="1" s="1"/>
  <c r="K394" i="1"/>
  <c r="Q394" i="1" s="1"/>
  <c r="R394" i="1" s="1"/>
  <c r="K395" i="1"/>
  <c r="Q395" i="1" s="1"/>
  <c r="R395" i="1" s="1"/>
  <c r="K396" i="1"/>
  <c r="K397" i="1"/>
  <c r="K398" i="1"/>
  <c r="Q398" i="1" s="1"/>
  <c r="R398" i="1" s="1"/>
  <c r="K399" i="1"/>
  <c r="Q399" i="1" s="1"/>
  <c r="R399" i="1" s="1"/>
  <c r="K400" i="1"/>
  <c r="Q400" i="1" s="1"/>
  <c r="R400" i="1" s="1"/>
  <c r="K401" i="1"/>
  <c r="Q401" i="1" s="1"/>
  <c r="R401" i="1" s="1"/>
  <c r="K402" i="1"/>
  <c r="Q402" i="1" s="1"/>
  <c r="R402" i="1" s="1"/>
  <c r="K403" i="1"/>
  <c r="Q403" i="1" s="1"/>
  <c r="R403" i="1" s="1"/>
  <c r="K404" i="1"/>
  <c r="Q404" i="1" s="1"/>
  <c r="R404" i="1" s="1"/>
  <c r="K405" i="1"/>
  <c r="Q405" i="1" s="1"/>
  <c r="R405" i="1" s="1"/>
  <c r="K406" i="1"/>
  <c r="K407" i="1"/>
  <c r="Q407" i="1" s="1"/>
  <c r="R407" i="1" s="1"/>
  <c r="K408" i="1"/>
  <c r="K409" i="1"/>
  <c r="Q409" i="1" s="1"/>
  <c r="R409" i="1" s="1"/>
  <c r="K410" i="1"/>
  <c r="Q410" i="1" s="1"/>
  <c r="R410" i="1" s="1"/>
  <c r="K411" i="1"/>
  <c r="Q411" i="1" s="1"/>
  <c r="R411" i="1" s="1"/>
  <c r="K412" i="1"/>
  <c r="K413" i="1"/>
  <c r="Q413" i="1" s="1"/>
  <c r="R413" i="1" s="1"/>
  <c r="K414" i="1"/>
  <c r="Q414" i="1" s="1"/>
  <c r="R414" i="1" s="1"/>
  <c r="K415" i="1"/>
  <c r="Q415" i="1" s="1"/>
  <c r="R415" i="1" s="1"/>
  <c r="K416" i="1"/>
  <c r="K417" i="1"/>
  <c r="K418" i="1"/>
  <c r="Q418" i="1" s="1"/>
  <c r="R418" i="1" s="1"/>
  <c r="K419" i="1"/>
  <c r="Q419" i="1" s="1"/>
  <c r="R419" i="1" s="1"/>
  <c r="K420" i="1"/>
  <c r="K421" i="1"/>
  <c r="Q421" i="1" s="1"/>
  <c r="R421" i="1" s="1"/>
  <c r="K422" i="1"/>
  <c r="Q422" i="1" s="1"/>
  <c r="R422" i="1" s="1"/>
  <c r="K423" i="1"/>
  <c r="Q423" i="1" s="1"/>
  <c r="R423" i="1" s="1"/>
  <c r="K424" i="1"/>
  <c r="Q424" i="1" s="1"/>
  <c r="R424" i="1" s="1"/>
  <c r="K425" i="1"/>
  <c r="Q425" i="1" s="1"/>
  <c r="R425" i="1" s="1"/>
  <c r="K426" i="1"/>
  <c r="Q426" i="1" s="1"/>
  <c r="R426" i="1" s="1"/>
  <c r="K427" i="1"/>
  <c r="Q427" i="1" s="1"/>
  <c r="R427" i="1" s="1"/>
  <c r="K428" i="1"/>
  <c r="Q428" i="1" s="1"/>
  <c r="R428" i="1" s="1"/>
  <c r="K429" i="1"/>
  <c r="Q429" i="1" s="1"/>
  <c r="R429" i="1" s="1"/>
  <c r="K430" i="1"/>
  <c r="Q430" i="1" s="1"/>
  <c r="R430" i="1" s="1"/>
  <c r="K431" i="1"/>
  <c r="Q431" i="1" s="1"/>
  <c r="R431" i="1" s="1"/>
  <c r="K432" i="1"/>
  <c r="K433" i="1"/>
  <c r="Q433" i="1" s="1"/>
  <c r="R433" i="1" s="1"/>
  <c r="K434" i="1"/>
  <c r="K435" i="1"/>
  <c r="Q435" i="1" s="1"/>
  <c r="R435" i="1" s="1"/>
  <c r="K436" i="1"/>
  <c r="Q436" i="1" s="1"/>
  <c r="R436" i="1" s="1"/>
  <c r="K437" i="1"/>
  <c r="K438" i="1"/>
  <c r="Q438" i="1" s="1"/>
  <c r="R438" i="1" s="1"/>
  <c r="K439" i="1"/>
  <c r="Q439" i="1" s="1"/>
  <c r="R439" i="1" s="1"/>
  <c r="K440" i="1"/>
  <c r="Q440" i="1" s="1"/>
  <c r="R440" i="1" s="1"/>
  <c r="K441" i="1"/>
  <c r="Q441" i="1" s="1"/>
  <c r="R441" i="1" s="1"/>
  <c r="K442" i="1"/>
  <c r="Q442" i="1" s="1"/>
  <c r="R442" i="1" s="1"/>
  <c r="K443" i="1"/>
  <c r="K444" i="1"/>
  <c r="K445" i="1"/>
  <c r="Q445" i="1" s="1"/>
  <c r="R445" i="1" s="1"/>
  <c r="K446" i="1"/>
  <c r="Q446" i="1" s="1"/>
  <c r="R446" i="1" s="1"/>
  <c r="K447" i="1"/>
  <c r="Q447" i="1" s="1"/>
  <c r="R447" i="1" s="1"/>
  <c r="K448" i="1"/>
  <c r="Q448" i="1" s="1"/>
  <c r="R448" i="1" s="1"/>
  <c r="K449" i="1"/>
  <c r="K450" i="1"/>
  <c r="Q450" i="1" s="1"/>
  <c r="R450" i="1" s="1"/>
  <c r="K451" i="1"/>
  <c r="Q451" i="1" s="1"/>
  <c r="R451" i="1" s="1"/>
  <c r="K452" i="1"/>
  <c r="K453" i="1"/>
  <c r="Q453" i="1" s="1"/>
  <c r="R453" i="1" s="1"/>
  <c r="K454" i="1"/>
  <c r="K455" i="1"/>
  <c r="K456" i="1"/>
  <c r="K457" i="1"/>
  <c r="K458" i="1"/>
  <c r="Q458" i="1" s="1"/>
  <c r="R458" i="1" s="1"/>
  <c r="K459" i="1"/>
  <c r="Q459" i="1" s="1"/>
  <c r="R459" i="1" s="1"/>
  <c r="K460" i="1"/>
  <c r="Q460" i="1" s="1"/>
  <c r="R460" i="1" s="1"/>
  <c r="K461" i="1"/>
  <c r="K462" i="1"/>
  <c r="Q462" i="1" s="1"/>
  <c r="R462" i="1" s="1"/>
  <c r="K463" i="1"/>
  <c r="Q463" i="1" s="1"/>
  <c r="R463" i="1" s="1"/>
  <c r="K464" i="1"/>
  <c r="Q464" i="1" s="1"/>
  <c r="R464" i="1" s="1"/>
  <c r="K465" i="1"/>
  <c r="Q465" i="1" s="1"/>
  <c r="R465" i="1" s="1"/>
  <c r="K466" i="1"/>
  <c r="Q466" i="1" s="1"/>
  <c r="R466" i="1" s="1"/>
  <c r="K467" i="1"/>
  <c r="Q467" i="1" s="1"/>
  <c r="R467" i="1" s="1"/>
  <c r="K468" i="1"/>
  <c r="K469" i="1"/>
  <c r="Q469" i="1" s="1"/>
  <c r="R469" i="1" s="1"/>
  <c r="K470" i="1"/>
  <c r="Q470" i="1" s="1"/>
  <c r="R470" i="1" s="1"/>
  <c r="K471" i="1"/>
  <c r="Q471" i="1" s="1"/>
  <c r="R471" i="1" s="1"/>
  <c r="K472" i="1"/>
  <c r="Q472" i="1" s="1"/>
  <c r="R472" i="1" s="1"/>
  <c r="K473" i="1"/>
  <c r="K474" i="1"/>
  <c r="Q474" i="1" s="1"/>
  <c r="R474" i="1" s="1"/>
  <c r="K475" i="1"/>
  <c r="Q475" i="1" s="1"/>
  <c r="R475" i="1" s="1"/>
  <c r="K476" i="1"/>
  <c r="Q476" i="1" s="1"/>
  <c r="R476" i="1" s="1"/>
  <c r="K477" i="1"/>
  <c r="K478" i="1"/>
  <c r="Q478" i="1" s="1"/>
  <c r="R478" i="1" s="1"/>
  <c r="K479" i="1"/>
  <c r="Q479" i="1" s="1"/>
  <c r="R479" i="1" s="1"/>
  <c r="K480" i="1"/>
  <c r="K481" i="1"/>
  <c r="Q481" i="1" s="1"/>
  <c r="R481" i="1" s="1"/>
  <c r="K482" i="1"/>
  <c r="Q482" i="1" s="1"/>
  <c r="R482" i="1" s="1"/>
  <c r="K483" i="1"/>
  <c r="K5" i="1"/>
  <c r="K6" i="1"/>
  <c r="K7" i="1"/>
  <c r="K8" i="1"/>
  <c r="K9" i="1"/>
  <c r="Q9" i="1" s="1"/>
  <c r="K10" i="1"/>
  <c r="Q10" i="1" s="1"/>
  <c r="K11" i="1"/>
  <c r="Q11" i="1" s="1"/>
  <c r="K4" i="1"/>
  <c r="Q480" i="1" l="1"/>
  <c r="R480" i="1" s="1"/>
  <c r="Q468" i="1"/>
  <c r="R468" i="1" s="1"/>
  <c r="Q473" i="1"/>
  <c r="R473" i="1" s="1"/>
  <c r="Q449" i="1"/>
  <c r="R449" i="1" s="1"/>
  <c r="Q456" i="1"/>
  <c r="R456" i="1" s="1"/>
  <c r="Q461" i="1"/>
  <c r="R461" i="1" s="1"/>
  <c r="Q69" i="1"/>
  <c r="R69" i="1" s="1"/>
  <c r="Q107" i="1"/>
  <c r="R107" i="1" s="1"/>
  <c r="Q93" i="1"/>
  <c r="R93" i="1" s="1"/>
  <c r="Q144" i="1"/>
  <c r="R144" i="1" s="1"/>
  <c r="Q412" i="1"/>
  <c r="R412" i="1" s="1"/>
  <c r="Q164" i="1"/>
  <c r="R164" i="1" s="1"/>
  <c r="Q416" i="1"/>
  <c r="R416" i="1" s="1"/>
  <c r="Q452" i="1"/>
  <c r="R452" i="1" s="1"/>
  <c r="Q443" i="1"/>
  <c r="R443" i="1" s="1"/>
  <c r="Q81" i="1"/>
  <c r="R81" i="1" s="1"/>
  <c r="Q80" i="1"/>
  <c r="R80" i="1" s="1"/>
  <c r="Q76" i="1"/>
  <c r="R76" i="1" s="1"/>
  <c r="Q62" i="1"/>
  <c r="R62" i="1" s="1"/>
  <c r="Q24" i="1"/>
  <c r="R24" i="1" s="1"/>
  <c r="Q26" i="1"/>
  <c r="R26" i="1" s="1"/>
  <c r="Q14" i="1"/>
  <c r="R14" i="1" s="1"/>
  <c r="Q36" i="1"/>
  <c r="R36" i="1" s="1"/>
  <c r="Q67" i="1"/>
  <c r="R67" i="1" s="1"/>
  <c r="Q65" i="1"/>
  <c r="R65" i="1" s="1"/>
  <c r="Q61" i="1"/>
  <c r="R61" i="1" s="1"/>
  <c r="Q60" i="1"/>
  <c r="R60" i="1" s="1"/>
  <c r="Q31" i="1"/>
  <c r="R31" i="1" s="1"/>
  <c r="Q19" i="1"/>
  <c r="R19" i="1" s="1"/>
  <c r="Q30" i="1"/>
  <c r="R30" i="1" s="1"/>
  <c r="Q17" i="1"/>
  <c r="R17" i="1" s="1"/>
  <c r="Q16" i="1"/>
  <c r="R16" i="1" s="1"/>
  <c r="Q33" i="1"/>
  <c r="R33" i="1" s="1"/>
  <c r="Q35" i="1"/>
  <c r="R35" i="1" s="1"/>
  <c r="Q22" i="1"/>
  <c r="R22" i="1" s="1"/>
  <c r="Q20" i="1"/>
  <c r="R20" i="1" s="1"/>
  <c r="Q28" i="1"/>
  <c r="R28" i="1" s="1"/>
  <c r="Q40" i="1"/>
  <c r="R40" i="1" s="1"/>
  <c r="Q44" i="1"/>
  <c r="R44" i="1" s="1"/>
  <c r="Q41" i="1"/>
  <c r="R41" i="1" s="1"/>
  <c r="Q29" i="1"/>
  <c r="R29" i="1" s="1"/>
  <c r="Q27" i="1"/>
  <c r="R27" i="1" s="1"/>
  <c r="Q23" i="1"/>
  <c r="R23" i="1" s="1"/>
  <c r="Q444" i="1"/>
  <c r="R444" i="1" s="1"/>
  <c r="Q420" i="1"/>
  <c r="R420" i="1" s="1"/>
  <c r="Q396" i="1"/>
  <c r="R396" i="1" s="1"/>
  <c r="Q408" i="1"/>
  <c r="R408" i="1" s="1"/>
  <c r="Q384" i="1"/>
  <c r="R384" i="1" s="1"/>
  <c r="Q432" i="1"/>
  <c r="R432" i="1" s="1"/>
  <c r="Q372" i="1"/>
  <c r="R372" i="1" s="1"/>
  <c r="Q163" i="1"/>
  <c r="R163" i="1" s="1"/>
  <c r="Q257" i="1"/>
  <c r="R257" i="1" s="1"/>
  <c r="Q383" i="1"/>
  <c r="R383" i="1" s="1"/>
  <c r="Q280" i="1"/>
  <c r="R280" i="1" s="1"/>
  <c r="Q300" i="1"/>
  <c r="R300" i="1" s="1"/>
  <c r="Q58" i="1"/>
  <c r="R58" i="1" s="1"/>
  <c r="Q18" i="1"/>
  <c r="R18" i="1" s="1"/>
  <c r="Q477" i="1"/>
  <c r="R477" i="1" s="1"/>
  <c r="Q437" i="1"/>
  <c r="R437" i="1" s="1"/>
  <c r="Q34" i="1"/>
  <c r="R34" i="1" s="1"/>
  <c r="Q457" i="1"/>
  <c r="R457" i="1" s="1"/>
  <c r="Q417" i="1"/>
  <c r="R417" i="1" s="1"/>
  <c r="Q397" i="1"/>
  <c r="R397" i="1" s="1"/>
  <c r="Q317" i="1"/>
  <c r="R317" i="1" s="1"/>
  <c r="Q297" i="1"/>
  <c r="R297" i="1" s="1"/>
  <c r="Q136" i="1"/>
  <c r="R136" i="1" s="1"/>
  <c r="Q454" i="1"/>
  <c r="R454" i="1" s="1"/>
  <c r="Q434" i="1"/>
  <c r="R434" i="1" s="1"/>
  <c r="Q124" i="1"/>
  <c r="R124" i="1" s="1"/>
  <c r="Q483" i="1"/>
  <c r="R483" i="1" s="1"/>
  <c r="Q455" i="1"/>
  <c r="R455" i="1" s="1"/>
  <c r="Q32" i="1"/>
  <c r="R32" i="1" s="1"/>
  <c r="Q25" i="1"/>
  <c r="R25" i="1" s="1"/>
  <c r="Q21" i="1"/>
  <c r="R21" i="1" s="1"/>
  <c r="Q15" i="1"/>
  <c r="R15" i="1" s="1"/>
  <c r="Q13" i="1"/>
  <c r="R13" i="1" s="1"/>
  <c r="Q12" i="1"/>
  <c r="R12" i="1" s="1"/>
  <c r="Q4" i="1"/>
  <c r="R4" i="1" s="1"/>
  <c r="Q406" i="1"/>
  <c r="R406" i="1" s="1"/>
  <c r="Q377" i="1"/>
  <c r="R377" i="1" s="1"/>
  <c r="Q79" i="1"/>
  <c r="R79" i="1" s="1"/>
  <c r="Q7" i="1"/>
  <c r="R7" i="1" s="1"/>
  <c r="Q8" i="1"/>
  <c r="R8" i="1" s="1"/>
  <c r="Q6" i="1"/>
  <c r="R6" i="1" s="1"/>
  <c r="Q5" i="1"/>
  <c r="R5" i="1" s="1"/>
  <c r="R11" i="1"/>
  <c r="R10" i="1"/>
  <c r="R9" i="1"/>
</calcChain>
</file>

<file path=xl/sharedStrings.xml><?xml version="1.0" encoding="utf-8"?>
<sst xmlns="http://schemas.openxmlformats.org/spreadsheetml/2006/main" count="246" uniqueCount="143">
  <si>
    <t>Date</t>
  </si>
  <si>
    <t>Lot No</t>
  </si>
  <si>
    <t>BK_Wholes</t>
  </si>
  <si>
    <t>BK_Pieces</t>
  </si>
  <si>
    <t>BK_Reject</t>
  </si>
  <si>
    <t>BK_Oil</t>
  </si>
  <si>
    <t>Loss</t>
  </si>
  <si>
    <t>Dry Loss %</t>
  </si>
  <si>
    <t>Before Borma (kg's)</t>
  </si>
  <si>
    <t>After Borma (kg's)</t>
  </si>
  <si>
    <t>Wholes (kg's)</t>
  </si>
  <si>
    <t>Pieces (kg's)</t>
  </si>
  <si>
    <t>Oil (kg's)</t>
  </si>
  <si>
    <t>Rejection (kg's)</t>
  </si>
  <si>
    <t>ANG26E01</t>
  </si>
  <si>
    <t>ANG26E02</t>
  </si>
  <si>
    <t>ANG26E03</t>
  </si>
  <si>
    <t>ANG26E04</t>
  </si>
  <si>
    <t>ANG26E05</t>
  </si>
  <si>
    <t>ANG26E06</t>
  </si>
  <si>
    <t>ANG26E07</t>
  </si>
  <si>
    <t>ANG26E08</t>
  </si>
  <si>
    <t>ANG26E09</t>
  </si>
  <si>
    <t>Borma Process report</t>
  </si>
  <si>
    <t>ANG26E10</t>
  </si>
  <si>
    <t>ANG26E11</t>
  </si>
  <si>
    <t>ANG26E12</t>
  </si>
  <si>
    <t>Month</t>
  </si>
  <si>
    <t>Row Labels</t>
  </si>
  <si>
    <t>Grand Total</t>
  </si>
  <si>
    <t>ANG26E13</t>
  </si>
  <si>
    <t>Week</t>
  </si>
  <si>
    <t>Average of Dry Loss %</t>
  </si>
  <si>
    <t>ANG26E14</t>
  </si>
  <si>
    <t>ANG26E15</t>
  </si>
  <si>
    <t>ANG26E16</t>
  </si>
  <si>
    <t>ANG26E17</t>
  </si>
  <si>
    <t>ANG26E18</t>
  </si>
  <si>
    <t>ANG26F01</t>
  </si>
  <si>
    <t>ANG26F02</t>
  </si>
  <si>
    <t>ANG26F03</t>
  </si>
  <si>
    <t>ANG26F04</t>
  </si>
  <si>
    <t>ANG26F05</t>
  </si>
  <si>
    <t>ANG26F06</t>
  </si>
  <si>
    <t>ANG26F07</t>
  </si>
  <si>
    <t>ANG26F08</t>
  </si>
  <si>
    <t>ANG26F09</t>
  </si>
  <si>
    <t>Average of Total Time (Hrs)</t>
  </si>
  <si>
    <t>ANG26F10</t>
  </si>
  <si>
    <t>ANG26F11</t>
  </si>
  <si>
    <t>ANG26F12</t>
  </si>
  <si>
    <t>ANG26F13</t>
  </si>
  <si>
    <t>ANG26F14</t>
  </si>
  <si>
    <t>ANG26F15</t>
  </si>
  <si>
    <t>ANG26F16</t>
  </si>
  <si>
    <t>ANG26F17</t>
  </si>
  <si>
    <t>ANG26F18</t>
  </si>
  <si>
    <t>ANG26F19</t>
  </si>
  <si>
    <t>ANG26F20A</t>
  </si>
  <si>
    <t>ANG26F20B</t>
  </si>
  <si>
    <t>ANG26F21</t>
  </si>
  <si>
    <t>ANG26F22</t>
  </si>
  <si>
    <t>ANG26F23</t>
  </si>
  <si>
    <t>ANG26F24</t>
  </si>
  <si>
    <t>ANG26F25</t>
  </si>
  <si>
    <t>BIN No</t>
  </si>
  <si>
    <t>ANG26G01</t>
  </si>
  <si>
    <t>ANG26G02</t>
  </si>
  <si>
    <t>ANG26G03</t>
  </si>
  <si>
    <t>ANG26G04</t>
  </si>
  <si>
    <t>ANG26G05</t>
  </si>
  <si>
    <t>ANG26G06</t>
  </si>
  <si>
    <t>ANG26G07</t>
  </si>
  <si>
    <t>ANG26G08</t>
  </si>
  <si>
    <t>ANG26G09</t>
  </si>
  <si>
    <t>ANG26G10</t>
  </si>
  <si>
    <t>ANA-01</t>
  </si>
  <si>
    <t>ANA-02</t>
  </si>
  <si>
    <t>ANA-05A</t>
  </si>
  <si>
    <t>ANA-02A</t>
  </si>
  <si>
    <t>ANG26G11</t>
  </si>
  <si>
    <t>ANG26G12</t>
  </si>
  <si>
    <t>ANG26G13</t>
  </si>
  <si>
    <t>ANG26G14</t>
  </si>
  <si>
    <t>ANG26G15</t>
  </si>
  <si>
    <t>ANG26G16</t>
  </si>
  <si>
    <t>ANA-2A</t>
  </si>
  <si>
    <t>ANG26G17</t>
  </si>
  <si>
    <t>ANA-3B</t>
  </si>
  <si>
    <t>ANG26G18</t>
  </si>
  <si>
    <t>ANG26G19</t>
  </si>
  <si>
    <t>ANG26G20</t>
  </si>
  <si>
    <t>ANG26G21</t>
  </si>
  <si>
    <t>ANG26G22</t>
  </si>
  <si>
    <t>ANG26G23</t>
  </si>
  <si>
    <t>ANG26G24</t>
  </si>
  <si>
    <t>ANG26G25</t>
  </si>
  <si>
    <t>ANG26G26</t>
  </si>
  <si>
    <t>ANG26H01</t>
  </si>
  <si>
    <t>ANG26H02</t>
  </si>
  <si>
    <t>ANG26H03</t>
  </si>
  <si>
    <t>Aug-26</t>
  </si>
  <si>
    <t>ANG26H05</t>
  </si>
  <si>
    <t>ANG26H04</t>
  </si>
  <si>
    <t>ANG26H06</t>
  </si>
  <si>
    <t>ANG26H07</t>
  </si>
  <si>
    <t>ANG26H08</t>
  </si>
  <si>
    <t>ANG26H09</t>
  </si>
  <si>
    <t>ANG26H10</t>
  </si>
  <si>
    <t>May-26</t>
  </si>
  <si>
    <t>Jun-26</t>
  </si>
  <si>
    <t>Jul-26</t>
  </si>
  <si>
    <t>Before Borma (Kgs)</t>
  </si>
  <si>
    <t>After Borma (Kgs)</t>
  </si>
  <si>
    <t>Loss (kgs)</t>
  </si>
  <si>
    <t>Avg. Loss %</t>
  </si>
  <si>
    <t>ANA-03B</t>
  </si>
  <si>
    <t>ANA-07</t>
  </si>
  <si>
    <t>ANG26H11</t>
  </si>
  <si>
    <t>ANG26H12</t>
  </si>
  <si>
    <t>ANG26H13</t>
  </si>
  <si>
    <t>ANG26H14</t>
  </si>
  <si>
    <t>ANG26H15</t>
  </si>
  <si>
    <t>ANG26H16</t>
  </si>
  <si>
    <t>ANG26H17</t>
  </si>
  <si>
    <t>ANG26H18</t>
  </si>
  <si>
    <t>ANG26H19</t>
  </si>
  <si>
    <t>ANG26H20</t>
  </si>
  <si>
    <t>ANG26H21</t>
  </si>
  <si>
    <t>ANG26H22</t>
  </si>
  <si>
    <t>ANG26H23</t>
  </si>
  <si>
    <t>ANG26H24</t>
  </si>
  <si>
    <t>ANG26I01</t>
  </si>
  <si>
    <t>ANG26I02</t>
  </si>
  <si>
    <t>ANG26I03</t>
  </si>
  <si>
    <t>ANG26I04</t>
  </si>
  <si>
    <t>ANG26I05</t>
  </si>
  <si>
    <t>ANG26I06</t>
  </si>
  <si>
    <t>ANG26I07</t>
  </si>
  <si>
    <t>ANG26I08</t>
  </si>
  <si>
    <t>ANG26I09</t>
  </si>
  <si>
    <t>ANG26I10</t>
  </si>
  <si>
    <t>ANG26I11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</si>
</sst>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" fontId="0" fillId="0" borderId="0" xfId="0" applyNumberFormat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64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  <xf numFmtId="43" fontId="0" fillId="0" borderId="0" xfId="0" applyNumberFormat="1"/>
  </cellXfs>
  <cellStyles count="1">
    <cellStyle name="Normal" xfId="0" builtinId="0"/>
  </cellStyles>
  <dxfs count="24">
    <dxf>
      <numFmt numFmtId="164" formatCode="0.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1" formatCode="dd/mmm"/>
    </dxf>
    <dxf>
      <numFmt numFmtId="21" formatCode="dd/mmm"/>
    </dxf>
    <dxf>
      <numFmt numFmtId="1" formatCode="0"/>
    </dxf>
    <dxf>
      <numFmt numFmtId="21" formatCode="dd/mmm"/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164" formatCode="0.0"/>
    </dxf>
    <dxf>
      <numFmt numFmtId="1" formatCode="0"/>
    </dxf>
    <dxf>
      <numFmt numFmtId="35" formatCode="_(* #,##0.00_);_(* \(#,##0.00\);_(* &quot;-&quot;??_);_(@_)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[8.Borma Process Report.xlsx]Sheet3!PivotTable3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Borma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0925337632079971E-17"/>
              <c:y val="-2.7777777777777776E-2"/>
            </c:manualLayout>
          </c:layout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3.2407407407407406E-2"/>
            </c:manualLayout>
          </c:layout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7777777777777779E-3"/>
              <c:y val="-3.2407407407407406E-2"/>
            </c:manualLayout>
          </c:layout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7777777777777779E-3"/>
              <c:y val="-4.6296296296296335E-2"/>
            </c:manualLayout>
          </c:layout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636482939632552E-2"/>
          <c:y val="0.2437456255468067"/>
          <c:w val="0.81507020997375346"/>
          <c:h val="0.4419127296587926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Dry Loss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29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</c:strCache>
            </c:strRef>
          </c:cat>
          <c:val>
            <c:numRef>
              <c:f>Sheet3!$C$4:$C$8</c:f>
              <c:numCache>
                <c:formatCode>0.0</c:formatCode>
                <c:ptCount val="4"/>
                <c:pt idx="0">
                  <c:v>6.2142376022967332</c:v>
                </c:pt>
                <c:pt idx="1">
                  <c:v>6.4500344650265449</c:v>
                </c:pt>
                <c:pt idx="2">
                  <c:v>6.8230862637961769</c:v>
                </c:pt>
                <c:pt idx="3">
                  <c:v>6.6078778268315164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E-47A4-B189-CB43C2985A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6429168"/>
        <c:axId val="36437808"/>
      </c:barChart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Average of Total Time (Hrs)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29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</c:strCache>
            </c:strRef>
          </c:cat>
          <c:val>
            <c:numRef>
              <c:f>Sheet3!$B$4:$B$8</c:f>
              <c:numCache>
                <c:formatCode>0</c:formatCode>
                <c:ptCount val="4"/>
                <c:pt idx="0">
                  <c:v>9</c:v>
                </c:pt>
                <c:pt idx="1">
                  <c:v>9</c:v>
                </c:pt>
                <c:pt idx="2">
                  <c:v>1.5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E-47A4-B189-CB43C2985A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429168"/>
        <c:axId val="36437808"/>
      </c:lineChart>
      <c:catAx>
        <c:axId val="3642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37808"/>
        <c:crosses val="autoZero"/>
        <c:auto val="1"/>
        <c:lblAlgn val="ctr"/>
        <c:lblOffset val="100"/>
        <c:noMultiLvlLbl val="0"/>
      </c:catAx>
      <c:valAx>
        <c:axId val="3643780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2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681780402449694"/>
          <c:y val="0.83701334208223976"/>
          <c:w val="0.70207108486439185"/>
          <c:h val="0.158702610090405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655320</xdr:colOff>
      <xdr:row>0</xdr:row>
      <xdr:rowOff>64770</xdr:rowOff>
    </xdr:from>
    <xdr:to>
      <xdr:col>10</xdr:col>
      <xdr:colOff>289560</xdr:colOff>
      <xdr:row>15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C6991-C5FE-BD1A-B794-8FB45CDAC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3.911159374999" createdVersion="8" refreshedVersion="8" minRefreshableVersion="3" recordCount="480" xr:uid="{E7AFAFED-4A6A-456C-93BF-10E30F2F056B}">
  <cacheSource type="worksheet">
    <worksheetSource name="Table1"/>
  </cacheSource>
  <cacheFields count="30">
    <cacheField name="Date" numFmtId="16">
      <sharedItems containsNonDate="0" containsDate="1" containsString="0" containsBlank="1" minDate="2026-05-11T00:00:00" maxDate="2026-08-18T00:00:00" count="76">
        <d v="2026-05-11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4T00:00:00"/>
        <d v="2026-05-26T00:00:00"/>
        <d v="2026-05-27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2T00:00:00"/>
        <d v="2026-06-24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4T00:00:00"/>
        <d v="2026-07-06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1T00:00:00"/>
        <d v="2026-07-22T00:00:00"/>
        <d v="2026-07-23T00:00:00"/>
        <d v="2026-07-24T00:00:00"/>
        <d v="2026-07-25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8T00:00:00"/>
        <d v="2026-08-10T00:00:00"/>
        <d v="2026-08-11T00:00:00"/>
        <d v="2026-08-12T00:00:00"/>
        <d v="2026-08-13T00:00:00"/>
        <d v="2026-08-14T00:00:00"/>
        <d v="2026-08-17T00:00:00"/>
        <m/>
      </sharedItems>
      <fieldGroup par="29"/>
    </cacheField>
    <cacheField name="Week" numFmtId="1">
      <sharedItems containsSemiMixedTypes="0" containsString="0" containsNumber="1" containsInteger="1" minValue="0" maxValue="34" count="17"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0"/>
        <n v="14" u="1"/>
      </sharedItems>
    </cacheField>
    <cacheField name="Month" numFmtId="16">
      <sharedItems count="6">
        <s v="May-26"/>
        <s v="Jun-26"/>
        <s v="Jul-26"/>
        <s v="Aug-26"/>
        <s v="Jan-00"/>
        <s v="Apr-26" u="1"/>
      </sharedItems>
    </cacheField>
    <cacheField name="BIN No" numFmtId="16">
      <sharedItems containsBlank="1"/>
    </cacheField>
    <cacheField name="Lot No" numFmtId="0">
      <sharedItems containsBlank="1"/>
    </cacheField>
    <cacheField name="Cycle 1 - Temp (deg C)" numFmtId="0">
      <sharedItems containsString="0" containsBlank="1" containsNumber="1" containsInteger="1" minValue="77" maxValue="80"/>
    </cacheField>
    <cacheField name="Cycle 1 Time (hrs)" numFmtId="0">
      <sharedItems containsString="0" containsBlank="1" containsNumber="1" containsInteger="1" minValue="4" maxValue="4"/>
    </cacheField>
    <cacheField name="Cycle 2 - Temp (deg C)" numFmtId="0">
      <sharedItems containsString="0" containsBlank="1" containsNumber="1" containsInteger="1" minValue="77" maxValue="77"/>
    </cacheField>
    <cacheField name="Cycle 2 Time (hrs)" numFmtId="0">
      <sharedItems containsString="0" containsBlank="1" containsNumber="1" containsInteger="1" minValue="2" maxValue="4"/>
    </cacheField>
    <cacheField name="Cycle 3 - Temp (deg C)" numFmtId="0">
      <sharedItems containsString="0" containsBlank="1" containsNumber="1" containsInteger="1" minValue="75" maxValue="77"/>
    </cacheField>
    <cacheField name="Cycle 3 Time (hrs)" numFmtId="0">
      <sharedItems containsString="0" containsBlank="1" containsNumber="1" containsInteger="1" minValue="0" maxValue="2"/>
    </cacheField>
    <cacheField name="Cycle 4 - Temp (deg C)" numFmtId="0">
      <sharedItems containsString="0" containsBlank="1" containsNumber="1" containsInteger="1" minValue="72" maxValue="72"/>
    </cacheField>
    <cacheField name="Cycle 4 Time (hrs)" numFmtId="0">
      <sharedItems containsString="0" containsBlank="1" containsNumber="1" containsInteger="1" minValue="0" maxValue="2"/>
    </cacheField>
    <cacheField name="Total Time (Hrs)" numFmtId="0">
      <sharedItems containsSemiMixedTypes="0" containsString="0" containsNumber="1" containsInteger="1" minValue="0" maxValue="12"/>
    </cacheField>
    <cacheField name="Wholes (kg's)" numFmtId="0">
      <sharedItems containsString="0" containsBlank="1" containsNumber="1" minValue="3114" maxValue="40547.599999999999"/>
    </cacheField>
    <cacheField name="Pieces (kg's)" numFmtId="0">
      <sharedItems containsString="0" containsBlank="1" containsNumber="1" minValue="0" maxValue="1330.6"/>
    </cacheField>
    <cacheField name="Rejection (kg's)" numFmtId="0">
      <sharedItems containsString="0" containsBlank="1" containsNumber="1" minValue="0" maxValue="1138.5999999999999"/>
    </cacheField>
    <cacheField name="Oil (kg's)" numFmtId="0">
      <sharedItems containsString="0" containsBlank="1" containsNumber="1" minValue="0" maxValue="787"/>
    </cacheField>
    <cacheField name="Before Borma (kg's)" numFmtId="0">
      <sharedItems containsSemiMixedTypes="0" containsString="0" containsNumber="1" minValue="0" maxValue="41155.600000000006"/>
    </cacheField>
    <cacheField name="Moisture % (Before Borma)" numFmtId="0">
      <sharedItems containsString="0" containsBlank="1" containsNumber="1" minValue="7.3" maxValue="9.6"/>
    </cacheField>
    <cacheField name="BK_Wholes" numFmtId="0">
      <sharedItems containsString="0" containsBlank="1" containsNumber="1" minValue="2927.16" maxValue="38049.9"/>
    </cacheField>
    <cacheField name="BK_Pieces" numFmtId="0">
      <sharedItems containsString="0" containsBlank="1" containsNumber="1" minValue="0" maxValue="1252.0999999999999"/>
    </cacheField>
    <cacheField name="BK_Reject" numFmtId="0">
      <sharedItems containsString="0" containsBlank="1" containsNumber="1" minValue="0" maxValue="1061.2"/>
    </cacheField>
    <cacheField name="BK_Oil" numFmtId="0">
      <sharedItems containsString="0" containsBlank="1" containsNumber="1" minValue="0" maxValue="735.1"/>
    </cacheField>
    <cacheField name="After Borma (kg's)" numFmtId="0">
      <sharedItems containsSemiMixedTypes="0" containsString="0" containsNumber="1" minValue="0" maxValue="38577.1"/>
    </cacheField>
    <cacheField name="Moisture  % (After Borma)" numFmtId="0">
      <sharedItems containsString="0" containsBlank="1" containsNumber="1" minValue="2.5" maxValue="3.8"/>
    </cacheField>
    <cacheField name="Loss" numFmtId="0">
      <sharedItems containsSemiMixedTypes="0" containsString="0" containsNumber="1" minValue="0" maxValue="2722"/>
    </cacheField>
    <cacheField name="Dry Loss %" numFmtId="164">
      <sharedItems containsMixedTypes="1" containsNumber="1" minValue="4.3113571548398166" maxValue="8.3272136444583271"/>
    </cacheField>
    <cacheField name="Days (Date)" numFmtId="0" databaseField="0">
      <fieldGroup base="0">
        <rangePr groupBy="days" startDate="2026-05-11T00:00:00" endDate="2026-08-18T00:00:00"/>
        <groupItems count="368">
          <s v="&lt;11-05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8-08-26"/>
        </groupItems>
      </fieldGroup>
    </cacheField>
    <cacheField name="Months (Date)" numFmtId="0" databaseField="0">
      <fieldGroup base="0">
        <rangePr groupBy="months" startDate="2026-05-11T00:00:00" endDate="2026-08-18T00:00:00"/>
        <groupItems count="14">
          <s v="&lt;11-05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08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x v="0"/>
    <x v="0"/>
    <x v="0"/>
    <s v="ANA-01"/>
    <s v="ANG26E01"/>
    <n v="80"/>
    <n v="4"/>
    <n v="77"/>
    <n v="2"/>
    <n v="75"/>
    <n v="2"/>
    <n v="72"/>
    <n v="2"/>
    <n v="10"/>
    <n v="4956.3"/>
    <n v="244.1"/>
    <n v="440"/>
    <n v="65.3"/>
    <n v="5640.4000000000005"/>
    <n v="9.5"/>
    <n v="4460"/>
    <n v="460"/>
    <n v="340"/>
    <n v="100"/>
    <n v="5260"/>
    <n v="3.8"/>
    <n v="380.40000000000055"/>
    <n v="6.744202538827043"/>
  </r>
  <r>
    <x v="1"/>
    <x v="0"/>
    <x v="0"/>
    <s v="ANA-01"/>
    <s v="ANG26E02"/>
    <n v="80"/>
    <n v="4"/>
    <n v="77"/>
    <n v="4"/>
    <n v="75"/>
    <n v="2"/>
    <n v="72"/>
    <n v="2"/>
    <n v="12"/>
    <n v="3402.8"/>
    <n v="110.5"/>
    <n v="108.5"/>
    <n v="143.19999999999999"/>
    <n v="3621.8"/>
    <n v="9.1999999999999993"/>
    <n v="3198.63"/>
    <n v="103.87"/>
    <n v="101.0899999999999"/>
    <n v="134.61000000000001"/>
    <n v="3403.5899999999997"/>
    <n v="3.5"/>
    <n v="218.21000000000049"/>
    <n v="6.0249047434977214"/>
  </r>
  <r>
    <x v="2"/>
    <x v="0"/>
    <x v="0"/>
    <s v="ANA-01"/>
    <s v="ANG26E03"/>
    <n v="80"/>
    <n v="4"/>
    <n v="77"/>
    <n v="4"/>
    <n v="75"/>
    <n v="2"/>
    <n v="72"/>
    <n v="2"/>
    <n v="12"/>
    <n v="6477.6"/>
    <n v="295.2"/>
    <n v="168"/>
    <n v="121"/>
    <n v="6940.8"/>
    <n v="9"/>
    <n v="6081.27"/>
    <n v="277.89999999999998"/>
    <n v="163.67000000000007"/>
    <n v="120.5"/>
    <n v="6522.84"/>
    <n v="3.4"/>
    <n v="417.96000000000004"/>
    <n v="6.021784232365146"/>
  </r>
  <r>
    <x v="2"/>
    <x v="0"/>
    <x v="0"/>
    <s v="ANA-01"/>
    <s v="ANG26E04"/>
    <n v="80"/>
    <n v="4"/>
    <n v="77"/>
    <n v="4"/>
    <n v="75"/>
    <n v="2"/>
    <n v="72"/>
    <n v="2"/>
    <n v="12"/>
    <n v="4681.2"/>
    <n v="213.3"/>
    <n v="121.5"/>
    <n v="87.2"/>
    <n v="5016"/>
    <n v="9.4"/>
    <n v="4408"/>
    <n v="200.09"/>
    <n v="103.56000000000029"/>
    <n v="75.209999999999994"/>
    <n v="4711.6500000000005"/>
    <n v="3.1"/>
    <n v="304.34999999999945"/>
    <n v="6.0675837320574058"/>
  </r>
  <r>
    <x v="3"/>
    <x v="1"/>
    <x v="0"/>
    <s v="ANA-01"/>
    <s v="ANG26E05"/>
    <n v="80"/>
    <n v="4"/>
    <n v="77"/>
    <n v="4"/>
    <n v="75"/>
    <n v="2"/>
    <n v="72"/>
    <n v="2"/>
    <n v="12"/>
    <n v="3114"/>
    <n v="105.5"/>
    <n v="218"/>
    <n v="48"/>
    <n v="3437.5"/>
    <n v="9.4"/>
    <n v="2927.16"/>
    <n v="99.17"/>
    <n v="201.28999999999988"/>
    <n v="45.12"/>
    <n v="3227.62"/>
    <n v="3.5"/>
    <n v="209.88000000000011"/>
    <n v="6.1056000000000035"/>
  </r>
  <r>
    <x v="4"/>
    <x v="1"/>
    <x v="0"/>
    <s v="ANA-01"/>
    <s v="ANG26E06"/>
    <n v="80"/>
    <n v="4"/>
    <n v="77"/>
    <n v="4"/>
    <n v="75"/>
    <n v="0"/>
    <n v="72"/>
    <n v="0"/>
    <n v="8"/>
    <n v="7867.5"/>
    <n v="229.7"/>
    <n v="229.6"/>
    <n v="186"/>
    <n v="8326.7999999999993"/>
    <n v="9.6"/>
    <n v="7395.45"/>
    <n v="215.92"/>
    <n v="197.84999999999974"/>
    <n v="174.84"/>
    <n v="7809.2199999999993"/>
    <n v="3.6"/>
    <n v="517.57999999999993"/>
    <n v="6.21583321323918"/>
  </r>
  <r>
    <x v="5"/>
    <x v="1"/>
    <x v="0"/>
    <s v="ANA-01"/>
    <s v="ANG26E07"/>
    <n v="80"/>
    <n v="4"/>
    <n v="77"/>
    <n v="4"/>
    <n v="75"/>
    <n v="0"/>
    <n v="72"/>
    <n v="0"/>
    <n v="8"/>
    <n v="5302.3"/>
    <n v="231.6"/>
    <n v="110.4"/>
    <n v="150"/>
    <n v="5644.3"/>
    <n v="9.5"/>
    <n v="4984.3"/>
    <n v="217.8"/>
    <n v="90.66000000000011"/>
    <n v="141"/>
    <n v="5292.76"/>
    <n v="3.2"/>
    <n v="351.53999999999996"/>
    <n v="6.2282302499867113"/>
  </r>
  <r>
    <x v="6"/>
    <x v="1"/>
    <x v="0"/>
    <s v="ANA-01"/>
    <s v="ANG26E08"/>
    <n v="80"/>
    <n v="4"/>
    <n v="77"/>
    <n v="4"/>
    <n v="75"/>
    <n v="0"/>
    <n v="72"/>
    <n v="0"/>
    <n v="8"/>
    <n v="9755.2999999999993"/>
    <n v="350.1"/>
    <n v="209.2"/>
    <n v="152.4"/>
    <n v="10314.6"/>
    <n v="9.3000000000000007"/>
    <n v="9150.4699999999993"/>
    <n v="328.39"/>
    <n v="194.26999999999904"/>
    <n v="142.94999999999999"/>
    <n v="9673.1299999999974"/>
    <n v="3.3"/>
    <n v="641.47000000000298"/>
    <n v="6.2190487270471273"/>
  </r>
  <r>
    <x v="7"/>
    <x v="1"/>
    <x v="0"/>
    <s v="ANA-01"/>
    <s v="ANG26E09"/>
    <n v="80"/>
    <n v="4"/>
    <n v="77"/>
    <n v="4"/>
    <n v="75"/>
    <n v="0"/>
    <n v="72"/>
    <n v="0"/>
    <n v="8"/>
    <n v="10350.200000000001"/>
    <n v="340.8"/>
    <n v="374.6"/>
    <n v="140.9"/>
    <n v="11065.6"/>
    <n v="9.1999999999999993"/>
    <n v="9718.9"/>
    <n v="320.10000000000002"/>
    <n v="334.80999999999949"/>
    <n v="132.31"/>
    <n v="10373.81"/>
    <n v="3.1"/>
    <n v="691.79000000000087"/>
    <n v="6.2517170329670408"/>
  </r>
  <r>
    <x v="8"/>
    <x v="2"/>
    <x v="0"/>
    <s v="ANA-01"/>
    <s v="ANG26E10"/>
    <n v="80"/>
    <n v="4"/>
    <n v="77"/>
    <n v="4"/>
    <n v="75"/>
    <n v="0"/>
    <n v="72"/>
    <n v="0"/>
    <n v="8"/>
    <n v="20025.8"/>
    <n v="582.5"/>
    <n v="488.5"/>
    <n v="358.5"/>
    <n v="21096.799999999999"/>
    <n v="9.3000000000000007"/>
    <n v="18804.2"/>
    <n v="546.9"/>
    <n v="303.00000000000148"/>
    <n v="458.7"/>
    <n v="19654.100000000002"/>
    <n v="3.2"/>
    <n v="1442.6999999999971"/>
    <n v="6.8384778734215486"/>
  </r>
  <r>
    <x v="9"/>
    <x v="2"/>
    <x v="0"/>
    <s v="ANA-01"/>
    <s v="ANG26E11"/>
    <n v="80"/>
    <n v="4"/>
    <n v="77"/>
    <n v="4"/>
    <n v="75"/>
    <n v="0"/>
    <n v="72"/>
    <n v="0"/>
    <n v="8"/>
    <n v="11123.4"/>
    <n v="383.6"/>
    <n v="227.8"/>
    <n v="318.60000000000002"/>
    <n v="11734.8"/>
    <n v="9.4"/>
    <n v="10422.6"/>
    <n v="359.4"/>
    <n v="207.5"/>
    <n v="298.5"/>
    <n v="10989.5"/>
    <n v="3.1"/>
    <n v="745.29999999999927"/>
    <n v="6.3511947370215029"/>
  </r>
  <r>
    <x v="10"/>
    <x v="2"/>
    <x v="0"/>
    <s v="ANA-01"/>
    <s v="ANG26E12"/>
    <n v="80"/>
    <n v="4"/>
    <n v="77"/>
    <n v="4"/>
    <n v="75"/>
    <n v="0"/>
    <n v="72"/>
    <n v="0"/>
    <n v="8"/>
    <n v="16010.9"/>
    <n v="468.2"/>
    <n v="319.8"/>
    <n v="312.10000000000002"/>
    <n v="16798.899999999998"/>
    <n v="9.4"/>
    <n v="15018.2"/>
    <n v="439.1"/>
    <n v="289.80000000000143"/>
    <n v="292.7"/>
    <n v="15747.100000000002"/>
    <n v="3.2"/>
    <n v="1051.7999999999956"/>
    <n v="6.2611242402776117"/>
  </r>
  <r>
    <x v="11"/>
    <x v="2"/>
    <x v="0"/>
    <s v="ANA-01"/>
    <s v="ANG26E13"/>
    <n v="80"/>
    <n v="4"/>
    <n v="77"/>
    <n v="4"/>
    <n v="75"/>
    <n v="0"/>
    <n v="72"/>
    <n v="0"/>
    <n v="8"/>
    <n v="15621"/>
    <n v="388.1"/>
    <n v="388.5"/>
    <n v="185.5"/>
    <n v="16397.599999999999"/>
    <n v="9.1"/>
    <n v="14699.3"/>
    <n v="365.2"/>
    <n v="350.29999999999927"/>
    <n v="174.8"/>
    <n v="15414.8"/>
    <n v="3.2"/>
    <n v="982.79999999999927"/>
    <n v="5.9935600331755818"/>
  </r>
  <r>
    <x v="12"/>
    <x v="2"/>
    <x v="0"/>
    <s v="ANA-01"/>
    <s v="ANG26E14"/>
    <n v="80"/>
    <n v="4"/>
    <n v="77"/>
    <n v="4"/>
    <n v="75"/>
    <n v="0"/>
    <n v="72"/>
    <n v="0"/>
    <n v="8"/>
    <n v="17500"/>
    <n v="622.79999999999995"/>
    <n v="432.8"/>
    <n v="250.8"/>
    <n v="18555.599999999999"/>
    <n v="9.3000000000000007"/>
    <n v="16450"/>
    <n v="585.5"/>
    <n v="315.8"/>
    <n v="235.7"/>
    <n v="17351.3"/>
    <n v="3.1"/>
    <n v="1204.2999999999993"/>
    <n v="6.4902239755114328"/>
  </r>
  <r>
    <x v="13"/>
    <x v="3"/>
    <x v="1"/>
    <s v="ANA-01"/>
    <s v="ANG26E15"/>
    <n v="80"/>
    <n v="4"/>
    <n v="77"/>
    <n v="4"/>
    <n v="75"/>
    <n v="2"/>
    <n v="72"/>
    <n v="0"/>
    <n v="10"/>
    <n v="15739"/>
    <n v="471"/>
    <n v="169"/>
    <n v="175.8"/>
    <n v="16379"/>
    <n v="9.1"/>
    <n v="14728.6"/>
    <n v="440.7"/>
    <n v="150.00000000000145"/>
    <n v="164.5"/>
    <n v="15319.300000000003"/>
    <n v="3.2"/>
    <n v="1059.6999999999971"/>
    <n v="6.4698699554307169"/>
  </r>
  <r>
    <x v="13"/>
    <x v="3"/>
    <x v="1"/>
    <s v="ANA-01"/>
    <s v="ANG26E16"/>
    <n v="80"/>
    <n v="4"/>
    <n v="77"/>
    <n v="4"/>
    <n v="75"/>
    <n v="2"/>
    <n v="72"/>
    <n v="0"/>
    <n v="10"/>
    <n v="21949.7"/>
    <n v="690.4"/>
    <n v="450.8"/>
    <n v="49.5"/>
    <n v="23090.9"/>
    <n v="9.1999999999999993"/>
    <n v="20533.900000000001"/>
    <n v="645.9"/>
    <n v="409.51000000000494"/>
    <n v="46.31"/>
    <n v="21589.310000000009"/>
    <n v="3.25"/>
    <n v="1501.5899999999929"/>
    <n v="6.5029513791146849"/>
  </r>
  <r>
    <x v="14"/>
    <x v="3"/>
    <x v="1"/>
    <s v="ANA-01"/>
    <s v="ANG26E17"/>
    <n v="80"/>
    <n v="4"/>
    <n v="77"/>
    <n v="4"/>
    <n v="75"/>
    <n v="2"/>
    <n v="72"/>
    <n v="0"/>
    <n v="10"/>
    <n v="20858.2"/>
    <n v="548.6"/>
    <n v="260"/>
    <n v="289.3"/>
    <n v="21666.799999999999"/>
    <n v="9.1999999999999993"/>
    <n v="19523.3"/>
    <n v="513.5"/>
    <n v="261.8"/>
    <n v="243.4"/>
    <n v="20298.599999999999"/>
    <n v="3.4"/>
    <n v="1368.2000000000007"/>
    <n v="6.3147303708900289"/>
  </r>
  <r>
    <x v="15"/>
    <x v="3"/>
    <x v="1"/>
    <s v="ANA-01"/>
    <s v="ANG26E18"/>
    <n v="80"/>
    <n v="4"/>
    <n v="77"/>
    <n v="4"/>
    <n v="75"/>
    <n v="2"/>
    <n v="72"/>
    <n v="0"/>
    <n v="10"/>
    <n v="11977"/>
    <n v="289.5"/>
    <n v="104.5"/>
    <n v="256.3"/>
    <n v="12371"/>
    <n v="9"/>
    <n v="11200.89"/>
    <n v="270.74"/>
    <n v="228.73999999999927"/>
    <n v="97.73"/>
    <n v="11700.369999999999"/>
    <n v="3.2"/>
    <n v="670.63000000000102"/>
    <n v="5.4209845606660823"/>
  </r>
  <r>
    <x v="16"/>
    <x v="3"/>
    <x v="1"/>
    <s v="ANA-01"/>
    <s v="ANG26F01"/>
    <n v="80"/>
    <n v="4"/>
    <n v="77"/>
    <n v="4"/>
    <n v="75"/>
    <n v="2"/>
    <n v="72"/>
    <n v="0"/>
    <n v="10"/>
    <n v="14392.4"/>
    <n v="510.1"/>
    <n v="0"/>
    <n v="278.60000000000002"/>
    <n v="14902.5"/>
    <n v="8.8000000000000007"/>
    <n v="13528.8"/>
    <n v="479.4"/>
    <n v="251.79999999999819"/>
    <n v="0"/>
    <n v="14259.999999999996"/>
    <n v="2.9"/>
    <n v="642.50000000000364"/>
    <n v="4.3113571548398166"/>
  </r>
  <r>
    <x v="17"/>
    <x v="3"/>
    <x v="1"/>
    <s v="ANA-01"/>
    <s v="ANG26F02"/>
    <n v="80"/>
    <n v="4"/>
    <n v="77"/>
    <n v="4"/>
    <n v="75"/>
    <n v="2"/>
    <n v="72"/>
    <n v="0"/>
    <n v="10"/>
    <n v="20778"/>
    <n v="469.9"/>
    <n v="539.70000000000005"/>
    <m/>
    <n v="21787.600000000002"/>
    <n v="8.6999999999999993"/>
    <n v="19531.3"/>
    <n v="441.7"/>
    <n v="0.2999999999992724"/>
    <n v="507.3"/>
    <n v="19973.3"/>
    <n v="3.3"/>
    <n v="1814.3000000000029"/>
    <n v="8.3272136444583271"/>
  </r>
  <r>
    <x v="18"/>
    <x v="4"/>
    <x v="1"/>
    <s v="ANA-01"/>
    <s v="ANG26F03"/>
    <n v="80"/>
    <n v="4"/>
    <n v="77"/>
    <n v="4"/>
    <n v="75"/>
    <n v="2"/>
    <n v="72"/>
    <n v="0"/>
    <n v="10"/>
    <n v="20474.2"/>
    <n v="649.6"/>
    <n v="550.5"/>
    <n v="140.19999999999999"/>
    <n v="21674.3"/>
    <n v="8.5"/>
    <n v="19225.27"/>
    <n v="609.97"/>
    <n v="135.46000000000132"/>
    <n v="516.91999999999996"/>
    <n v="19970.700000000004"/>
    <n v="3.1"/>
    <n v="1703.5999999999949"/>
    <n v="7.8600000922751594"/>
  </r>
  <r>
    <x v="19"/>
    <x v="4"/>
    <x v="1"/>
    <s v="ANA-01"/>
    <s v="ANG26F04"/>
    <n v="80"/>
    <n v="4"/>
    <n v="77"/>
    <n v="4"/>
    <n v="75"/>
    <n v="2"/>
    <n v="72"/>
    <n v="0"/>
    <n v="10"/>
    <n v="21889.200000000001"/>
    <n v="773.9"/>
    <n v="347.5"/>
    <n v="625.79999999999995"/>
    <n v="23010.600000000002"/>
    <n v="8"/>
    <n v="20575.849999999999"/>
    <n v="722.47"/>
    <n v="319.87000000000114"/>
    <n v="588.25"/>
    <n v="21618.190000000002"/>
    <n v="3.2"/>
    <n v="1392.4099999999999"/>
    <n v="6.0511677227017104"/>
  </r>
  <r>
    <x v="20"/>
    <x v="4"/>
    <x v="1"/>
    <s v="ANA-01"/>
    <s v="ANG26F05"/>
    <n v="80"/>
    <n v="4"/>
    <n v="77"/>
    <n v="4"/>
    <n v="75"/>
    <n v="2"/>
    <n v="72"/>
    <n v="0"/>
    <n v="10"/>
    <n v="20758.2"/>
    <n v="750.5"/>
    <n v="256"/>
    <n v="485"/>
    <n v="21764.7"/>
    <n v="8.6"/>
    <n v="19485.34"/>
    <n v="701.8"/>
    <n v="239.36"/>
    <n v="453.5"/>
    <n v="20426.5"/>
    <n v="3"/>
    <n v="1338.2000000000007"/>
    <n v="6.1484881482400429"/>
  </r>
  <r>
    <x v="21"/>
    <x v="4"/>
    <x v="1"/>
    <s v="ANA-02"/>
    <s v="ANG26F06"/>
    <n v="80"/>
    <n v="4"/>
    <n v="77"/>
    <n v="4"/>
    <n v="75"/>
    <n v="2"/>
    <n v="72"/>
    <n v="0"/>
    <n v="10"/>
    <n v="22658.2"/>
    <n v="802.5"/>
    <n v="258.5"/>
    <n v="232.4"/>
    <n v="23719.200000000001"/>
    <n v="8.9"/>
    <n v="21328.43"/>
    <n v="751.95"/>
    <n v="242.22"/>
    <n v="217.4"/>
    <n v="22322.600000000002"/>
    <n v="3.4"/>
    <n v="1396.5999999999985"/>
    <n v="5.8880569327801888"/>
  </r>
  <r>
    <x v="22"/>
    <x v="4"/>
    <x v="1"/>
    <s v="ANA-02"/>
    <s v="ANG26F07"/>
    <n v="80"/>
    <n v="4"/>
    <n v="77"/>
    <n v="4"/>
    <n v="75"/>
    <n v="2"/>
    <n v="72"/>
    <n v="0"/>
    <n v="10"/>
    <n v="21752.5"/>
    <n v="704.4"/>
    <n v="215.1"/>
    <n v="87.3"/>
    <n v="22672"/>
    <n v="8.5"/>
    <n v="20575.5"/>
    <n v="660.72"/>
    <n v="201.9"/>
    <n v="81.88"/>
    <n v="21438.120000000003"/>
    <n v="2.9"/>
    <n v="1233.8799999999974"/>
    <n v="5.442307692307681"/>
  </r>
  <r>
    <x v="23"/>
    <x v="4"/>
    <x v="1"/>
    <s v="ANA-02"/>
    <s v="ANG26F08"/>
    <n v="80"/>
    <n v="4"/>
    <n v="77"/>
    <n v="4"/>
    <n v="75"/>
    <n v="2"/>
    <n v="72"/>
    <n v="0"/>
    <n v="10"/>
    <n v="23754.3"/>
    <n v="735.5"/>
    <n v="381.9"/>
    <n v="306.10000000000002"/>
    <n v="24871.7"/>
    <n v="8.5"/>
    <n v="22752.799999999999"/>
    <n v="471.2"/>
    <n v="409.6"/>
    <n v="286.39999999999998"/>
    <n v="23633.599999999999"/>
    <n v="3.2"/>
    <n v="1238.1000000000022"/>
    <n v="4.9779468230961381"/>
  </r>
  <r>
    <x v="24"/>
    <x v="5"/>
    <x v="1"/>
    <s v="ANA-02"/>
    <s v="ANG26F09"/>
    <n v="80"/>
    <n v="4"/>
    <n v="77"/>
    <n v="4"/>
    <n v="75"/>
    <n v="2"/>
    <n v="72"/>
    <n v="0"/>
    <n v="10"/>
    <n v="23330.5"/>
    <n v="785"/>
    <n v="230.5"/>
    <n v="475.5"/>
    <n v="24346"/>
    <n v="8.4"/>
    <n v="22010.3"/>
    <n v="656.2"/>
    <n v="124.1"/>
    <n v="549.4"/>
    <n v="22790.6"/>
    <n v="3.2"/>
    <n v="1555.4000000000015"/>
    <n v="6.3887291546866072"/>
  </r>
  <r>
    <x v="25"/>
    <x v="5"/>
    <x v="1"/>
    <s v="ANA-02"/>
    <s v="ANG26F10"/>
    <n v="80"/>
    <n v="4"/>
    <n v="77"/>
    <n v="4"/>
    <n v="75"/>
    <n v="2"/>
    <n v="72"/>
    <n v="0"/>
    <n v="10"/>
    <n v="18213.099999999999"/>
    <n v="601.45000000000005"/>
    <n v="206.9"/>
    <n v="291.2"/>
    <n v="19021.45"/>
    <n v="8.1"/>
    <n v="17268.2"/>
    <n v="573.6"/>
    <n v="195.6"/>
    <n v="275.5"/>
    <n v="18037.399999999998"/>
    <n v="2.8"/>
    <n v="984.05000000000291"/>
    <n v="5.1733700637964128"/>
  </r>
  <r>
    <x v="25"/>
    <x v="5"/>
    <x v="1"/>
    <s v="ANA-02"/>
    <s v="ANG26F10"/>
    <n v="80"/>
    <n v="4"/>
    <n v="77"/>
    <n v="3"/>
    <n v="75"/>
    <n v="2"/>
    <n v="72"/>
    <n v="0"/>
    <n v="9"/>
    <n v="5710.6000000000022"/>
    <n v="199.94999999999993"/>
    <m/>
    <m/>
    <n v="5910.550000000002"/>
    <n v="8.1"/>
    <n v="5468.2999999999993"/>
    <n v="178.79999999999995"/>
    <m/>
    <m/>
    <n v="5647.0999999999995"/>
    <n v="2.5"/>
    <n v="263.45000000000255"/>
    <n v="4.4572840091024091"/>
  </r>
  <r>
    <x v="26"/>
    <x v="5"/>
    <x v="1"/>
    <s v="ANA-05A"/>
    <s v="ANG26F11"/>
    <n v="80"/>
    <n v="4"/>
    <n v="77"/>
    <n v="3"/>
    <n v="75"/>
    <n v="2"/>
    <n v="72"/>
    <n v="0"/>
    <n v="9"/>
    <n v="11514.9"/>
    <n v="403.6"/>
    <n v="187.7"/>
    <n v="343.8"/>
    <n v="12106.2"/>
    <n v="8.1999999999999993"/>
    <n v="10801"/>
    <n v="378.6"/>
    <n v="322.5"/>
    <n v="176.1"/>
    <n v="11502.1"/>
    <n v="2.9"/>
    <n v="604.10000000000036"/>
    <n v="4.9900051213427856"/>
  </r>
  <r>
    <x v="27"/>
    <x v="5"/>
    <x v="1"/>
    <s v="ANA-05A"/>
    <s v="ANG26F12"/>
    <n v="80"/>
    <n v="4"/>
    <n v="77"/>
    <n v="3"/>
    <n v="75"/>
    <n v="2"/>
    <n v="72"/>
    <n v="0"/>
    <n v="9"/>
    <n v="21927"/>
    <n v="637.6"/>
    <n v="135.21"/>
    <n v="161.80000000000001"/>
    <n v="22699.809999999998"/>
    <n v="7.9"/>
    <n v="20567.5"/>
    <n v="598.1"/>
    <n v="126.8"/>
    <n v="151.80000000000001"/>
    <n v="21292.399999999998"/>
    <n v="2.6"/>
    <n v="1407.4099999999999"/>
    <n v="6.2000959479396522"/>
  </r>
  <r>
    <x v="28"/>
    <x v="5"/>
    <x v="1"/>
    <s v="ANA-05A"/>
    <s v="ANG26F13"/>
    <n v="80"/>
    <n v="4"/>
    <n v="77"/>
    <n v="3"/>
    <n v="75"/>
    <n v="2"/>
    <n v="72"/>
    <n v="0"/>
    <n v="9"/>
    <n v="23069"/>
    <n v="637.6"/>
    <n v="69.5"/>
    <n v="764"/>
    <n v="23776.1"/>
    <n v="7.9"/>
    <n v="21687.9"/>
    <n v="599.29999999999995"/>
    <n v="62.3"/>
    <n v="718.1"/>
    <n v="22349.5"/>
    <n v="2.6"/>
    <n v="1426.5999999999985"/>
    <n v="6.0001430007444387"/>
  </r>
  <r>
    <x v="29"/>
    <x v="5"/>
    <x v="1"/>
    <s v="ANA-05A"/>
    <s v="ANG26F14"/>
    <n v="77"/>
    <n v="4"/>
    <n v="77"/>
    <n v="3"/>
    <n v="77"/>
    <n v="2"/>
    <n v="72"/>
    <n v="0"/>
    <n v="9"/>
    <n v="24703.599999999999"/>
    <n v="759"/>
    <n v="0"/>
    <n v="96.6"/>
    <n v="25462.6"/>
    <n v="8"/>
    <n v="23196.7"/>
    <n v="712.7"/>
    <m/>
    <n v="90.7"/>
    <n v="23909.4"/>
    <n v="2.5"/>
    <n v="1553.1999999999971"/>
    <n v="6.0999269516859913"/>
  </r>
  <r>
    <x v="30"/>
    <x v="6"/>
    <x v="1"/>
    <s v="ANA-05A"/>
    <s v="ANG26F15"/>
    <n v="77"/>
    <n v="4"/>
    <n v="77"/>
    <n v="3"/>
    <n v="77"/>
    <n v="2"/>
    <n v="72"/>
    <n v="0"/>
    <n v="9"/>
    <n v="25862.5"/>
    <n v="760.4"/>
    <n v="166.3"/>
    <n v="262.10000000000002"/>
    <n v="26789.200000000001"/>
    <n v="7.3"/>
    <n v="24336.6"/>
    <n v="715.5"/>
    <n v="156.5"/>
    <n v="246.6"/>
    <n v="25208.6"/>
    <n v="3.1"/>
    <n v="1580.6000000000022"/>
    <n v="5.9001388619294426"/>
  </r>
  <r>
    <x v="30"/>
    <x v="6"/>
    <x v="1"/>
    <s v="ANA-05A"/>
    <s v="ANG26F16"/>
    <n v="77"/>
    <n v="4"/>
    <n v="77"/>
    <n v="3"/>
    <n v="77"/>
    <n v="2"/>
    <n v="72"/>
    <n v="0"/>
    <n v="9"/>
    <n v="23910.2"/>
    <n v="703"/>
    <n v="154"/>
    <n v="242.3"/>
    <n v="24767.200000000001"/>
    <n v="7.8"/>
    <n v="22523.4"/>
    <n v="662.2"/>
    <n v="145.1"/>
    <n v="228.2"/>
    <n v="23330.7"/>
    <n v="3.2"/>
    <n v="1436.5"/>
    <n v="5.8000096902354725"/>
  </r>
  <r>
    <x v="31"/>
    <x v="6"/>
    <x v="1"/>
    <s v="ANA-05A"/>
    <s v="ANG26F17"/>
    <n v="77"/>
    <n v="4"/>
    <n v="77"/>
    <n v="3"/>
    <n v="77"/>
    <n v="2"/>
    <n v="72"/>
    <n v="0"/>
    <n v="9"/>
    <n v="26198.1"/>
    <n v="764.1"/>
    <n v="248.4"/>
    <n v="484.4"/>
    <n v="27210.6"/>
    <n v="7.8"/>
    <n v="24752.5"/>
    <n v="626.6"/>
    <n v="234.5"/>
    <n v="457.3"/>
    <n v="25613.599999999999"/>
    <n v="3.1"/>
    <n v="1597"/>
    <n v="5.8690363314296636"/>
  </r>
  <r>
    <x v="32"/>
    <x v="6"/>
    <x v="1"/>
    <s v="ANA-05A"/>
    <s v="ANG26F18"/>
    <n v="77"/>
    <n v="4"/>
    <n v="77"/>
    <n v="3"/>
    <n v="77"/>
    <n v="2"/>
    <n v="72"/>
    <n v="0"/>
    <n v="9"/>
    <n v="27407.599999999999"/>
    <n v="927.7"/>
    <n v="250"/>
    <n v="396.6"/>
    <n v="28585.3"/>
    <n v="7.8"/>
    <n v="25790.6"/>
    <n v="873"/>
    <n v="235.3"/>
    <n v="373.2"/>
    <n v="26898.899999999998"/>
    <n v="3.1"/>
    <n v="1686.4000000000015"/>
    <n v="5.8995357753810573"/>
  </r>
  <r>
    <x v="33"/>
    <x v="6"/>
    <x v="1"/>
    <s v="ANA-05A"/>
    <s v="ANG26F19"/>
    <n v="77"/>
    <n v="4"/>
    <n v="77"/>
    <n v="3"/>
    <n v="77"/>
    <n v="2"/>
    <n v="72"/>
    <n v="0"/>
    <n v="9"/>
    <n v="30421.5"/>
    <n v="1110.5"/>
    <n v="436.3"/>
    <n v="515.1"/>
    <n v="31968.3"/>
    <n v="7.6"/>
    <n v="28626.6"/>
    <n v="1045"/>
    <n v="410.6"/>
    <n v="484.7"/>
    <n v="30082.199999999997"/>
    <n v="3.1"/>
    <n v="1886.1000000000022"/>
    <n v="5.8999070954664532"/>
  </r>
  <r>
    <x v="34"/>
    <x v="7"/>
    <x v="1"/>
    <s v="ANA-05A"/>
    <s v="ANG26F20A"/>
    <n v="77"/>
    <n v="4"/>
    <n v="77"/>
    <n v="3"/>
    <n v="77"/>
    <n v="2"/>
    <n v="72"/>
    <n v="0"/>
    <n v="9"/>
    <n v="4455.7"/>
    <n v="149.69999999999999"/>
    <n v="47.9"/>
    <n v="98.8"/>
    <n v="4653.2999999999993"/>
    <n v="7.7"/>
    <n v="4197.3"/>
    <n v="141"/>
    <n v="45.1"/>
    <n v="93.1"/>
    <n v="4383.4000000000005"/>
    <n v="3.4"/>
    <n v="269.89999999999873"/>
    <n v="5.8001848150774453"/>
  </r>
  <r>
    <x v="34"/>
    <x v="7"/>
    <x v="1"/>
    <s v="ANA-02A"/>
    <s v="ANG26F20B"/>
    <n v="77"/>
    <n v="4"/>
    <n v="77"/>
    <n v="3"/>
    <n v="77"/>
    <n v="2"/>
    <n v="72"/>
    <n v="0"/>
    <n v="9"/>
    <n v="9995.7999999999993"/>
    <n v="335.9"/>
    <n v="107.6"/>
    <n v="221.7"/>
    <n v="10439.299999999999"/>
    <n v="7.9"/>
    <n v="9416"/>
    <n v="316.39999999999998"/>
    <n v="208.8"/>
    <n v="101.4"/>
    <n v="9941.1999999999989"/>
    <n v="3.4"/>
    <n v="498.10000000000036"/>
    <n v="4.771392717902545"/>
  </r>
  <r>
    <x v="35"/>
    <x v="7"/>
    <x v="1"/>
    <s v="ANA-02A"/>
    <s v="ANG26F21"/>
    <n v="77"/>
    <n v="4"/>
    <n v="77"/>
    <n v="3"/>
    <n v="77"/>
    <n v="2"/>
    <n v="72"/>
    <n v="0"/>
    <n v="9"/>
    <n v="29119.9"/>
    <n v="982.1"/>
    <n v="356.5"/>
    <n v="547.20000000000005"/>
    <n v="30458.5"/>
    <n v="7.5"/>
    <n v="27401.8"/>
    <n v="924.2"/>
    <n v="335.5"/>
    <n v="514.9"/>
    <n v="28661.5"/>
    <n v="3.5"/>
    <n v="1797"/>
    <n v="5.89983091747788"/>
  </r>
  <r>
    <x v="36"/>
    <x v="7"/>
    <x v="2"/>
    <s v="ANA-02A"/>
    <s v="ANG26F22"/>
    <n v="77"/>
    <n v="4"/>
    <n v="77"/>
    <n v="3"/>
    <n v="77"/>
    <n v="2"/>
    <n v="72"/>
    <n v="0"/>
    <n v="9"/>
    <n v="29726.5"/>
    <n v="968.54"/>
    <n v="44.5"/>
    <n v="293.7"/>
    <n v="30739.54"/>
    <n v="7.5"/>
    <n v="27913.200000000001"/>
    <n v="909.5"/>
    <n v="41.8"/>
    <n v="275.8"/>
    <n v="28864.5"/>
    <n v="3.2"/>
    <n v="1875.0400000000009"/>
    <n v="6.0997659691719557"/>
  </r>
  <r>
    <x v="37"/>
    <x v="7"/>
    <x v="2"/>
    <s v="ANA-02A"/>
    <s v="ANG26F23"/>
    <n v="77"/>
    <n v="4"/>
    <n v="77"/>
    <n v="3"/>
    <n v="77"/>
    <n v="2"/>
    <n v="72"/>
    <n v="0"/>
    <n v="9"/>
    <n v="26784.799999999999"/>
    <n v="927.7"/>
    <n v="0"/>
    <n v="235.8"/>
    <n v="27712.5"/>
    <n v="7.4"/>
    <n v="25231.3"/>
    <n v="873.9"/>
    <n v="0"/>
    <n v="222.1"/>
    <n v="26105.200000000001"/>
    <n v="3.2"/>
    <n v="1607.2999999999993"/>
    <n v="5.799909788001802"/>
  </r>
  <r>
    <x v="38"/>
    <x v="7"/>
    <x v="2"/>
    <s v="ANA-02A"/>
    <s v="ANG26F24"/>
    <n v="77"/>
    <n v="4"/>
    <n v="77"/>
    <n v="3"/>
    <n v="77"/>
    <n v="2"/>
    <n v="72"/>
    <n v="0"/>
    <n v="9"/>
    <n v="27090.400000000001"/>
    <n v="852.3"/>
    <n v="130"/>
    <n v="528.20000000000005"/>
    <n v="28072.7"/>
    <n v="7.6"/>
    <n v="25465"/>
    <n v="801.2"/>
    <n v="122.2"/>
    <n v="496.5"/>
    <n v="26388.400000000001"/>
    <n v="2.8"/>
    <n v="1684.2999999999993"/>
    <n v="5.9997791448631554"/>
  </r>
  <r>
    <x v="39"/>
    <x v="7"/>
    <x v="2"/>
    <s v="ANA-02A"/>
    <s v="ANG26F25"/>
    <n v="77"/>
    <n v="4"/>
    <n v="77"/>
    <n v="3"/>
    <n v="77"/>
    <n v="2"/>
    <n v="72"/>
    <n v="0"/>
    <n v="9"/>
    <n v="29865.9"/>
    <n v="1136.5999999999999"/>
    <n v="139"/>
    <n v="242.1"/>
    <n v="31141.5"/>
    <n v="7.6"/>
    <n v="28073.9"/>
    <n v="1068.4000000000001"/>
    <n v="130.69999999999999"/>
    <n v="227.6"/>
    <n v="29273.000000000004"/>
    <n v="2.6"/>
    <n v="1868.4999999999964"/>
    <n v="6.0000321114910848"/>
  </r>
  <r>
    <x v="40"/>
    <x v="8"/>
    <x v="2"/>
    <s v="ANA-02A"/>
    <s v="ANG26G01"/>
    <n v="77"/>
    <n v="4"/>
    <n v="77"/>
    <n v="3"/>
    <n v="77"/>
    <n v="2"/>
    <n v="72"/>
    <n v="0"/>
    <n v="9"/>
    <n v="30812.1"/>
    <n v="1003.8"/>
    <n v="273.7"/>
    <n v="342.2"/>
    <n v="32089.599999999999"/>
    <n v="7.9"/>
    <n v="28994.2"/>
    <n v="944.6"/>
    <n v="257.60000000000002"/>
    <n v="322"/>
    <n v="30196.399999999998"/>
    <n v="3.1"/>
    <n v="1893.2000000000007"/>
    <n v="5.8997307538891137"/>
  </r>
  <r>
    <x v="40"/>
    <x v="8"/>
    <x v="2"/>
    <s v="ANA-02A"/>
    <s v="ANG26G02"/>
    <n v="77"/>
    <n v="4"/>
    <n v="77"/>
    <n v="3"/>
    <n v="77"/>
    <n v="2"/>
    <n v="72"/>
    <n v="0"/>
    <n v="9"/>
    <n v="31629.4"/>
    <n v="1330.6"/>
    <n v="279.5"/>
    <n v="257.39999999999998"/>
    <n v="33239.5"/>
    <n v="7.9"/>
    <n v="29763.3"/>
    <n v="1252.0999999999999"/>
    <n v="263"/>
    <n v="242.2"/>
    <n v="31278.399999999998"/>
    <n v="2.5"/>
    <n v="1961.1000000000022"/>
    <n v="5.8999082417003939"/>
  </r>
  <r>
    <x v="41"/>
    <x v="8"/>
    <x v="2"/>
    <s v="ANA-02A"/>
    <s v="ANG26G03"/>
    <n v="77"/>
    <n v="4"/>
    <n v="77"/>
    <n v="3"/>
    <n v="77"/>
    <n v="2"/>
    <n v="72"/>
    <n v="0"/>
    <n v="9"/>
    <n v="33905.300000000003"/>
    <n v="1080"/>
    <n v="150.5"/>
    <n v="243.3"/>
    <n v="35135.800000000003"/>
    <n v="7.6"/>
    <n v="31871"/>
    <n v="1015.2"/>
    <n v="141.5"/>
    <n v="228.7"/>
    <n v="33027.699999999997"/>
    <n v="2.8"/>
    <n v="2108.1000000000058"/>
    <n v="5.999863387200536"/>
  </r>
  <r>
    <x v="42"/>
    <x v="8"/>
    <x v="2"/>
    <s v="ANA-02A"/>
    <s v="ANG26G04"/>
    <n v="77"/>
    <n v="4"/>
    <n v="77"/>
    <n v="3"/>
    <n v="77"/>
    <n v="2"/>
    <n v="72"/>
    <n v="0"/>
    <n v="9"/>
    <n v="33741"/>
    <n v="1039.9000000000001"/>
    <n v="224.7"/>
    <n v="591.5"/>
    <n v="35005.599999999999"/>
    <n v="7.8"/>
    <n v="31750.3"/>
    <n v="978.5"/>
    <n v="211.4"/>
    <n v="556.6"/>
    <n v="32940.199999999997"/>
    <n v="2.9"/>
    <n v="2065.4000000000015"/>
    <n v="5.9001988253308086"/>
  </r>
  <r>
    <x v="43"/>
    <x v="8"/>
    <x v="2"/>
    <s v="ANA-02A"/>
    <s v="ANG26G05"/>
    <n v="77"/>
    <n v="4"/>
    <n v="77"/>
    <n v="3"/>
    <n v="77"/>
    <n v="2"/>
    <n v="72"/>
    <n v="0"/>
    <n v="9"/>
    <n v="35594"/>
    <n v="1147.5999999999999"/>
    <n v="39.1"/>
    <n v="377.3"/>
    <n v="36780.699999999997"/>
    <n v="7.9"/>
    <n v="33422.800000000003"/>
    <n v="1077.5999999999999"/>
    <n v="36.700000000000003"/>
    <n v="354.3"/>
    <n v="34537.1"/>
    <n v="3.2"/>
    <n v="2243.5999999999985"/>
    <n v="6.0999382828494255"/>
  </r>
  <r>
    <x v="44"/>
    <x v="8"/>
    <x v="2"/>
    <s v="ANA-02A"/>
    <s v="ANG26G06"/>
    <n v="77"/>
    <n v="4"/>
    <n v="77"/>
    <n v="3"/>
    <n v="77"/>
    <n v="2"/>
    <n v="72"/>
    <n v="0"/>
    <n v="9"/>
    <n v="32939.699999999997"/>
    <n v="1075.8"/>
    <n v="381"/>
    <n v="135"/>
    <n v="34396.5"/>
    <n v="7.4"/>
    <n v="30963.3"/>
    <n v="1011.3"/>
    <n v="358.1"/>
    <n v="126.9"/>
    <n v="32332.699999999997"/>
    <n v="2.9"/>
    <n v="2063.8000000000029"/>
    <n v="6.0000290727254315"/>
  </r>
  <r>
    <x v="45"/>
    <x v="9"/>
    <x v="2"/>
    <s v="ANA-02A"/>
    <s v="ANG26G07"/>
    <n v="77"/>
    <n v="4"/>
    <n v="77"/>
    <n v="3"/>
    <n v="77"/>
    <n v="2"/>
    <n v="72"/>
    <n v="0"/>
    <n v="9"/>
    <n v="22018.5"/>
    <n v="742.4"/>
    <n v="319.8"/>
    <n v="93.2"/>
    <n v="23080.7"/>
    <n v="8.1"/>
    <n v="20675.400000000001"/>
    <n v="697.1"/>
    <n v="300.3"/>
    <n v="87.5"/>
    <n v="21672.799999999999"/>
    <n v="2.6"/>
    <n v="1407.9000000000015"/>
    <n v="6.0999016494300493"/>
  </r>
  <r>
    <x v="46"/>
    <x v="9"/>
    <x v="2"/>
    <s v="ANA-02A"/>
    <s v="ANG26G08"/>
    <n v="77"/>
    <n v="4"/>
    <n v="77"/>
    <n v="3"/>
    <n v="77"/>
    <n v="2"/>
    <n v="72"/>
    <n v="0"/>
    <n v="9"/>
    <n v="36615.199999999997"/>
    <n v="1047.5"/>
    <n v="566"/>
    <n v="489.9"/>
    <n v="38228.699999999997"/>
    <n v="7.9"/>
    <n v="34381.67"/>
    <n v="983.67"/>
    <n v="531.47"/>
    <n v="460.02"/>
    <n v="35896.81"/>
    <n v="2.6"/>
    <n v="2331.8899999999994"/>
    <n v="6.09984121877019"/>
  </r>
  <r>
    <x v="47"/>
    <x v="9"/>
    <x v="2"/>
    <s v="ANA-02A"/>
    <s v="ANG26G09"/>
    <n v="77"/>
    <n v="4"/>
    <n v="77"/>
    <n v="3"/>
    <n v="77"/>
    <n v="2"/>
    <n v="72"/>
    <n v="0"/>
    <n v="9"/>
    <n v="36399.199999999997"/>
    <n v="1022.3"/>
    <n v="116.5"/>
    <n v="157.9"/>
    <n v="37538"/>
    <n v="7.9"/>
    <n v="34069.65"/>
    <n v="956.87"/>
    <n v="109.04"/>
    <n v="147.79"/>
    <n v="35135.560000000005"/>
    <n v="2.8"/>
    <n v="2402.4399999999951"/>
    <n v="6.4000213117374267"/>
  </r>
  <r>
    <x v="48"/>
    <x v="9"/>
    <x v="2"/>
    <s v="ANA-02A"/>
    <s v="ANG26G10"/>
    <n v="77"/>
    <n v="4"/>
    <n v="77"/>
    <n v="3"/>
    <n v="77"/>
    <n v="2"/>
    <n v="72"/>
    <n v="0"/>
    <n v="9"/>
    <n v="37486.5"/>
    <n v="903.6"/>
    <n v="162.5"/>
    <n v="101.5"/>
    <n v="38552.6"/>
    <n v="7.9"/>
    <n v="35049.879999999997"/>
    <n v="844.87"/>
    <n v="151.94999999999999"/>
    <n v="94.9"/>
    <n v="36046.699999999997"/>
    <n v="2.6"/>
    <n v="2505.9000000000015"/>
    <n v="6.4999507166831849"/>
  </r>
  <r>
    <x v="49"/>
    <x v="9"/>
    <x v="2"/>
    <s v="ANA-02A"/>
    <s v="ANG26G11"/>
    <n v="77"/>
    <n v="4"/>
    <n v="77"/>
    <n v="3"/>
    <n v="77"/>
    <n v="2"/>
    <n v="72"/>
    <n v="0"/>
    <n v="9"/>
    <n v="36571.800000000003"/>
    <n v="728.5"/>
    <n v="55.9"/>
    <n v="127.7"/>
    <n v="37356.200000000004"/>
    <n v="7.9"/>
    <n v="34450.639999999999"/>
    <n v="686.25"/>
    <n v="52.66"/>
    <n v="120.29"/>
    <n v="35189.550000000003"/>
    <n v="3.1"/>
    <n v="2166.6500000000015"/>
    <n v="5.7999743014546477"/>
  </r>
  <r>
    <x v="50"/>
    <x v="9"/>
    <x v="2"/>
    <s v="ANA-02A"/>
    <s v="ANG26G12"/>
    <n v="77"/>
    <n v="4"/>
    <n v="77"/>
    <n v="3"/>
    <n v="77"/>
    <n v="2"/>
    <n v="72"/>
    <n v="0"/>
    <n v="9"/>
    <n v="36784.300000000003"/>
    <n v="1120.55"/>
    <n v="220.5"/>
    <n v="203.7"/>
    <n v="38125.350000000006"/>
    <m/>
    <n v="34503.67"/>
    <n v="1051.08"/>
    <n v="206.83"/>
    <n v="191.07"/>
    <n v="35761.58"/>
    <n v="3.2"/>
    <n v="2363.7700000000041"/>
    <n v="6.1999955410245517"/>
  </r>
  <r>
    <x v="51"/>
    <x v="9"/>
    <x v="2"/>
    <s v="ANA-02A"/>
    <s v="ANG26G13"/>
    <n v="77"/>
    <n v="4"/>
    <n v="77"/>
    <n v="3"/>
    <n v="77"/>
    <n v="2"/>
    <n v="72"/>
    <n v="0"/>
    <n v="9"/>
    <n v="36036.6"/>
    <n v="981.6"/>
    <n v="151.30000000000001"/>
    <n v="184.7"/>
    <n v="37169.5"/>
    <m/>
    <n v="33730.26"/>
    <n v="918.78"/>
    <n v="141.62"/>
    <n v="172.88"/>
    <n v="34790.660000000003"/>
    <n v="3.1"/>
    <n v="2378.8399999999965"/>
    <n v="6.3999784769770818"/>
  </r>
  <r>
    <x v="52"/>
    <x v="10"/>
    <x v="2"/>
    <s v="ANA-2A"/>
    <s v="ANG26G14"/>
    <n v="77"/>
    <n v="4"/>
    <n v="77"/>
    <n v="3"/>
    <n v="77"/>
    <n v="2"/>
    <n v="72"/>
    <n v="0"/>
    <n v="9"/>
    <n v="26903.3"/>
    <n v="925.3"/>
    <n v="121.5"/>
    <n v="271.39999999999998"/>
    <n v="27950.1"/>
    <m/>
    <n v="25154.6"/>
    <n v="865.2"/>
    <n v="113.6"/>
    <n v="253.7"/>
    <n v="26133.399999999998"/>
    <n v="3.1"/>
    <n v="1816.7000000000007"/>
    <n v="6.4997978540327255"/>
  </r>
  <r>
    <x v="53"/>
    <x v="10"/>
    <x v="2"/>
    <s v="ANA-2A"/>
    <s v="ANG26G15"/>
    <n v="77"/>
    <n v="4"/>
    <n v="77"/>
    <n v="3"/>
    <n v="77"/>
    <n v="2"/>
    <n v="72"/>
    <n v="0"/>
    <n v="9"/>
    <n v="14691.4"/>
    <n v="504.5"/>
    <n v="93.5"/>
    <n v="200.5"/>
    <n v="15289.4"/>
    <m/>
    <n v="13809.9"/>
    <n v="474.2"/>
    <n v="87.9"/>
    <n v="188.5"/>
    <n v="14372"/>
    <n v="2.9"/>
    <n v="917.39999999999964"/>
    <n v="6.0002354572448864"/>
  </r>
  <r>
    <x v="54"/>
    <x v="10"/>
    <x v="2"/>
    <s v="ANA-3B"/>
    <s v="ANG26G16"/>
    <n v="77"/>
    <n v="4"/>
    <n v="77"/>
    <n v="3"/>
    <n v="77"/>
    <n v="2"/>
    <n v="72"/>
    <n v="0"/>
    <n v="9"/>
    <n v="36987.699999999997"/>
    <n v="1139.2"/>
    <n v="428.9"/>
    <n v="192.8"/>
    <n v="38555.799999999996"/>
    <m/>
    <n v="34620.5"/>
    <n v="1066.3"/>
    <n v="401.5"/>
    <n v="180.5"/>
    <n v="36088.300000000003"/>
    <n v="3.2"/>
    <n v="2467.4999999999927"/>
    <n v="6.3998153325828877"/>
  </r>
  <r>
    <x v="55"/>
    <x v="10"/>
    <x v="2"/>
    <s v="ANA-3B"/>
    <s v="ANG26G17"/>
    <n v="77"/>
    <n v="4"/>
    <n v="77"/>
    <n v="3"/>
    <n v="77"/>
    <n v="2"/>
    <n v="72"/>
    <n v="0"/>
    <n v="9"/>
    <n v="39784.199999999997"/>
    <n v="32"/>
    <n v="741.9"/>
    <n v="752.4"/>
    <n v="40558.1"/>
    <m/>
    <n v="37158.400000000001"/>
    <n v="29.9"/>
    <n v="692.9"/>
    <n v="702.7"/>
    <n v="37881.200000000004"/>
    <n v="3.4"/>
    <n v="2676.8999999999942"/>
    <n v="6.6001612501571678"/>
  </r>
  <r>
    <x v="56"/>
    <x v="10"/>
    <x v="2"/>
    <s v="ANA-3B"/>
    <s v="ANG26G18"/>
    <n v="77"/>
    <n v="4"/>
    <n v="77"/>
    <n v="3"/>
    <n v="77"/>
    <n v="2"/>
    <n v="72"/>
    <n v="0"/>
    <n v="9"/>
    <n v="38516.5"/>
    <n v="34.4"/>
    <n v="178"/>
    <n v="785.5"/>
    <n v="38728.9"/>
    <m/>
    <n v="35974.400000000001"/>
    <n v="32.1"/>
    <n v="166.3"/>
    <n v="733.7"/>
    <n v="36172.800000000003"/>
    <n v="3.4"/>
    <n v="2556.0999999999985"/>
    <n v="6.5999808928216357"/>
  </r>
  <r>
    <x v="57"/>
    <x v="10"/>
    <x v="2"/>
    <s v="ANA-3B"/>
    <s v="ANG26G19"/>
    <n v="77"/>
    <n v="4"/>
    <n v="77"/>
    <n v="3"/>
    <n v="77"/>
    <n v="2"/>
    <n v="72"/>
    <n v="0"/>
    <n v="9"/>
    <n v="38582.800000000003"/>
    <n v="34.5"/>
    <n v="178.4"/>
    <n v="787"/>
    <n v="38795.700000000004"/>
    <m/>
    <n v="36036.300000000003"/>
    <n v="32.200000000000003"/>
    <n v="166.6"/>
    <n v="735.1"/>
    <n v="36235.1"/>
    <m/>
    <n v="2560.6000000000058"/>
    <n v="6.6002160033199697"/>
  </r>
  <r>
    <x v="58"/>
    <x v="11"/>
    <x v="2"/>
    <s v="ANA-3B"/>
    <s v="ANG26G20"/>
    <n v="77"/>
    <n v="4"/>
    <n v="77"/>
    <n v="3"/>
    <n v="77"/>
    <n v="2"/>
    <n v="72"/>
    <n v="0"/>
    <n v="9"/>
    <n v="25472.1"/>
    <n v="64.7"/>
    <n v="732.5"/>
    <n v="0"/>
    <n v="26269.3"/>
    <m/>
    <n v="23755.3"/>
    <n v="60.3"/>
    <n v="683.1"/>
    <m/>
    <n v="24498.699999999997"/>
    <m/>
    <n v="1770.6000000000022"/>
    <n v="6.7401872147335569"/>
  </r>
  <r>
    <x v="59"/>
    <x v="11"/>
    <x v="2"/>
    <s v="ANA-3B"/>
    <s v="ANG26G21"/>
    <m/>
    <m/>
    <m/>
    <m/>
    <m/>
    <m/>
    <m/>
    <m/>
    <n v="0"/>
    <n v="35551"/>
    <n v="0"/>
    <n v="658.4"/>
    <m/>
    <n v="36209.4"/>
    <m/>
    <n v="33103.800000000003"/>
    <m/>
    <n v="616.29999999999995"/>
    <m/>
    <n v="33720.100000000006"/>
    <n v="3.4"/>
    <n v="2489.2999999999956"/>
    <n v="6.8747341850458605"/>
  </r>
  <r>
    <x v="60"/>
    <x v="11"/>
    <x v="2"/>
    <s v="ANA-3B"/>
    <s v="ANG26G22"/>
    <m/>
    <m/>
    <m/>
    <m/>
    <m/>
    <m/>
    <m/>
    <m/>
    <n v="0"/>
    <n v="37367.1"/>
    <n v="114.6"/>
    <n v="894"/>
    <m/>
    <n v="38375.699999999997"/>
    <m/>
    <n v="34875.300000000003"/>
    <n v="107.6"/>
    <n v="836.9"/>
    <m/>
    <n v="35819.800000000003"/>
    <n v="3.3"/>
    <n v="2555.8999999999942"/>
    <n v="6.6602042438313687"/>
  </r>
  <r>
    <x v="61"/>
    <x v="11"/>
    <x v="2"/>
    <s v="ANA-3B"/>
    <s v="ANG26G23"/>
    <m/>
    <m/>
    <m/>
    <m/>
    <m/>
    <m/>
    <m/>
    <m/>
    <n v="0"/>
    <n v="37548.6"/>
    <n v="37.9"/>
    <n v="618.1"/>
    <m/>
    <n v="38204.6"/>
    <m/>
    <n v="34955"/>
    <n v="35.9"/>
    <n v="575.5"/>
    <m/>
    <n v="35566.400000000001"/>
    <n v="3.1"/>
    <n v="2638.1999999999971"/>
    <n v="6.9054511760363857"/>
  </r>
  <r>
    <x v="62"/>
    <x v="11"/>
    <x v="2"/>
    <s v="ANA-3B"/>
    <s v="ANG26G24"/>
    <m/>
    <m/>
    <m/>
    <m/>
    <m/>
    <m/>
    <m/>
    <m/>
    <n v="0"/>
    <n v="36756.199999999997"/>
    <n v="16.600000000000001"/>
    <n v="855.1"/>
    <m/>
    <n v="37627.899999999994"/>
    <m/>
    <n v="34215.199999999997"/>
    <n v="15.7"/>
    <n v="799.6"/>
    <m/>
    <n v="35030.499999999993"/>
    <m/>
    <n v="2597.4000000000015"/>
    <n v="6.9028566568955529"/>
  </r>
  <r>
    <x v="63"/>
    <x v="11"/>
    <x v="3"/>
    <s v="ANA-3B"/>
    <s v="ANG26G25"/>
    <m/>
    <m/>
    <m/>
    <m/>
    <m/>
    <m/>
    <m/>
    <m/>
    <n v="0"/>
    <n v="36026.9"/>
    <n v="30.2"/>
    <n v="914"/>
    <m/>
    <n v="36971.1"/>
    <m/>
    <n v="33555.4"/>
    <n v="28.6"/>
    <n v="852.7"/>
    <m/>
    <n v="34436.699999999997"/>
    <m/>
    <n v="2534.4000000000015"/>
    <n v="6.8550841062343331"/>
  </r>
  <r>
    <x v="64"/>
    <x v="12"/>
    <x v="3"/>
    <s v="ANA-3B"/>
    <s v="ANG26G26"/>
    <m/>
    <m/>
    <m/>
    <m/>
    <m/>
    <m/>
    <m/>
    <m/>
    <n v="0"/>
    <n v="35267.800000000003"/>
    <n v="31.1"/>
    <n v="653.20000000000005"/>
    <m/>
    <n v="35952.1"/>
    <m/>
    <n v="33116.5"/>
    <n v="29.2"/>
    <n v="613.4"/>
    <m/>
    <n v="33759.1"/>
    <m/>
    <n v="2193"/>
    <n v="6.0997827665143349"/>
  </r>
  <r>
    <x v="65"/>
    <x v="12"/>
    <x v="3"/>
    <s v="ANA-3B"/>
    <s v="ANG26H01"/>
    <m/>
    <m/>
    <m/>
    <m/>
    <m/>
    <m/>
    <m/>
    <m/>
    <n v="0"/>
    <n v="20966.8"/>
    <n v="38.9"/>
    <n v="714.5"/>
    <m/>
    <n v="21720.2"/>
    <m/>
    <n v="19575.5"/>
    <n v="36.9"/>
    <n v="665"/>
    <m/>
    <n v="20277.400000000001"/>
    <m/>
    <n v="1442.7999999999993"/>
    <n v="6.6426644321875452"/>
  </r>
  <r>
    <x v="66"/>
    <x v="12"/>
    <x v="3"/>
    <s v="ANA-3B"/>
    <s v="ANG26H02"/>
    <m/>
    <m/>
    <m/>
    <m/>
    <m/>
    <m/>
    <m/>
    <m/>
    <n v="0"/>
    <n v="35150.800000000003"/>
    <n v="47.3"/>
    <n v="859.2"/>
    <m/>
    <n v="36057.300000000003"/>
    <m/>
    <n v="32812.800000000003"/>
    <n v="44.8"/>
    <n v="804.2"/>
    <m/>
    <n v="33661.800000000003"/>
    <m/>
    <n v="2395.5"/>
    <n v="6.6435922822840308"/>
  </r>
  <r>
    <x v="67"/>
    <x v="12"/>
    <x v="3"/>
    <s v="ANA-3B"/>
    <s v="ANG26H03"/>
    <m/>
    <m/>
    <m/>
    <m/>
    <m/>
    <m/>
    <m/>
    <m/>
    <n v="0"/>
    <n v="38306.699999999997"/>
    <n v="0"/>
    <n v="1019.8"/>
    <m/>
    <n v="39326.5"/>
    <m/>
    <n v="35713.699999999997"/>
    <n v="0"/>
    <n v="953.8"/>
    <m/>
    <n v="36667.5"/>
    <m/>
    <n v="2659"/>
    <n v="6.7613441318195111"/>
  </r>
  <r>
    <x v="68"/>
    <x v="12"/>
    <x v="3"/>
    <s v="ANA-3B"/>
    <s v="ANG26H04"/>
    <m/>
    <m/>
    <m/>
    <m/>
    <m/>
    <m/>
    <m/>
    <m/>
    <n v="0"/>
    <n v="37740"/>
    <n v="56.4"/>
    <n v="1097.2"/>
    <m/>
    <n v="38893.599999999999"/>
    <m/>
    <n v="35211.4"/>
    <n v="52.6"/>
    <n v="1023.7"/>
    <m/>
    <n v="36287.699999999997"/>
    <m/>
    <n v="2605.9000000000015"/>
    <n v="6.7000740481724543"/>
  </r>
  <r>
    <x v="68"/>
    <x v="12"/>
    <x v="3"/>
    <s v="ANA-3B"/>
    <s v="ANG26H05"/>
    <m/>
    <m/>
    <m/>
    <m/>
    <m/>
    <m/>
    <m/>
    <m/>
    <n v="0"/>
    <n v="37190"/>
    <n v="56.3"/>
    <n v="1138.5999999999999"/>
    <m/>
    <n v="38384.9"/>
    <m/>
    <n v="34661.1"/>
    <n v="52.5"/>
    <n v="1061.2"/>
    <m/>
    <n v="35774.799999999996"/>
    <m/>
    <n v="2610.1000000000058"/>
    <n v="6.7998093000112174"/>
  </r>
  <r>
    <x v="69"/>
    <x v="13"/>
    <x v="3"/>
    <s v="ANA-3B"/>
    <s v="ANG26H05"/>
    <m/>
    <m/>
    <m/>
    <m/>
    <m/>
    <m/>
    <m/>
    <m/>
    <n v="0"/>
    <n v="25505.3"/>
    <n v="32.799999999999997"/>
    <n v="812.5"/>
    <m/>
    <n v="26350.6"/>
    <m/>
    <n v="23854.3"/>
    <n v="14.8"/>
    <n v="748.5"/>
    <m/>
    <n v="24617.599999999999"/>
    <m/>
    <n v="1733"/>
    <n v="6.5767003407892046"/>
  </r>
  <r>
    <x v="70"/>
    <x v="13"/>
    <x v="3"/>
    <s v="ANA-3B"/>
    <s v="ANG26H06"/>
    <m/>
    <m/>
    <m/>
    <m/>
    <m/>
    <m/>
    <m/>
    <m/>
    <n v="0"/>
    <n v="31398.1"/>
    <n v="0"/>
    <n v="906.6"/>
    <m/>
    <n v="32304.699999999997"/>
    <m/>
    <n v="29379.1"/>
    <n v="0"/>
    <n v="843.1"/>
    <m/>
    <n v="30222.199999999997"/>
    <m/>
    <n v="2082.5"/>
    <n v="6.4464303955771145"/>
  </r>
  <r>
    <x v="71"/>
    <x v="13"/>
    <x v="3"/>
    <s v="ANA-3B"/>
    <s v="ANG26H07"/>
    <m/>
    <m/>
    <m/>
    <m/>
    <m/>
    <m/>
    <m/>
    <m/>
    <n v="0"/>
    <n v="36631.199999999997"/>
    <n v="37.4"/>
    <n v="955"/>
    <m/>
    <n v="37623.599999999999"/>
    <m/>
    <n v="34277.199999999997"/>
    <n v="35.4"/>
    <n v="896"/>
    <m/>
    <n v="35208.6"/>
    <m/>
    <n v="2415"/>
    <n v="6.4188434918508595"/>
  </r>
  <r>
    <x v="72"/>
    <x v="13"/>
    <x v="3"/>
    <s v="ANA-3B"/>
    <s v="ANG26H08"/>
    <m/>
    <m/>
    <m/>
    <m/>
    <m/>
    <m/>
    <m/>
    <m/>
    <n v="0"/>
    <n v="40102.400000000001"/>
    <n v="32.6"/>
    <n v="886.7"/>
    <m/>
    <n v="41021.699999999997"/>
    <m/>
    <n v="37436.400000000001"/>
    <n v="31.1"/>
    <n v="832.2"/>
    <m/>
    <n v="38299.699999999997"/>
    <m/>
    <n v="2722"/>
    <n v="6.6355124239122221"/>
  </r>
  <r>
    <x v="73"/>
    <x v="13"/>
    <x v="3"/>
    <s v="ANA-3B"/>
    <s v="ANG26H09"/>
    <m/>
    <m/>
    <m/>
    <m/>
    <m/>
    <m/>
    <m/>
    <m/>
    <n v="0"/>
    <n v="40276.800000000003"/>
    <n v="25.4"/>
    <n v="853.4"/>
    <m/>
    <n v="41155.600000000006"/>
    <m/>
    <n v="37642.300000000003"/>
    <n v="24.9"/>
    <n v="803.4"/>
    <m/>
    <n v="38470.600000000006"/>
    <m/>
    <n v="2685"/>
    <n v="6.5240210323746943"/>
  </r>
  <r>
    <x v="74"/>
    <x v="14"/>
    <x v="3"/>
    <s v="ANA-3B"/>
    <s v="ANG26H10"/>
    <m/>
    <m/>
    <m/>
    <m/>
    <m/>
    <m/>
    <m/>
    <m/>
    <n v="0"/>
    <n v="40547.599999999999"/>
    <n v="22.1"/>
    <n v="537.6"/>
    <m/>
    <n v="41107.299999999996"/>
    <m/>
    <n v="38049.9"/>
    <n v="20.6"/>
    <n v="506.6"/>
    <m/>
    <n v="38577.1"/>
    <m/>
    <n v="2530.1999999999971"/>
    <n v="6.1551111359782746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  <r>
    <x v="75"/>
    <x v="15"/>
    <x v="4"/>
    <m/>
    <m/>
    <m/>
    <m/>
    <m/>
    <m/>
    <m/>
    <m/>
    <m/>
    <m/>
    <n v="0"/>
    <m/>
    <m/>
    <m/>
    <m/>
    <n v="0"/>
    <m/>
    <m/>
    <m/>
    <m/>
    <m/>
    <n v="0"/>
    <m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D63E2-6A72-4040-BF4F-3AC66B5666E5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E8" firstHeaderRow="0" firstDataRow="1" firstDataCol="1"/>
  <pivotFields count="30">
    <pivotField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75"/>
        <item x="68"/>
        <item x="69"/>
        <item x="70"/>
        <item x="71"/>
        <item x="72"/>
        <item x="73"/>
        <item x="74"/>
        <item t="default"/>
      </items>
    </pivotField>
    <pivotField numFmtId="1" showAll="0"/>
    <pivotField axis="axisRow" showAll="0">
      <items count="7">
        <item h="1" x="4"/>
        <item x="0"/>
        <item x="1"/>
        <item m="1"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 v="1"/>
    </i>
    <i>
      <x v="2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Before Borma (Kgs)" fld="18" baseField="0" baseItem="0" numFmtId="43"/>
    <dataField name="After Borma (Kgs)" fld="24" baseField="0" baseItem="0" numFmtId="43"/>
    <dataField name="Loss (kgs)" fld="26" baseField="0" baseItem="0" numFmtId="43"/>
    <dataField name="Avg. Loss %" fld="27" subtotal="average" baseField="2" baseItem="3" numFmtId="164"/>
  </dataFields>
  <formats count="2">
    <format dxfId="2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2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EE222-0022-4181-8A94-8D7BF6E19AD6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C8" firstHeaderRow="0" firstDataRow="1" firstDataCol="1"/>
  <pivotFields count="30">
    <pivotField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75"/>
        <item x="68"/>
        <item x="69"/>
        <item x="70"/>
        <item x="71"/>
        <item x="72"/>
        <item x="73"/>
        <item x="74"/>
        <item t="default"/>
      </items>
    </pivotField>
    <pivotField axis="axisRow" numFmtId="1" showAll="0">
      <items count="18">
        <item h="1" x="15"/>
        <item h="1" x="0"/>
        <item h="1" x="1"/>
        <item h="1" x="2"/>
        <item h="1" x="3"/>
        <item h="1" m="1" x="16"/>
        <item h="1" x="4"/>
        <item h="1" x="5"/>
        <item h="1" x="6"/>
        <item h="1" x="7"/>
        <item h="1" x="8"/>
        <item x="9"/>
        <item x="10"/>
        <item x="11"/>
        <item x="12"/>
        <item h="1" x="13"/>
        <item h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 Time (Hrs)" fld="13" subtotal="average" baseField="1" baseItem="3"/>
    <dataField name="Average of Dry Loss %" fld="27" subtotal="average" baseField="3" baseItem="12" numFmtId="164"/>
  </dataFields>
  <formats count="2">
    <format dxfId="21">
      <pivotArea outline="0" collapsedLevelsAreSubtotals="1" fieldPosition="0"/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6126D-DB40-44CD-8833-F9FB4BF91E45}" name="Table1" displayName="Table1" ref="B3:R483" totalsRowShown="0" headerRowDxfId="19" dataDxfId="18" tableBorderDxfId="17">
  <autoFilter ref="B3:R483" xr:uid="{3736126D-DB40-44CD-8833-F9FB4BF91E45}"/>
  <tableColumns count="17">
    <tableColumn id="1" xr3:uid="{BACE16E6-5F43-4F24-AE49-76700205A317}" name="Date" dataDxfId="16"/>
    <tableColumn id="26" xr3:uid="{357C1FE6-9D11-4EF6-A033-4C9944EA59FC}" name="Week" dataDxfId="15">
      <calculatedColumnFormula>WEEKNUM(Table1[[#This Row],[Date]])</calculatedColumnFormula>
    </tableColumn>
    <tableColumn id="25" xr3:uid="{074AC40E-8913-4527-931D-4BA33E8754E9}" name="Month" dataDxfId="14">
      <calculatedColumnFormula>TEXT(Table1[[#This Row],[Date]],"mmm-yy")</calculatedColumnFormula>
    </tableColumn>
    <tableColumn id="28" xr3:uid="{6285977D-0CE9-48B6-956C-75F0E7DAA487}" name="BIN No" dataDxfId="13"/>
    <tableColumn id="2" xr3:uid="{0CC6BBEF-B6BD-4292-AE7C-B1D05E56E4EF}" name="Lot No" dataDxfId="12"/>
    <tableColumn id="11" xr3:uid="{7BD084B7-AE76-4112-9F89-3E3DD0504E80}" name="Wholes (kg's)" dataDxfId="11"/>
    <tableColumn id="12" xr3:uid="{4BC732FD-BBC3-487F-8C5F-456B86C7B1C5}" name="Pieces (kg's)" dataDxfId="10"/>
    <tableColumn id="14" xr3:uid="{E16B79F0-9B37-4072-8F81-F18881D1505E}" name="Rejection (kg's)" dataDxfId="9"/>
    <tableColumn id="13" xr3:uid="{5776E971-F2F7-4E81-A6E9-2D882A52F3FE}" name="Oil (kg's)" dataDxfId="8"/>
    <tableColumn id="15" xr3:uid="{DDD83066-4566-4D0B-99C5-436E0660EE9E}" name="Before Borma (kg's)" dataDxfId="7">
      <calculatedColumnFormula>SUM(Table1[[#This Row],[Wholes (kg''s)]:[Rejection (kg''s)]])</calculatedColumnFormula>
    </tableColumn>
    <tableColumn id="16" xr3:uid="{BA8AF80A-B30E-4959-A9FC-973B2323E820}" name="BK_Wholes" dataDxfId="6"/>
    <tableColumn id="17" xr3:uid="{4420378E-EB24-4C2F-8BEC-7E1A7A647A53}" name="BK_Pieces" dataDxfId="5"/>
    <tableColumn id="19" xr3:uid="{DF985A90-0895-45FE-B5A9-7121DE182362}" name="BK_Reject" dataDxfId="4"/>
    <tableColumn id="18" xr3:uid="{C8D16BFF-9CC0-4E7C-8383-8BA8FCF136FB}" name="BK_Oil" dataDxfId="3"/>
    <tableColumn id="20" xr3:uid="{F1635549-E311-4D96-A41F-1BFE0B943F3F}" name="After Borma (kg's)" dataDxfId="2">
      <calculatedColumnFormula>SUM(Table1[[#This Row],[BK_Wholes]:[BK_Reject]])</calculatedColumnFormula>
    </tableColumn>
    <tableColumn id="21" xr3:uid="{443EB566-53B1-4864-AD1C-4BE0DD426211}" name="Loss" dataDxfId="1">
      <calculatedColumnFormula>Table1[[#This Row],[Before Borma (kg''s)]]-Table1[[#This Row],[After Borma (kg''s)]]</calculatedColumnFormula>
    </tableColumn>
    <tableColumn id="22" xr3:uid="{0A123299-7E7F-4217-B59F-23FA1150BC30}" name="Dry Loss %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FC13-1C49-4A94-824A-AA1870B100DA}">
  <dimension ref="A3:E8"/>
  <sheetViews>
    <sheetView workbookViewId="0">
      <selection activeCell="C7" sqref="C7"/>
    </sheetView>
  </sheetViews>
  <sheetFormatPr defaultRowHeight="14.4" x14ac:dyDescent="0.3"/>
  <cols>
    <col min="1" max="1" width="10.5546875" bestFit="1" customWidth="1"/>
    <col min="2" max="2" width="16.88671875" bestFit="1" customWidth="1"/>
    <col min="3" max="3" width="15.5546875" bestFit="1" customWidth="1"/>
    <col min="4" max="4" width="11.44140625" bestFit="1" customWidth="1"/>
    <col min="5" max="5" width="10.33203125" bestFit="1" customWidth="1"/>
  </cols>
  <sheetData>
    <row r="3" spans="1:5" x14ac:dyDescent="0.3">
      <c r="A3" s="9" t="s">
        <v>27</v>
      </c>
      <c r="B3" t="s">
        <v>112</v>
      </c>
      <c r="C3" t="s">
        <v>113</v>
      </c>
      <c r="D3" t="s">
        <v>114</v>
      </c>
      <c r="E3" t="s">
        <v>115</v>
      </c>
    </row>
    <row r="4" spans="1:5" x14ac:dyDescent="0.3">
      <c r="A4" s="10" t="s">
        <v>109</v>
      </c>
      <c r="B4" s="13">
        <v>144591.5</v>
      </c>
      <c r="C4" s="13">
        <v>135431.42000000001</v>
      </c>
      <c r="D4" s="13">
        <v>9160.0799999999945</v>
      </c>
      <c r="E4" s="6">
        <v>6.2723918092425039</v>
      </c>
    </row>
    <row r="5" spans="1:5" x14ac:dyDescent="0.3">
      <c r="A5" s="10" t="s">
        <v>110</v>
      </c>
      <c r="B5" s="13">
        <v>566104.71000000008</v>
      </c>
      <c r="C5" s="13">
        <v>532199.19000000006</v>
      </c>
      <c r="D5" s="13">
        <v>33905.519999999997</v>
      </c>
      <c r="E5" s="6">
        <v>5.8838764789258837</v>
      </c>
    </row>
    <row r="6" spans="1:5" x14ac:dyDescent="0.3">
      <c r="A6" s="10" t="s">
        <v>111</v>
      </c>
      <c r="B6" s="13">
        <v>950929.89</v>
      </c>
      <c r="C6" s="13">
        <v>890955.56</v>
      </c>
      <c r="D6" s="13">
        <v>59974.329999999987</v>
      </c>
      <c r="E6" s="6">
        <v>6.28508782357153</v>
      </c>
    </row>
    <row r="7" spans="1:5" x14ac:dyDescent="0.3">
      <c r="A7" s="10" t="s">
        <v>101</v>
      </c>
      <c r="B7" s="13">
        <v>466869.2</v>
      </c>
      <c r="C7" s="13">
        <v>436260.79999999993</v>
      </c>
      <c r="D7" s="13">
        <v>30608.400000000005</v>
      </c>
      <c r="E7" s="6">
        <v>6.5583822990542915</v>
      </c>
    </row>
    <row r="8" spans="1:5" x14ac:dyDescent="0.3">
      <c r="A8" s="10" t="s">
        <v>29</v>
      </c>
      <c r="B8" s="13">
        <v>2128495.3000000003</v>
      </c>
      <c r="C8" s="13">
        <v>1994846.9700000002</v>
      </c>
      <c r="D8" s="13">
        <v>133648.33000000002</v>
      </c>
      <c r="E8" s="6">
        <v>6.1941412098549105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84D6-E81F-43FD-99DD-B86644FE40A0}">
  <dimension ref="A3:C8"/>
  <sheetViews>
    <sheetView workbookViewId="0">
      <selection activeCell="C7" sqref="C7"/>
    </sheetView>
  </sheetViews>
  <sheetFormatPr defaultRowHeight="14.4" x14ac:dyDescent="0.3"/>
  <cols>
    <col min="1" max="1" width="12.44140625" bestFit="1" customWidth="1"/>
    <col min="2" max="2" width="23.21875" bestFit="1" customWidth="1"/>
    <col min="3" max="4" width="18.6640625" bestFit="1" customWidth="1"/>
  </cols>
  <sheetData>
    <row r="3" spans="1:3" x14ac:dyDescent="0.3">
      <c r="A3" s="9" t="s">
        <v>28</v>
      </c>
      <c r="B3" t="s">
        <v>47</v>
      </c>
      <c r="C3" t="s">
        <v>32</v>
      </c>
    </row>
    <row r="4" spans="1:3" x14ac:dyDescent="0.3">
      <c r="A4" s="12">
        <v>29</v>
      </c>
      <c r="B4" s="11">
        <v>9</v>
      </c>
      <c r="C4" s="6">
        <v>6.2142376022967332</v>
      </c>
    </row>
    <row r="5" spans="1:3" x14ac:dyDescent="0.3">
      <c r="A5" s="12">
        <v>30</v>
      </c>
      <c r="B5" s="11">
        <v>9</v>
      </c>
      <c r="C5" s="6">
        <v>6.4500344650265449</v>
      </c>
    </row>
    <row r="6" spans="1:3" x14ac:dyDescent="0.3">
      <c r="A6" s="12">
        <v>31</v>
      </c>
      <c r="B6" s="11">
        <v>1.5</v>
      </c>
      <c r="C6" s="6">
        <v>6.8230862637961769</v>
      </c>
    </row>
    <row r="7" spans="1:3" x14ac:dyDescent="0.3">
      <c r="A7" s="12">
        <v>32</v>
      </c>
      <c r="B7" s="11">
        <v>0</v>
      </c>
      <c r="C7" s="6">
        <v>6.6078778268315164</v>
      </c>
    </row>
    <row r="8" spans="1:3" x14ac:dyDescent="0.3">
      <c r="A8" s="12" t="s">
        <v>29</v>
      </c>
      <c r="B8" s="11">
        <v>5.04</v>
      </c>
      <c r="C8" s="6">
        <v>6.5114261820001014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AE0A-DFC8-4DA1-9A25-8408F20C45CE}">
  <dimension ref="B2:R483"/>
  <sheetViews>
    <sheetView tabSelected="1" zoomScale="110" zoomScaleNormal="110" workbookViewId="0">
      <pane xSplit="6" ySplit="3" topLeftCell="G96" activePane="bottomRight" state="frozen"/>
      <selection pane="topRight" activeCell="D1" sqref="D1"/>
      <selection pane="bottomLeft" activeCell="A4" sqref="A4"/>
      <selection pane="bottomRight" activeCell="C111" sqref="C111"/>
    </sheetView>
  </sheetViews>
  <sheetFormatPr defaultRowHeight="14.4" outlineLevelCol="1" x14ac:dyDescent="0.3"/>
  <cols>
    <col min="1" max="1" width="3" customWidth="1"/>
    <col min="2" max="5" width="8.44140625" customWidth="1"/>
    <col min="6" max="6" width="10.88671875" bestFit="1" customWidth="1"/>
    <col min="7" max="15" width="11.33203125" customWidth="1" outlineLevel="1"/>
    <col min="16" max="19" width="10" customWidth="1"/>
    <col min="21" max="22" width="10.88671875" customWidth="1"/>
    <col min="23" max="25" width="10" customWidth="1"/>
    <col min="27" max="27" width="10" customWidth="1"/>
    <col min="28" max="28" width="9.5546875" bestFit="1" customWidth="1"/>
    <col min="29" max="29" width="10" customWidth="1"/>
    <col min="31" max="31" width="11.5546875" customWidth="1"/>
  </cols>
  <sheetData>
    <row r="2" spans="2:18" ht="30.6" customHeight="1" x14ac:dyDescent="0.3">
      <c r="B2" s="8" t="s">
        <v>23</v>
      </c>
      <c r="C2" s="8"/>
      <c r="D2" s="8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2:18" ht="51.6" customHeight="1" x14ac:dyDescent="0.3">
      <c r="B3" s="2" t="s">
        <v>0</v>
      </c>
      <c r="C3" s="3" t="s">
        <v>31</v>
      </c>
      <c r="D3" s="3" t="s">
        <v>27</v>
      </c>
      <c r="E3" s="3" t="s">
        <v>65</v>
      </c>
      <c r="F3" s="3" t="s">
        <v>1</v>
      </c>
      <c r="G3" s="4" t="s">
        <v>10</v>
      </c>
      <c r="H3" s="4" t="s">
        <v>11</v>
      </c>
      <c r="I3" s="4" t="s">
        <v>13</v>
      </c>
      <c r="J3" s="4" t="s">
        <v>12</v>
      </c>
      <c r="K3" s="4" t="s">
        <v>8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9</v>
      </c>
      <c r="Q3" s="4" t="s">
        <v>6</v>
      </c>
      <c r="R3" s="5" t="s">
        <v>7</v>
      </c>
    </row>
    <row r="4" spans="2:18" x14ac:dyDescent="0.3">
      <c r="B4" s="1">
        <v>46153</v>
      </c>
      <c r="C4" s="11">
        <f>WEEKNUM(Table1[[#This Row],[Date]])</f>
        <v>20</v>
      </c>
      <c r="D4" s="1" t="str">
        <f>TEXT(Table1[[#This Row],[Date]],"mmm-yy")</f>
        <v>May-26</v>
      </c>
      <c r="E4" s="1" t="s">
        <v>76</v>
      </c>
      <c r="F4" t="s">
        <v>14</v>
      </c>
      <c r="G4">
        <v>4956.3</v>
      </c>
      <c r="H4">
        <v>244.1</v>
      </c>
      <c r="I4">
        <v>440</v>
      </c>
      <c r="J4">
        <v>65.3</v>
      </c>
      <c r="K4">
        <f>SUM(Table1[[#This Row],[Wholes (kg''s)]:[Rejection (kg''s)]])</f>
        <v>5640.4000000000005</v>
      </c>
      <c r="L4">
        <v>4460</v>
      </c>
      <c r="M4">
        <v>460</v>
      </c>
      <c r="N4">
        <v>340</v>
      </c>
      <c r="O4">
        <v>100</v>
      </c>
      <c r="P4">
        <f>SUM(Table1[[#This Row],[BK_Wholes]:[BK_Reject]])</f>
        <v>5260</v>
      </c>
      <c r="Q4">
        <f>Table1[[#This Row],[Before Borma (kg''s)]]-Table1[[#This Row],[After Borma (kg''s)]]</f>
        <v>380.40000000000055</v>
      </c>
      <c r="R4" s="6">
        <f>IFERROR(Q4/K4%,"")</f>
        <v>6.744202538827043</v>
      </c>
    </row>
    <row r="5" spans="2:18" x14ac:dyDescent="0.3">
      <c r="B5" s="1">
        <v>46157</v>
      </c>
      <c r="C5" s="11">
        <f>WEEKNUM(Table1[[#This Row],[Date]])</f>
        <v>20</v>
      </c>
      <c r="D5" s="1" t="str">
        <f>TEXT(Table1[[#This Row],[Date]],"mmm-yy")</f>
        <v>May-26</v>
      </c>
      <c r="E5" s="1" t="s">
        <v>76</v>
      </c>
      <c r="F5" t="s">
        <v>15</v>
      </c>
      <c r="G5">
        <v>3402.8</v>
      </c>
      <c r="H5">
        <v>110.5</v>
      </c>
      <c r="I5">
        <v>108.5</v>
      </c>
      <c r="J5">
        <v>143.19999999999999</v>
      </c>
      <c r="K5">
        <f>SUM(Table1[[#This Row],[Wholes (kg''s)]:[Rejection (kg''s)]])</f>
        <v>3621.8</v>
      </c>
      <c r="L5">
        <v>3198.63</v>
      </c>
      <c r="M5">
        <v>103.87</v>
      </c>
      <c r="N5">
        <v>101.0899999999999</v>
      </c>
      <c r="O5">
        <v>134.61000000000001</v>
      </c>
      <c r="P5">
        <f>SUM(Table1[[#This Row],[BK_Wholes]:[BK_Reject]])</f>
        <v>3403.5899999999997</v>
      </c>
      <c r="Q5">
        <f>Table1[[#This Row],[Before Borma (kg''s)]]-Table1[[#This Row],[After Borma (kg''s)]]</f>
        <v>218.21000000000049</v>
      </c>
      <c r="R5" s="6">
        <f>IFERROR(Q5/K5%,"")</f>
        <v>6.0249047434977214</v>
      </c>
    </row>
    <row r="6" spans="2:18" x14ac:dyDescent="0.3">
      <c r="B6" s="1">
        <v>46158</v>
      </c>
      <c r="C6" s="11">
        <f>WEEKNUM(Table1[[#This Row],[Date]])</f>
        <v>20</v>
      </c>
      <c r="D6" s="1" t="str">
        <f>TEXT(Table1[[#This Row],[Date]],"mmm-yy")</f>
        <v>May-26</v>
      </c>
      <c r="E6" s="1" t="s">
        <v>76</v>
      </c>
      <c r="F6" t="s">
        <v>16</v>
      </c>
      <c r="G6">
        <v>6477.6</v>
      </c>
      <c r="H6">
        <v>295.2</v>
      </c>
      <c r="I6">
        <v>168</v>
      </c>
      <c r="J6">
        <v>121</v>
      </c>
      <c r="K6">
        <f>SUM(Table1[[#This Row],[Wholes (kg''s)]:[Rejection (kg''s)]])</f>
        <v>6940.8</v>
      </c>
      <c r="L6">
        <v>6081.27</v>
      </c>
      <c r="M6">
        <v>277.89999999999998</v>
      </c>
      <c r="N6">
        <v>163.67000000000007</v>
      </c>
      <c r="O6">
        <v>120.5</v>
      </c>
      <c r="P6">
        <f>SUM(Table1[[#This Row],[BK_Wholes]:[BK_Reject]])</f>
        <v>6522.84</v>
      </c>
      <c r="Q6">
        <f>Table1[[#This Row],[Before Borma (kg''s)]]-Table1[[#This Row],[After Borma (kg''s)]]</f>
        <v>417.96000000000004</v>
      </c>
      <c r="R6" s="6">
        <f>IFERROR(Q6/K6%,"")</f>
        <v>6.021784232365146</v>
      </c>
    </row>
    <row r="7" spans="2:18" x14ac:dyDescent="0.3">
      <c r="B7" s="1">
        <v>46158</v>
      </c>
      <c r="C7" s="11">
        <f>WEEKNUM(Table1[[#This Row],[Date]])</f>
        <v>20</v>
      </c>
      <c r="D7" s="1" t="str">
        <f>TEXT(Table1[[#This Row],[Date]],"mmm-yy")</f>
        <v>May-26</v>
      </c>
      <c r="E7" s="1" t="s">
        <v>76</v>
      </c>
      <c r="F7" t="s">
        <v>17</v>
      </c>
      <c r="G7">
        <v>4681.2</v>
      </c>
      <c r="H7">
        <v>213.3</v>
      </c>
      <c r="I7">
        <v>121.5</v>
      </c>
      <c r="J7">
        <v>87.2</v>
      </c>
      <c r="K7">
        <f>SUM(Table1[[#This Row],[Wholes (kg''s)]:[Rejection (kg''s)]])</f>
        <v>5016</v>
      </c>
      <c r="L7">
        <v>4408</v>
      </c>
      <c r="M7">
        <v>200.09</v>
      </c>
      <c r="N7">
        <v>103.56000000000029</v>
      </c>
      <c r="O7">
        <v>75.209999999999994</v>
      </c>
      <c r="P7">
        <f>SUM(Table1[[#This Row],[BK_Wholes]:[BK_Reject]])</f>
        <v>4711.6500000000005</v>
      </c>
      <c r="Q7">
        <f>Table1[[#This Row],[Before Borma (kg''s)]]-Table1[[#This Row],[After Borma (kg''s)]]</f>
        <v>304.34999999999945</v>
      </c>
      <c r="R7" s="6">
        <f>IFERROR(Q7/K7%,"")</f>
        <v>6.0675837320574058</v>
      </c>
    </row>
    <row r="8" spans="2:18" x14ac:dyDescent="0.3">
      <c r="B8" s="1">
        <v>46160</v>
      </c>
      <c r="C8" s="11">
        <f>WEEKNUM(Table1[[#This Row],[Date]])</f>
        <v>21</v>
      </c>
      <c r="D8" s="1" t="str">
        <f>TEXT(Table1[[#This Row],[Date]],"mmm-yy")</f>
        <v>May-26</v>
      </c>
      <c r="E8" s="1" t="s">
        <v>76</v>
      </c>
      <c r="F8" t="s">
        <v>18</v>
      </c>
      <c r="G8">
        <v>3114</v>
      </c>
      <c r="H8">
        <v>105.5</v>
      </c>
      <c r="I8">
        <v>218</v>
      </c>
      <c r="J8">
        <v>48</v>
      </c>
      <c r="K8">
        <f>SUM(Table1[[#This Row],[Wholes (kg''s)]:[Rejection (kg''s)]])</f>
        <v>3437.5</v>
      </c>
      <c r="L8">
        <v>2927.16</v>
      </c>
      <c r="M8">
        <v>99.17</v>
      </c>
      <c r="N8">
        <v>201.28999999999988</v>
      </c>
      <c r="O8">
        <v>45.12</v>
      </c>
      <c r="P8">
        <f>SUM(Table1[[#This Row],[BK_Wholes]:[BK_Reject]])</f>
        <v>3227.62</v>
      </c>
      <c r="Q8">
        <f>Table1[[#This Row],[Before Borma (kg''s)]]-Table1[[#This Row],[After Borma (kg''s)]]</f>
        <v>209.88000000000011</v>
      </c>
      <c r="R8" s="6">
        <f>IFERROR(Q8/K8%,"")</f>
        <v>6.1056000000000035</v>
      </c>
    </row>
    <row r="9" spans="2:18" x14ac:dyDescent="0.3">
      <c r="B9" s="1">
        <v>46161</v>
      </c>
      <c r="C9" s="11">
        <f>WEEKNUM(Table1[[#This Row],[Date]])</f>
        <v>21</v>
      </c>
      <c r="D9" s="1" t="str">
        <f>TEXT(Table1[[#This Row],[Date]],"mmm-yy")</f>
        <v>May-26</v>
      </c>
      <c r="E9" s="1" t="s">
        <v>76</v>
      </c>
      <c r="F9" t="s">
        <v>19</v>
      </c>
      <c r="G9">
        <v>7867.5</v>
      </c>
      <c r="H9">
        <v>229.7</v>
      </c>
      <c r="I9">
        <v>229.6</v>
      </c>
      <c r="J9">
        <v>186</v>
      </c>
      <c r="K9">
        <f>SUM(Table1[[#This Row],[Wholes (kg''s)]:[Rejection (kg''s)]])</f>
        <v>8326.7999999999993</v>
      </c>
      <c r="L9">
        <v>7395.45</v>
      </c>
      <c r="M9">
        <v>215.92</v>
      </c>
      <c r="N9">
        <v>197.84999999999974</v>
      </c>
      <c r="O9">
        <v>174.84</v>
      </c>
      <c r="P9">
        <f>SUM(Table1[[#This Row],[BK_Wholes]:[BK_Reject]])</f>
        <v>7809.2199999999993</v>
      </c>
      <c r="Q9">
        <f>Table1[[#This Row],[Before Borma (kg''s)]]-Table1[[#This Row],[After Borma (kg''s)]]</f>
        <v>517.57999999999993</v>
      </c>
      <c r="R9" s="6">
        <f>IFERROR(Q9/K9%,"")</f>
        <v>6.21583321323918</v>
      </c>
    </row>
    <row r="10" spans="2:18" x14ac:dyDescent="0.3">
      <c r="B10" s="1">
        <v>46162</v>
      </c>
      <c r="C10" s="11">
        <f>WEEKNUM(Table1[[#This Row],[Date]])</f>
        <v>21</v>
      </c>
      <c r="D10" s="1" t="str">
        <f>TEXT(Table1[[#This Row],[Date]],"mmm-yy")</f>
        <v>May-26</v>
      </c>
      <c r="E10" s="1" t="s">
        <v>76</v>
      </c>
      <c r="F10" t="s">
        <v>20</v>
      </c>
      <c r="G10">
        <v>5302.3</v>
      </c>
      <c r="H10">
        <v>231.6</v>
      </c>
      <c r="I10">
        <v>110.4</v>
      </c>
      <c r="J10">
        <v>150</v>
      </c>
      <c r="K10">
        <f>SUM(Table1[[#This Row],[Wholes (kg''s)]:[Rejection (kg''s)]])</f>
        <v>5644.3</v>
      </c>
      <c r="L10">
        <v>4984.3</v>
      </c>
      <c r="M10">
        <v>217.8</v>
      </c>
      <c r="N10">
        <v>90.66000000000011</v>
      </c>
      <c r="O10">
        <v>141</v>
      </c>
      <c r="P10">
        <f>SUM(Table1[[#This Row],[BK_Wholes]:[BK_Reject]])</f>
        <v>5292.76</v>
      </c>
      <c r="Q10">
        <f>Table1[[#This Row],[Before Borma (kg''s)]]-Table1[[#This Row],[After Borma (kg''s)]]</f>
        <v>351.53999999999996</v>
      </c>
      <c r="R10" s="6">
        <f>IFERROR(Q10/K10%,"")</f>
        <v>6.2282302499867113</v>
      </c>
    </row>
    <row r="11" spans="2:18" x14ac:dyDescent="0.3">
      <c r="B11" s="1">
        <v>46163</v>
      </c>
      <c r="C11" s="11">
        <f>WEEKNUM(Table1[[#This Row],[Date]])</f>
        <v>21</v>
      </c>
      <c r="D11" s="1" t="str">
        <f>TEXT(Table1[[#This Row],[Date]],"mmm-yy")</f>
        <v>May-26</v>
      </c>
      <c r="E11" s="1" t="s">
        <v>76</v>
      </c>
      <c r="F11" t="s">
        <v>21</v>
      </c>
      <c r="G11">
        <v>9755.2999999999993</v>
      </c>
      <c r="H11">
        <v>350.1</v>
      </c>
      <c r="I11">
        <v>209.2</v>
      </c>
      <c r="J11">
        <v>152.4</v>
      </c>
      <c r="K11">
        <f>SUM(Table1[[#This Row],[Wholes (kg''s)]:[Rejection (kg''s)]])</f>
        <v>10314.6</v>
      </c>
      <c r="L11">
        <v>9150.4699999999993</v>
      </c>
      <c r="M11">
        <v>328.39</v>
      </c>
      <c r="N11">
        <v>194.26999999999904</v>
      </c>
      <c r="O11">
        <v>142.94999999999999</v>
      </c>
      <c r="P11">
        <f>SUM(Table1[[#This Row],[BK_Wholes]:[BK_Reject]])</f>
        <v>9673.1299999999974</v>
      </c>
      <c r="Q11">
        <f>Table1[[#This Row],[Before Borma (kg''s)]]-Table1[[#This Row],[After Borma (kg''s)]]</f>
        <v>641.47000000000298</v>
      </c>
      <c r="R11" s="6">
        <f>IFERROR(Q11/K11%,"")</f>
        <v>6.2190487270471273</v>
      </c>
    </row>
    <row r="12" spans="2:18" x14ac:dyDescent="0.3">
      <c r="B12" s="1">
        <v>46164</v>
      </c>
      <c r="C12" s="11">
        <f>WEEKNUM(Table1[[#This Row],[Date]])</f>
        <v>21</v>
      </c>
      <c r="D12" s="1" t="str">
        <f>TEXT(Table1[[#This Row],[Date]],"mmm-yy")</f>
        <v>May-26</v>
      </c>
      <c r="E12" s="1" t="s">
        <v>76</v>
      </c>
      <c r="F12" t="s">
        <v>22</v>
      </c>
      <c r="G12">
        <v>10350.200000000001</v>
      </c>
      <c r="H12">
        <v>340.8</v>
      </c>
      <c r="I12">
        <v>374.6</v>
      </c>
      <c r="J12">
        <v>140.9</v>
      </c>
      <c r="K12">
        <f>SUM(Table1[[#This Row],[Wholes (kg''s)]:[Rejection (kg''s)]])</f>
        <v>11065.6</v>
      </c>
      <c r="L12">
        <v>9718.9</v>
      </c>
      <c r="M12">
        <v>320.10000000000002</v>
      </c>
      <c r="N12">
        <v>334.80999999999949</v>
      </c>
      <c r="O12">
        <v>132.31</v>
      </c>
      <c r="P12">
        <f>SUM(Table1[[#This Row],[BK_Wholes]:[BK_Reject]])</f>
        <v>10373.81</v>
      </c>
      <c r="Q12">
        <f>Table1[[#This Row],[Before Borma (kg''s)]]-Table1[[#This Row],[After Borma (kg''s)]]</f>
        <v>691.79000000000087</v>
      </c>
      <c r="R12" s="6">
        <f>IFERROR(Q12/K12%,"")</f>
        <v>6.2517170329670408</v>
      </c>
    </row>
    <row r="13" spans="2:18" x14ac:dyDescent="0.3">
      <c r="B13" s="1">
        <v>46166</v>
      </c>
      <c r="C13" s="11">
        <f>WEEKNUM(Table1[[#This Row],[Date]])</f>
        <v>22</v>
      </c>
      <c r="D13" s="1" t="str">
        <f>TEXT(Table1[[#This Row],[Date]],"mmm-yy")</f>
        <v>May-26</v>
      </c>
      <c r="E13" s="1" t="s">
        <v>76</v>
      </c>
      <c r="F13" t="s">
        <v>24</v>
      </c>
      <c r="G13">
        <v>20025.8</v>
      </c>
      <c r="H13">
        <v>582.5</v>
      </c>
      <c r="I13">
        <v>488.5</v>
      </c>
      <c r="J13">
        <v>358.5</v>
      </c>
      <c r="K13">
        <f>SUM(Table1[[#This Row],[Wholes (kg''s)]:[Rejection (kg''s)]])</f>
        <v>21096.799999999999</v>
      </c>
      <c r="L13">
        <v>18804.2</v>
      </c>
      <c r="M13">
        <v>546.9</v>
      </c>
      <c r="N13">
        <v>303.00000000000148</v>
      </c>
      <c r="O13">
        <v>458.7</v>
      </c>
      <c r="P13">
        <f>SUM(Table1[[#This Row],[BK_Wholes]:[BK_Reject]])</f>
        <v>19654.100000000002</v>
      </c>
      <c r="Q13">
        <f>Table1[[#This Row],[Before Borma (kg''s)]]-Table1[[#This Row],[After Borma (kg''s)]]</f>
        <v>1442.6999999999971</v>
      </c>
      <c r="R13" s="6">
        <f>IFERROR(Q13/K13%,"")</f>
        <v>6.8384778734215486</v>
      </c>
    </row>
    <row r="14" spans="2:18" x14ac:dyDescent="0.3">
      <c r="B14" s="1">
        <v>46168</v>
      </c>
      <c r="C14" s="11">
        <f>WEEKNUM(Table1[[#This Row],[Date]])</f>
        <v>22</v>
      </c>
      <c r="D14" s="1" t="str">
        <f>TEXT(Table1[[#This Row],[Date]],"mmm-yy")</f>
        <v>May-26</v>
      </c>
      <c r="E14" s="1" t="s">
        <v>76</v>
      </c>
      <c r="F14" t="s">
        <v>25</v>
      </c>
      <c r="G14">
        <v>11123.4</v>
      </c>
      <c r="H14" s="6">
        <v>383.6</v>
      </c>
      <c r="I14" s="6">
        <v>227.8</v>
      </c>
      <c r="J14" s="6">
        <v>318.60000000000002</v>
      </c>
      <c r="K14">
        <f>SUM(Table1[[#This Row],[Wholes (kg''s)]:[Rejection (kg''s)]])</f>
        <v>11734.8</v>
      </c>
      <c r="L14">
        <v>10422.6</v>
      </c>
      <c r="M14">
        <v>359.4</v>
      </c>
      <c r="N14">
        <v>207.5</v>
      </c>
      <c r="O14">
        <v>298.5</v>
      </c>
      <c r="P14" s="6">
        <f>SUM(Table1[[#This Row],[BK_Wholes]:[BK_Reject]])</f>
        <v>10989.5</v>
      </c>
      <c r="Q14">
        <f>Table1[[#This Row],[Before Borma (kg''s)]]-Table1[[#This Row],[After Borma (kg''s)]]</f>
        <v>745.29999999999927</v>
      </c>
      <c r="R14" s="6">
        <f>IFERROR(Q14/K14%,"")</f>
        <v>6.3511947370215029</v>
      </c>
    </row>
    <row r="15" spans="2:18" x14ac:dyDescent="0.3">
      <c r="B15" s="1">
        <v>46169</v>
      </c>
      <c r="C15" s="11">
        <f>WEEKNUM(Table1[[#This Row],[Date]])</f>
        <v>22</v>
      </c>
      <c r="D15" s="1" t="str">
        <f>TEXT(Table1[[#This Row],[Date]],"mmm-yy")</f>
        <v>May-26</v>
      </c>
      <c r="E15" s="1" t="s">
        <v>76</v>
      </c>
      <c r="F15" t="s">
        <v>26</v>
      </c>
      <c r="G15">
        <v>16010.9</v>
      </c>
      <c r="H15" s="6">
        <v>468.2</v>
      </c>
      <c r="I15">
        <v>319.8</v>
      </c>
      <c r="J15">
        <v>312.10000000000002</v>
      </c>
      <c r="K15">
        <f>SUM(Table1[[#This Row],[Wholes (kg''s)]:[Rejection (kg''s)]])</f>
        <v>16798.899999999998</v>
      </c>
      <c r="L15">
        <v>15018.2</v>
      </c>
      <c r="M15">
        <v>439.1</v>
      </c>
      <c r="N15">
        <v>289.80000000000143</v>
      </c>
      <c r="O15">
        <v>292.7</v>
      </c>
      <c r="P15">
        <f>SUM(Table1[[#This Row],[BK_Wholes]:[BK_Reject]])</f>
        <v>15747.100000000002</v>
      </c>
      <c r="Q15">
        <f>Table1[[#This Row],[Before Borma (kg''s)]]-Table1[[#This Row],[After Borma (kg''s)]]</f>
        <v>1051.7999999999956</v>
      </c>
      <c r="R15" s="6">
        <f>IFERROR(Q15/K15%,"")</f>
        <v>6.2611242402776117</v>
      </c>
    </row>
    <row r="16" spans="2:18" x14ac:dyDescent="0.3">
      <c r="B16" s="1">
        <v>46171</v>
      </c>
      <c r="C16" s="11">
        <f>WEEKNUM(Table1[[#This Row],[Date]])</f>
        <v>22</v>
      </c>
      <c r="D16" s="1" t="str">
        <f>TEXT(Table1[[#This Row],[Date]],"mmm-yy")</f>
        <v>May-26</v>
      </c>
      <c r="E16" s="1" t="s">
        <v>76</v>
      </c>
      <c r="F16" t="s">
        <v>30</v>
      </c>
      <c r="G16">
        <v>15621</v>
      </c>
      <c r="H16">
        <v>388.1</v>
      </c>
      <c r="I16">
        <v>388.5</v>
      </c>
      <c r="J16">
        <v>185.5</v>
      </c>
      <c r="K16">
        <f>SUM(Table1[[#This Row],[Wholes (kg''s)]:[Rejection (kg''s)]])</f>
        <v>16397.599999999999</v>
      </c>
      <c r="L16" s="6">
        <v>14699.3</v>
      </c>
      <c r="M16" s="6">
        <v>365.2</v>
      </c>
      <c r="N16" s="6">
        <v>350.29999999999927</v>
      </c>
      <c r="O16" s="6">
        <v>174.8</v>
      </c>
      <c r="P16">
        <f>SUM(Table1[[#This Row],[BK_Wholes]:[BK_Reject]])</f>
        <v>15414.8</v>
      </c>
      <c r="Q16">
        <f>Table1[[#This Row],[Before Borma (kg''s)]]-Table1[[#This Row],[After Borma (kg''s)]]</f>
        <v>982.79999999999927</v>
      </c>
      <c r="R16" s="6">
        <f>IFERROR(Q16/K16%,"")</f>
        <v>5.9935600331755818</v>
      </c>
    </row>
    <row r="17" spans="2:18" x14ac:dyDescent="0.3">
      <c r="B17" s="1">
        <v>46172</v>
      </c>
      <c r="C17" s="11">
        <f>WEEKNUM(Table1[[#This Row],[Date]])</f>
        <v>22</v>
      </c>
      <c r="D17" s="1" t="str">
        <f>TEXT(Table1[[#This Row],[Date]],"mmm-yy")</f>
        <v>May-26</v>
      </c>
      <c r="E17" s="1" t="s">
        <v>76</v>
      </c>
      <c r="F17" t="s">
        <v>33</v>
      </c>
      <c r="G17">
        <v>17500</v>
      </c>
      <c r="H17" s="6">
        <v>622.79999999999995</v>
      </c>
      <c r="I17">
        <v>432.8</v>
      </c>
      <c r="J17">
        <v>250.8</v>
      </c>
      <c r="K17">
        <f>SUM(Table1[[#This Row],[Wholes (kg''s)]:[Rejection (kg''s)]])</f>
        <v>18555.599999999999</v>
      </c>
      <c r="L17">
        <v>16450</v>
      </c>
      <c r="M17">
        <v>585.5</v>
      </c>
      <c r="N17" s="6">
        <v>315.8</v>
      </c>
      <c r="O17" s="6">
        <v>235.7</v>
      </c>
      <c r="P17">
        <f>SUM(Table1[[#This Row],[BK_Wholes]:[BK_Reject]])</f>
        <v>17351.3</v>
      </c>
      <c r="Q17">
        <f>Table1[[#This Row],[Before Borma (kg''s)]]-Table1[[#This Row],[After Borma (kg''s)]]</f>
        <v>1204.2999999999993</v>
      </c>
      <c r="R17" s="6">
        <f>IFERROR(Q17/K17%,"")</f>
        <v>6.4902239755114328</v>
      </c>
    </row>
    <row r="18" spans="2:18" x14ac:dyDescent="0.3">
      <c r="B18" s="1">
        <v>46174</v>
      </c>
      <c r="C18" s="11">
        <f>WEEKNUM(Table1[[#This Row],[Date]])</f>
        <v>23</v>
      </c>
      <c r="D18" s="1" t="str">
        <f>TEXT(Table1[[#This Row],[Date]],"mmm-yy")</f>
        <v>Jun-26</v>
      </c>
      <c r="E18" s="1" t="s">
        <v>76</v>
      </c>
      <c r="F18" t="s">
        <v>34</v>
      </c>
      <c r="G18">
        <v>15739</v>
      </c>
      <c r="H18">
        <v>471</v>
      </c>
      <c r="I18">
        <v>169</v>
      </c>
      <c r="J18">
        <v>175.8</v>
      </c>
      <c r="K18">
        <f>SUM(Table1[[#This Row],[Wholes (kg''s)]:[Rejection (kg''s)]])</f>
        <v>16379</v>
      </c>
      <c r="L18">
        <v>14728.6</v>
      </c>
      <c r="M18">
        <v>440.7</v>
      </c>
      <c r="N18" s="6">
        <v>150.00000000000145</v>
      </c>
      <c r="O18" s="6">
        <v>164.5</v>
      </c>
      <c r="P18">
        <f>SUM(Table1[[#This Row],[BK_Wholes]:[BK_Reject]])</f>
        <v>15319.300000000003</v>
      </c>
      <c r="Q18">
        <f>Table1[[#This Row],[Before Borma (kg''s)]]-Table1[[#This Row],[After Borma (kg''s)]]</f>
        <v>1059.6999999999971</v>
      </c>
      <c r="R18" s="6">
        <f>IFERROR(Q18/K18%,"")</f>
        <v>6.4698699554307169</v>
      </c>
    </row>
    <row r="19" spans="2:18" x14ac:dyDescent="0.3">
      <c r="B19" s="1">
        <v>46174</v>
      </c>
      <c r="C19" s="11">
        <f>WEEKNUM(Table1[[#This Row],[Date]])</f>
        <v>23</v>
      </c>
      <c r="D19" s="1" t="str">
        <f>TEXT(Table1[[#This Row],[Date]],"mmm-yy")</f>
        <v>Jun-26</v>
      </c>
      <c r="E19" s="1" t="s">
        <v>76</v>
      </c>
      <c r="F19" t="s">
        <v>35</v>
      </c>
      <c r="G19">
        <v>21949.7</v>
      </c>
      <c r="H19">
        <v>690.4</v>
      </c>
      <c r="I19" s="6">
        <v>450.8</v>
      </c>
      <c r="J19">
        <v>49.5</v>
      </c>
      <c r="K19">
        <f>SUM(Table1[[#This Row],[Wholes (kg''s)]:[Rejection (kg''s)]])</f>
        <v>23090.9</v>
      </c>
      <c r="L19">
        <v>20533.900000000001</v>
      </c>
      <c r="M19">
        <v>645.9</v>
      </c>
      <c r="N19" s="6">
        <v>409.51000000000494</v>
      </c>
      <c r="O19" s="6">
        <v>46.31</v>
      </c>
      <c r="P19">
        <f>SUM(Table1[[#This Row],[BK_Wholes]:[BK_Reject]])</f>
        <v>21589.310000000009</v>
      </c>
      <c r="Q19">
        <f>Table1[[#This Row],[Before Borma (kg''s)]]-Table1[[#This Row],[After Borma (kg''s)]]</f>
        <v>1501.5899999999929</v>
      </c>
      <c r="R19" s="6">
        <f>IFERROR(Q19/K19%,"")</f>
        <v>6.5029513791146849</v>
      </c>
    </row>
    <row r="20" spans="2:18" x14ac:dyDescent="0.3">
      <c r="B20" s="1">
        <v>46175</v>
      </c>
      <c r="C20" s="11">
        <f>WEEKNUM(Table1[[#This Row],[Date]])</f>
        <v>23</v>
      </c>
      <c r="D20" s="1" t="str">
        <f>TEXT(Table1[[#This Row],[Date]],"mmm-yy")</f>
        <v>Jun-26</v>
      </c>
      <c r="E20" s="1" t="s">
        <v>76</v>
      </c>
      <c r="F20" t="s">
        <v>36</v>
      </c>
      <c r="G20">
        <v>20858.2</v>
      </c>
      <c r="H20">
        <v>548.6</v>
      </c>
      <c r="I20" s="6">
        <v>260</v>
      </c>
      <c r="J20">
        <v>289.3</v>
      </c>
      <c r="K20">
        <f>SUM(Table1[[#This Row],[Wholes (kg''s)]:[Rejection (kg''s)]])</f>
        <v>21666.799999999999</v>
      </c>
      <c r="L20">
        <v>19523.3</v>
      </c>
      <c r="M20">
        <v>513.5</v>
      </c>
      <c r="N20" s="6">
        <v>261.8</v>
      </c>
      <c r="O20" s="6">
        <v>243.4</v>
      </c>
      <c r="P20">
        <f>SUM(Table1[[#This Row],[BK_Wholes]:[BK_Reject]])</f>
        <v>20298.599999999999</v>
      </c>
      <c r="Q20">
        <f>Table1[[#This Row],[Before Borma (kg''s)]]-Table1[[#This Row],[After Borma (kg''s)]]</f>
        <v>1368.2000000000007</v>
      </c>
      <c r="R20" s="6">
        <f>IFERROR(Q20/K20%,"")</f>
        <v>6.3147303708900289</v>
      </c>
    </row>
    <row r="21" spans="2:18" x14ac:dyDescent="0.3">
      <c r="B21" s="1">
        <v>46176</v>
      </c>
      <c r="C21" s="11">
        <f>WEEKNUM(Table1[[#This Row],[Date]])</f>
        <v>23</v>
      </c>
      <c r="D21" s="1" t="str">
        <f>TEXT(Table1[[#This Row],[Date]],"mmm-yy")</f>
        <v>Jun-26</v>
      </c>
      <c r="E21" s="1" t="s">
        <v>76</v>
      </c>
      <c r="F21" t="s">
        <v>37</v>
      </c>
      <c r="G21">
        <v>11977</v>
      </c>
      <c r="H21">
        <v>289.5</v>
      </c>
      <c r="I21" s="6">
        <v>104.5</v>
      </c>
      <c r="J21">
        <v>256.3</v>
      </c>
      <c r="K21">
        <f>SUM(Table1[[#This Row],[Wholes (kg''s)]:[Rejection (kg''s)]])</f>
        <v>12371</v>
      </c>
      <c r="L21" s="6">
        <v>11200.89</v>
      </c>
      <c r="M21" s="6">
        <v>270.74</v>
      </c>
      <c r="N21" s="6">
        <v>228.73999999999927</v>
      </c>
      <c r="O21" s="6">
        <v>97.73</v>
      </c>
      <c r="P21">
        <f>SUM(Table1[[#This Row],[BK_Wholes]:[BK_Reject]])</f>
        <v>11700.369999999999</v>
      </c>
      <c r="Q21">
        <f>Table1[[#This Row],[Before Borma (kg''s)]]-Table1[[#This Row],[After Borma (kg''s)]]</f>
        <v>670.63000000000102</v>
      </c>
      <c r="R21" s="6">
        <f>IFERROR(Q21/K21%,"")</f>
        <v>5.4209845606660823</v>
      </c>
    </row>
    <row r="22" spans="2:18" x14ac:dyDescent="0.3">
      <c r="B22" s="1">
        <v>46177</v>
      </c>
      <c r="C22" s="11">
        <f>WEEKNUM(Table1[[#This Row],[Date]])</f>
        <v>23</v>
      </c>
      <c r="D22" s="1" t="str">
        <f>TEXT(Table1[[#This Row],[Date]],"mmm-yy")</f>
        <v>Jun-26</v>
      </c>
      <c r="E22" s="1" t="s">
        <v>76</v>
      </c>
      <c r="F22" t="s">
        <v>38</v>
      </c>
      <c r="G22">
        <v>14392.4</v>
      </c>
      <c r="H22">
        <v>510.1</v>
      </c>
      <c r="I22">
        <v>0</v>
      </c>
      <c r="J22" s="6">
        <v>278.60000000000002</v>
      </c>
      <c r="K22">
        <f>SUM(Table1[[#This Row],[Wholes (kg''s)]:[Rejection (kg''s)]])</f>
        <v>14902.5</v>
      </c>
      <c r="L22" s="6">
        <v>13528.8</v>
      </c>
      <c r="M22" s="6">
        <v>479.4</v>
      </c>
      <c r="N22" s="6">
        <v>251.79999999999819</v>
      </c>
      <c r="O22" s="6">
        <v>0</v>
      </c>
      <c r="P22">
        <f>SUM(Table1[[#This Row],[BK_Wholes]:[BK_Reject]])</f>
        <v>14259.999999999996</v>
      </c>
      <c r="Q22">
        <f>Table1[[#This Row],[Before Borma (kg''s)]]-Table1[[#This Row],[After Borma (kg''s)]]</f>
        <v>642.50000000000364</v>
      </c>
      <c r="R22" s="6">
        <f>IFERROR(Q22/K22%,"")</f>
        <v>4.3113571548398166</v>
      </c>
    </row>
    <row r="23" spans="2:18" x14ac:dyDescent="0.3">
      <c r="B23" s="1">
        <v>46178</v>
      </c>
      <c r="C23" s="11">
        <f>WEEKNUM(Table1[[#This Row],[Date]])</f>
        <v>23</v>
      </c>
      <c r="D23" s="1" t="str">
        <f>TEXT(Table1[[#This Row],[Date]],"mmm-yy")</f>
        <v>Jun-26</v>
      </c>
      <c r="E23" s="1" t="s">
        <v>76</v>
      </c>
      <c r="F23" t="s">
        <v>39</v>
      </c>
      <c r="G23">
        <v>20778</v>
      </c>
      <c r="H23">
        <v>469.9</v>
      </c>
      <c r="I23">
        <v>539.70000000000005</v>
      </c>
      <c r="K23">
        <f>SUM(Table1[[#This Row],[Wholes (kg''s)]:[Rejection (kg''s)]])</f>
        <v>21787.600000000002</v>
      </c>
      <c r="L23" s="6">
        <v>19531.3</v>
      </c>
      <c r="M23" s="6">
        <v>441.7</v>
      </c>
      <c r="N23" s="6">
        <v>0.2999999999992724</v>
      </c>
      <c r="O23" s="6">
        <v>507.3</v>
      </c>
      <c r="P23">
        <f>SUM(Table1[[#This Row],[BK_Wholes]:[BK_Reject]])</f>
        <v>19973.3</v>
      </c>
      <c r="Q23">
        <f>Table1[[#This Row],[Before Borma (kg''s)]]-Table1[[#This Row],[After Borma (kg''s)]]</f>
        <v>1814.3000000000029</v>
      </c>
      <c r="R23" s="6">
        <f>IFERROR(Q23/K23%,"")</f>
        <v>8.3272136444583271</v>
      </c>
    </row>
    <row r="24" spans="2:18" x14ac:dyDescent="0.3">
      <c r="B24" s="1">
        <v>46181</v>
      </c>
      <c r="C24" s="11">
        <f>WEEKNUM(Table1[[#This Row],[Date]])</f>
        <v>24</v>
      </c>
      <c r="D24" s="1" t="str">
        <f>TEXT(Table1[[#This Row],[Date]],"mmm-yy")</f>
        <v>Jun-26</v>
      </c>
      <c r="E24" s="1" t="s">
        <v>76</v>
      </c>
      <c r="F24" t="s">
        <v>40</v>
      </c>
      <c r="G24">
        <v>20474.2</v>
      </c>
      <c r="H24">
        <v>649.6</v>
      </c>
      <c r="I24">
        <v>550.5</v>
      </c>
      <c r="J24">
        <v>140.19999999999999</v>
      </c>
      <c r="K24">
        <f>SUM(Table1[[#This Row],[Wholes (kg''s)]:[Rejection (kg''s)]])</f>
        <v>21674.3</v>
      </c>
      <c r="L24">
        <v>19225.27</v>
      </c>
      <c r="M24">
        <v>609.97</v>
      </c>
      <c r="N24">
        <v>135.46000000000132</v>
      </c>
      <c r="O24">
        <v>516.91999999999996</v>
      </c>
      <c r="P24">
        <f>SUM(Table1[[#This Row],[BK_Wholes]:[BK_Reject]])</f>
        <v>19970.700000000004</v>
      </c>
      <c r="Q24">
        <f>Table1[[#This Row],[Before Borma (kg''s)]]-Table1[[#This Row],[After Borma (kg''s)]]</f>
        <v>1703.5999999999949</v>
      </c>
      <c r="R24" s="6">
        <f>IFERROR(Q24/K24%,"")</f>
        <v>7.8600000922751594</v>
      </c>
    </row>
    <row r="25" spans="2:18" x14ac:dyDescent="0.3">
      <c r="B25" s="1">
        <v>46182</v>
      </c>
      <c r="C25" s="11">
        <f>WEEKNUM(Table1[[#This Row],[Date]])</f>
        <v>24</v>
      </c>
      <c r="D25" s="1" t="str">
        <f>TEXT(Table1[[#This Row],[Date]],"mmm-yy")</f>
        <v>Jun-26</v>
      </c>
      <c r="E25" s="1" t="s">
        <v>76</v>
      </c>
      <c r="F25" t="s">
        <v>41</v>
      </c>
      <c r="G25">
        <v>21889.200000000001</v>
      </c>
      <c r="H25">
        <v>773.9</v>
      </c>
      <c r="I25">
        <v>347.5</v>
      </c>
      <c r="J25">
        <v>625.79999999999995</v>
      </c>
      <c r="K25">
        <f>SUM(Table1[[#This Row],[Wholes (kg''s)]:[Rejection (kg''s)]])</f>
        <v>23010.600000000002</v>
      </c>
      <c r="L25">
        <v>20575.849999999999</v>
      </c>
      <c r="M25">
        <v>722.47</v>
      </c>
      <c r="N25">
        <v>319.87000000000114</v>
      </c>
      <c r="O25">
        <v>588.25</v>
      </c>
      <c r="P25">
        <f>SUM(Table1[[#This Row],[BK_Wholes]:[BK_Reject]])</f>
        <v>21618.190000000002</v>
      </c>
      <c r="Q25">
        <f>Table1[[#This Row],[Before Borma (kg''s)]]-Table1[[#This Row],[After Borma (kg''s)]]</f>
        <v>1392.4099999999999</v>
      </c>
      <c r="R25" s="6">
        <f>IFERROR(Q25/K25%,"")</f>
        <v>6.0511677227017104</v>
      </c>
    </row>
    <row r="26" spans="2:18" x14ac:dyDescent="0.3">
      <c r="B26" s="1">
        <v>46183</v>
      </c>
      <c r="C26" s="11">
        <f>WEEKNUM(Table1[[#This Row],[Date]])</f>
        <v>24</v>
      </c>
      <c r="D26" s="1" t="str">
        <f>TEXT(Table1[[#This Row],[Date]],"mmm-yy")</f>
        <v>Jun-26</v>
      </c>
      <c r="E26" s="1" t="s">
        <v>76</v>
      </c>
      <c r="F26" t="s">
        <v>42</v>
      </c>
      <c r="G26">
        <v>20758.2</v>
      </c>
      <c r="H26">
        <v>750.5</v>
      </c>
      <c r="I26">
        <v>256</v>
      </c>
      <c r="J26">
        <v>485</v>
      </c>
      <c r="K26">
        <f>SUM(Table1[[#This Row],[Wholes (kg''s)]:[Rejection (kg''s)]])</f>
        <v>21764.7</v>
      </c>
      <c r="L26">
        <v>19485.34</v>
      </c>
      <c r="M26">
        <v>701.8</v>
      </c>
      <c r="N26">
        <v>239.36</v>
      </c>
      <c r="O26">
        <v>453.5</v>
      </c>
      <c r="P26">
        <f>SUM(Table1[[#This Row],[BK_Wholes]:[BK_Reject]])</f>
        <v>20426.5</v>
      </c>
      <c r="Q26">
        <f>Table1[[#This Row],[Before Borma (kg''s)]]-Table1[[#This Row],[After Borma (kg''s)]]</f>
        <v>1338.2000000000007</v>
      </c>
      <c r="R26" s="6">
        <f>IFERROR(Q26/K26%,"")</f>
        <v>6.1484881482400429</v>
      </c>
    </row>
    <row r="27" spans="2:18" x14ac:dyDescent="0.3">
      <c r="B27" s="1">
        <v>46184</v>
      </c>
      <c r="C27" s="11">
        <f>WEEKNUM(Table1[[#This Row],[Date]])</f>
        <v>24</v>
      </c>
      <c r="D27" s="1" t="str">
        <f>TEXT(Table1[[#This Row],[Date]],"mmm-yy")</f>
        <v>Jun-26</v>
      </c>
      <c r="E27" s="1" t="s">
        <v>77</v>
      </c>
      <c r="F27" t="s">
        <v>43</v>
      </c>
      <c r="G27">
        <v>22658.2</v>
      </c>
      <c r="H27">
        <v>802.5</v>
      </c>
      <c r="I27">
        <v>258.5</v>
      </c>
      <c r="J27">
        <v>232.4</v>
      </c>
      <c r="K27">
        <f>SUM(Table1[[#This Row],[Wholes (kg''s)]:[Rejection (kg''s)]])</f>
        <v>23719.200000000001</v>
      </c>
      <c r="L27">
        <v>21328.43</v>
      </c>
      <c r="M27">
        <v>751.95</v>
      </c>
      <c r="N27">
        <v>242.22</v>
      </c>
      <c r="O27">
        <v>217.4</v>
      </c>
      <c r="P27">
        <f>SUM(Table1[[#This Row],[BK_Wholes]:[BK_Reject]])</f>
        <v>22322.600000000002</v>
      </c>
      <c r="Q27">
        <f>Table1[[#This Row],[Before Borma (kg''s)]]-Table1[[#This Row],[After Borma (kg''s)]]</f>
        <v>1396.5999999999985</v>
      </c>
      <c r="R27" s="6">
        <f>IFERROR(Q27/K27%,"")</f>
        <v>5.8880569327801888</v>
      </c>
    </row>
    <row r="28" spans="2:18" x14ac:dyDescent="0.3">
      <c r="B28" s="1">
        <v>46185</v>
      </c>
      <c r="C28" s="11">
        <f>WEEKNUM(Table1[[#This Row],[Date]])</f>
        <v>24</v>
      </c>
      <c r="D28" s="1" t="str">
        <f>TEXT(Table1[[#This Row],[Date]],"mmm-yy")</f>
        <v>Jun-26</v>
      </c>
      <c r="E28" s="1" t="s">
        <v>77</v>
      </c>
      <c r="F28" t="s">
        <v>44</v>
      </c>
      <c r="G28">
        <v>21752.5</v>
      </c>
      <c r="H28">
        <v>704.4</v>
      </c>
      <c r="I28">
        <v>215.1</v>
      </c>
      <c r="J28">
        <v>87.3</v>
      </c>
      <c r="K28">
        <f>SUM(Table1[[#This Row],[Wholes (kg''s)]:[Rejection (kg''s)]])</f>
        <v>22672</v>
      </c>
      <c r="L28">
        <v>20575.5</v>
      </c>
      <c r="M28">
        <v>660.72</v>
      </c>
      <c r="N28">
        <v>201.9</v>
      </c>
      <c r="O28">
        <v>81.88</v>
      </c>
      <c r="P28">
        <f>SUM(Table1[[#This Row],[BK_Wholes]:[BK_Reject]])</f>
        <v>21438.120000000003</v>
      </c>
      <c r="Q28">
        <f>Table1[[#This Row],[Before Borma (kg''s)]]-Table1[[#This Row],[After Borma (kg''s)]]</f>
        <v>1233.8799999999974</v>
      </c>
      <c r="R28" s="6">
        <f>IFERROR(Q28/K28%,"")</f>
        <v>5.442307692307681</v>
      </c>
    </row>
    <row r="29" spans="2:18" x14ac:dyDescent="0.3">
      <c r="B29" s="1">
        <v>46186</v>
      </c>
      <c r="C29" s="11">
        <f>WEEKNUM(Table1[[#This Row],[Date]])</f>
        <v>24</v>
      </c>
      <c r="D29" s="1" t="str">
        <f>TEXT(Table1[[#This Row],[Date]],"mmm-yy")</f>
        <v>Jun-26</v>
      </c>
      <c r="E29" s="1" t="s">
        <v>77</v>
      </c>
      <c r="F29" t="s">
        <v>45</v>
      </c>
      <c r="G29">
        <v>23754.3</v>
      </c>
      <c r="H29">
        <v>735.5</v>
      </c>
      <c r="I29">
        <v>381.9</v>
      </c>
      <c r="J29">
        <v>306.10000000000002</v>
      </c>
      <c r="K29">
        <f>SUM(Table1[[#This Row],[Wholes (kg''s)]:[Rejection (kg''s)]])</f>
        <v>24871.7</v>
      </c>
      <c r="L29">
        <v>22752.799999999999</v>
      </c>
      <c r="M29">
        <v>471.2</v>
      </c>
      <c r="N29">
        <v>409.6</v>
      </c>
      <c r="O29">
        <v>286.39999999999998</v>
      </c>
      <c r="P29">
        <f>SUM(Table1[[#This Row],[BK_Wholes]:[BK_Reject]])</f>
        <v>23633.599999999999</v>
      </c>
      <c r="Q29">
        <f>Table1[[#This Row],[Before Borma (kg''s)]]-Table1[[#This Row],[After Borma (kg''s)]]</f>
        <v>1238.1000000000022</v>
      </c>
      <c r="R29" s="6">
        <f>IFERROR(Q29/K29%,"")</f>
        <v>4.9779468230961381</v>
      </c>
    </row>
    <row r="30" spans="2:18" x14ac:dyDescent="0.3">
      <c r="B30" s="1">
        <v>46188</v>
      </c>
      <c r="C30" s="11">
        <f>WEEKNUM(Table1[[#This Row],[Date]])</f>
        <v>25</v>
      </c>
      <c r="D30" s="1" t="str">
        <f>TEXT(Table1[[#This Row],[Date]],"mmm-yy")</f>
        <v>Jun-26</v>
      </c>
      <c r="E30" s="1" t="s">
        <v>77</v>
      </c>
      <c r="F30" t="s">
        <v>46</v>
      </c>
      <c r="G30">
        <v>23330.5</v>
      </c>
      <c r="H30">
        <v>785</v>
      </c>
      <c r="I30">
        <v>230.5</v>
      </c>
      <c r="J30">
        <v>475.5</v>
      </c>
      <c r="K30">
        <f>SUM(Table1[[#This Row],[Wholes (kg''s)]:[Rejection (kg''s)]])</f>
        <v>24346</v>
      </c>
      <c r="L30">
        <v>22010.3</v>
      </c>
      <c r="M30">
        <v>656.2</v>
      </c>
      <c r="N30">
        <v>124.1</v>
      </c>
      <c r="O30">
        <v>549.4</v>
      </c>
      <c r="P30">
        <f>SUM(Table1[[#This Row],[BK_Wholes]:[BK_Reject]])</f>
        <v>22790.6</v>
      </c>
      <c r="Q30">
        <f>Table1[[#This Row],[Before Borma (kg''s)]]-Table1[[#This Row],[After Borma (kg''s)]]</f>
        <v>1555.4000000000015</v>
      </c>
      <c r="R30" s="6">
        <f>IFERROR(Q30/K30%,"")</f>
        <v>6.3887291546866072</v>
      </c>
    </row>
    <row r="31" spans="2:18" x14ac:dyDescent="0.3">
      <c r="B31" s="1">
        <v>46189</v>
      </c>
      <c r="C31" s="11">
        <f>WEEKNUM(Table1[[#This Row],[Date]])</f>
        <v>25</v>
      </c>
      <c r="D31" s="1" t="str">
        <f>TEXT(Table1[[#This Row],[Date]],"mmm-yy")</f>
        <v>Jun-26</v>
      </c>
      <c r="E31" s="1" t="s">
        <v>77</v>
      </c>
      <c r="F31" t="s">
        <v>48</v>
      </c>
      <c r="G31">
        <v>18213.099999999999</v>
      </c>
      <c r="H31">
        <v>601.45000000000005</v>
      </c>
      <c r="I31">
        <v>206.9</v>
      </c>
      <c r="J31">
        <v>291.2</v>
      </c>
      <c r="K31">
        <f>SUM(Table1[[#This Row],[Wholes (kg''s)]:[Rejection (kg''s)]])</f>
        <v>19021.45</v>
      </c>
      <c r="L31" s="6">
        <v>17268.2</v>
      </c>
      <c r="M31" s="6">
        <v>573.6</v>
      </c>
      <c r="N31" s="6">
        <v>195.6</v>
      </c>
      <c r="O31" s="6">
        <v>275.5</v>
      </c>
      <c r="P31">
        <f>SUM(Table1[[#This Row],[BK_Wholes]:[BK_Reject]])</f>
        <v>18037.399999999998</v>
      </c>
      <c r="Q31">
        <f>Table1[[#This Row],[Before Borma (kg''s)]]-Table1[[#This Row],[After Borma (kg''s)]]</f>
        <v>984.05000000000291</v>
      </c>
      <c r="R31" s="6">
        <f>IFERROR(Q31/K31%,"")</f>
        <v>5.1733700637964128</v>
      </c>
    </row>
    <row r="32" spans="2:18" x14ac:dyDescent="0.3">
      <c r="B32" s="1">
        <v>46189</v>
      </c>
      <c r="C32" s="11">
        <f>WEEKNUM(Table1[[#This Row],[Date]])</f>
        <v>25</v>
      </c>
      <c r="D32" s="1" t="str">
        <f>TEXT(Table1[[#This Row],[Date]],"mmm-yy")</f>
        <v>Jun-26</v>
      </c>
      <c r="E32" s="1" t="s">
        <v>77</v>
      </c>
      <c r="F32" t="s">
        <v>48</v>
      </c>
      <c r="G32">
        <v>5710.6000000000022</v>
      </c>
      <c r="H32">
        <v>199.94999999999993</v>
      </c>
      <c r="K32">
        <f>SUM(Table1[[#This Row],[Wholes (kg''s)]:[Rejection (kg''s)]])</f>
        <v>5910.550000000002</v>
      </c>
      <c r="L32" s="6">
        <v>5468.2999999999993</v>
      </c>
      <c r="M32" s="6">
        <v>178.79999999999995</v>
      </c>
      <c r="N32" s="6"/>
      <c r="O32" s="6"/>
      <c r="P32">
        <f>SUM(Table1[[#This Row],[BK_Wholes]:[BK_Reject]])</f>
        <v>5647.0999999999995</v>
      </c>
      <c r="Q32">
        <f>Table1[[#This Row],[Before Borma (kg''s)]]-Table1[[#This Row],[After Borma (kg''s)]]</f>
        <v>263.45000000000255</v>
      </c>
      <c r="R32" s="6">
        <f>IFERROR(Q32/K32%,"")</f>
        <v>4.4572840091024091</v>
      </c>
    </row>
    <row r="33" spans="2:18" x14ac:dyDescent="0.3">
      <c r="B33" s="1">
        <v>46190</v>
      </c>
      <c r="C33" s="11">
        <f>WEEKNUM(Table1[[#This Row],[Date]])</f>
        <v>25</v>
      </c>
      <c r="D33" s="1" t="str">
        <f>TEXT(Table1[[#This Row],[Date]],"mmm-yy")</f>
        <v>Jun-26</v>
      </c>
      <c r="E33" s="1" t="s">
        <v>78</v>
      </c>
      <c r="F33" t="s">
        <v>49</v>
      </c>
      <c r="G33">
        <v>11514.9</v>
      </c>
      <c r="H33">
        <v>403.6</v>
      </c>
      <c r="I33">
        <v>187.7</v>
      </c>
      <c r="J33">
        <v>343.8</v>
      </c>
      <c r="K33">
        <f>SUM(Table1[[#This Row],[Wholes (kg''s)]:[Rejection (kg''s)]])</f>
        <v>12106.2</v>
      </c>
      <c r="L33" s="6">
        <v>10801</v>
      </c>
      <c r="M33" s="6">
        <v>378.6</v>
      </c>
      <c r="N33" s="6">
        <v>322.5</v>
      </c>
      <c r="O33" s="6">
        <v>176.1</v>
      </c>
      <c r="P33">
        <f>SUM(Table1[[#This Row],[BK_Wholes]:[BK_Reject]])</f>
        <v>11502.1</v>
      </c>
      <c r="Q33">
        <f>Table1[[#This Row],[Before Borma (kg''s)]]-Table1[[#This Row],[After Borma (kg''s)]]</f>
        <v>604.10000000000036</v>
      </c>
      <c r="R33" s="6">
        <f>IFERROR(Q33/K33%,"")</f>
        <v>4.9900051213427856</v>
      </c>
    </row>
    <row r="34" spans="2:18" x14ac:dyDescent="0.3">
      <c r="B34" s="1">
        <v>46191</v>
      </c>
      <c r="C34" s="11">
        <f>WEEKNUM(Table1[[#This Row],[Date]])</f>
        <v>25</v>
      </c>
      <c r="D34" s="1" t="str">
        <f>TEXT(Table1[[#This Row],[Date]],"mmm-yy")</f>
        <v>Jun-26</v>
      </c>
      <c r="E34" s="1" t="s">
        <v>78</v>
      </c>
      <c r="F34" t="s">
        <v>50</v>
      </c>
      <c r="G34">
        <v>21927</v>
      </c>
      <c r="H34">
        <v>637.6</v>
      </c>
      <c r="I34">
        <v>135.21</v>
      </c>
      <c r="J34">
        <v>161.80000000000001</v>
      </c>
      <c r="K34">
        <f>SUM(Table1[[#This Row],[Wholes (kg''s)]:[Rejection (kg''s)]])</f>
        <v>22699.809999999998</v>
      </c>
      <c r="L34" s="6">
        <v>20567.5</v>
      </c>
      <c r="M34" s="6">
        <v>598.1</v>
      </c>
      <c r="N34" s="6">
        <v>126.8</v>
      </c>
      <c r="O34" s="6">
        <v>151.80000000000001</v>
      </c>
      <c r="P34">
        <f>SUM(Table1[[#This Row],[BK_Wholes]:[BK_Reject]])</f>
        <v>21292.399999999998</v>
      </c>
      <c r="Q34">
        <f>Table1[[#This Row],[Before Borma (kg''s)]]-Table1[[#This Row],[After Borma (kg''s)]]</f>
        <v>1407.4099999999999</v>
      </c>
      <c r="R34" s="6">
        <f>IFERROR(Q34/K34%,"")</f>
        <v>6.2000959479396522</v>
      </c>
    </row>
    <row r="35" spans="2:18" x14ac:dyDescent="0.3">
      <c r="B35" s="1">
        <v>46192</v>
      </c>
      <c r="C35" s="11">
        <f>WEEKNUM(Table1[[#This Row],[Date]])</f>
        <v>25</v>
      </c>
      <c r="D35" s="1" t="str">
        <f>TEXT(Table1[[#This Row],[Date]],"mmm-yy")</f>
        <v>Jun-26</v>
      </c>
      <c r="E35" s="1" t="s">
        <v>78</v>
      </c>
      <c r="F35" t="s">
        <v>51</v>
      </c>
      <c r="G35">
        <v>23069</v>
      </c>
      <c r="H35">
        <v>637.6</v>
      </c>
      <c r="I35">
        <v>69.5</v>
      </c>
      <c r="J35">
        <v>764</v>
      </c>
      <c r="K35">
        <f>SUM(Table1[[#This Row],[Wholes (kg''s)]:[Rejection (kg''s)]])</f>
        <v>23776.1</v>
      </c>
      <c r="L35" s="6">
        <v>21687.9</v>
      </c>
      <c r="M35" s="6">
        <v>599.29999999999995</v>
      </c>
      <c r="N35" s="6">
        <v>62.3</v>
      </c>
      <c r="O35" s="6">
        <v>718.1</v>
      </c>
      <c r="P35">
        <f>SUM(Table1[[#This Row],[BK_Wholes]:[BK_Reject]])</f>
        <v>22349.5</v>
      </c>
      <c r="Q35">
        <f>Table1[[#This Row],[Before Borma (kg''s)]]-Table1[[#This Row],[After Borma (kg''s)]]</f>
        <v>1426.5999999999985</v>
      </c>
      <c r="R35" s="6">
        <f>IFERROR(Q35/K35%,"")</f>
        <v>6.0001430007444387</v>
      </c>
    </row>
    <row r="36" spans="2:18" x14ac:dyDescent="0.3">
      <c r="B36" s="1">
        <v>46193</v>
      </c>
      <c r="C36" s="11">
        <f>WEEKNUM(Table1[[#This Row],[Date]])</f>
        <v>25</v>
      </c>
      <c r="D36" s="1" t="str">
        <f>TEXT(Table1[[#This Row],[Date]],"mmm-yy")</f>
        <v>Jun-26</v>
      </c>
      <c r="E36" s="1" t="s">
        <v>78</v>
      </c>
      <c r="F36" t="s">
        <v>52</v>
      </c>
      <c r="G36">
        <v>24703.599999999999</v>
      </c>
      <c r="H36">
        <v>759</v>
      </c>
      <c r="I36">
        <v>0</v>
      </c>
      <c r="J36">
        <v>96.6</v>
      </c>
      <c r="K36">
        <f>SUM(Table1[[#This Row],[Wholes (kg''s)]:[Rejection (kg''s)]])</f>
        <v>25462.6</v>
      </c>
      <c r="L36" s="6">
        <v>23196.7</v>
      </c>
      <c r="M36" s="6">
        <v>712.7</v>
      </c>
      <c r="N36" s="6"/>
      <c r="O36" s="6">
        <v>90.7</v>
      </c>
      <c r="P36">
        <f>SUM(Table1[[#This Row],[BK_Wholes]:[BK_Reject]])</f>
        <v>23909.4</v>
      </c>
      <c r="Q36">
        <f>Table1[[#This Row],[Before Borma (kg''s)]]-Table1[[#This Row],[After Borma (kg''s)]]</f>
        <v>1553.1999999999971</v>
      </c>
      <c r="R36" s="6">
        <f>IFERROR(Q36/K36%,"")</f>
        <v>6.0999269516859913</v>
      </c>
    </row>
    <row r="37" spans="2:18" x14ac:dyDescent="0.3">
      <c r="B37" s="1">
        <v>46195</v>
      </c>
      <c r="C37" s="11">
        <f>WEEKNUM(Table1[[#This Row],[Date]])</f>
        <v>26</v>
      </c>
      <c r="D37" s="1" t="str">
        <f>TEXT(Table1[[#This Row],[Date]],"mmm-yy")</f>
        <v>Jun-26</v>
      </c>
      <c r="E37" s="1" t="s">
        <v>78</v>
      </c>
      <c r="F37" t="s">
        <v>53</v>
      </c>
      <c r="G37">
        <v>25862.5</v>
      </c>
      <c r="H37">
        <v>760.4</v>
      </c>
      <c r="I37">
        <v>166.3</v>
      </c>
      <c r="J37">
        <v>262.10000000000002</v>
      </c>
      <c r="K37">
        <f>SUM(Table1[[#This Row],[Wholes (kg''s)]:[Rejection (kg''s)]])</f>
        <v>26789.200000000001</v>
      </c>
      <c r="L37" s="6">
        <v>24336.6</v>
      </c>
      <c r="M37" s="6">
        <v>715.5</v>
      </c>
      <c r="N37" s="6">
        <v>156.5</v>
      </c>
      <c r="O37" s="6">
        <v>246.6</v>
      </c>
      <c r="P37">
        <f>SUM(Table1[[#This Row],[BK_Wholes]:[BK_Reject]])</f>
        <v>25208.6</v>
      </c>
      <c r="Q37">
        <f>Table1[[#This Row],[Before Borma (kg''s)]]-Table1[[#This Row],[After Borma (kg''s)]]</f>
        <v>1580.6000000000022</v>
      </c>
      <c r="R37" s="6">
        <f>IFERROR(Q37/K37%,"")</f>
        <v>5.9001388619294426</v>
      </c>
    </row>
    <row r="38" spans="2:18" x14ac:dyDescent="0.3">
      <c r="B38" s="1">
        <v>46195</v>
      </c>
      <c r="C38" s="11">
        <f>WEEKNUM(Table1[[#This Row],[Date]])</f>
        <v>26</v>
      </c>
      <c r="D38" s="1" t="str">
        <f>TEXT(Table1[[#This Row],[Date]],"mmm-yy")</f>
        <v>Jun-26</v>
      </c>
      <c r="E38" s="1" t="s">
        <v>78</v>
      </c>
      <c r="F38" t="s">
        <v>54</v>
      </c>
      <c r="G38">
        <v>23910.2</v>
      </c>
      <c r="H38">
        <v>703</v>
      </c>
      <c r="I38">
        <v>154</v>
      </c>
      <c r="J38">
        <v>242.3</v>
      </c>
      <c r="K38">
        <f>SUM(Table1[[#This Row],[Wholes (kg''s)]:[Rejection (kg''s)]])</f>
        <v>24767.200000000001</v>
      </c>
      <c r="L38" s="6">
        <v>22523.4</v>
      </c>
      <c r="M38" s="6">
        <v>662.2</v>
      </c>
      <c r="N38" s="6">
        <v>145.1</v>
      </c>
      <c r="O38" s="6">
        <v>228.2</v>
      </c>
      <c r="P38">
        <f>SUM(Table1[[#This Row],[BK_Wholes]:[BK_Reject]])</f>
        <v>23330.7</v>
      </c>
      <c r="Q38">
        <f>Table1[[#This Row],[Before Borma (kg''s)]]-Table1[[#This Row],[After Borma (kg''s)]]</f>
        <v>1436.5</v>
      </c>
      <c r="R38" s="6">
        <f>IFERROR(Q38/K38%,"")</f>
        <v>5.8000096902354725</v>
      </c>
    </row>
    <row r="39" spans="2:18" x14ac:dyDescent="0.3">
      <c r="B39" s="1">
        <v>46197</v>
      </c>
      <c r="C39" s="11">
        <f>WEEKNUM(Table1[[#This Row],[Date]])</f>
        <v>26</v>
      </c>
      <c r="D39" s="1" t="str">
        <f>TEXT(Table1[[#This Row],[Date]],"mmm-yy")</f>
        <v>Jun-26</v>
      </c>
      <c r="E39" s="1" t="s">
        <v>78</v>
      </c>
      <c r="F39" t="s">
        <v>55</v>
      </c>
      <c r="G39">
        <v>26198.1</v>
      </c>
      <c r="H39">
        <v>764.1</v>
      </c>
      <c r="I39">
        <v>248.4</v>
      </c>
      <c r="J39">
        <v>484.4</v>
      </c>
      <c r="K39">
        <f>SUM(Table1[[#This Row],[Wholes (kg''s)]:[Rejection (kg''s)]])</f>
        <v>27210.6</v>
      </c>
      <c r="L39" s="6">
        <v>24752.5</v>
      </c>
      <c r="M39" s="6">
        <v>626.6</v>
      </c>
      <c r="N39" s="6">
        <v>234.5</v>
      </c>
      <c r="O39" s="6">
        <v>457.3</v>
      </c>
      <c r="P39">
        <f>SUM(Table1[[#This Row],[BK_Wholes]:[BK_Reject]])</f>
        <v>25613.599999999999</v>
      </c>
      <c r="Q39">
        <f>Table1[[#This Row],[Before Borma (kg''s)]]-Table1[[#This Row],[After Borma (kg''s)]]</f>
        <v>1597</v>
      </c>
      <c r="R39" s="6">
        <f>IFERROR(Q39/K39%,"")</f>
        <v>5.8690363314296636</v>
      </c>
    </row>
    <row r="40" spans="2:18" x14ac:dyDescent="0.3">
      <c r="B40" s="1">
        <v>46199</v>
      </c>
      <c r="C40" s="11">
        <f>WEEKNUM(Table1[[#This Row],[Date]])</f>
        <v>26</v>
      </c>
      <c r="D40" s="1" t="str">
        <f>TEXT(Table1[[#This Row],[Date]],"mmm-yy")</f>
        <v>Jun-26</v>
      </c>
      <c r="E40" s="1" t="s">
        <v>78</v>
      </c>
      <c r="F40" t="s">
        <v>56</v>
      </c>
      <c r="G40">
        <v>27407.599999999999</v>
      </c>
      <c r="H40">
        <v>927.7</v>
      </c>
      <c r="I40">
        <v>250</v>
      </c>
      <c r="J40">
        <v>396.6</v>
      </c>
      <c r="K40">
        <f>SUM(Table1[[#This Row],[Wholes (kg''s)]:[Rejection (kg''s)]])</f>
        <v>28585.3</v>
      </c>
      <c r="L40" s="6">
        <v>25790.6</v>
      </c>
      <c r="M40" s="6">
        <v>873</v>
      </c>
      <c r="N40" s="6">
        <v>235.3</v>
      </c>
      <c r="O40" s="6">
        <v>373.2</v>
      </c>
      <c r="P40">
        <f>SUM(Table1[[#This Row],[BK_Wholes]:[BK_Reject]])</f>
        <v>26898.899999999998</v>
      </c>
      <c r="Q40">
        <f>Table1[[#This Row],[Before Borma (kg''s)]]-Table1[[#This Row],[After Borma (kg''s)]]</f>
        <v>1686.4000000000015</v>
      </c>
      <c r="R40" s="6">
        <f>IFERROR(Q40/K40%,"")</f>
        <v>5.8995357753810573</v>
      </c>
    </row>
    <row r="41" spans="2:18" x14ac:dyDescent="0.3">
      <c r="B41" s="1">
        <v>46200</v>
      </c>
      <c r="C41" s="11">
        <f>WEEKNUM(Table1[[#This Row],[Date]])</f>
        <v>26</v>
      </c>
      <c r="D41" s="1" t="str">
        <f>TEXT(Table1[[#This Row],[Date]],"mmm-yy")</f>
        <v>Jun-26</v>
      </c>
      <c r="E41" s="1" t="s">
        <v>78</v>
      </c>
      <c r="F41" t="s">
        <v>57</v>
      </c>
      <c r="G41">
        <v>30421.5</v>
      </c>
      <c r="H41">
        <v>1110.5</v>
      </c>
      <c r="I41">
        <v>436.3</v>
      </c>
      <c r="J41">
        <v>515.1</v>
      </c>
      <c r="K41">
        <f>SUM(Table1[[#This Row],[Wholes (kg''s)]:[Rejection (kg''s)]])</f>
        <v>31968.3</v>
      </c>
      <c r="L41" s="6">
        <v>28626.6</v>
      </c>
      <c r="M41" s="6">
        <v>1045</v>
      </c>
      <c r="N41" s="6">
        <v>410.6</v>
      </c>
      <c r="O41" s="6">
        <v>484.7</v>
      </c>
      <c r="P41">
        <f>SUM(Table1[[#This Row],[BK_Wholes]:[BK_Reject]])</f>
        <v>30082.199999999997</v>
      </c>
      <c r="Q41">
        <f>Table1[[#This Row],[Before Borma (kg''s)]]-Table1[[#This Row],[After Borma (kg''s)]]</f>
        <v>1886.1000000000022</v>
      </c>
      <c r="R41" s="6">
        <f>IFERROR(Q41/K41%,"")</f>
        <v>5.8999070954664532</v>
      </c>
    </row>
    <row r="42" spans="2:18" x14ac:dyDescent="0.3">
      <c r="B42" s="1">
        <v>46202</v>
      </c>
      <c r="C42" s="11">
        <f>WEEKNUM(Table1[[#This Row],[Date]])</f>
        <v>27</v>
      </c>
      <c r="D42" s="1" t="str">
        <f>TEXT(Table1[[#This Row],[Date]],"mmm-yy")</f>
        <v>Jun-26</v>
      </c>
      <c r="E42" s="1" t="s">
        <v>78</v>
      </c>
      <c r="F42" t="s">
        <v>58</v>
      </c>
      <c r="G42">
        <v>4455.7</v>
      </c>
      <c r="H42">
        <v>149.69999999999999</v>
      </c>
      <c r="I42">
        <v>47.9</v>
      </c>
      <c r="J42">
        <v>98.8</v>
      </c>
      <c r="K42">
        <f>SUM(Table1[[#This Row],[Wholes (kg''s)]:[Rejection (kg''s)]])</f>
        <v>4653.2999999999993</v>
      </c>
      <c r="L42" s="6">
        <v>4197.3</v>
      </c>
      <c r="M42" s="6">
        <v>141</v>
      </c>
      <c r="N42" s="6">
        <v>45.1</v>
      </c>
      <c r="O42" s="6">
        <v>93.1</v>
      </c>
      <c r="P42">
        <f>SUM(Table1[[#This Row],[BK_Wholes]:[BK_Reject]])</f>
        <v>4383.4000000000005</v>
      </c>
      <c r="Q42">
        <f>Table1[[#This Row],[Before Borma (kg''s)]]-Table1[[#This Row],[After Borma (kg''s)]]</f>
        <v>269.89999999999873</v>
      </c>
      <c r="R42" s="6">
        <f>IFERROR(Q42/K42%,"")</f>
        <v>5.8001848150774453</v>
      </c>
    </row>
    <row r="43" spans="2:18" x14ac:dyDescent="0.3">
      <c r="B43" s="1">
        <v>46202</v>
      </c>
      <c r="C43" s="11">
        <f>WEEKNUM(Table1[[#This Row],[Date]])</f>
        <v>27</v>
      </c>
      <c r="D43" s="1" t="str">
        <f>TEXT(Table1[[#This Row],[Date]],"mmm-yy")</f>
        <v>Jun-26</v>
      </c>
      <c r="E43" s="1" t="s">
        <v>79</v>
      </c>
      <c r="F43" t="s">
        <v>59</v>
      </c>
      <c r="G43">
        <v>9995.7999999999993</v>
      </c>
      <c r="H43">
        <v>335.9</v>
      </c>
      <c r="I43">
        <v>107.6</v>
      </c>
      <c r="J43">
        <v>221.7</v>
      </c>
      <c r="K43">
        <f>SUM(Table1[[#This Row],[Wholes (kg''s)]:[Rejection (kg''s)]])</f>
        <v>10439.299999999999</v>
      </c>
      <c r="L43" s="6">
        <v>9416</v>
      </c>
      <c r="M43" s="6">
        <v>316.39999999999998</v>
      </c>
      <c r="N43" s="6">
        <v>208.8</v>
      </c>
      <c r="O43" s="6">
        <v>101.4</v>
      </c>
      <c r="P43">
        <f>SUM(Table1[[#This Row],[BK_Wholes]:[BK_Reject]])</f>
        <v>9941.1999999999989</v>
      </c>
      <c r="Q43">
        <f>Table1[[#This Row],[Before Borma (kg''s)]]-Table1[[#This Row],[After Borma (kg''s)]]</f>
        <v>498.10000000000036</v>
      </c>
      <c r="R43" s="6">
        <f>IFERROR(Q43/K43%,"")</f>
        <v>4.771392717902545</v>
      </c>
    </row>
    <row r="44" spans="2:18" x14ac:dyDescent="0.3">
      <c r="B44" s="1">
        <v>46203</v>
      </c>
      <c r="C44" s="11">
        <f>WEEKNUM(Table1[[#This Row],[Date]])</f>
        <v>27</v>
      </c>
      <c r="D44" s="1" t="str">
        <f>TEXT(Table1[[#This Row],[Date]],"mmm-yy")</f>
        <v>Jun-26</v>
      </c>
      <c r="E44" s="1" t="s">
        <v>79</v>
      </c>
      <c r="F44" t="s">
        <v>60</v>
      </c>
      <c r="G44">
        <v>29119.9</v>
      </c>
      <c r="H44">
        <v>982.1</v>
      </c>
      <c r="I44">
        <v>356.5</v>
      </c>
      <c r="J44">
        <v>547.20000000000005</v>
      </c>
      <c r="K44">
        <f>SUM(Table1[[#This Row],[Wholes (kg''s)]:[Rejection (kg''s)]])</f>
        <v>30458.5</v>
      </c>
      <c r="L44" s="6">
        <v>27401.8</v>
      </c>
      <c r="M44" s="6">
        <v>924.2</v>
      </c>
      <c r="N44" s="6">
        <v>335.5</v>
      </c>
      <c r="O44" s="6">
        <v>514.9</v>
      </c>
      <c r="P44">
        <f>SUM(Table1[[#This Row],[BK_Wholes]:[BK_Reject]])</f>
        <v>28661.5</v>
      </c>
      <c r="Q44">
        <f>Table1[[#This Row],[Before Borma (kg''s)]]-Table1[[#This Row],[After Borma (kg''s)]]</f>
        <v>1797</v>
      </c>
      <c r="R44" s="6">
        <f>IFERROR(Q44/K44%,"")</f>
        <v>5.89983091747788</v>
      </c>
    </row>
    <row r="45" spans="2:18" x14ac:dyDescent="0.3">
      <c r="B45" s="1">
        <v>46204</v>
      </c>
      <c r="C45" s="11">
        <f>WEEKNUM(Table1[[#This Row],[Date]])</f>
        <v>27</v>
      </c>
      <c r="D45" s="1" t="str">
        <f>TEXT(Table1[[#This Row],[Date]],"mmm-yy")</f>
        <v>Jul-26</v>
      </c>
      <c r="E45" s="1" t="s">
        <v>79</v>
      </c>
      <c r="F45" t="s">
        <v>61</v>
      </c>
      <c r="G45">
        <v>29726.5</v>
      </c>
      <c r="H45">
        <v>968.54</v>
      </c>
      <c r="I45">
        <v>44.5</v>
      </c>
      <c r="J45">
        <v>293.7</v>
      </c>
      <c r="K45">
        <f>SUM(Table1[[#This Row],[Wholes (kg''s)]:[Rejection (kg''s)]])</f>
        <v>30739.54</v>
      </c>
      <c r="L45" s="6">
        <v>27913.200000000001</v>
      </c>
      <c r="M45" s="6">
        <v>909.5</v>
      </c>
      <c r="N45" s="6">
        <v>41.8</v>
      </c>
      <c r="O45" s="6">
        <v>275.8</v>
      </c>
      <c r="P45">
        <f>SUM(Table1[[#This Row],[BK_Wholes]:[BK_Reject]])</f>
        <v>28864.5</v>
      </c>
      <c r="Q45">
        <f>Table1[[#This Row],[Before Borma (kg''s)]]-Table1[[#This Row],[After Borma (kg''s)]]</f>
        <v>1875.0400000000009</v>
      </c>
      <c r="R45" s="6">
        <f>IFERROR(Q45/K45%,"")</f>
        <v>6.0997659691719557</v>
      </c>
    </row>
    <row r="46" spans="2:18" x14ac:dyDescent="0.3">
      <c r="B46" s="1">
        <v>46205</v>
      </c>
      <c r="C46" s="11">
        <f>WEEKNUM(Table1[[#This Row],[Date]])</f>
        <v>27</v>
      </c>
      <c r="D46" s="1" t="str">
        <f>TEXT(Table1[[#This Row],[Date]],"mmm-yy")</f>
        <v>Jul-26</v>
      </c>
      <c r="E46" s="1" t="s">
        <v>79</v>
      </c>
      <c r="F46" t="s">
        <v>62</v>
      </c>
      <c r="G46">
        <v>26784.799999999999</v>
      </c>
      <c r="H46">
        <v>927.7</v>
      </c>
      <c r="I46">
        <v>0</v>
      </c>
      <c r="J46">
        <v>235.8</v>
      </c>
      <c r="K46">
        <f>SUM(Table1[[#This Row],[Wholes (kg''s)]:[Rejection (kg''s)]])</f>
        <v>27712.5</v>
      </c>
      <c r="L46" s="6">
        <v>25231.3</v>
      </c>
      <c r="M46" s="6">
        <v>873.9</v>
      </c>
      <c r="N46" s="6">
        <v>0</v>
      </c>
      <c r="O46" s="6">
        <v>222.1</v>
      </c>
      <c r="P46">
        <f>SUM(Table1[[#This Row],[BK_Wholes]:[BK_Reject]])</f>
        <v>26105.200000000001</v>
      </c>
      <c r="Q46">
        <f>Table1[[#This Row],[Before Borma (kg''s)]]-Table1[[#This Row],[After Borma (kg''s)]]</f>
        <v>1607.2999999999993</v>
      </c>
      <c r="R46" s="6">
        <f>IFERROR(Q46/K46%,"")</f>
        <v>5.799909788001802</v>
      </c>
    </row>
    <row r="47" spans="2:18" x14ac:dyDescent="0.3">
      <c r="B47" s="1">
        <v>46206</v>
      </c>
      <c r="C47" s="11">
        <f>WEEKNUM(Table1[[#This Row],[Date]])</f>
        <v>27</v>
      </c>
      <c r="D47" s="1" t="str">
        <f>TEXT(Table1[[#This Row],[Date]],"mmm-yy")</f>
        <v>Jul-26</v>
      </c>
      <c r="E47" s="1" t="s">
        <v>79</v>
      </c>
      <c r="F47" t="s">
        <v>63</v>
      </c>
      <c r="G47">
        <v>27090.400000000001</v>
      </c>
      <c r="H47">
        <v>852.3</v>
      </c>
      <c r="I47">
        <v>130</v>
      </c>
      <c r="J47">
        <v>528.20000000000005</v>
      </c>
      <c r="K47">
        <f>SUM(Table1[[#This Row],[Wholes (kg''s)]:[Rejection (kg''s)]])</f>
        <v>28072.7</v>
      </c>
      <c r="L47">
        <v>25465</v>
      </c>
      <c r="M47">
        <v>801.2</v>
      </c>
      <c r="N47">
        <v>122.2</v>
      </c>
      <c r="O47">
        <v>496.5</v>
      </c>
      <c r="P47">
        <f>SUM(Table1[[#This Row],[BK_Wholes]:[BK_Reject]])</f>
        <v>26388.400000000001</v>
      </c>
      <c r="Q47">
        <f>Table1[[#This Row],[Before Borma (kg''s)]]-Table1[[#This Row],[After Borma (kg''s)]]</f>
        <v>1684.2999999999993</v>
      </c>
      <c r="R47" s="6">
        <f>IFERROR(Q47/K47%,"")</f>
        <v>5.9997791448631554</v>
      </c>
    </row>
    <row r="48" spans="2:18" x14ac:dyDescent="0.3">
      <c r="B48" s="1">
        <v>46207</v>
      </c>
      <c r="C48" s="11">
        <f>WEEKNUM(Table1[[#This Row],[Date]])</f>
        <v>27</v>
      </c>
      <c r="D48" s="1" t="str">
        <f>TEXT(Table1[[#This Row],[Date]],"mmm-yy")</f>
        <v>Jul-26</v>
      </c>
      <c r="E48" s="1" t="s">
        <v>79</v>
      </c>
      <c r="F48" t="s">
        <v>64</v>
      </c>
      <c r="G48">
        <v>29865.9</v>
      </c>
      <c r="H48">
        <v>1136.5999999999999</v>
      </c>
      <c r="I48">
        <v>139</v>
      </c>
      <c r="J48">
        <v>242.1</v>
      </c>
      <c r="K48">
        <f>SUM(Table1[[#This Row],[Wholes (kg''s)]:[Rejection (kg''s)]])</f>
        <v>31141.5</v>
      </c>
      <c r="L48">
        <v>28073.9</v>
      </c>
      <c r="M48">
        <v>1068.4000000000001</v>
      </c>
      <c r="N48">
        <v>130.69999999999999</v>
      </c>
      <c r="O48">
        <v>227.6</v>
      </c>
      <c r="P48">
        <f>SUM(Table1[[#This Row],[BK_Wholes]:[BK_Reject]])</f>
        <v>29273.000000000004</v>
      </c>
      <c r="Q48">
        <f>Table1[[#This Row],[Before Borma (kg''s)]]-Table1[[#This Row],[After Borma (kg''s)]]</f>
        <v>1868.4999999999964</v>
      </c>
      <c r="R48" s="6">
        <f>IFERROR(Q48/K48%,"")</f>
        <v>6.0000321114910848</v>
      </c>
    </row>
    <row r="49" spans="2:18" x14ac:dyDescent="0.3">
      <c r="B49" s="1">
        <v>46209</v>
      </c>
      <c r="C49" s="11">
        <f>WEEKNUM(Table1[[#This Row],[Date]])</f>
        <v>28</v>
      </c>
      <c r="D49" s="1" t="str">
        <f>TEXT(Table1[[#This Row],[Date]],"mmm-yy")</f>
        <v>Jul-26</v>
      </c>
      <c r="E49" s="1" t="s">
        <v>79</v>
      </c>
      <c r="F49" t="s">
        <v>66</v>
      </c>
      <c r="G49">
        <v>30812.1</v>
      </c>
      <c r="H49">
        <v>1003.8</v>
      </c>
      <c r="I49">
        <v>273.7</v>
      </c>
      <c r="J49">
        <v>342.2</v>
      </c>
      <c r="K49">
        <f>SUM(Table1[[#This Row],[Wholes (kg''s)]:[Rejection (kg''s)]])</f>
        <v>32089.599999999999</v>
      </c>
      <c r="L49">
        <v>28994.2</v>
      </c>
      <c r="M49">
        <v>944.6</v>
      </c>
      <c r="N49">
        <v>257.60000000000002</v>
      </c>
      <c r="O49">
        <v>322</v>
      </c>
      <c r="P49">
        <f>SUM(Table1[[#This Row],[BK_Wholes]:[BK_Reject]])</f>
        <v>30196.399999999998</v>
      </c>
      <c r="Q49">
        <f>Table1[[#This Row],[Before Borma (kg''s)]]-Table1[[#This Row],[After Borma (kg''s)]]</f>
        <v>1893.2000000000007</v>
      </c>
      <c r="R49" s="6">
        <f>IFERROR(Q49/K49%,"")</f>
        <v>5.8997307538891137</v>
      </c>
    </row>
    <row r="50" spans="2:18" x14ac:dyDescent="0.3">
      <c r="B50" s="1">
        <v>46209</v>
      </c>
      <c r="C50" s="11">
        <f>WEEKNUM(Table1[[#This Row],[Date]])</f>
        <v>28</v>
      </c>
      <c r="D50" s="1" t="str">
        <f>TEXT(Table1[[#This Row],[Date]],"mmm-yy")</f>
        <v>Jul-26</v>
      </c>
      <c r="E50" s="1" t="s">
        <v>79</v>
      </c>
      <c r="F50" t="s">
        <v>67</v>
      </c>
      <c r="G50">
        <v>31629.4</v>
      </c>
      <c r="H50">
        <v>1330.6</v>
      </c>
      <c r="I50">
        <v>279.5</v>
      </c>
      <c r="J50">
        <v>257.39999999999998</v>
      </c>
      <c r="K50">
        <f>SUM(Table1[[#This Row],[Wholes (kg''s)]:[Rejection (kg''s)]])</f>
        <v>33239.5</v>
      </c>
      <c r="L50">
        <v>29763.3</v>
      </c>
      <c r="M50">
        <v>1252.0999999999999</v>
      </c>
      <c r="N50">
        <v>263</v>
      </c>
      <c r="O50">
        <v>242.2</v>
      </c>
      <c r="P50">
        <f>SUM(Table1[[#This Row],[BK_Wholes]:[BK_Reject]])</f>
        <v>31278.399999999998</v>
      </c>
      <c r="Q50">
        <f>Table1[[#This Row],[Before Borma (kg''s)]]-Table1[[#This Row],[After Borma (kg''s)]]</f>
        <v>1961.1000000000022</v>
      </c>
      <c r="R50" s="6">
        <f>IFERROR(Q50/K50%,"")</f>
        <v>5.8999082417003939</v>
      </c>
    </row>
    <row r="51" spans="2:18" x14ac:dyDescent="0.3">
      <c r="B51" s="1">
        <v>46211</v>
      </c>
      <c r="C51" s="11">
        <f>WEEKNUM(Table1[[#This Row],[Date]])</f>
        <v>28</v>
      </c>
      <c r="D51" s="1" t="str">
        <f>TEXT(Table1[[#This Row],[Date]],"mmm-yy")</f>
        <v>Jul-26</v>
      </c>
      <c r="E51" s="1" t="s">
        <v>79</v>
      </c>
      <c r="F51" t="s">
        <v>68</v>
      </c>
      <c r="G51">
        <v>33905.300000000003</v>
      </c>
      <c r="H51">
        <v>1080</v>
      </c>
      <c r="I51">
        <v>150.5</v>
      </c>
      <c r="J51">
        <v>243.3</v>
      </c>
      <c r="K51">
        <f>SUM(Table1[[#This Row],[Wholes (kg''s)]:[Rejection (kg''s)]])</f>
        <v>35135.800000000003</v>
      </c>
      <c r="L51">
        <v>31871</v>
      </c>
      <c r="M51">
        <v>1015.2</v>
      </c>
      <c r="N51">
        <v>141.5</v>
      </c>
      <c r="O51">
        <v>228.7</v>
      </c>
      <c r="P51">
        <f>SUM(Table1[[#This Row],[BK_Wholes]:[BK_Reject]])</f>
        <v>33027.699999999997</v>
      </c>
      <c r="Q51">
        <f>Table1[[#This Row],[Before Borma (kg''s)]]-Table1[[#This Row],[After Borma (kg''s)]]</f>
        <v>2108.1000000000058</v>
      </c>
      <c r="R51" s="6">
        <f>IFERROR(Q51/K51%,"")</f>
        <v>5.999863387200536</v>
      </c>
    </row>
    <row r="52" spans="2:18" x14ac:dyDescent="0.3">
      <c r="B52" s="1">
        <v>46212</v>
      </c>
      <c r="C52" s="11">
        <f>WEEKNUM(Table1[[#This Row],[Date]])</f>
        <v>28</v>
      </c>
      <c r="D52" s="1" t="str">
        <f>TEXT(Table1[[#This Row],[Date]],"mmm-yy")</f>
        <v>Jul-26</v>
      </c>
      <c r="E52" s="1" t="s">
        <v>79</v>
      </c>
      <c r="F52" t="s">
        <v>69</v>
      </c>
      <c r="G52">
        <v>33741</v>
      </c>
      <c r="H52">
        <v>1039.9000000000001</v>
      </c>
      <c r="I52">
        <v>224.7</v>
      </c>
      <c r="J52">
        <v>591.5</v>
      </c>
      <c r="K52">
        <f>SUM(Table1[[#This Row],[Wholes (kg''s)]:[Rejection (kg''s)]])</f>
        <v>35005.599999999999</v>
      </c>
      <c r="L52">
        <v>31750.3</v>
      </c>
      <c r="M52">
        <v>978.5</v>
      </c>
      <c r="N52">
        <v>211.4</v>
      </c>
      <c r="O52">
        <v>556.6</v>
      </c>
      <c r="P52">
        <f>SUM(Table1[[#This Row],[BK_Wholes]:[BK_Reject]])</f>
        <v>32940.199999999997</v>
      </c>
      <c r="Q52">
        <f>Table1[[#This Row],[Before Borma (kg''s)]]-Table1[[#This Row],[After Borma (kg''s)]]</f>
        <v>2065.4000000000015</v>
      </c>
      <c r="R52" s="6">
        <f>IFERROR(Q52/K52%,"")</f>
        <v>5.9001988253308086</v>
      </c>
    </row>
    <row r="53" spans="2:18" x14ac:dyDescent="0.3">
      <c r="B53" s="1">
        <v>46213</v>
      </c>
      <c r="C53" s="11">
        <f>WEEKNUM(Table1[[#This Row],[Date]])</f>
        <v>28</v>
      </c>
      <c r="D53" s="1" t="str">
        <f>TEXT(Table1[[#This Row],[Date]],"mmm-yy")</f>
        <v>Jul-26</v>
      </c>
      <c r="E53" s="1" t="s">
        <v>79</v>
      </c>
      <c r="F53" t="s">
        <v>70</v>
      </c>
      <c r="G53">
        <v>35594</v>
      </c>
      <c r="H53">
        <v>1147.5999999999999</v>
      </c>
      <c r="I53">
        <v>39.1</v>
      </c>
      <c r="J53">
        <v>377.3</v>
      </c>
      <c r="K53">
        <f>SUM(Table1[[#This Row],[Wholes (kg''s)]:[Rejection (kg''s)]])</f>
        <v>36780.699999999997</v>
      </c>
      <c r="L53">
        <v>33422.800000000003</v>
      </c>
      <c r="M53">
        <v>1077.5999999999999</v>
      </c>
      <c r="N53">
        <v>36.700000000000003</v>
      </c>
      <c r="O53">
        <v>354.3</v>
      </c>
      <c r="P53">
        <f>SUM(Table1[[#This Row],[BK_Wholes]:[BK_Reject]])</f>
        <v>34537.1</v>
      </c>
      <c r="Q53">
        <f>Table1[[#This Row],[Before Borma (kg''s)]]-Table1[[#This Row],[After Borma (kg''s)]]</f>
        <v>2243.5999999999985</v>
      </c>
      <c r="R53" s="6">
        <f>IFERROR(Q53/K53%,"")</f>
        <v>6.0999382828494255</v>
      </c>
    </row>
    <row r="54" spans="2:18" x14ac:dyDescent="0.3">
      <c r="B54" s="1">
        <v>46214</v>
      </c>
      <c r="C54" s="11">
        <f>WEEKNUM(Table1[[#This Row],[Date]])</f>
        <v>28</v>
      </c>
      <c r="D54" s="1" t="str">
        <f>TEXT(Table1[[#This Row],[Date]],"mmm-yy")</f>
        <v>Jul-26</v>
      </c>
      <c r="E54" s="1" t="s">
        <v>79</v>
      </c>
      <c r="F54" t="s">
        <v>71</v>
      </c>
      <c r="G54">
        <v>32939.699999999997</v>
      </c>
      <c r="H54">
        <v>1075.8</v>
      </c>
      <c r="I54">
        <v>381</v>
      </c>
      <c r="J54">
        <v>135</v>
      </c>
      <c r="K54">
        <f>SUM(Table1[[#This Row],[Wholes (kg''s)]:[Rejection (kg''s)]])</f>
        <v>34396.5</v>
      </c>
      <c r="L54">
        <v>30963.3</v>
      </c>
      <c r="M54">
        <v>1011.3</v>
      </c>
      <c r="N54">
        <v>358.1</v>
      </c>
      <c r="O54">
        <v>126.9</v>
      </c>
      <c r="P54">
        <f>SUM(Table1[[#This Row],[BK_Wholes]:[BK_Reject]])</f>
        <v>32332.699999999997</v>
      </c>
      <c r="Q54">
        <f>Table1[[#This Row],[Before Borma (kg''s)]]-Table1[[#This Row],[After Borma (kg''s)]]</f>
        <v>2063.8000000000029</v>
      </c>
      <c r="R54" s="6">
        <f>IFERROR(Q54/K54%,"")</f>
        <v>6.0000290727254315</v>
      </c>
    </row>
    <row r="55" spans="2:18" x14ac:dyDescent="0.3">
      <c r="B55" s="1">
        <v>46215</v>
      </c>
      <c r="C55" s="11">
        <f>WEEKNUM(Table1[[#This Row],[Date]])</f>
        <v>29</v>
      </c>
      <c r="D55" s="1" t="str">
        <f>TEXT(Table1[[#This Row],[Date]],"mmm-yy")</f>
        <v>Jul-26</v>
      </c>
      <c r="E55" s="1" t="s">
        <v>79</v>
      </c>
      <c r="F55" t="s">
        <v>72</v>
      </c>
      <c r="G55">
        <v>22018.5</v>
      </c>
      <c r="H55">
        <v>742.4</v>
      </c>
      <c r="I55">
        <v>319.8</v>
      </c>
      <c r="J55">
        <v>93.2</v>
      </c>
      <c r="K55">
        <f>SUM(Table1[[#This Row],[Wholes (kg''s)]:[Rejection (kg''s)]])</f>
        <v>23080.7</v>
      </c>
      <c r="L55">
        <v>20675.400000000001</v>
      </c>
      <c r="M55">
        <v>697.1</v>
      </c>
      <c r="N55">
        <v>300.3</v>
      </c>
      <c r="O55">
        <v>87.5</v>
      </c>
      <c r="P55">
        <f>SUM(Table1[[#This Row],[BK_Wholes]:[BK_Reject]])</f>
        <v>21672.799999999999</v>
      </c>
      <c r="Q55">
        <f>Table1[[#This Row],[Before Borma (kg''s)]]-Table1[[#This Row],[After Borma (kg''s)]]</f>
        <v>1407.9000000000015</v>
      </c>
      <c r="R55" s="6">
        <f>IFERROR(Q55/K55%,"")</f>
        <v>6.0999016494300493</v>
      </c>
    </row>
    <row r="56" spans="2:18" x14ac:dyDescent="0.3">
      <c r="B56" s="1">
        <v>46216</v>
      </c>
      <c r="C56" s="11">
        <f>WEEKNUM(Table1[[#This Row],[Date]])</f>
        <v>29</v>
      </c>
      <c r="D56" s="1" t="str">
        <f>TEXT(Table1[[#This Row],[Date]],"mmm-yy")</f>
        <v>Jul-26</v>
      </c>
      <c r="E56" s="1" t="s">
        <v>79</v>
      </c>
      <c r="F56" t="s">
        <v>73</v>
      </c>
      <c r="G56">
        <v>36615.199999999997</v>
      </c>
      <c r="H56">
        <v>1047.5</v>
      </c>
      <c r="I56">
        <v>566</v>
      </c>
      <c r="J56">
        <v>489.9</v>
      </c>
      <c r="K56">
        <f>SUM(Table1[[#This Row],[Wholes (kg''s)]:[Rejection (kg''s)]])</f>
        <v>38228.699999999997</v>
      </c>
      <c r="L56">
        <v>34381.67</v>
      </c>
      <c r="M56">
        <v>983.67</v>
      </c>
      <c r="N56">
        <v>531.47</v>
      </c>
      <c r="O56">
        <v>460.02</v>
      </c>
      <c r="P56">
        <f>SUM(Table1[[#This Row],[BK_Wholes]:[BK_Reject]])</f>
        <v>35896.81</v>
      </c>
      <c r="Q56">
        <f>Table1[[#This Row],[Before Borma (kg''s)]]-Table1[[#This Row],[After Borma (kg''s)]]</f>
        <v>2331.8899999999994</v>
      </c>
      <c r="R56" s="6">
        <f>IFERROR(Q56/K56%,"")</f>
        <v>6.09984121877019</v>
      </c>
    </row>
    <row r="57" spans="2:18" x14ac:dyDescent="0.3">
      <c r="B57" s="1">
        <v>46217</v>
      </c>
      <c r="C57" s="11">
        <f>WEEKNUM(Table1[[#This Row],[Date]])</f>
        <v>29</v>
      </c>
      <c r="D57" s="1" t="str">
        <f>TEXT(Table1[[#This Row],[Date]],"mmm-yy")</f>
        <v>Jul-26</v>
      </c>
      <c r="E57" s="1" t="s">
        <v>79</v>
      </c>
      <c r="F57" t="s">
        <v>74</v>
      </c>
      <c r="G57">
        <v>36399.199999999997</v>
      </c>
      <c r="H57">
        <v>1022.3</v>
      </c>
      <c r="I57">
        <v>116.5</v>
      </c>
      <c r="J57">
        <v>157.9</v>
      </c>
      <c r="K57">
        <f>SUM(Table1[[#This Row],[Wholes (kg''s)]:[Rejection (kg''s)]])</f>
        <v>37538</v>
      </c>
      <c r="L57">
        <v>34069.65</v>
      </c>
      <c r="M57">
        <v>956.87</v>
      </c>
      <c r="N57">
        <v>109.04</v>
      </c>
      <c r="O57">
        <v>147.79</v>
      </c>
      <c r="P57">
        <f>SUM(Table1[[#This Row],[BK_Wholes]:[BK_Reject]])</f>
        <v>35135.560000000005</v>
      </c>
      <c r="Q57">
        <f>Table1[[#This Row],[Before Borma (kg''s)]]-Table1[[#This Row],[After Borma (kg''s)]]</f>
        <v>2402.4399999999951</v>
      </c>
      <c r="R57" s="6">
        <f>IFERROR(Q57/K57%,"")</f>
        <v>6.4000213117374267</v>
      </c>
    </row>
    <row r="58" spans="2:18" x14ac:dyDescent="0.3">
      <c r="B58" s="1">
        <v>46218</v>
      </c>
      <c r="C58" s="11">
        <f>WEEKNUM(Table1[[#This Row],[Date]])</f>
        <v>29</v>
      </c>
      <c r="D58" s="1" t="str">
        <f>TEXT(Table1[[#This Row],[Date]],"mmm-yy")</f>
        <v>Jul-26</v>
      </c>
      <c r="E58" s="1" t="s">
        <v>79</v>
      </c>
      <c r="F58" t="s">
        <v>75</v>
      </c>
      <c r="G58">
        <v>37486.5</v>
      </c>
      <c r="H58">
        <v>903.6</v>
      </c>
      <c r="I58">
        <v>162.5</v>
      </c>
      <c r="J58">
        <v>101.5</v>
      </c>
      <c r="K58">
        <f>SUM(Table1[[#This Row],[Wholes (kg''s)]:[Rejection (kg''s)]])</f>
        <v>38552.6</v>
      </c>
      <c r="L58">
        <v>35049.879999999997</v>
      </c>
      <c r="M58">
        <v>844.87</v>
      </c>
      <c r="N58">
        <v>151.94999999999999</v>
      </c>
      <c r="O58">
        <v>94.9</v>
      </c>
      <c r="P58">
        <f>SUM(Table1[[#This Row],[BK_Wholes]:[BK_Reject]])</f>
        <v>36046.699999999997</v>
      </c>
      <c r="Q58">
        <f>Table1[[#This Row],[Before Borma (kg''s)]]-Table1[[#This Row],[After Borma (kg''s)]]</f>
        <v>2505.9000000000015</v>
      </c>
      <c r="R58" s="6">
        <f>IFERROR(Q58/K58%,"")</f>
        <v>6.4999507166831849</v>
      </c>
    </row>
    <row r="59" spans="2:18" x14ac:dyDescent="0.3">
      <c r="B59" s="1">
        <v>46219</v>
      </c>
      <c r="C59" s="11">
        <f>WEEKNUM(Table1[[#This Row],[Date]])</f>
        <v>29</v>
      </c>
      <c r="D59" s="1" t="str">
        <f>TEXT(Table1[[#This Row],[Date]],"mmm-yy")</f>
        <v>Jul-26</v>
      </c>
      <c r="E59" s="1" t="s">
        <v>79</v>
      </c>
      <c r="F59" t="s">
        <v>80</v>
      </c>
      <c r="G59">
        <v>36571.800000000003</v>
      </c>
      <c r="H59">
        <v>728.5</v>
      </c>
      <c r="I59">
        <v>55.9</v>
      </c>
      <c r="J59">
        <v>127.7</v>
      </c>
      <c r="K59">
        <f>SUM(Table1[[#This Row],[Wholes (kg''s)]:[Rejection (kg''s)]])</f>
        <v>37356.200000000004</v>
      </c>
      <c r="L59">
        <v>34450.639999999999</v>
      </c>
      <c r="M59">
        <v>686.25</v>
      </c>
      <c r="N59">
        <v>52.66</v>
      </c>
      <c r="O59">
        <v>120.29</v>
      </c>
      <c r="P59">
        <f>SUM(Table1[[#This Row],[BK_Wholes]:[BK_Reject]])</f>
        <v>35189.550000000003</v>
      </c>
      <c r="Q59">
        <f>Table1[[#This Row],[Before Borma (kg''s)]]-Table1[[#This Row],[After Borma (kg''s)]]</f>
        <v>2166.6500000000015</v>
      </c>
      <c r="R59" s="6">
        <f>IFERROR(Q59/K59%,"")</f>
        <v>5.7999743014546477</v>
      </c>
    </row>
    <row r="60" spans="2:18" x14ac:dyDescent="0.3">
      <c r="B60" s="1">
        <v>46220</v>
      </c>
      <c r="C60" s="11">
        <f>WEEKNUM(Table1[[#This Row],[Date]])</f>
        <v>29</v>
      </c>
      <c r="D60" s="1" t="str">
        <f>TEXT(Table1[[#This Row],[Date]],"mmm-yy")</f>
        <v>Jul-26</v>
      </c>
      <c r="E60" s="1" t="s">
        <v>79</v>
      </c>
      <c r="F60" t="s">
        <v>81</v>
      </c>
      <c r="G60">
        <v>36784.300000000003</v>
      </c>
      <c r="H60">
        <v>1120.55</v>
      </c>
      <c r="I60" s="6">
        <v>220.5</v>
      </c>
      <c r="J60">
        <v>203.7</v>
      </c>
      <c r="K60">
        <f>SUM(Table1[[#This Row],[Wholes (kg''s)]:[Rejection (kg''s)]])</f>
        <v>38125.350000000006</v>
      </c>
      <c r="L60" s="6">
        <v>34503.67</v>
      </c>
      <c r="M60" s="6">
        <v>1051.08</v>
      </c>
      <c r="N60" s="6">
        <v>206.83</v>
      </c>
      <c r="O60" s="6">
        <v>191.07</v>
      </c>
      <c r="P60">
        <f>SUM(Table1[[#This Row],[BK_Wholes]:[BK_Reject]])</f>
        <v>35761.58</v>
      </c>
      <c r="Q60">
        <f>Table1[[#This Row],[Before Borma (kg''s)]]-Table1[[#This Row],[After Borma (kg''s)]]</f>
        <v>2363.7700000000041</v>
      </c>
      <c r="R60" s="6">
        <f>IFERROR(Q60/K60%,"")</f>
        <v>6.1999955410245517</v>
      </c>
    </row>
    <row r="61" spans="2:18" x14ac:dyDescent="0.3">
      <c r="B61" s="1">
        <v>46221</v>
      </c>
      <c r="C61" s="11">
        <f>WEEKNUM(Table1[[#This Row],[Date]])</f>
        <v>29</v>
      </c>
      <c r="D61" s="1" t="str">
        <f>TEXT(Table1[[#This Row],[Date]],"mmm-yy")</f>
        <v>Jul-26</v>
      </c>
      <c r="E61" s="1" t="s">
        <v>79</v>
      </c>
      <c r="F61" t="s">
        <v>82</v>
      </c>
      <c r="G61">
        <v>36036.6</v>
      </c>
      <c r="H61">
        <v>981.6</v>
      </c>
      <c r="I61" s="6">
        <v>151.30000000000001</v>
      </c>
      <c r="J61">
        <v>184.7</v>
      </c>
      <c r="K61">
        <f>SUM(Table1[[#This Row],[Wholes (kg''s)]:[Rejection (kg''s)]])</f>
        <v>37169.5</v>
      </c>
      <c r="L61" s="6">
        <v>33730.26</v>
      </c>
      <c r="M61" s="6">
        <v>918.78</v>
      </c>
      <c r="N61" s="6">
        <v>141.62</v>
      </c>
      <c r="O61" s="6">
        <v>172.88</v>
      </c>
      <c r="P61">
        <f>SUM(Table1[[#This Row],[BK_Wholes]:[BK_Reject]])</f>
        <v>34790.660000000003</v>
      </c>
      <c r="Q61">
        <f>Table1[[#This Row],[Before Borma (kg''s)]]-Table1[[#This Row],[After Borma (kg''s)]]</f>
        <v>2378.8399999999965</v>
      </c>
      <c r="R61" s="6">
        <f>IFERROR(Q61/K61%,"")</f>
        <v>6.3999784769770818</v>
      </c>
    </row>
    <row r="62" spans="2:18" x14ac:dyDescent="0.3">
      <c r="B62" s="1">
        <v>46222</v>
      </c>
      <c r="C62" s="11">
        <f>WEEKNUM(Table1[[#This Row],[Date]])</f>
        <v>30</v>
      </c>
      <c r="D62" s="1" t="str">
        <f>TEXT(Table1[[#This Row],[Date]],"mmm-yy")</f>
        <v>Jul-26</v>
      </c>
      <c r="E62" s="1" t="s">
        <v>86</v>
      </c>
      <c r="F62" t="s">
        <v>83</v>
      </c>
      <c r="G62">
        <v>26903.3</v>
      </c>
      <c r="H62">
        <v>925.3</v>
      </c>
      <c r="I62" s="6">
        <v>121.5</v>
      </c>
      <c r="J62">
        <v>271.39999999999998</v>
      </c>
      <c r="K62">
        <f>SUM(Table1[[#This Row],[Wholes (kg''s)]:[Rejection (kg''s)]])</f>
        <v>27950.1</v>
      </c>
      <c r="L62" s="6">
        <v>25154.6</v>
      </c>
      <c r="M62" s="6">
        <v>865.2</v>
      </c>
      <c r="N62" s="6">
        <v>113.6</v>
      </c>
      <c r="O62" s="6">
        <v>253.7</v>
      </c>
      <c r="P62">
        <f>SUM(Table1[[#This Row],[BK_Wholes]:[BK_Reject]])</f>
        <v>26133.399999999998</v>
      </c>
      <c r="Q62">
        <f>Table1[[#This Row],[Before Borma (kg''s)]]-Table1[[#This Row],[After Borma (kg''s)]]</f>
        <v>1816.7000000000007</v>
      </c>
      <c r="R62" s="6">
        <f>IFERROR(Q62/K62%,"")</f>
        <v>6.4997978540327255</v>
      </c>
    </row>
    <row r="63" spans="2:18" x14ac:dyDescent="0.3">
      <c r="B63" s="1">
        <v>46224</v>
      </c>
      <c r="C63" s="11">
        <f>WEEKNUM(Table1[[#This Row],[Date]])</f>
        <v>30</v>
      </c>
      <c r="D63" s="1" t="str">
        <f>TEXT(Table1[[#This Row],[Date]],"mmm-yy")</f>
        <v>Jul-26</v>
      </c>
      <c r="E63" s="1" t="s">
        <v>86</v>
      </c>
      <c r="F63" t="s">
        <v>84</v>
      </c>
      <c r="G63">
        <v>14691.4</v>
      </c>
      <c r="H63">
        <v>504.5</v>
      </c>
      <c r="I63" s="6">
        <v>93.5</v>
      </c>
      <c r="J63">
        <v>200.5</v>
      </c>
      <c r="K63">
        <f>SUM(Table1[[#This Row],[Wholes (kg''s)]:[Rejection (kg''s)]])</f>
        <v>15289.4</v>
      </c>
      <c r="L63" s="6">
        <v>13809.9</v>
      </c>
      <c r="M63" s="6">
        <v>474.2</v>
      </c>
      <c r="N63" s="6">
        <v>87.9</v>
      </c>
      <c r="O63" s="6">
        <v>188.5</v>
      </c>
      <c r="P63">
        <f>SUM(Table1[[#This Row],[BK_Wholes]:[BK_Reject]])</f>
        <v>14372</v>
      </c>
      <c r="Q63">
        <f>Table1[[#This Row],[Before Borma (kg''s)]]-Table1[[#This Row],[After Borma (kg''s)]]</f>
        <v>917.39999999999964</v>
      </c>
      <c r="R63" s="6">
        <f>IFERROR(Q63/K63%,"")</f>
        <v>6.0002354572448864</v>
      </c>
    </row>
    <row r="64" spans="2:18" x14ac:dyDescent="0.3">
      <c r="B64" s="1">
        <v>46225</v>
      </c>
      <c r="C64" s="11">
        <f>WEEKNUM(Table1[[#This Row],[Date]])</f>
        <v>30</v>
      </c>
      <c r="D64" s="1" t="str">
        <f>TEXT(Table1[[#This Row],[Date]],"mmm-yy")</f>
        <v>Jul-26</v>
      </c>
      <c r="E64" s="1" t="s">
        <v>88</v>
      </c>
      <c r="F64" t="s">
        <v>85</v>
      </c>
      <c r="G64">
        <v>36987.699999999997</v>
      </c>
      <c r="H64">
        <v>1139.2</v>
      </c>
      <c r="I64" s="6">
        <v>428.9</v>
      </c>
      <c r="J64">
        <v>192.8</v>
      </c>
      <c r="K64">
        <f>SUM(Table1[[#This Row],[Wholes (kg''s)]:[Rejection (kg''s)]])</f>
        <v>38555.799999999996</v>
      </c>
      <c r="L64" s="6">
        <v>34620.5</v>
      </c>
      <c r="M64" s="6">
        <v>1066.3</v>
      </c>
      <c r="N64" s="6">
        <v>401.5</v>
      </c>
      <c r="O64" s="6">
        <v>180.5</v>
      </c>
      <c r="P64">
        <f>SUM(Table1[[#This Row],[BK_Wholes]:[BK_Reject]])</f>
        <v>36088.300000000003</v>
      </c>
      <c r="Q64">
        <f>Table1[[#This Row],[Before Borma (kg''s)]]-Table1[[#This Row],[After Borma (kg''s)]]</f>
        <v>2467.4999999999927</v>
      </c>
      <c r="R64" s="6">
        <f>IFERROR(Q64/K64%,"")</f>
        <v>6.3998153325828877</v>
      </c>
    </row>
    <row r="65" spans="2:18" x14ac:dyDescent="0.3">
      <c r="B65" s="1">
        <v>46226</v>
      </c>
      <c r="C65" s="11">
        <f>WEEKNUM(Table1[[#This Row],[Date]])</f>
        <v>30</v>
      </c>
      <c r="D65" s="1" t="str">
        <f>TEXT(Table1[[#This Row],[Date]],"mmm-yy")</f>
        <v>Jul-26</v>
      </c>
      <c r="E65" s="1" t="s">
        <v>88</v>
      </c>
      <c r="F65" t="s">
        <v>87</v>
      </c>
      <c r="G65">
        <v>39784.199999999997</v>
      </c>
      <c r="H65">
        <v>32</v>
      </c>
      <c r="I65" s="6">
        <v>741.9</v>
      </c>
      <c r="J65">
        <v>752.4</v>
      </c>
      <c r="K65">
        <f>SUM(Table1[[#This Row],[Wholes (kg''s)]:[Rejection (kg''s)]])</f>
        <v>40558.1</v>
      </c>
      <c r="L65" s="6">
        <v>37158.400000000001</v>
      </c>
      <c r="M65" s="6">
        <v>29.9</v>
      </c>
      <c r="N65" s="6">
        <v>692.9</v>
      </c>
      <c r="O65" s="6">
        <v>702.7</v>
      </c>
      <c r="P65">
        <f>SUM(Table1[[#This Row],[BK_Wholes]:[BK_Reject]])</f>
        <v>37881.200000000004</v>
      </c>
      <c r="Q65">
        <f>Table1[[#This Row],[Before Borma (kg''s)]]-Table1[[#This Row],[After Borma (kg''s)]]</f>
        <v>2676.8999999999942</v>
      </c>
      <c r="R65" s="6">
        <f>IFERROR(Q65/K65%,"")</f>
        <v>6.6001612501571678</v>
      </c>
    </row>
    <row r="66" spans="2:18" x14ac:dyDescent="0.3">
      <c r="B66" s="1">
        <v>46227</v>
      </c>
      <c r="C66" s="11">
        <f>WEEKNUM(Table1[[#This Row],[Date]])</f>
        <v>30</v>
      </c>
      <c r="D66" s="1" t="str">
        <f>TEXT(Table1[[#This Row],[Date]],"mmm-yy")</f>
        <v>Jul-26</v>
      </c>
      <c r="E66" s="1" t="s">
        <v>88</v>
      </c>
      <c r="F66" t="s">
        <v>89</v>
      </c>
      <c r="G66">
        <v>38516.5</v>
      </c>
      <c r="H66">
        <v>34.4</v>
      </c>
      <c r="I66" s="6">
        <v>178</v>
      </c>
      <c r="J66">
        <v>785.5</v>
      </c>
      <c r="K66">
        <f>SUM(Table1[[#This Row],[Wholes (kg''s)]:[Rejection (kg''s)]])</f>
        <v>38728.9</v>
      </c>
      <c r="L66" s="6">
        <v>35974.400000000001</v>
      </c>
      <c r="M66" s="6">
        <v>32.1</v>
      </c>
      <c r="N66" s="6">
        <v>166.3</v>
      </c>
      <c r="O66" s="6">
        <v>733.7</v>
      </c>
      <c r="P66">
        <f>SUM(Table1[[#This Row],[BK_Wholes]:[BK_Reject]])</f>
        <v>36172.800000000003</v>
      </c>
      <c r="Q66">
        <f>Table1[[#This Row],[Before Borma (kg''s)]]-Table1[[#This Row],[After Borma (kg''s)]]</f>
        <v>2556.0999999999985</v>
      </c>
      <c r="R66" s="6">
        <f>IFERROR(Q66/K66%,"")</f>
        <v>6.5999808928216357</v>
      </c>
    </row>
    <row r="67" spans="2:18" x14ac:dyDescent="0.3">
      <c r="B67" s="1">
        <v>46228</v>
      </c>
      <c r="C67" s="11">
        <f>WEEKNUM(Table1[[#This Row],[Date]])</f>
        <v>30</v>
      </c>
      <c r="D67" s="1" t="str">
        <f>TEXT(Table1[[#This Row],[Date]],"mmm-yy")</f>
        <v>Jul-26</v>
      </c>
      <c r="E67" s="1" t="s">
        <v>88</v>
      </c>
      <c r="F67" t="s">
        <v>90</v>
      </c>
      <c r="G67">
        <v>38582.800000000003</v>
      </c>
      <c r="H67">
        <v>34.5</v>
      </c>
      <c r="I67" s="6">
        <v>178.4</v>
      </c>
      <c r="J67">
        <v>787</v>
      </c>
      <c r="K67">
        <f>SUM(Table1[[#This Row],[Wholes (kg''s)]:[Rejection (kg''s)]])</f>
        <v>38795.700000000004</v>
      </c>
      <c r="L67" s="6">
        <v>36036.300000000003</v>
      </c>
      <c r="M67" s="6">
        <v>32.200000000000003</v>
      </c>
      <c r="N67" s="6">
        <v>166.6</v>
      </c>
      <c r="O67" s="6">
        <v>735.1</v>
      </c>
      <c r="P67">
        <f>SUM(Table1[[#This Row],[BK_Wholes]:[BK_Reject]])</f>
        <v>36235.1</v>
      </c>
      <c r="Q67">
        <f>Table1[[#This Row],[Before Borma (kg''s)]]-Table1[[#This Row],[After Borma (kg''s)]]</f>
        <v>2560.6000000000058</v>
      </c>
      <c r="R67" s="6">
        <f>IFERROR(Q67/K67%,"")</f>
        <v>6.6002160033199697</v>
      </c>
    </row>
    <row r="68" spans="2:18" x14ac:dyDescent="0.3">
      <c r="B68" s="1">
        <v>46230</v>
      </c>
      <c r="C68" s="11">
        <f>WEEKNUM(Table1[[#This Row],[Date]])</f>
        <v>31</v>
      </c>
      <c r="D68" s="1" t="str">
        <f>TEXT(Table1[[#This Row],[Date]],"mmm-yy")</f>
        <v>Jul-26</v>
      </c>
      <c r="E68" s="1" t="s">
        <v>88</v>
      </c>
      <c r="F68" t="s">
        <v>91</v>
      </c>
      <c r="G68">
        <v>25472.1</v>
      </c>
      <c r="H68">
        <v>64.7</v>
      </c>
      <c r="I68" s="6">
        <v>732.5</v>
      </c>
      <c r="J68">
        <v>0</v>
      </c>
      <c r="K68">
        <f>SUM(Table1[[#This Row],[Wholes (kg''s)]:[Rejection (kg''s)]])</f>
        <v>26269.3</v>
      </c>
      <c r="L68" s="6">
        <v>23755.3</v>
      </c>
      <c r="M68" s="6">
        <v>60.3</v>
      </c>
      <c r="N68" s="6">
        <v>683.1</v>
      </c>
      <c r="P68">
        <f>SUM(Table1[[#This Row],[BK_Wholes]:[BK_Reject]])</f>
        <v>24498.699999999997</v>
      </c>
      <c r="Q68">
        <f>Table1[[#This Row],[Before Borma (kg''s)]]-Table1[[#This Row],[After Borma (kg''s)]]</f>
        <v>1770.6000000000022</v>
      </c>
      <c r="R68" s="6">
        <f>IFERROR(Q68/K68%,"")</f>
        <v>6.7401872147335569</v>
      </c>
    </row>
    <row r="69" spans="2:18" x14ac:dyDescent="0.3">
      <c r="B69" s="1">
        <v>46231</v>
      </c>
      <c r="C69" s="11">
        <f>WEEKNUM(Table1[[#This Row],[Date]])</f>
        <v>31</v>
      </c>
      <c r="D69" s="1" t="str">
        <f>TEXT(Table1[[#This Row],[Date]],"mmm-yy")</f>
        <v>Jul-26</v>
      </c>
      <c r="E69" s="1" t="s">
        <v>88</v>
      </c>
      <c r="F69" t="s">
        <v>92</v>
      </c>
      <c r="G69">
        <v>35551</v>
      </c>
      <c r="H69">
        <v>0</v>
      </c>
      <c r="I69" s="6">
        <v>658.4</v>
      </c>
      <c r="K69">
        <f>SUM(Table1[[#This Row],[Wholes (kg''s)]:[Rejection (kg''s)]])</f>
        <v>36209.4</v>
      </c>
      <c r="L69" s="6">
        <v>33103.800000000003</v>
      </c>
      <c r="M69" s="6"/>
      <c r="N69" s="6">
        <v>616.29999999999995</v>
      </c>
      <c r="P69">
        <f>SUM(Table1[[#This Row],[BK_Wholes]:[BK_Reject]])</f>
        <v>33720.100000000006</v>
      </c>
      <c r="Q69">
        <f>Table1[[#This Row],[Before Borma (kg''s)]]-Table1[[#This Row],[After Borma (kg''s)]]</f>
        <v>2489.2999999999956</v>
      </c>
      <c r="R69" s="6">
        <f>IFERROR(Q69/K69%,"")</f>
        <v>6.8747341850458605</v>
      </c>
    </row>
    <row r="70" spans="2:18" x14ac:dyDescent="0.3">
      <c r="B70" s="1">
        <v>46232</v>
      </c>
      <c r="C70" s="11">
        <f>WEEKNUM(Table1[[#This Row],[Date]])</f>
        <v>31</v>
      </c>
      <c r="D70" s="1" t="str">
        <f>TEXT(Table1[[#This Row],[Date]],"mmm-yy")</f>
        <v>Jul-26</v>
      </c>
      <c r="E70" s="1" t="s">
        <v>88</v>
      </c>
      <c r="F70" t="s">
        <v>93</v>
      </c>
      <c r="G70">
        <v>37367.1</v>
      </c>
      <c r="H70">
        <v>114.6</v>
      </c>
      <c r="I70" s="6">
        <v>894</v>
      </c>
      <c r="K70">
        <f>SUM(Table1[[#This Row],[Wholes (kg''s)]:[Rejection (kg''s)]])</f>
        <v>38375.699999999997</v>
      </c>
      <c r="L70" s="6">
        <v>34875.300000000003</v>
      </c>
      <c r="M70" s="6">
        <v>107.6</v>
      </c>
      <c r="N70" s="6">
        <v>836.9</v>
      </c>
      <c r="P70">
        <f>SUM(Table1[[#This Row],[BK_Wholes]:[BK_Reject]])</f>
        <v>35819.800000000003</v>
      </c>
      <c r="Q70">
        <f>Table1[[#This Row],[Before Borma (kg''s)]]-Table1[[#This Row],[After Borma (kg''s)]]</f>
        <v>2555.8999999999942</v>
      </c>
      <c r="R70" s="6">
        <f>IFERROR(Q70/K70%,"")</f>
        <v>6.6602042438313687</v>
      </c>
    </row>
    <row r="71" spans="2:18" x14ac:dyDescent="0.3">
      <c r="B71" s="1">
        <v>46233</v>
      </c>
      <c r="C71" s="11">
        <f>WEEKNUM(Table1[[#This Row],[Date]])</f>
        <v>31</v>
      </c>
      <c r="D71" s="1" t="str">
        <f>TEXT(Table1[[#This Row],[Date]],"mmm-yy")</f>
        <v>Jul-26</v>
      </c>
      <c r="E71" s="1" t="s">
        <v>88</v>
      </c>
      <c r="F71" t="s">
        <v>94</v>
      </c>
      <c r="G71">
        <v>37548.6</v>
      </c>
      <c r="H71">
        <v>37.9</v>
      </c>
      <c r="I71" s="6">
        <v>618.1</v>
      </c>
      <c r="K71">
        <f>SUM(Table1[[#This Row],[Wholes (kg''s)]:[Rejection (kg''s)]])</f>
        <v>38204.6</v>
      </c>
      <c r="L71" s="6">
        <v>34955</v>
      </c>
      <c r="M71" s="6">
        <v>35.9</v>
      </c>
      <c r="N71" s="6">
        <v>575.5</v>
      </c>
      <c r="P71">
        <f>SUM(Table1[[#This Row],[BK_Wholes]:[BK_Reject]])</f>
        <v>35566.400000000001</v>
      </c>
      <c r="Q71">
        <f>Table1[[#This Row],[Before Borma (kg''s)]]-Table1[[#This Row],[After Borma (kg''s)]]</f>
        <v>2638.1999999999971</v>
      </c>
      <c r="R71" s="6">
        <f>IFERROR(Q71/K71%,"")</f>
        <v>6.9054511760363857</v>
      </c>
    </row>
    <row r="72" spans="2:18" x14ac:dyDescent="0.3">
      <c r="B72" s="1">
        <v>46234</v>
      </c>
      <c r="C72" s="11">
        <f>WEEKNUM(Table1[[#This Row],[Date]])</f>
        <v>31</v>
      </c>
      <c r="D72" s="1" t="str">
        <f>TEXT(Table1[[#This Row],[Date]],"mmm-yy")</f>
        <v>Jul-26</v>
      </c>
      <c r="E72" s="1" t="s">
        <v>88</v>
      </c>
      <c r="F72" t="s">
        <v>95</v>
      </c>
      <c r="G72">
        <v>36756.199999999997</v>
      </c>
      <c r="H72">
        <v>16.600000000000001</v>
      </c>
      <c r="I72">
        <v>855.1</v>
      </c>
      <c r="K72">
        <f>SUM(Table1[[#This Row],[Wholes (kg''s)]:[Rejection (kg''s)]])</f>
        <v>37627.899999999994</v>
      </c>
      <c r="L72">
        <v>34215.199999999997</v>
      </c>
      <c r="M72">
        <v>15.7</v>
      </c>
      <c r="N72">
        <v>799.6</v>
      </c>
      <c r="P72">
        <f>SUM(Table1[[#This Row],[BK_Wholes]:[BK_Reject]])</f>
        <v>35030.499999999993</v>
      </c>
      <c r="Q72">
        <f>Table1[[#This Row],[Before Borma (kg''s)]]-Table1[[#This Row],[After Borma (kg''s)]]</f>
        <v>2597.4000000000015</v>
      </c>
      <c r="R72" s="6">
        <f>IFERROR(Q72/K72%,"")</f>
        <v>6.9028566568955529</v>
      </c>
    </row>
    <row r="73" spans="2:18" x14ac:dyDescent="0.3">
      <c r="B73" s="1">
        <v>46235</v>
      </c>
      <c r="C73" s="11">
        <f>WEEKNUM(Table1[[#This Row],[Date]])</f>
        <v>31</v>
      </c>
      <c r="D73" s="1" t="str">
        <f>TEXT(Table1[[#This Row],[Date]],"mmm-yy")</f>
        <v>Aug-26</v>
      </c>
      <c r="E73" s="1" t="s">
        <v>88</v>
      </c>
      <c r="F73" t="s">
        <v>96</v>
      </c>
      <c r="G73">
        <v>36026.9</v>
      </c>
      <c r="H73">
        <v>30.2</v>
      </c>
      <c r="I73">
        <v>914</v>
      </c>
      <c r="K73">
        <f>SUM(Table1[[#This Row],[Wholes (kg''s)]:[Rejection (kg''s)]])</f>
        <v>36971.1</v>
      </c>
      <c r="L73">
        <v>33555.4</v>
      </c>
      <c r="M73">
        <v>28.6</v>
      </c>
      <c r="N73">
        <v>852.7</v>
      </c>
      <c r="P73">
        <f>SUM(Table1[[#This Row],[BK_Wholes]:[BK_Reject]])</f>
        <v>34436.699999999997</v>
      </c>
      <c r="Q73">
        <f>Table1[[#This Row],[Before Borma (kg''s)]]-Table1[[#This Row],[After Borma (kg''s)]]</f>
        <v>2534.4000000000015</v>
      </c>
      <c r="R73" s="6">
        <f>IFERROR(Q73/K73%,"")</f>
        <v>6.8550841062343331</v>
      </c>
    </row>
    <row r="74" spans="2:18" x14ac:dyDescent="0.3">
      <c r="B74" s="1">
        <v>46237</v>
      </c>
      <c r="C74" s="11">
        <f>WEEKNUM(Table1[[#This Row],[Date]])</f>
        <v>32</v>
      </c>
      <c r="D74" s="1" t="str">
        <f>TEXT(Table1[[#This Row],[Date]],"mmm-yy")</f>
        <v>Aug-26</v>
      </c>
      <c r="E74" s="1" t="s">
        <v>88</v>
      </c>
      <c r="F74" t="s">
        <v>97</v>
      </c>
      <c r="G74">
        <v>35267.800000000003</v>
      </c>
      <c r="H74">
        <v>31.1</v>
      </c>
      <c r="I74">
        <v>653.20000000000005</v>
      </c>
      <c r="K74">
        <f>SUM(Table1[[#This Row],[Wholes (kg''s)]:[Rejection (kg''s)]])</f>
        <v>35952.1</v>
      </c>
      <c r="L74">
        <v>33116.5</v>
      </c>
      <c r="M74">
        <v>29.2</v>
      </c>
      <c r="N74">
        <v>613.4</v>
      </c>
      <c r="P74">
        <f>SUM(Table1[[#This Row],[BK_Wholes]:[BK_Reject]])</f>
        <v>33759.1</v>
      </c>
      <c r="Q74">
        <f>Table1[[#This Row],[Before Borma (kg''s)]]-Table1[[#This Row],[After Borma (kg''s)]]</f>
        <v>2193</v>
      </c>
      <c r="R74" s="6">
        <f>IFERROR(Q74/K74%,"")</f>
        <v>6.0997827665143349</v>
      </c>
    </row>
    <row r="75" spans="2:18" x14ac:dyDescent="0.3">
      <c r="B75" s="1">
        <v>46238</v>
      </c>
      <c r="C75" s="11">
        <f>WEEKNUM(Table1[[#This Row],[Date]])</f>
        <v>32</v>
      </c>
      <c r="D75" s="1" t="str">
        <f>TEXT(Table1[[#This Row],[Date]],"mmm-yy")</f>
        <v>Aug-26</v>
      </c>
      <c r="E75" s="1" t="s">
        <v>88</v>
      </c>
      <c r="F75" t="s">
        <v>98</v>
      </c>
      <c r="G75">
        <v>20966.8</v>
      </c>
      <c r="H75">
        <v>38.9</v>
      </c>
      <c r="I75">
        <v>714.5</v>
      </c>
      <c r="K75">
        <f>SUM(Table1[[#This Row],[Wholes (kg''s)]:[Rejection (kg''s)]])</f>
        <v>21720.2</v>
      </c>
      <c r="L75">
        <v>19575.5</v>
      </c>
      <c r="M75">
        <v>36.9</v>
      </c>
      <c r="N75">
        <v>665</v>
      </c>
      <c r="P75">
        <f>SUM(Table1[[#This Row],[BK_Wholes]:[BK_Reject]])</f>
        <v>20277.400000000001</v>
      </c>
      <c r="Q75">
        <f>Table1[[#This Row],[Before Borma (kg''s)]]-Table1[[#This Row],[After Borma (kg''s)]]</f>
        <v>1442.7999999999993</v>
      </c>
      <c r="R75" s="6">
        <f>IFERROR(Q75/K75%,"")</f>
        <v>6.6426644321875452</v>
      </c>
    </row>
    <row r="76" spans="2:18" x14ac:dyDescent="0.3">
      <c r="B76" s="1">
        <v>46239</v>
      </c>
      <c r="C76" s="11">
        <f>WEEKNUM(Table1[[#This Row],[Date]])</f>
        <v>32</v>
      </c>
      <c r="D76" s="1" t="str">
        <f>TEXT(Table1[[#This Row],[Date]],"mmm-yy")</f>
        <v>Aug-26</v>
      </c>
      <c r="E76" s="1" t="s">
        <v>88</v>
      </c>
      <c r="F76" t="s">
        <v>99</v>
      </c>
      <c r="G76">
        <v>35150.800000000003</v>
      </c>
      <c r="H76">
        <v>47.3</v>
      </c>
      <c r="I76">
        <v>859.2</v>
      </c>
      <c r="K76">
        <f>SUM(Table1[[#This Row],[Wholes (kg''s)]:[Rejection (kg''s)]])</f>
        <v>36057.300000000003</v>
      </c>
      <c r="L76">
        <v>32812.800000000003</v>
      </c>
      <c r="M76">
        <v>44.8</v>
      </c>
      <c r="N76">
        <v>804.2</v>
      </c>
      <c r="P76">
        <f>SUM(Table1[[#This Row],[BK_Wholes]:[BK_Reject]])</f>
        <v>33661.800000000003</v>
      </c>
      <c r="Q76">
        <f>Table1[[#This Row],[Before Borma (kg''s)]]-Table1[[#This Row],[After Borma (kg''s)]]</f>
        <v>2395.5</v>
      </c>
      <c r="R76" s="6">
        <f>IFERROR(Q76/K76%,"")</f>
        <v>6.6435922822840308</v>
      </c>
    </row>
    <row r="77" spans="2:18" x14ac:dyDescent="0.3">
      <c r="B77" s="1">
        <v>46240</v>
      </c>
      <c r="C77" s="11">
        <f>WEEKNUM(Table1[[#This Row],[Date]])</f>
        <v>32</v>
      </c>
      <c r="D77" s="1" t="str">
        <f>TEXT(Table1[[#This Row],[Date]],"mmm-yy")</f>
        <v>Aug-26</v>
      </c>
      <c r="E77" s="1" t="s">
        <v>88</v>
      </c>
      <c r="F77" t="s">
        <v>100</v>
      </c>
      <c r="G77">
        <v>38306.699999999997</v>
      </c>
      <c r="H77">
        <v>0</v>
      </c>
      <c r="I77">
        <v>1019.8</v>
      </c>
      <c r="K77">
        <f>SUM(Table1[[#This Row],[Wholes (kg''s)]:[Rejection (kg''s)]])</f>
        <v>39326.5</v>
      </c>
      <c r="L77" s="6">
        <v>35713.699999999997</v>
      </c>
      <c r="M77" s="6">
        <v>0</v>
      </c>
      <c r="N77" s="6">
        <v>953.8</v>
      </c>
      <c r="P77">
        <f>SUM(Table1[[#This Row],[BK_Wholes]:[BK_Reject]])</f>
        <v>36667.5</v>
      </c>
      <c r="Q77">
        <f>Table1[[#This Row],[Before Borma (kg''s)]]-Table1[[#This Row],[After Borma (kg''s)]]</f>
        <v>2659</v>
      </c>
      <c r="R77" s="6">
        <f>IFERROR(Q77/K77%,"")</f>
        <v>6.7613441318195111</v>
      </c>
    </row>
    <row r="78" spans="2:18" x14ac:dyDescent="0.3">
      <c r="B78" s="1">
        <v>46242</v>
      </c>
      <c r="C78" s="11">
        <f>WEEKNUM(Table1[[#This Row],[Date]])</f>
        <v>32</v>
      </c>
      <c r="D78" s="1" t="str">
        <f>TEXT(Table1[[#This Row],[Date]],"mmm-yy")</f>
        <v>Aug-26</v>
      </c>
      <c r="E78" s="1" t="s">
        <v>88</v>
      </c>
      <c r="F78" t="s">
        <v>103</v>
      </c>
      <c r="G78">
        <v>37740</v>
      </c>
      <c r="H78">
        <v>56.4</v>
      </c>
      <c r="I78">
        <v>1097.2</v>
      </c>
      <c r="K78">
        <f>SUM(Table1[[#This Row],[Wholes (kg''s)]:[Rejection (kg''s)]])</f>
        <v>38893.599999999999</v>
      </c>
      <c r="L78" s="6">
        <v>35211.4</v>
      </c>
      <c r="M78" s="6">
        <v>52.6</v>
      </c>
      <c r="N78" s="6">
        <v>1023.7</v>
      </c>
      <c r="P78">
        <f>SUM(Table1[[#This Row],[BK_Wholes]:[BK_Reject]])</f>
        <v>36287.699999999997</v>
      </c>
      <c r="Q78">
        <f>Table1[[#This Row],[Before Borma (kg''s)]]-Table1[[#This Row],[After Borma (kg''s)]]</f>
        <v>2605.9000000000015</v>
      </c>
      <c r="R78" s="6">
        <f>IFERROR(Q78/K78%,"")</f>
        <v>6.7000740481724543</v>
      </c>
    </row>
    <row r="79" spans="2:18" x14ac:dyDescent="0.3">
      <c r="B79" s="1">
        <v>46242</v>
      </c>
      <c r="C79" s="11">
        <f>WEEKNUM(Table1[[#This Row],[Date]])</f>
        <v>32</v>
      </c>
      <c r="D79" s="1" t="str">
        <f>TEXT(Table1[[#This Row],[Date]],"mmm-yy")</f>
        <v>Aug-26</v>
      </c>
      <c r="E79" s="1" t="s">
        <v>88</v>
      </c>
      <c r="F79" t="s">
        <v>102</v>
      </c>
      <c r="G79">
        <v>37190</v>
      </c>
      <c r="H79">
        <v>56.3</v>
      </c>
      <c r="I79">
        <v>1138.5999999999999</v>
      </c>
      <c r="K79">
        <f>SUM(Table1[[#This Row],[Wholes (kg''s)]:[Rejection (kg''s)]])</f>
        <v>38384.9</v>
      </c>
      <c r="L79">
        <v>34661.1</v>
      </c>
      <c r="M79">
        <v>52.5</v>
      </c>
      <c r="N79">
        <v>1061.2</v>
      </c>
      <c r="P79">
        <f>SUM(Table1[[#This Row],[BK_Wholes]:[BK_Reject]])</f>
        <v>35774.799999999996</v>
      </c>
      <c r="Q79">
        <f>Table1[[#This Row],[Before Borma (kg''s)]]-Table1[[#This Row],[After Borma (kg''s)]]</f>
        <v>2610.1000000000058</v>
      </c>
      <c r="R79" s="6">
        <f>IFERROR(Q79/K79%,"")</f>
        <v>6.7998093000112174</v>
      </c>
    </row>
    <row r="80" spans="2:18" x14ac:dyDescent="0.3">
      <c r="B80" s="1">
        <v>46244</v>
      </c>
      <c r="C80" s="11">
        <f>WEEKNUM(Table1[[#This Row],[Date]])</f>
        <v>33</v>
      </c>
      <c r="D80" s="1" t="str">
        <f>TEXT(Table1[[#This Row],[Date]],"mmm-yy")</f>
        <v>Aug-26</v>
      </c>
      <c r="E80" s="1" t="s">
        <v>88</v>
      </c>
      <c r="F80" t="s">
        <v>102</v>
      </c>
      <c r="G80">
        <v>25505.3</v>
      </c>
      <c r="H80">
        <v>32.799999999999997</v>
      </c>
      <c r="I80" s="6">
        <v>812.5</v>
      </c>
      <c r="K80">
        <f>SUM(Table1[[#This Row],[Wholes (kg''s)]:[Rejection (kg''s)]])</f>
        <v>26350.6</v>
      </c>
      <c r="L80" s="6">
        <v>23854.3</v>
      </c>
      <c r="M80" s="6">
        <v>14.8</v>
      </c>
      <c r="N80" s="6">
        <v>748.5</v>
      </c>
      <c r="P80">
        <f>SUM(Table1[[#This Row],[BK_Wholes]:[BK_Reject]])</f>
        <v>24617.599999999999</v>
      </c>
      <c r="Q80">
        <f>Table1[[#This Row],[Before Borma (kg''s)]]-Table1[[#This Row],[After Borma (kg''s)]]</f>
        <v>1733</v>
      </c>
      <c r="R80" s="6">
        <f>IFERROR(Q80/K80%,"")</f>
        <v>6.5767003407892046</v>
      </c>
    </row>
    <row r="81" spans="2:18" x14ac:dyDescent="0.3">
      <c r="B81" s="1">
        <v>46245</v>
      </c>
      <c r="C81" s="11">
        <f>WEEKNUM(Table1[[#This Row],[Date]])</f>
        <v>33</v>
      </c>
      <c r="D81" s="1" t="str">
        <f>TEXT(Table1[[#This Row],[Date]],"mmm-yy")</f>
        <v>Aug-26</v>
      </c>
      <c r="E81" s="1" t="s">
        <v>88</v>
      </c>
      <c r="F81" t="s">
        <v>104</v>
      </c>
      <c r="G81">
        <v>31398.1</v>
      </c>
      <c r="H81">
        <v>0</v>
      </c>
      <c r="I81" s="6">
        <v>906.6</v>
      </c>
      <c r="K81">
        <f>SUM(Table1[[#This Row],[Wholes (kg''s)]:[Rejection (kg''s)]])</f>
        <v>32304.699999999997</v>
      </c>
      <c r="L81" s="6">
        <v>29379.1</v>
      </c>
      <c r="M81" s="6">
        <v>0</v>
      </c>
      <c r="N81" s="6">
        <v>843.1</v>
      </c>
      <c r="P81">
        <f>SUM(Table1[[#This Row],[BK_Wholes]:[BK_Reject]])</f>
        <v>30222.199999999997</v>
      </c>
      <c r="Q81">
        <f>Table1[[#This Row],[Before Borma (kg''s)]]-Table1[[#This Row],[After Borma (kg''s)]]</f>
        <v>2082.5</v>
      </c>
      <c r="R81" s="6">
        <f>IFERROR(Q81/K81%,"")</f>
        <v>6.4464303955771145</v>
      </c>
    </row>
    <row r="82" spans="2:18" x14ac:dyDescent="0.3">
      <c r="B82" s="1">
        <v>46246</v>
      </c>
      <c r="C82" s="11">
        <f>WEEKNUM(Table1[[#This Row],[Date]])</f>
        <v>33</v>
      </c>
      <c r="D82" s="1" t="str">
        <f>TEXT(Table1[[#This Row],[Date]],"mmm-yy")</f>
        <v>Aug-26</v>
      </c>
      <c r="E82" s="1" t="s">
        <v>88</v>
      </c>
      <c r="F82" t="s">
        <v>105</v>
      </c>
      <c r="G82">
        <v>36631.199999999997</v>
      </c>
      <c r="H82">
        <v>37.4</v>
      </c>
      <c r="I82" s="6">
        <v>955</v>
      </c>
      <c r="K82">
        <f>SUM(Table1[[#This Row],[Wholes (kg''s)]:[Rejection (kg''s)]])</f>
        <v>37623.599999999999</v>
      </c>
      <c r="L82" s="6">
        <v>34277.199999999997</v>
      </c>
      <c r="M82" s="6">
        <v>35.4</v>
      </c>
      <c r="N82" s="6">
        <v>896</v>
      </c>
      <c r="P82">
        <f>SUM(Table1[[#This Row],[BK_Wholes]:[BK_Reject]])</f>
        <v>35208.6</v>
      </c>
      <c r="Q82">
        <f>Table1[[#This Row],[Before Borma (kg''s)]]-Table1[[#This Row],[After Borma (kg''s)]]</f>
        <v>2415</v>
      </c>
      <c r="R82" s="6">
        <f>IFERROR(Q82/K82%,"")</f>
        <v>6.4188434918508595</v>
      </c>
    </row>
    <row r="83" spans="2:18" x14ac:dyDescent="0.3">
      <c r="B83" s="1">
        <v>46247</v>
      </c>
      <c r="C83" s="11">
        <f>WEEKNUM(Table1[[#This Row],[Date]])</f>
        <v>33</v>
      </c>
      <c r="D83" s="1" t="str">
        <f>TEXT(Table1[[#This Row],[Date]],"mmm-yy")</f>
        <v>Aug-26</v>
      </c>
      <c r="E83" s="1" t="s">
        <v>88</v>
      </c>
      <c r="F83" t="s">
        <v>106</v>
      </c>
      <c r="G83">
        <v>40102.400000000001</v>
      </c>
      <c r="H83">
        <v>32.6</v>
      </c>
      <c r="I83" s="6">
        <v>886.7</v>
      </c>
      <c r="K83">
        <f>SUM(Table1[[#This Row],[Wholes (kg''s)]:[Rejection (kg''s)]])</f>
        <v>41021.699999999997</v>
      </c>
      <c r="L83" s="6">
        <v>37436.400000000001</v>
      </c>
      <c r="M83" s="6">
        <v>31.1</v>
      </c>
      <c r="N83" s="6">
        <v>832.2</v>
      </c>
      <c r="P83">
        <f>SUM(Table1[[#This Row],[BK_Wholes]:[BK_Reject]])</f>
        <v>38299.699999999997</v>
      </c>
      <c r="Q83">
        <f>Table1[[#This Row],[Before Borma (kg''s)]]-Table1[[#This Row],[After Borma (kg''s)]]</f>
        <v>2722</v>
      </c>
      <c r="R83" s="6">
        <f>IFERROR(Q83/K83%,"")</f>
        <v>6.6355124239122221</v>
      </c>
    </row>
    <row r="84" spans="2:18" x14ac:dyDescent="0.3">
      <c r="B84" s="1">
        <v>46248</v>
      </c>
      <c r="C84" s="11">
        <f>WEEKNUM(Table1[[#This Row],[Date]])</f>
        <v>33</v>
      </c>
      <c r="D84" s="1" t="str">
        <f>TEXT(Table1[[#This Row],[Date]],"mmm-yy")</f>
        <v>Aug-26</v>
      </c>
      <c r="E84" s="1" t="s">
        <v>88</v>
      </c>
      <c r="F84" t="s">
        <v>107</v>
      </c>
      <c r="G84">
        <v>40276.800000000003</v>
      </c>
      <c r="H84" s="6">
        <v>25.4</v>
      </c>
      <c r="I84" s="6">
        <v>853.4</v>
      </c>
      <c r="K84">
        <f>SUM(Table1[[#This Row],[Wholes (kg''s)]:[Rejection (kg''s)]])</f>
        <v>41155.600000000006</v>
      </c>
      <c r="L84" s="6">
        <v>37642.300000000003</v>
      </c>
      <c r="M84" s="6">
        <v>24.9</v>
      </c>
      <c r="N84" s="6">
        <v>803.4</v>
      </c>
      <c r="P84">
        <f>SUM(Table1[[#This Row],[BK_Wholes]:[BK_Reject]])</f>
        <v>38470.600000000006</v>
      </c>
      <c r="Q84">
        <f>Table1[[#This Row],[Before Borma (kg''s)]]-Table1[[#This Row],[After Borma (kg''s)]]</f>
        <v>2685</v>
      </c>
      <c r="R84" s="6">
        <f>IFERROR(Q84/K84%,"")</f>
        <v>6.5240210323746943</v>
      </c>
    </row>
    <row r="85" spans="2:18" x14ac:dyDescent="0.3">
      <c r="B85" s="1">
        <v>46251</v>
      </c>
      <c r="C85" s="11">
        <f>WEEKNUM(Table1[[#This Row],[Date]])</f>
        <v>34</v>
      </c>
      <c r="D85" s="1" t="str">
        <f>TEXT(Table1[[#This Row],[Date]],"mmm-yy")</f>
        <v>Aug-26</v>
      </c>
      <c r="E85" s="1" t="s">
        <v>88</v>
      </c>
      <c r="F85" t="s">
        <v>108</v>
      </c>
      <c r="G85">
        <v>40547.599999999999</v>
      </c>
      <c r="H85" s="6">
        <v>22.1</v>
      </c>
      <c r="I85" s="6">
        <v>537.6</v>
      </c>
      <c r="K85">
        <f>SUM(Table1[[#This Row],[Wholes (kg''s)]:[Rejection (kg''s)]])</f>
        <v>41107.299999999996</v>
      </c>
      <c r="L85" s="6">
        <v>38049.9</v>
      </c>
      <c r="M85" s="6">
        <v>20.6</v>
      </c>
      <c r="N85" s="6">
        <v>506.6</v>
      </c>
      <c r="P85">
        <f>SUM(Table1[[#This Row],[BK_Wholes]:[BK_Reject]])</f>
        <v>38577.1</v>
      </c>
      <c r="Q85">
        <f>Table1[[#This Row],[Before Borma (kg''s)]]-Table1[[#This Row],[After Borma (kg''s)]]</f>
        <v>2530.1999999999971</v>
      </c>
      <c r="R85" s="6">
        <f>IFERROR(Q85/K85%,"")</f>
        <v>6.1551111359782746</v>
      </c>
    </row>
    <row r="86" spans="2:18" x14ac:dyDescent="0.3">
      <c r="B86" s="1">
        <v>46252</v>
      </c>
      <c r="C86" s="11">
        <f>WEEKNUM(Table1[[#This Row],[Date]])</f>
        <v>34</v>
      </c>
      <c r="D86" s="1" t="str">
        <f>TEXT(Table1[[#This Row],[Date]],"mmm-yy")</f>
        <v>Aug-26</v>
      </c>
      <c r="E86" t="s">
        <v>116</v>
      </c>
      <c r="F86" t="s">
        <v>118</v>
      </c>
      <c r="G86">
        <v>40547.599999999999</v>
      </c>
      <c r="H86">
        <v>22.1</v>
      </c>
      <c r="I86">
        <v>537.6</v>
      </c>
      <c r="K86">
        <f>SUM(Table1[[#This Row],[Wholes (kg''s)]:[Rejection (kg''s)]])</f>
        <v>41107.299999999996</v>
      </c>
      <c r="L86">
        <v>38049.9</v>
      </c>
      <c r="M86">
        <v>20.6</v>
      </c>
      <c r="N86">
        <v>506.6</v>
      </c>
      <c r="P86">
        <f>SUM(Table1[[#This Row],[BK_Wholes]:[BK_Reject]])</f>
        <v>38577.1</v>
      </c>
      <c r="Q86">
        <f>Table1[[#This Row],[Before Borma (kg''s)]]-Table1[[#This Row],[After Borma (kg''s)]]</f>
        <v>2530.1999999999971</v>
      </c>
      <c r="R86" s="6">
        <f>IFERROR(Q86/K86%,"")</f>
        <v>6.1551111359782746</v>
      </c>
    </row>
    <row r="87" spans="2:18" x14ac:dyDescent="0.3">
      <c r="B87" s="1">
        <v>46253</v>
      </c>
      <c r="C87" s="11">
        <f>WEEKNUM(Table1[[#This Row],[Date]])</f>
        <v>34</v>
      </c>
      <c r="D87" s="1" t="str">
        <f>TEXT(Table1[[#This Row],[Date]],"mmm-yy")</f>
        <v>Aug-26</v>
      </c>
      <c r="E87" t="s">
        <v>116</v>
      </c>
      <c r="F87" t="s">
        <v>119</v>
      </c>
      <c r="G87">
        <v>37312.9</v>
      </c>
      <c r="H87">
        <v>14.2</v>
      </c>
      <c r="I87">
        <v>762.8</v>
      </c>
      <c r="K87">
        <f>SUM(Table1[[#This Row],[Wholes (kg''s)]:[Rejection (kg''s)]])</f>
        <v>38089.9</v>
      </c>
      <c r="L87">
        <v>34959.4</v>
      </c>
      <c r="M87">
        <v>12.7</v>
      </c>
      <c r="N87">
        <v>719.3</v>
      </c>
      <c r="P87">
        <f>SUM(Table1[[#This Row],[BK_Wholes]:[BK_Reject]])</f>
        <v>35691.4</v>
      </c>
      <c r="Q87">
        <f>Table1[[#This Row],[Before Borma (kg''s)]]-Table1[[#This Row],[After Borma (kg''s)]]</f>
        <v>2398.5</v>
      </c>
      <c r="R87" s="6">
        <f>IFERROR(Q87/K87%,"")</f>
        <v>6.2969448593984234</v>
      </c>
    </row>
    <row r="88" spans="2:18" x14ac:dyDescent="0.3">
      <c r="B88" s="1">
        <v>46254</v>
      </c>
      <c r="C88" s="11">
        <f>WEEKNUM(Table1[[#This Row],[Date]])</f>
        <v>34</v>
      </c>
      <c r="D88" s="1" t="str">
        <f>TEXT(Table1[[#This Row],[Date]],"mmm-yy")</f>
        <v>Aug-26</v>
      </c>
      <c r="E88" t="s">
        <v>116</v>
      </c>
      <c r="F88" t="s">
        <v>120</v>
      </c>
      <c r="G88">
        <v>40276.9</v>
      </c>
      <c r="H88">
        <v>54.6</v>
      </c>
      <c r="I88">
        <v>588.20000000000005</v>
      </c>
      <c r="K88">
        <f>SUM(Table1[[#This Row],[Wholes (kg''s)]:[Rejection (kg''s)]])</f>
        <v>40919.699999999997</v>
      </c>
      <c r="L88">
        <v>37672.9</v>
      </c>
      <c r="M88">
        <v>51.6</v>
      </c>
      <c r="N88">
        <v>551.70000000000005</v>
      </c>
      <c r="P88">
        <f>SUM(Table1[[#This Row],[BK_Wholes]:[BK_Reject]])</f>
        <v>38276.199999999997</v>
      </c>
      <c r="Q88">
        <f>Table1[[#This Row],[Before Borma (kg''s)]]-Table1[[#This Row],[After Borma (kg''s)]]</f>
        <v>2643.5</v>
      </c>
      <c r="R88" s="6">
        <f>IFERROR(Q88/K88%,"")</f>
        <v>6.4602135401774703</v>
      </c>
    </row>
    <row r="89" spans="2:18" x14ac:dyDescent="0.3">
      <c r="B89" s="1">
        <v>46255</v>
      </c>
      <c r="C89" s="11">
        <f>WEEKNUM(Table1[[#This Row],[Date]])</f>
        <v>34</v>
      </c>
      <c r="D89" s="1" t="str">
        <f>TEXT(Table1[[#This Row],[Date]],"mmm-yy")</f>
        <v>Aug-26</v>
      </c>
      <c r="E89" t="s">
        <v>116</v>
      </c>
      <c r="F89" t="s">
        <v>121</v>
      </c>
      <c r="G89">
        <v>40654.800000000003</v>
      </c>
      <c r="H89">
        <v>32.299999999999997</v>
      </c>
      <c r="I89">
        <v>786.9</v>
      </c>
      <c r="K89">
        <f>SUM(Table1[[#This Row],[Wholes (kg''s)]:[Rejection (kg''s)]])</f>
        <v>41474.000000000007</v>
      </c>
      <c r="L89">
        <v>38010.300000000003</v>
      </c>
      <c r="M89">
        <v>31.3</v>
      </c>
      <c r="N89">
        <v>738.9</v>
      </c>
      <c r="P89">
        <f>SUM(Table1[[#This Row],[BK_Wholes]:[BK_Reject]])</f>
        <v>38780.500000000007</v>
      </c>
      <c r="Q89">
        <f>Table1[[#This Row],[Before Borma (kg''s)]]-Table1[[#This Row],[After Borma (kg''s)]]</f>
        <v>2693.5</v>
      </c>
      <c r="R89" s="6">
        <f>IFERROR(Q89/K89%,"")</f>
        <v>6.4944302454549829</v>
      </c>
    </row>
    <row r="90" spans="2:18" x14ac:dyDescent="0.3">
      <c r="B90" s="1">
        <v>46256</v>
      </c>
      <c r="C90" s="11">
        <f>WEEKNUM(Table1[[#This Row],[Date]])</f>
        <v>34</v>
      </c>
      <c r="D90" s="1" t="str">
        <f>TEXT(Table1[[#This Row],[Date]],"mmm-yy")</f>
        <v>Aug-26</v>
      </c>
      <c r="E90" t="s">
        <v>116</v>
      </c>
      <c r="F90" t="s">
        <v>122</v>
      </c>
      <c r="G90">
        <v>40204.5</v>
      </c>
      <c r="H90">
        <v>391.7</v>
      </c>
      <c r="I90">
        <v>1007.1</v>
      </c>
      <c r="K90">
        <f>SUM(Table1[[#This Row],[Wholes (kg''s)]:[Rejection (kg''s)]])</f>
        <v>41603.299999999996</v>
      </c>
      <c r="L90">
        <v>37531.5</v>
      </c>
      <c r="M90">
        <v>368.2</v>
      </c>
      <c r="N90">
        <v>947.1</v>
      </c>
      <c r="P90">
        <f>SUM(Table1[[#This Row],[BK_Wholes]:[BK_Reject]])</f>
        <v>38846.799999999996</v>
      </c>
      <c r="Q90">
        <f>Table1[[#This Row],[Before Borma (kg''s)]]-Table1[[#This Row],[After Borma (kg''s)]]</f>
        <v>2756.5</v>
      </c>
      <c r="R90" s="6">
        <f>IFERROR(Q90/K90%,"")</f>
        <v>6.6256763285604752</v>
      </c>
    </row>
    <row r="91" spans="2:18" x14ac:dyDescent="0.3">
      <c r="B91" s="1">
        <v>46258</v>
      </c>
      <c r="C91" s="11">
        <f>WEEKNUM(Table1[[#This Row],[Date]])</f>
        <v>35</v>
      </c>
      <c r="D91" s="1" t="str">
        <f>TEXT(Table1[[#This Row],[Date]],"mmm-yy")</f>
        <v>Aug-26</v>
      </c>
      <c r="E91" t="s">
        <v>116</v>
      </c>
      <c r="F91" t="s">
        <v>123</v>
      </c>
      <c r="G91">
        <v>40663.599999999999</v>
      </c>
      <c r="H91">
        <v>613.6</v>
      </c>
      <c r="I91">
        <v>821.3</v>
      </c>
      <c r="K91">
        <f>SUM(Table1[[#This Row],[Wholes (kg''s)]:[Rejection (kg''s)]])</f>
        <v>42098.5</v>
      </c>
      <c r="L91">
        <v>37924.6</v>
      </c>
      <c r="M91">
        <v>579.1</v>
      </c>
      <c r="N91">
        <v>769.8</v>
      </c>
      <c r="P91">
        <f>SUM(Table1[[#This Row],[BK_Wholes]:[BK_Reject]])</f>
        <v>39273.5</v>
      </c>
      <c r="Q91">
        <f>Table1[[#This Row],[Before Borma (kg''s)]]-Table1[[#This Row],[After Borma (kg''s)]]</f>
        <v>2825</v>
      </c>
      <c r="R91" s="6">
        <f>IFERROR(Q91/K91%,"")</f>
        <v>6.7104528664916803</v>
      </c>
    </row>
    <row r="92" spans="2:18" x14ac:dyDescent="0.3">
      <c r="B92" s="1">
        <v>46259</v>
      </c>
      <c r="C92" s="11">
        <f>WEEKNUM(Table1[[#This Row],[Date]])</f>
        <v>35</v>
      </c>
      <c r="D92" s="1" t="str">
        <f>TEXT(Table1[[#This Row],[Date]],"mmm-yy")</f>
        <v>Aug-26</v>
      </c>
      <c r="E92" t="s">
        <v>116</v>
      </c>
      <c r="F92" t="s">
        <v>124</v>
      </c>
      <c r="G92">
        <v>39009.4</v>
      </c>
      <c r="H92">
        <v>531.6</v>
      </c>
      <c r="I92">
        <v>1046.5</v>
      </c>
      <c r="K92">
        <f>SUM(Table1[[#This Row],[Wholes (kg''s)]:[Rejection (kg''s)]])</f>
        <v>40587.5</v>
      </c>
      <c r="L92">
        <v>36528.400000000001</v>
      </c>
      <c r="M92">
        <v>500.1</v>
      </c>
      <c r="N92">
        <v>983.5</v>
      </c>
      <c r="P92">
        <f>SUM(Table1[[#This Row],[BK_Wholes]:[BK_Reject]])</f>
        <v>38012</v>
      </c>
      <c r="Q92">
        <f>Table1[[#This Row],[Before Borma (kg''s)]]-Table1[[#This Row],[After Borma (kg''s)]]</f>
        <v>2575.5</v>
      </c>
      <c r="R92" s="6">
        <f>IFERROR(Q92/K92%,"")</f>
        <v>6.3455497382198951</v>
      </c>
    </row>
    <row r="93" spans="2:18" x14ac:dyDescent="0.3">
      <c r="B93" s="1">
        <v>46260</v>
      </c>
      <c r="C93" s="11">
        <f>WEEKNUM(Table1[[#This Row],[Date]])</f>
        <v>35</v>
      </c>
      <c r="D93" s="1" t="str">
        <f>TEXT(Table1[[#This Row],[Date]],"mmm-yy")</f>
        <v>Aug-26</v>
      </c>
      <c r="E93" t="s">
        <v>116</v>
      </c>
      <c r="F93" t="s">
        <v>125</v>
      </c>
      <c r="G93">
        <v>39523.9</v>
      </c>
      <c r="H93">
        <v>487.8</v>
      </c>
      <c r="I93">
        <v>1483.1</v>
      </c>
      <c r="K93">
        <f>SUM(Table1[[#This Row],[Wholes (kg''s)]:[Rejection (kg''s)]])</f>
        <v>41494.800000000003</v>
      </c>
      <c r="L93">
        <v>37031.80000000001</v>
      </c>
      <c r="M93">
        <v>459.29999999999995</v>
      </c>
      <c r="N93">
        <v>1393.1</v>
      </c>
      <c r="P93">
        <f>SUM(Table1[[#This Row],[BK_Wholes]:[BK_Reject]])</f>
        <v>38884.200000000012</v>
      </c>
      <c r="Q93">
        <f>Table1[[#This Row],[Before Borma (kg''s)]]-Table1[[#This Row],[After Borma (kg''s)]]</f>
        <v>2610.5999999999913</v>
      </c>
      <c r="R93" s="6">
        <f>IFERROR(Q93/K93%,"")</f>
        <v>6.2913907284767996</v>
      </c>
    </row>
    <row r="94" spans="2:18" x14ac:dyDescent="0.3">
      <c r="B94" s="1">
        <v>46261</v>
      </c>
      <c r="C94" s="11">
        <f>WEEKNUM(Table1[[#This Row],[Date]])</f>
        <v>35</v>
      </c>
      <c r="D94" s="1" t="str">
        <f>TEXT(Table1[[#This Row],[Date]],"mmm-yy")</f>
        <v>Aug-26</v>
      </c>
      <c r="E94" t="s">
        <v>116</v>
      </c>
      <c r="F94" t="s">
        <v>126</v>
      </c>
      <c r="G94">
        <v>39250.199999999997</v>
      </c>
      <c r="H94">
        <v>452.3</v>
      </c>
      <c r="I94">
        <v>1368.9</v>
      </c>
      <c r="K94">
        <f>SUM(Table1[[#This Row],[Wholes (kg''s)]:[Rejection (kg''s)]])</f>
        <v>41071.4</v>
      </c>
      <c r="L94">
        <v>36962.199999999997</v>
      </c>
      <c r="M94">
        <v>425.29999999999995</v>
      </c>
      <c r="N94">
        <v>1283.4000000000001</v>
      </c>
      <c r="P94">
        <f>SUM(Table1[[#This Row],[BK_Wholes]:[BK_Reject]])</f>
        <v>38670.9</v>
      </c>
      <c r="Q94">
        <f>Table1[[#This Row],[Before Borma (kg''s)]]-Table1[[#This Row],[After Borma (kg''s)]]</f>
        <v>2400.5</v>
      </c>
      <c r="R94" s="6">
        <f>IFERROR(Q94/K94%,"")</f>
        <v>5.8446997180519782</v>
      </c>
    </row>
    <row r="95" spans="2:18" x14ac:dyDescent="0.3">
      <c r="B95" s="1">
        <v>46262</v>
      </c>
      <c r="C95" s="11">
        <f>WEEKNUM(Table1[[#This Row],[Date]])</f>
        <v>35</v>
      </c>
      <c r="D95" s="1" t="str">
        <f>TEXT(Table1[[#This Row],[Date]],"mmm-yy")</f>
        <v>Aug-26</v>
      </c>
      <c r="E95" t="s">
        <v>116</v>
      </c>
      <c r="F95" t="s">
        <v>127</v>
      </c>
      <c r="G95">
        <v>12681</v>
      </c>
      <c r="H95">
        <v>370</v>
      </c>
      <c r="I95">
        <v>1274.5</v>
      </c>
      <c r="K95">
        <f>SUM(Table1[[#This Row],[Wholes (kg''s)]:[Rejection (kg''s)]])</f>
        <v>14325.5</v>
      </c>
      <c r="L95">
        <v>11952.5</v>
      </c>
      <c r="M95">
        <v>354.5</v>
      </c>
      <c r="N95">
        <v>1198.5</v>
      </c>
      <c r="P95">
        <f>SUM(Table1[[#This Row],[BK_Wholes]:[BK_Reject]])</f>
        <v>13505.5</v>
      </c>
      <c r="Q95">
        <f>Table1[[#This Row],[Before Borma (kg''s)]]-Table1[[#This Row],[After Borma (kg''s)]]</f>
        <v>820</v>
      </c>
      <c r="R95" s="6">
        <f>IFERROR(Q95/K95%,"")</f>
        <v>5.7240584970856165</v>
      </c>
    </row>
    <row r="96" spans="2:18" x14ac:dyDescent="0.3">
      <c r="B96" s="1">
        <v>46263</v>
      </c>
      <c r="C96" s="11">
        <f>WEEKNUM(Table1[[#This Row],[Date]])</f>
        <v>35</v>
      </c>
      <c r="D96" s="1" t="str">
        <f>TEXT(Table1[[#This Row],[Date]],"mmm-yy")</f>
        <v>Aug-26</v>
      </c>
      <c r="E96" t="s">
        <v>117</v>
      </c>
      <c r="F96" t="s">
        <v>128</v>
      </c>
      <c r="G96">
        <v>30656</v>
      </c>
      <c r="H96">
        <v>694.5</v>
      </c>
      <c r="I96">
        <v>954</v>
      </c>
      <c r="K96">
        <f>SUM(Table1[[#This Row],[Wholes (kg''s)]:[Rejection (kg''s)]])</f>
        <v>32304.5</v>
      </c>
      <c r="L96">
        <v>28647</v>
      </c>
      <c r="M96">
        <v>649.5</v>
      </c>
      <c r="N96">
        <v>888.5</v>
      </c>
      <c r="P96">
        <f>SUM(Table1[[#This Row],[BK_Wholes]:[BK_Reject]])</f>
        <v>30185</v>
      </c>
      <c r="Q96">
        <f>Table1[[#This Row],[Before Borma (kg''s)]]-Table1[[#This Row],[After Borma (kg''s)]]</f>
        <v>2119.5</v>
      </c>
      <c r="R96" s="6">
        <f>IFERROR(Q96/K96%,"")</f>
        <v>6.5610054326796572</v>
      </c>
    </row>
    <row r="97" spans="2:18" x14ac:dyDescent="0.3">
      <c r="B97" s="1">
        <v>46265</v>
      </c>
      <c r="C97" s="11">
        <f>WEEKNUM(Table1[[#This Row],[Date]])</f>
        <v>36</v>
      </c>
      <c r="D97" s="1" t="str">
        <f>TEXT(Table1[[#This Row],[Date]],"mmm-yy")</f>
        <v>Aug-26</v>
      </c>
      <c r="E97" t="s">
        <v>117</v>
      </c>
      <c r="F97" t="s">
        <v>129</v>
      </c>
      <c r="G97">
        <v>41936</v>
      </c>
      <c r="H97">
        <v>755</v>
      </c>
      <c r="I97">
        <v>923.5</v>
      </c>
      <c r="K97">
        <f>SUM(Table1[[#This Row],[Wholes (kg''s)]:[Rejection (kg''s)]])</f>
        <v>43614.5</v>
      </c>
      <c r="L97">
        <v>39289.5</v>
      </c>
      <c r="M97">
        <v>708.5</v>
      </c>
      <c r="N97">
        <v>863.5</v>
      </c>
      <c r="P97">
        <f>SUM(Table1[[#This Row],[BK_Wholes]:[BK_Reject]])</f>
        <v>40861.5</v>
      </c>
      <c r="Q97">
        <f>Table1[[#This Row],[Before Borma (kg''s)]]-Table1[[#This Row],[After Borma (kg''s)]]</f>
        <v>2753</v>
      </c>
      <c r="R97" s="6">
        <f>IFERROR(Q97/K97%,"")</f>
        <v>6.3121209689438151</v>
      </c>
    </row>
    <row r="98" spans="2:18" x14ac:dyDescent="0.3">
      <c r="B98" s="1">
        <v>46266</v>
      </c>
      <c r="C98" s="11">
        <f>WEEKNUM(Table1[[#This Row],[Date]])</f>
        <v>36</v>
      </c>
      <c r="D98" s="1" t="str">
        <f>TEXT(Table1[[#This Row],[Date]],"mmm-yy")</f>
        <v>Sep-26</v>
      </c>
      <c r="E98" t="s">
        <v>117</v>
      </c>
      <c r="F98" t="s">
        <v>130</v>
      </c>
      <c r="G98">
        <v>38722.1</v>
      </c>
      <c r="H98">
        <v>828</v>
      </c>
      <c r="I98">
        <v>843.5</v>
      </c>
      <c r="K98">
        <f>SUM(Table1[[#This Row],[Wholes (kg''s)]:[Rejection (kg''s)]])</f>
        <v>40393.599999999999</v>
      </c>
      <c r="L98">
        <v>36292.300000000003</v>
      </c>
      <c r="M98">
        <v>782</v>
      </c>
      <c r="N98">
        <v>802.5</v>
      </c>
      <c r="P98">
        <f>SUM(Table1[[#This Row],[BK_Wholes]:[BK_Reject]])</f>
        <v>37876.800000000003</v>
      </c>
      <c r="Q98">
        <f>Table1[[#This Row],[Before Borma (kg''s)]]-Table1[[#This Row],[After Borma (kg''s)]]</f>
        <v>2516.7999999999956</v>
      </c>
      <c r="R98" s="6">
        <f>IFERROR(Q98/K98%,"")</f>
        <v>6.2306900102986509</v>
      </c>
    </row>
    <row r="99" spans="2:18" x14ac:dyDescent="0.3">
      <c r="B99" s="1">
        <v>46267</v>
      </c>
      <c r="C99" s="11">
        <f>WEEKNUM(Table1[[#This Row],[Date]])</f>
        <v>36</v>
      </c>
      <c r="D99" s="1" t="str">
        <f>TEXT(Table1[[#This Row],[Date]],"mmm-yy")</f>
        <v>Sep-26</v>
      </c>
      <c r="E99" t="s">
        <v>117</v>
      </c>
      <c r="F99" t="s">
        <v>131</v>
      </c>
      <c r="G99">
        <v>39981.5</v>
      </c>
      <c r="H99">
        <v>809</v>
      </c>
      <c r="I99">
        <v>700.5</v>
      </c>
      <c r="K99">
        <f>SUM(Table1[[#This Row],[Wholes (kg''s)]:[Rejection (kg''s)]])</f>
        <v>41491</v>
      </c>
      <c r="L99">
        <v>37498.699999999997</v>
      </c>
      <c r="M99">
        <v>758</v>
      </c>
      <c r="N99">
        <v>658.5</v>
      </c>
      <c r="P99">
        <f>SUM(Table1[[#This Row],[BK_Wholes]:[BK_Reject]])</f>
        <v>38915.199999999997</v>
      </c>
      <c r="Q99">
        <f>Table1[[#This Row],[Before Borma (kg''s)]]-Table1[[#This Row],[After Borma (kg''s)]]</f>
        <v>2575.8000000000029</v>
      </c>
      <c r="R99" s="6">
        <f>IFERROR(Q99/K99%,"")</f>
        <v>6.2080933214432115</v>
      </c>
    </row>
    <row r="100" spans="2:18" x14ac:dyDescent="0.3">
      <c r="B100" s="1">
        <v>46268</v>
      </c>
      <c r="C100" s="11">
        <f>WEEKNUM(Table1[[#This Row],[Date]])</f>
        <v>36</v>
      </c>
      <c r="D100" s="1" t="str">
        <f>TEXT(Table1[[#This Row],[Date]],"mmm-yy")</f>
        <v>Sep-26</v>
      </c>
      <c r="E100" t="s">
        <v>117</v>
      </c>
      <c r="F100" t="s">
        <v>132</v>
      </c>
      <c r="G100">
        <v>36219.5</v>
      </c>
      <c r="H100">
        <v>467</v>
      </c>
      <c r="I100">
        <v>757.5</v>
      </c>
      <c r="K100">
        <f>SUM(Table1[[#This Row],[Wholes (kg''s)]:[Rejection (kg''s)]])</f>
        <v>37444</v>
      </c>
      <c r="L100">
        <v>33970.5</v>
      </c>
      <c r="M100">
        <v>439.5</v>
      </c>
      <c r="N100">
        <v>710.5</v>
      </c>
      <c r="P100">
        <f>SUM(Table1[[#This Row],[BK_Wholes]:[BK_Reject]])</f>
        <v>35120.5</v>
      </c>
      <c r="Q100">
        <f>Table1[[#This Row],[Before Borma (kg''s)]]-Table1[[#This Row],[After Borma (kg''s)]]</f>
        <v>2323.5</v>
      </c>
      <c r="R100" s="6">
        <f>IFERROR(Q100/K100%,"")</f>
        <v>6.2052665313534883</v>
      </c>
    </row>
    <row r="101" spans="2:18" x14ac:dyDescent="0.3">
      <c r="B101" s="1">
        <v>46269</v>
      </c>
      <c r="C101" s="11">
        <f>WEEKNUM(Table1[[#This Row],[Date]])</f>
        <v>36</v>
      </c>
      <c r="D101" s="1" t="str">
        <f>TEXT(Table1[[#This Row],[Date]],"mmm-yy")</f>
        <v>Sep-26</v>
      </c>
      <c r="E101" t="s">
        <v>117</v>
      </c>
      <c r="F101" t="s">
        <v>133</v>
      </c>
      <c r="G101">
        <v>40217.5</v>
      </c>
      <c r="H101">
        <v>748.5</v>
      </c>
      <c r="I101">
        <v>1112</v>
      </c>
      <c r="K101">
        <f>SUM(Table1[[#This Row],[Wholes (kg''s)]:[Rejection (kg''s)]])</f>
        <v>42078</v>
      </c>
      <c r="L101">
        <v>37774.400000000001</v>
      </c>
      <c r="M101">
        <v>705</v>
      </c>
      <c r="N101">
        <v>1049</v>
      </c>
      <c r="P101">
        <f>SUM(Table1[[#This Row],[BK_Wholes]:[BK_Reject]])</f>
        <v>39528.400000000001</v>
      </c>
      <c r="Q101">
        <f>Table1[[#This Row],[Before Borma (kg''s)]]-Table1[[#This Row],[After Borma (kg''s)]]</f>
        <v>2549.5999999999985</v>
      </c>
      <c r="R101" s="6">
        <f>IFERROR(Q101/K101%,"")</f>
        <v>6.0592233471172552</v>
      </c>
    </row>
    <row r="102" spans="2:18" x14ac:dyDescent="0.3">
      <c r="B102" s="1">
        <v>46270</v>
      </c>
      <c r="C102" s="11">
        <f>WEEKNUM(Table1[[#This Row],[Date]])</f>
        <v>36</v>
      </c>
      <c r="D102" s="1" t="str">
        <f>TEXT(Table1[[#This Row],[Date]],"mmm-yy")</f>
        <v>Sep-26</v>
      </c>
      <c r="E102" t="s">
        <v>117</v>
      </c>
      <c r="F102" t="s">
        <v>134</v>
      </c>
      <c r="G102">
        <v>39273</v>
      </c>
      <c r="H102">
        <v>536.5</v>
      </c>
      <c r="I102">
        <v>1156.5</v>
      </c>
      <c r="K102">
        <f>SUM(Table1[[#This Row],[Wholes (kg''s)]:[Rejection (kg''s)]])</f>
        <v>40966</v>
      </c>
      <c r="L102">
        <v>36888.5</v>
      </c>
      <c r="M102">
        <v>505.5</v>
      </c>
      <c r="N102">
        <v>1084</v>
      </c>
      <c r="P102">
        <f>SUM(Table1[[#This Row],[BK_Wholes]:[BK_Reject]])</f>
        <v>38478</v>
      </c>
      <c r="Q102">
        <f>Table1[[#This Row],[Before Borma (kg''s)]]-Table1[[#This Row],[After Borma (kg''s)]]</f>
        <v>2488</v>
      </c>
      <c r="R102" s="6">
        <f>IFERROR(Q102/K102%,"")</f>
        <v>6.0733291021822975</v>
      </c>
    </row>
    <row r="103" spans="2:18" x14ac:dyDescent="0.3">
      <c r="B103" s="1">
        <v>46272</v>
      </c>
      <c r="C103" s="11">
        <f>WEEKNUM(Table1[[#This Row],[Date]])</f>
        <v>37</v>
      </c>
      <c r="D103" s="1" t="str">
        <f>TEXT(Table1[[#This Row],[Date]],"mmm-yy")</f>
        <v>Sep-26</v>
      </c>
      <c r="E103" t="s">
        <v>117</v>
      </c>
      <c r="F103" t="s">
        <v>135</v>
      </c>
      <c r="G103">
        <v>39669</v>
      </c>
      <c r="H103">
        <v>521</v>
      </c>
      <c r="I103">
        <v>875</v>
      </c>
      <c r="K103">
        <f>SUM(Table1[[#This Row],[Wholes (kg''s)]:[Rejection (kg''s)]])</f>
        <v>41065</v>
      </c>
      <c r="L103">
        <v>37115.5</v>
      </c>
      <c r="M103">
        <v>491.5</v>
      </c>
      <c r="N103">
        <v>820</v>
      </c>
      <c r="P103">
        <f>SUM(Table1[[#This Row],[BK_Wholes]:[BK_Reject]])</f>
        <v>38427</v>
      </c>
      <c r="Q103">
        <f>Table1[[#This Row],[Before Borma (kg''s)]]-Table1[[#This Row],[After Borma (kg''s)]]</f>
        <v>2638</v>
      </c>
      <c r="R103" s="6">
        <f>IFERROR(Q103/K103%,"")</f>
        <v>6.42396201144527</v>
      </c>
    </row>
    <row r="104" spans="2:18" x14ac:dyDescent="0.3">
      <c r="B104" s="1">
        <v>46273</v>
      </c>
      <c r="C104" s="11">
        <f>WEEKNUM(Table1[[#This Row],[Date]])</f>
        <v>37</v>
      </c>
      <c r="D104" s="1" t="str">
        <f>TEXT(Table1[[#This Row],[Date]],"mmm-yy")</f>
        <v>Sep-26</v>
      </c>
      <c r="E104" t="s">
        <v>117</v>
      </c>
      <c r="F104" t="s">
        <v>136</v>
      </c>
      <c r="G104">
        <v>38711.5</v>
      </c>
      <c r="H104">
        <v>345.5</v>
      </c>
      <c r="I104">
        <v>1137.5</v>
      </c>
      <c r="K104">
        <f>SUM(Table1[[#This Row],[Wholes (kg''s)]:[Rejection (kg''s)]])</f>
        <v>40194.5</v>
      </c>
      <c r="L104">
        <v>36426.5</v>
      </c>
      <c r="M104">
        <v>327</v>
      </c>
      <c r="N104">
        <v>1074.5</v>
      </c>
      <c r="P104">
        <f>SUM(Table1[[#This Row],[BK_Wholes]:[BK_Reject]])</f>
        <v>37828</v>
      </c>
      <c r="Q104">
        <f>Table1[[#This Row],[Before Borma (kg''s)]]-Table1[[#This Row],[After Borma (kg''s)]]</f>
        <v>2366.5</v>
      </c>
      <c r="R104" s="6">
        <f>IFERROR(Q104/K104%,"")</f>
        <v>5.8876214407443808</v>
      </c>
    </row>
    <row r="105" spans="2:18" x14ac:dyDescent="0.3">
      <c r="B105" s="1">
        <v>46274</v>
      </c>
      <c r="C105" s="11">
        <f>WEEKNUM(Table1[[#This Row],[Date]])</f>
        <v>37</v>
      </c>
      <c r="D105" s="1" t="str">
        <f>TEXT(Table1[[#This Row],[Date]],"mmm-yy")</f>
        <v>Sep-26</v>
      </c>
      <c r="E105" t="s">
        <v>117</v>
      </c>
      <c r="F105" t="s">
        <v>137</v>
      </c>
      <c r="G105">
        <v>38276</v>
      </c>
      <c r="H105">
        <v>463.5</v>
      </c>
      <c r="I105">
        <v>1578</v>
      </c>
      <c r="K105">
        <f>SUM(Table1[[#This Row],[Wholes (kg''s)]:[Rejection (kg''s)]])</f>
        <v>40317.5</v>
      </c>
      <c r="L105">
        <v>36010</v>
      </c>
      <c r="M105">
        <v>438.5</v>
      </c>
      <c r="N105">
        <v>1484.5</v>
      </c>
      <c r="P105">
        <f>SUM(Table1[[#This Row],[BK_Wholes]:[BK_Reject]])</f>
        <v>37933</v>
      </c>
      <c r="Q105">
        <f>Table1[[#This Row],[Before Borma (kg''s)]]-Table1[[#This Row],[After Borma (kg''s)]]</f>
        <v>2384.5</v>
      </c>
      <c r="R105" s="6">
        <f>IFERROR(Q105/K105%,"")</f>
        <v>5.9143052024555089</v>
      </c>
    </row>
    <row r="106" spans="2:18" x14ac:dyDescent="0.3">
      <c r="B106" s="1">
        <v>46275</v>
      </c>
      <c r="C106" s="11">
        <f>WEEKNUM(Table1[[#This Row],[Date]])</f>
        <v>37</v>
      </c>
      <c r="D106" s="1" t="str">
        <f>TEXT(Table1[[#This Row],[Date]],"mmm-yy")</f>
        <v>Sep-26</v>
      </c>
      <c r="E106" t="s">
        <v>117</v>
      </c>
      <c r="F106" t="s">
        <v>138</v>
      </c>
      <c r="G106">
        <v>39979.5</v>
      </c>
      <c r="H106">
        <v>717.5</v>
      </c>
      <c r="I106">
        <v>1445.5</v>
      </c>
      <c r="K106">
        <f>SUM(Table1[[#This Row],[Wholes (kg''s)]:[Rejection (kg''s)]])</f>
        <v>42142.5</v>
      </c>
      <c r="L106">
        <v>37566.1</v>
      </c>
      <c r="M106">
        <v>677</v>
      </c>
      <c r="N106">
        <v>1357.5</v>
      </c>
      <c r="P106">
        <f>SUM(Table1[[#This Row],[BK_Wholes]:[BK_Reject]])</f>
        <v>39600.6</v>
      </c>
      <c r="Q106">
        <f>Table1[[#This Row],[Before Borma (kg''s)]]-Table1[[#This Row],[After Borma (kg''s)]]</f>
        <v>2541.9000000000015</v>
      </c>
      <c r="R106" s="6">
        <f>IFERROR(Q106/K106%,"")</f>
        <v>6.0316782345613129</v>
      </c>
    </row>
    <row r="107" spans="2:18" x14ac:dyDescent="0.3">
      <c r="B107" s="1">
        <v>46276</v>
      </c>
      <c r="C107" s="11">
        <f>WEEKNUM(Table1[[#This Row],[Date]])</f>
        <v>37</v>
      </c>
      <c r="D107" s="1" t="str">
        <f>TEXT(Table1[[#This Row],[Date]],"mmm-yy")</f>
        <v>Sep-26</v>
      </c>
      <c r="E107" t="s">
        <v>117</v>
      </c>
      <c r="F107" t="s">
        <v>139</v>
      </c>
      <c r="G107">
        <v>40425.5</v>
      </c>
      <c r="H107">
        <v>969.5</v>
      </c>
      <c r="I107">
        <v>920.5</v>
      </c>
      <c r="K107">
        <f>SUM(Table1[[#This Row],[Wholes (kg''s)]:[Rejection (kg''s)]])</f>
        <v>42315.5</v>
      </c>
      <c r="L107">
        <v>38006</v>
      </c>
      <c r="M107">
        <v>911</v>
      </c>
      <c r="N107">
        <v>865.5</v>
      </c>
      <c r="P107">
        <f>SUM(Table1[[#This Row],[BK_Wholes]:[BK_Reject]])</f>
        <v>39782.5</v>
      </c>
      <c r="Q107">
        <f>Table1[[#This Row],[Before Borma (kg''s)]]-Table1[[#This Row],[After Borma (kg''s)]]</f>
        <v>2533</v>
      </c>
      <c r="R107" s="6">
        <f>IFERROR(Q107/K107%,"")</f>
        <v>5.985986222542568</v>
      </c>
    </row>
    <row r="108" spans="2:18" x14ac:dyDescent="0.3">
      <c r="B108" s="1">
        <v>46277</v>
      </c>
      <c r="C108" s="11">
        <f>WEEKNUM(Table1[[#This Row],[Date]])</f>
        <v>37</v>
      </c>
      <c r="D108" s="1" t="str">
        <f>TEXT(Table1[[#This Row],[Date]],"mmm-yy")</f>
        <v>Sep-26</v>
      </c>
      <c r="E108" t="s">
        <v>117</v>
      </c>
      <c r="F108" t="s">
        <v>140</v>
      </c>
      <c r="G108">
        <v>40619.5</v>
      </c>
      <c r="H108">
        <v>887</v>
      </c>
      <c r="I108">
        <v>628.5</v>
      </c>
      <c r="K108">
        <f>SUM(Table1[[#This Row],[Wholes (kg''s)]:[Rejection (kg''s)]])</f>
        <v>42135</v>
      </c>
      <c r="L108">
        <v>38084.5</v>
      </c>
      <c r="M108">
        <v>835.5</v>
      </c>
      <c r="N108">
        <v>591</v>
      </c>
      <c r="P108">
        <f>SUM(Table1[[#This Row],[BK_Wholes]:[BK_Reject]])</f>
        <v>39511</v>
      </c>
      <c r="Q108">
        <f>Table1[[#This Row],[Before Borma (kg''s)]]-Table1[[#This Row],[After Borma (kg''s)]]</f>
        <v>2624</v>
      </c>
      <c r="R108" s="6">
        <f>IFERROR(Q108/K108%,"")</f>
        <v>6.2276017562596415</v>
      </c>
    </row>
    <row r="109" spans="2:18" x14ac:dyDescent="0.3">
      <c r="B109" s="1">
        <v>46279</v>
      </c>
      <c r="C109" s="11">
        <f>WEEKNUM(Table1[[#This Row],[Date]])</f>
        <v>38</v>
      </c>
      <c r="D109" s="1" t="str">
        <f>TEXT(Table1[[#This Row],[Date]],"mmm-yy")</f>
        <v>Sep-26</v>
      </c>
      <c r="E109" t="s">
        <v>117</v>
      </c>
      <c r="F109" t="s">
        <v>141</v>
      </c>
      <c r="G109">
        <v>40090.5</v>
      </c>
      <c r="H109">
        <v>747</v>
      </c>
      <c r="I109">
        <v>904</v>
      </c>
      <c r="K109">
        <f>SUM(Table1[[#This Row],[Wholes (kg''s)]:[Rejection (kg''s)]])</f>
        <v>41741.5</v>
      </c>
      <c r="L109">
        <v>38030</v>
      </c>
      <c r="M109">
        <v>702.5</v>
      </c>
      <c r="N109">
        <v>847</v>
      </c>
      <c r="P109">
        <f>SUM(Table1[[#This Row],[BK_Wholes]:[BK_Reject]])</f>
        <v>39579.5</v>
      </c>
      <c r="Q109">
        <f>Table1[[#This Row],[Before Borma (kg''s)]]-Table1[[#This Row],[After Borma (kg''s)]]</f>
        <v>2162</v>
      </c>
      <c r="R109" s="6">
        <f>IFERROR(Q109/K109%,"")</f>
        <v>5.1794976222704019</v>
      </c>
    </row>
    <row r="110" spans="2:18" x14ac:dyDescent="0.3">
      <c r="B110" s="1">
        <v>46280</v>
      </c>
      <c r="C110" s="11">
        <f>WEEKNUM(Table1[[#This Row],[Date]])</f>
        <v>38</v>
      </c>
      <c r="D110" s="1" t="str">
        <f>TEXT(Table1[[#This Row],[Date]],"mmm-yy")</f>
        <v>Sep-26</v>
      </c>
      <c r="E110" t="s">
        <v>117</v>
      </c>
      <c r="F110" t="s">
        <v>142</v>
      </c>
      <c r="G110">
        <v>39596</v>
      </c>
      <c r="H110">
        <v>1514.5</v>
      </c>
      <c r="I110">
        <v>560.5</v>
      </c>
      <c r="K110">
        <f>SUM(Table1[[#This Row],[Wholes (kg''s)]:[Rejection (kg''s)]])</f>
        <v>41671</v>
      </c>
      <c r="L110">
        <v>37471</v>
      </c>
      <c r="M110">
        <v>1425</v>
      </c>
      <c r="N110">
        <v>528</v>
      </c>
      <c r="P110">
        <f>SUM(Table1[[#This Row],[BK_Wholes]:[BK_Reject]])</f>
        <v>39424</v>
      </c>
      <c r="Q110">
        <f>Table1[[#This Row],[Before Borma (kg''s)]]-Table1[[#This Row],[After Borma (kg''s)]]</f>
        <v>2247</v>
      </c>
      <c r="R110" s="6">
        <f>IFERROR(Q110/K110%,"")</f>
        <v>5.3922392071224596</v>
      </c>
    </row>
    <row r="111" spans="2:18" x14ac:dyDescent="0.3">
      <c r="B111" s="1"/>
      <c r="C111" s="11">
        <f>WEEKNUM(Table1[[#This Row],[Date]])</f>
        <v>0</v>
      </c>
      <c r="D111" s="1" t="str">
        <f>TEXT(Table1[[#This Row],[Date]],"mmm-yy")</f>
        <v>Jan-00</v>
      </c>
      <c r="E111" s="1"/>
      <c r="K111">
        <f>SUM(Table1[[#This Row],[Wholes (kg''s)]:[Rejection (kg''s)]])</f>
        <v>0</v>
      </c>
      <c r="P111">
        <f>SUM(Table1[[#This Row],[BK_Wholes]:[BK_Reject]])</f>
        <v>0</v>
      </c>
      <c r="Q111">
        <f>Table1[[#This Row],[Before Borma (kg''s)]]-Table1[[#This Row],[After Borma (kg''s)]]</f>
        <v>0</v>
      </c>
      <c r="R111" s="6" t="str">
        <f>IFERROR(Q111/K111%,"")</f>
        <v/>
      </c>
    </row>
    <row r="112" spans="2:18" x14ac:dyDescent="0.3">
      <c r="B112" s="1"/>
      <c r="C112" s="11">
        <f>WEEKNUM(Table1[[#This Row],[Date]])</f>
        <v>0</v>
      </c>
      <c r="D112" s="1" t="str">
        <f>TEXT(Table1[[#This Row],[Date]],"mmm-yy")</f>
        <v>Jan-00</v>
      </c>
      <c r="E112" s="1"/>
      <c r="K112">
        <f>SUM(Table1[[#This Row],[Wholes (kg''s)]:[Rejection (kg''s)]])</f>
        <v>0</v>
      </c>
      <c r="P112">
        <f>SUM(Table1[[#This Row],[BK_Wholes]:[BK_Reject]])</f>
        <v>0</v>
      </c>
      <c r="Q112">
        <f>Table1[[#This Row],[Before Borma (kg''s)]]-Table1[[#This Row],[After Borma (kg''s)]]</f>
        <v>0</v>
      </c>
      <c r="R112" s="6" t="str">
        <f>IFERROR(Q112/K112%,"")</f>
        <v/>
      </c>
    </row>
    <row r="113" spans="2:18" x14ac:dyDescent="0.3">
      <c r="B113" s="1"/>
      <c r="C113" s="11">
        <f>WEEKNUM(Table1[[#This Row],[Date]])</f>
        <v>0</v>
      </c>
      <c r="D113" s="1" t="str">
        <f>TEXT(Table1[[#This Row],[Date]],"mmm-yy")</f>
        <v>Jan-00</v>
      </c>
      <c r="E113" s="1"/>
      <c r="K113">
        <f>SUM(Table1[[#This Row],[Wholes (kg''s)]:[Rejection (kg''s)]])</f>
        <v>0</v>
      </c>
      <c r="P113">
        <f>SUM(Table1[[#This Row],[BK_Wholes]:[BK_Reject]])</f>
        <v>0</v>
      </c>
      <c r="Q113">
        <f>Table1[[#This Row],[Before Borma (kg''s)]]-Table1[[#This Row],[After Borma (kg''s)]]</f>
        <v>0</v>
      </c>
      <c r="R113" s="6" t="str">
        <f>IFERROR(Q113/K113%,"")</f>
        <v/>
      </c>
    </row>
    <row r="114" spans="2:18" x14ac:dyDescent="0.3">
      <c r="B114" s="1"/>
      <c r="C114" s="11">
        <f>WEEKNUM(Table1[[#This Row],[Date]])</f>
        <v>0</v>
      </c>
      <c r="D114" s="1" t="str">
        <f>TEXT(Table1[[#This Row],[Date]],"mmm-yy")</f>
        <v>Jan-00</v>
      </c>
      <c r="E114" s="1"/>
      <c r="K114">
        <f>SUM(Table1[[#This Row],[Wholes (kg''s)]:[Rejection (kg''s)]])</f>
        <v>0</v>
      </c>
      <c r="P114">
        <f>SUM(Table1[[#This Row],[BK_Wholes]:[BK_Reject]])</f>
        <v>0</v>
      </c>
      <c r="Q114">
        <f>Table1[[#This Row],[Before Borma (kg''s)]]-Table1[[#This Row],[After Borma (kg''s)]]</f>
        <v>0</v>
      </c>
      <c r="R114" s="6" t="str">
        <f>IFERROR(Q114/K114%,"")</f>
        <v/>
      </c>
    </row>
    <row r="115" spans="2:18" x14ac:dyDescent="0.3">
      <c r="B115" s="1"/>
      <c r="C115" s="11">
        <f>WEEKNUM(Table1[[#This Row],[Date]])</f>
        <v>0</v>
      </c>
      <c r="D115" s="1" t="str">
        <f>TEXT(Table1[[#This Row],[Date]],"mmm-yy")</f>
        <v>Jan-00</v>
      </c>
      <c r="E115" s="1"/>
      <c r="K115">
        <f>SUM(Table1[[#This Row],[Wholes (kg''s)]:[Rejection (kg''s)]])</f>
        <v>0</v>
      </c>
      <c r="P115">
        <f>SUM(Table1[[#This Row],[BK_Wholes]:[BK_Reject]])</f>
        <v>0</v>
      </c>
      <c r="Q115">
        <f>Table1[[#This Row],[Before Borma (kg''s)]]-Table1[[#This Row],[After Borma (kg''s)]]</f>
        <v>0</v>
      </c>
      <c r="R115" s="6" t="str">
        <f>IFERROR(Q115/K115%,"")</f>
        <v/>
      </c>
    </row>
    <row r="116" spans="2:18" x14ac:dyDescent="0.3">
      <c r="B116" s="1"/>
      <c r="C116" s="11">
        <f>WEEKNUM(Table1[[#This Row],[Date]])</f>
        <v>0</v>
      </c>
      <c r="D116" s="1" t="str">
        <f>TEXT(Table1[[#This Row],[Date]],"mmm-yy")</f>
        <v>Jan-00</v>
      </c>
      <c r="E116" s="1"/>
      <c r="K116">
        <f>SUM(Table1[[#This Row],[Wholes (kg''s)]:[Rejection (kg''s)]])</f>
        <v>0</v>
      </c>
      <c r="P116">
        <f>SUM(Table1[[#This Row],[BK_Wholes]:[BK_Reject]])</f>
        <v>0</v>
      </c>
      <c r="Q116">
        <f>Table1[[#This Row],[Before Borma (kg''s)]]-Table1[[#This Row],[After Borma (kg''s)]]</f>
        <v>0</v>
      </c>
      <c r="R116" s="6" t="str">
        <f>IFERROR(Q116/K116%,"")</f>
        <v/>
      </c>
    </row>
    <row r="117" spans="2:18" x14ac:dyDescent="0.3">
      <c r="B117" s="1"/>
      <c r="C117" s="11">
        <f>WEEKNUM(Table1[[#This Row],[Date]])</f>
        <v>0</v>
      </c>
      <c r="D117" s="1" t="str">
        <f>TEXT(Table1[[#This Row],[Date]],"mmm-yy")</f>
        <v>Jan-00</v>
      </c>
      <c r="E117" s="1"/>
      <c r="K117">
        <f>SUM(Table1[[#This Row],[Wholes (kg''s)]:[Rejection (kg''s)]])</f>
        <v>0</v>
      </c>
      <c r="P117">
        <f>SUM(Table1[[#This Row],[BK_Wholes]:[BK_Reject]])</f>
        <v>0</v>
      </c>
      <c r="Q117">
        <f>Table1[[#This Row],[Before Borma (kg''s)]]-Table1[[#This Row],[After Borma (kg''s)]]</f>
        <v>0</v>
      </c>
      <c r="R117" s="6" t="str">
        <f>IFERROR(Q117/K117%,"")</f>
        <v/>
      </c>
    </row>
    <row r="118" spans="2:18" x14ac:dyDescent="0.3">
      <c r="B118" s="1"/>
      <c r="C118" s="11">
        <f>WEEKNUM(Table1[[#This Row],[Date]])</f>
        <v>0</v>
      </c>
      <c r="D118" s="1" t="str">
        <f>TEXT(Table1[[#This Row],[Date]],"mmm-yy")</f>
        <v>Jan-00</v>
      </c>
      <c r="E118" s="1"/>
      <c r="K118">
        <f>SUM(Table1[[#This Row],[Wholes (kg''s)]:[Rejection (kg''s)]])</f>
        <v>0</v>
      </c>
      <c r="P118">
        <f>SUM(Table1[[#This Row],[BK_Wholes]:[BK_Reject]])</f>
        <v>0</v>
      </c>
      <c r="Q118">
        <f>Table1[[#This Row],[Before Borma (kg''s)]]-Table1[[#This Row],[After Borma (kg''s)]]</f>
        <v>0</v>
      </c>
      <c r="R118" s="6" t="str">
        <f>IFERROR(Q118/K118%,"")</f>
        <v/>
      </c>
    </row>
    <row r="119" spans="2:18" x14ac:dyDescent="0.3">
      <c r="B119" s="1"/>
      <c r="C119" s="11">
        <f>WEEKNUM(Table1[[#This Row],[Date]])</f>
        <v>0</v>
      </c>
      <c r="D119" s="1" t="str">
        <f>TEXT(Table1[[#This Row],[Date]],"mmm-yy")</f>
        <v>Jan-00</v>
      </c>
      <c r="E119" s="1"/>
      <c r="K119">
        <f>SUM(Table1[[#This Row],[Wholes (kg''s)]:[Rejection (kg''s)]])</f>
        <v>0</v>
      </c>
      <c r="P119">
        <f>SUM(Table1[[#This Row],[BK_Wholes]:[BK_Reject]])</f>
        <v>0</v>
      </c>
      <c r="Q119">
        <f>Table1[[#This Row],[Before Borma (kg''s)]]-Table1[[#This Row],[After Borma (kg''s)]]</f>
        <v>0</v>
      </c>
      <c r="R119" s="6" t="str">
        <f>IFERROR(Q119/K119%,"")</f>
        <v/>
      </c>
    </row>
    <row r="120" spans="2:18" x14ac:dyDescent="0.3">
      <c r="B120" s="1"/>
      <c r="C120" s="11">
        <f>WEEKNUM(Table1[[#This Row],[Date]])</f>
        <v>0</v>
      </c>
      <c r="D120" s="1" t="str">
        <f>TEXT(Table1[[#This Row],[Date]],"mmm-yy")</f>
        <v>Jan-00</v>
      </c>
      <c r="E120" s="1"/>
      <c r="K120">
        <f>SUM(Table1[[#This Row],[Wholes (kg''s)]:[Rejection (kg''s)]])</f>
        <v>0</v>
      </c>
      <c r="P120">
        <f>SUM(Table1[[#This Row],[BK_Wholes]:[BK_Reject]])</f>
        <v>0</v>
      </c>
      <c r="Q120">
        <f>Table1[[#This Row],[Before Borma (kg''s)]]-Table1[[#This Row],[After Borma (kg''s)]]</f>
        <v>0</v>
      </c>
      <c r="R120" s="6" t="str">
        <f>IFERROR(Q120/K120%,"")</f>
        <v/>
      </c>
    </row>
    <row r="121" spans="2:18" x14ac:dyDescent="0.3">
      <c r="B121" s="1"/>
      <c r="C121" s="11">
        <f>WEEKNUM(Table1[[#This Row],[Date]])</f>
        <v>0</v>
      </c>
      <c r="D121" s="1" t="str">
        <f>TEXT(Table1[[#This Row],[Date]],"mmm-yy")</f>
        <v>Jan-00</v>
      </c>
      <c r="E121" s="1"/>
      <c r="K121">
        <f>SUM(Table1[[#This Row],[Wholes (kg''s)]:[Rejection (kg''s)]])</f>
        <v>0</v>
      </c>
      <c r="P121">
        <f>SUM(Table1[[#This Row],[BK_Wholes]:[BK_Reject]])</f>
        <v>0</v>
      </c>
      <c r="Q121">
        <f>Table1[[#This Row],[Before Borma (kg''s)]]-Table1[[#This Row],[After Borma (kg''s)]]</f>
        <v>0</v>
      </c>
      <c r="R121" s="6" t="str">
        <f>IFERROR(Q121/K121%,"")</f>
        <v/>
      </c>
    </row>
    <row r="122" spans="2:18" x14ac:dyDescent="0.3">
      <c r="B122" s="1"/>
      <c r="C122" s="11">
        <f>WEEKNUM(Table1[[#This Row],[Date]])</f>
        <v>0</v>
      </c>
      <c r="D122" s="1" t="str">
        <f>TEXT(Table1[[#This Row],[Date]],"mmm-yy")</f>
        <v>Jan-00</v>
      </c>
      <c r="E122" s="1"/>
      <c r="K122">
        <f>SUM(Table1[[#This Row],[Wholes (kg''s)]:[Rejection (kg''s)]])</f>
        <v>0</v>
      </c>
      <c r="P122">
        <f>SUM(Table1[[#This Row],[BK_Wholes]:[BK_Reject]])</f>
        <v>0</v>
      </c>
      <c r="Q122">
        <f>Table1[[#This Row],[Before Borma (kg''s)]]-Table1[[#This Row],[After Borma (kg''s)]]</f>
        <v>0</v>
      </c>
      <c r="R122" s="6" t="str">
        <f>IFERROR(Q122/K122%,"")</f>
        <v/>
      </c>
    </row>
    <row r="123" spans="2:18" x14ac:dyDescent="0.3">
      <c r="B123" s="1"/>
      <c r="C123" s="11">
        <f>WEEKNUM(Table1[[#This Row],[Date]])</f>
        <v>0</v>
      </c>
      <c r="D123" s="1" t="str">
        <f>TEXT(Table1[[#This Row],[Date]],"mmm-yy")</f>
        <v>Jan-00</v>
      </c>
      <c r="E123" s="1"/>
      <c r="K123">
        <f>SUM(Table1[[#This Row],[Wholes (kg''s)]:[Rejection (kg''s)]])</f>
        <v>0</v>
      </c>
      <c r="P123">
        <f>SUM(Table1[[#This Row],[BK_Wholes]:[BK_Reject]])</f>
        <v>0</v>
      </c>
      <c r="Q123">
        <f>Table1[[#This Row],[Before Borma (kg''s)]]-Table1[[#This Row],[After Borma (kg''s)]]</f>
        <v>0</v>
      </c>
      <c r="R123" s="6" t="str">
        <f>IFERROR(Q123/K123%,"")</f>
        <v/>
      </c>
    </row>
    <row r="124" spans="2:18" x14ac:dyDescent="0.3">
      <c r="B124" s="1"/>
      <c r="C124" s="11">
        <f>WEEKNUM(Table1[[#This Row],[Date]])</f>
        <v>0</v>
      </c>
      <c r="D124" s="1" t="str">
        <f>TEXT(Table1[[#This Row],[Date]],"mmm-yy")</f>
        <v>Jan-00</v>
      </c>
      <c r="E124" s="1"/>
      <c r="K124">
        <f>SUM(Table1[[#This Row],[Wholes (kg''s)]:[Rejection (kg''s)]])</f>
        <v>0</v>
      </c>
      <c r="P124">
        <f>SUM(Table1[[#This Row],[BK_Wholes]:[BK_Reject]])</f>
        <v>0</v>
      </c>
      <c r="Q124">
        <f>Table1[[#This Row],[Before Borma (kg''s)]]-Table1[[#This Row],[After Borma (kg''s)]]</f>
        <v>0</v>
      </c>
      <c r="R124" s="6" t="str">
        <f>IFERROR(Q124/K124%,"")</f>
        <v/>
      </c>
    </row>
    <row r="125" spans="2:18" x14ac:dyDescent="0.3">
      <c r="B125" s="1"/>
      <c r="C125" s="11">
        <f>WEEKNUM(Table1[[#This Row],[Date]])</f>
        <v>0</v>
      </c>
      <c r="D125" s="1" t="str">
        <f>TEXT(Table1[[#This Row],[Date]],"mmm-yy")</f>
        <v>Jan-00</v>
      </c>
      <c r="E125" s="1"/>
      <c r="K125">
        <f>SUM(Table1[[#This Row],[Wholes (kg''s)]:[Rejection (kg''s)]])</f>
        <v>0</v>
      </c>
      <c r="P125">
        <f>SUM(Table1[[#This Row],[BK_Wholes]:[BK_Reject]])</f>
        <v>0</v>
      </c>
      <c r="Q125">
        <f>Table1[[#This Row],[Before Borma (kg''s)]]-Table1[[#This Row],[After Borma (kg''s)]]</f>
        <v>0</v>
      </c>
      <c r="R125" s="6" t="str">
        <f>IFERROR(Q125/K125%,"")</f>
        <v/>
      </c>
    </row>
    <row r="126" spans="2:18" x14ac:dyDescent="0.3">
      <c r="B126" s="1"/>
      <c r="C126" s="11">
        <f>WEEKNUM(Table1[[#This Row],[Date]])</f>
        <v>0</v>
      </c>
      <c r="D126" s="1" t="str">
        <f>TEXT(Table1[[#This Row],[Date]],"mmm-yy")</f>
        <v>Jan-00</v>
      </c>
      <c r="E126" s="1"/>
      <c r="K126">
        <f>SUM(Table1[[#This Row],[Wholes (kg''s)]:[Rejection (kg''s)]])</f>
        <v>0</v>
      </c>
      <c r="P126">
        <f>SUM(Table1[[#This Row],[BK_Wholes]:[BK_Reject]])</f>
        <v>0</v>
      </c>
      <c r="Q126">
        <f>Table1[[#This Row],[Before Borma (kg''s)]]-Table1[[#This Row],[After Borma (kg''s)]]</f>
        <v>0</v>
      </c>
      <c r="R126" s="6" t="str">
        <f>IFERROR(Q126/K126%,"")</f>
        <v/>
      </c>
    </row>
    <row r="127" spans="2:18" x14ac:dyDescent="0.3">
      <c r="B127" s="1"/>
      <c r="C127" s="11">
        <f>WEEKNUM(Table1[[#This Row],[Date]])</f>
        <v>0</v>
      </c>
      <c r="D127" s="1" t="str">
        <f>TEXT(Table1[[#This Row],[Date]],"mmm-yy")</f>
        <v>Jan-00</v>
      </c>
      <c r="E127" s="1"/>
      <c r="K127">
        <f>SUM(Table1[[#This Row],[Wholes (kg''s)]:[Rejection (kg''s)]])</f>
        <v>0</v>
      </c>
      <c r="P127">
        <f>SUM(Table1[[#This Row],[BK_Wholes]:[BK_Reject]])</f>
        <v>0</v>
      </c>
      <c r="Q127">
        <f>Table1[[#This Row],[Before Borma (kg''s)]]-Table1[[#This Row],[After Borma (kg''s)]]</f>
        <v>0</v>
      </c>
      <c r="R127" s="6" t="str">
        <f>IFERROR(Q127/K127%,"")</f>
        <v/>
      </c>
    </row>
    <row r="128" spans="2:18" x14ac:dyDescent="0.3">
      <c r="B128" s="1"/>
      <c r="C128" s="11">
        <f>WEEKNUM(Table1[[#This Row],[Date]])</f>
        <v>0</v>
      </c>
      <c r="D128" s="1" t="str">
        <f>TEXT(Table1[[#This Row],[Date]],"mmm-yy")</f>
        <v>Jan-00</v>
      </c>
      <c r="E128" s="1"/>
      <c r="K128">
        <f>SUM(Table1[[#This Row],[Wholes (kg''s)]:[Rejection (kg''s)]])</f>
        <v>0</v>
      </c>
      <c r="P128">
        <f>SUM(Table1[[#This Row],[BK_Wholes]:[BK_Reject]])</f>
        <v>0</v>
      </c>
      <c r="Q128">
        <f>Table1[[#This Row],[Before Borma (kg''s)]]-Table1[[#This Row],[After Borma (kg''s)]]</f>
        <v>0</v>
      </c>
      <c r="R128" s="6" t="str">
        <f>IFERROR(Q128/K128%,"")</f>
        <v/>
      </c>
    </row>
    <row r="129" spans="2:18" x14ac:dyDescent="0.3">
      <c r="B129" s="1"/>
      <c r="C129" s="11">
        <f>WEEKNUM(Table1[[#This Row],[Date]])</f>
        <v>0</v>
      </c>
      <c r="D129" s="1" t="str">
        <f>TEXT(Table1[[#This Row],[Date]],"mmm-yy")</f>
        <v>Jan-00</v>
      </c>
      <c r="E129" s="1"/>
      <c r="K129">
        <f>SUM(Table1[[#This Row],[Wholes (kg''s)]:[Rejection (kg''s)]])</f>
        <v>0</v>
      </c>
      <c r="P129">
        <f>SUM(Table1[[#This Row],[BK_Wholes]:[BK_Reject]])</f>
        <v>0</v>
      </c>
      <c r="Q129">
        <f>Table1[[#This Row],[Before Borma (kg''s)]]-Table1[[#This Row],[After Borma (kg''s)]]</f>
        <v>0</v>
      </c>
      <c r="R129" s="6" t="str">
        <f>IFERROR(Q129/K129%,"")</f>
        <v/>
      </c>
    </row>
    <row r="130" spans="2:18" x14ac:dyDescent="0.3">
      <c r="B130" s="1"/>
      <c r="C130" s="11">
        <f>WEEKNUM(Table1[[#This Row],[Date]])</f>
        <v>0</v>
      </c>
      <c r="D130" s="1" t="str">
        <f>TEXT(Table1[[#This Row],[Date]],"mmm-yy")</f>
        <v>Jan-00</v>
      </c>
      <c r="E130" s="1"/>
      <c r="K130">
        <f>SUM(Table1[[#This Row],[Wholes (kg''s)]:[Rejection (kg''s)]])</f>
        <v>0</v>
      </c>
      <c r="P130">
        <f>SUM(Table1[[#This Row],[BK_Wholes]:[BK_Reject]])</f>
        <v>0</v>
      </c>
      <c r="Q130">
        <f>Table1[[#This Row],[Before Borma (kg''s)]]-Table1[[#This Row],[After Borma (kg''s)]]</f>
        <v>0</v>
      </c>
      <c r="R130" s="6" t="str">
        <f>IFERROR(Q130/K130%,"")</f>
        <v/>
      </c>
    </row>
    <row r="131" spans="2:18" x14ac:dyDescent="0.3">
      <c r="B131" s="1"/>
      <c r="C131" s="11">
        <f>WEEKNUM(Table1[[#This Row],[Date]])</f>
        <v>0</v>
      </c>
      <c r="D131" s="1" t="str">
        <f>TEXT(Table1[[#This Row],[Date]],"mmm-yy")</f>
        <v>Jan-00</v>
      </c>
      <c r="E131" s="1"/>
      <c r="K131">
        <f>SUM(Table1[[#This Row],[Wholes (kg''s)]:[Rejection (kg''s)]])</f>
        <v>0</v>
      </c>
      <c r="P131">
        <f>SUM(Table1[[#This Row],[BK_Wholes]:[BK_Reject]])</f>
        <v>0</v>
      </c>
      <c r="Q131">
        <f>Table1[[#This Row],[Before Borma (kg''s)]]-Table1[[#This Row],[After Borma (kg''s)]]</f>
        <v>0</v>
      </c>
      <c r="R131" s="6" t="str">
        <f>IFERROR(Q131/K131%,"")</f>
        <v/>
      </c>
    </row>
    <row r="132" spans="2:18" x14ac:dyDescent="0.3">
      <c r="B132" s="1"/>
      <c r="C132" s="11">
        <f>WEEKNUM(Table1[[#This Row],[Date]])</f>
        <v>0</v>
      </c>
      <c r="D132" s="1" t="str">
        <f>TEXT(Table1[[#This Row],[Date]],"mmm-yy")</f>
        <v>Jan-00</v>
      </c>
      <c r="E132" s="1"/>
      <c r="K132">
        <f>SUM(Table1[[#This Row],[Wholes (kg''s)]:[Rejection (kg''s)]])</f>
        <v>0</v>
      </c>
      <c r="P132">
        <f>SUM(Table1[[#This Row],[BK_Wholes]:[BK_Reject]])</f>
        <v>0</v>
      </c>
      <c r="Q132">
        <f>Table1[[#This Row],[Before Borma (kg''s)]]-Table1[[#This Row],[After Borma (kg''s)]]</f>
        <v>0</v>
      </c>
      <c r="R132" s="6" t="str">
        <f>IFERROR(Q132/K132%,"")</f>
        <v/>
      </c>
    </row>
    <row r="133" spans="2:18" x14ac:dyDescent="0.3">
      <c r="B133" s="1"/>
      <c r="C133" s="11">
        <f>WEEKNUM(Table1[[#This Row],[Date]])</f>
        <v>0</v>
      </c>
      <c r="D133" s="1" t="str">
        <f>TEXT(Table1[[#This Row],[Date]],"mmm-yy")</f>
        <v>Jan-00</v>
      </c>
      <c r="E133" s="1"/>
      <c r="K133">
        <f>SUM(Table1[[#This Row],[Wholes (kg''s)]:[Rejection (kg''s)]])</f>
        <v>0</v>
      </c>
      <c r="P133">
        <f>SUM(Table1[[#This Row],[BK_Wholes]:[BK_Reject]])</f>
        <v>0</v>
      </c>
      <c r="Q133">
        <f>Table1[[#This Row],[Before Borma (kg''s)]]-Table1[[#This Row],[After Borma (kg''s)]]</f>
        <v>0</v>
      </c>
      <c r="R133" s="6" t="str">
        <f>IFERROR(Q133/K133%,"")</f>
        <v/>
      </c>
    </row>
    <row r="134" spans="2:18" x14ac:dyDescent="0.3">
      <c r="B134" s="1"/>
      <c r="C134" s="11">
        <f>WEEKNUM(Table1[[#This Row],[Date]])</f>
        <v>0</v>
      </c>
      <c r="D134" s="1" t="str">
        <f>TEXT(Table1[[#This Row],[Date]],"mmm-yy")</f>
        <v>Jan-00</v>
      </c>
      <c r="E134" s="1"/>
      <c r="K134">
        <f>SUM(Table1[[#This Row],[Wholes (kg''s)]:[Rejection (kg''s)]])</f>
        <v>0</v>
      </c>
      <c r="P134">
        <f>SUM(Table1[[#This Row],[BK_Wholes]:[BK_Reject]])</f>
        <v>0</v>
      </c>
      <c r="Q134">
        <f>Table1[[#This Row],[Before Borma (kg''s)]]-Table1[[#This Row],[After Borma (kg''s)]]</f>
        <v>0</v>
      </c>
      <c r="R134" s="6" t="str">
        <f>IFERROR(Q134/K134%,"")</f>
        <v/>
      </c>
    </row>
    <row r="135" spans="2:18" x14ac:dyDescent="0.3">
      <c r="B135" s="1"/>
      <c r="C135" s="11">
        <f>WEEKNUM(Table1[[#This Row],[Date]])</f>
        <v>0</v>
      </c>
      <c r="D135" s="1" t="str">
        <f>TEXT(Table1[[#This Row],[Date]],"mmm-yy")</f>
        <v>Jan-00</v>
      </c>
      <c r="E135" s="1"/>
      <c r="K135">
        <f>SUM(Table1[[#This Row],[Wholes (kg''s)]:[Rejection (kg''s)]])</f>
        <v>0</v>
      </c>
      <c r="P135">
        <f>SUM(Table1[[#This Row],[BK_Wholes]:[BK_Reject]])</f>
        <v>0</v>
      </c>
      <c r="Q135">
        <f>Table1[[#This Row],[Before Borma (kg''s)]]-Table1[[#This Row],[After Borma (kg''s)]]</f>
        <v>0</v>
      </c>
      <c r="R135" s="6" t="str">
        <f>IFERROR(Q135/K135%,"")</f>
        <v/>
      </c>
    </row>
    <row r="136" spans="2:18" x14ac:dyDescent="0.3">
      <c r="B136" s="1"/>
      <c r="C136" s="11">
        <f>WEEKNUM(Table1[[#This Row],[Date]])</f>
        <v>0</v>
      </c>
      <c r="D136" s="1" t="str">
        <f>TEXT(Table1[[#This Row],[Date]],"mmm-yy")</f>
        <v>Jan-00</v>
      </c>
      <c r="E136" s="1"/>
      <c r="K136">
        <f>SUM(Table1[[#This Row],[Wholes (kg''s)]:[Rejection (kg''s)]])</f>
        <v>0</v>
      </c>
      <c r="P136">
        <f>SUM(Table1[[#This Row],[BK_Wholes]:[BK_Reject]])</f>
        <v>0</v>
      </c>
      <c r="Q136">
        <f>Table1[[#This Row],[Before Borma (kg''s)]]-Table1[[#This Row],[After Borma (kg''s)]]</f>
        <v>0</v>
      </c>
      <c r="R136" s="6" t="str">
        <f>IFERROR(Q136/K136%,"")</f>
        <v/>
      </c>
    </row>
    <row r="137" spans="2:18" x14ac:dyDescent="0.3">
      <c r="B137" s="1"/>
      <c r="C137" s="11">
        <f>WEEKNUM(Table1[[#This Row],[Date]])</f>
        <v>0</v>
      </c>
      <c r="D137" s="1" t="str">
        <f>TEXT(Table1[[#This Row],[Date]],"mmm-yy")</f>
        <v>Jan-00</v>
      </c>
      <c r="E137" s="1"/>
      <c r="K137">
        <f>SUM(Table1[[#This Row],[Wholes (kg''s)]:[Rejection (kg''s)]])</f>
        <v>0</v>
      </c>
      <c r="P137">
        <f>SUM(Table1[[#This Row],[BK_Wholes]:[BK_Reject]])</f>
        <v>0</v>
      </c>
      <c r="Q137">
        <f>Table1[[#This Row],[Before Borma (kg''s)]]-Table1[[#This Row],[After Borma (kg''s)]]</f>
        <v>0</v>
      </c>
      <c r="R137" s="6" t="str">
        <f>IFERROR(Q137/K137%,"")</f>
        <v/>
      </c>
    </row>
    <row r="138" spans="2:18" x14ac:dyDescent="0.3">
      <c r="B138" s="1"/>
      <c r="C138" s="11">
        <f>WEEKNUM(Table1[[#This Row],[Date]])</f>
        <v>0</v>
      </c>
      <c r="D138" s="1" t="str">
        <f>TEXT(Table1[[#This Row],[Date]],"mmm-yy")</f>
        <v>Jan-00</v>
      </c>
      <c r="E138" s="1"/>
      <c r="K138">
        <f>SUM(Table1[[#This Row],[Wholes (kg''s)]:[Rejection (kg''s)]])</f>
        <v>0</v>
      </c>
      <c r="P138">
        <f>SUM(Table1[[#This Row],[BK_Wholes]:[BK_Reject]])</f>
        <v>0</v>
      </c>
      <c r="Q138">
        <f>Table1[[#This Row],[Before Borma (kg''s)]]-Table1[[#This Row],[After Borma (kg''s)]]</f>
        <v>0</v>
      </c>
      <c r="R138" s="6" t="str">
        <f>IFERROR(Q138/K138%,"")</f>
        <v/>
      </c>
    </row>
    <row r="139" spans="2:18" x14ac:dyDescent="0.3">
      <c r="B139" s="1"/>
      <c r="C139" s="11">
        <f>WEEKNUM(Table1[[#This Row],[Date]])</f>
        <v>0</v>
      </c>
      <c r="D139" s="1" t="str">
        <f>TEXT(Table1[[#This Row],[Date]],"mmm-yy")</f>
        <v>Jan-00</v>
      </c>
      <c r="E139" s="1"/>
      <c r="K139">
        <f>SUM(Table1[[#This Row],[Wholes (kg''s)]:[Rejection (kg''s)]])</f>
        <v>0</v>
      </c>
      <c r="P139">
        <f>SUM(Table1[[#This Row],[BK_Wholes]:[BK_Reject]])</f>
        <v>0</v>
      </c>
      <c r="Q139">
        <f>Table1[[#This Row],[Before Borma (kg''s)]]-Table1[[#This Row],[After Borma (kg''s)]]</f>
        <v>0</v>
      </c>
      <c r="R139" s="6" t="str">
        <f>IFERROR(Q139/K139%,"")</f>
        <v/>
      </c>
    </row>
    <row r="140" spans="2:18" x14ac:dyDescent="0.3">
      <c r="B140" s="1"/>
      <c r="C140" s="11">
        <f>WEEKNUM(Table1[[#This Row],[Date]])</f>
        <v>0</v>
      </c>
      <c r="D140" s="1" t="str">
        <f>TEXT(Table1[[#This Row],[Date]],"mmm-yy")</f>
        <v>Jan-00</v>
      </c>
      <c r="E140" s="1"/>
      <c r="K140">
        <f>SUM(Table1[[#This Row],[Wholes (kg''s)]:[Rejection (kg''s)]])</f>
        <v>0</v>
      </c>
      <c r="P140">
        <f>SUM(Table1[[#This Row],[BK_Wholes]:[BK_Reject]])</f>
        <v>0</v>
      </c>
      <c r="Q140">
        <f>Table1[[#This Row],[Before Borma (kg''s)]]-Table1[[#This Row],[After Borma (kg''s)]]</f>
        <v>0</v>
      </c>
      <c r="R140" s="6" t="str">
        <f>IFERROR(Q140/K140%,"")</f>
        <v/>
      </c>
    </row>
    <row r="141" spans="2:18" x14ac:dyDescent="0.3">
      <c r="B141" s="1"/>
      <c r="C141" s="11">
        <f>WEEKNUM(Table1[[#This Row],[Date]])</f>
        <v>0</v>
      </c>
      <c r="D141" s="1" t="str">
        <f>TEXT(Table1[[#This Row],[Date]],"mmm-yy")</f>
        <v>Jan-00</v>
      </c>
      <c r="E141" s="1"/>
      <c r="K141">
        <f>SUM(Table1[[#This Row],[Wholes (kg''s)]:[Rejection (kg''s)]])</f>
        <v>0</v>
      </c>
      <c r="P141">
        <f>SUM(Table1[[#This Row],[BK_Wholes]:[BK_Reject]])</f>
        <v>0</v>
      </c>
      <c r="Q141">
        <f>Table1[[#This Row],[Before Borma (kg''s)]]-Table1[[#This Row],[After Borma (kg''s)]]</f>
        <v>0</v>
      </c>
      <c r="R141" s="6" t="str">
        <f>IFERROR(Q141/K141%,"")</f>
        <v/>
      </c>
    </row>
    <row r="142" spans="2:18" x14ac:dyDescent="0.3">
      <c r="B142" s="1"/>
      <c r="C142" s="11">
        <f>WEEKNUM(Table1[[#This Row],[Date]])</f>
        <v>0</v>
      </c>
      <c r="D142" s="1" t="str">
        <f>TEXT(Table1[[#This Row],[Date]],"mmm-yy")</f>
        <v>Jan-00</v>
      </c>
      <c r="E142" s="1"/>
      <c r="K142">
        <f>SUM(Table1[[#This Row],[Wholes (kg''s)]:[Rejection (kg''s)]])</f>
        <v>0</v>
      </c>
      <c r="P142">
        <f>SUM(Table1[[#This Row],[BK_Wholes]:[BK_Reject]])</f>
        <v>0</v>
      </c>
      <c r="Q142">
        <f>Table1[[#This Row],[Before Borma (kg''s)]]-Table1[[#This Row],[After Borma (kg''s)]]</f>
        <v>0</v>
      </c>
      <c r="R142" s="6" t="str">
        <f>IFERROR(Q142/K142%,"")</f>
        <v/>
      </c>
    </row>
    <row r="143" spans="2:18" x14ac:dyDescent="0.3">
      <c r="B143" s="1"/>
      <c r="C143" s="11">
        <f>WEEKNUM(Table1[[#This Row],[Date]])</f>
        <v>0</v>
      </c>
      <c r="D143" s="1" t="str">
        <f>TEXT(Table1[[#This Row],[Date]],"mmm-yy")</f>
        <v>Jan-00</v>
      </c>
      <c r="E143" s="1"/>
      <c r="K143">
        <f>SUM(Table1[[#This Row],[Wholes (kg''s)]:[Rejection (kg''s)]])</f>
        <v>0</v>
      </c>
      <c r="P143">
        <f>SUM(Table1[[#This Row],[BK_Wholes]:[BK_Reject]])</f>
        <v>0</v>
      </c>
      <c r="Q143">
        <f>Table1[[#This Row],[Before Borma (kg''s)]]-Table1[[#This Row],[After Borma (kg''s)]]</f>
        <v>0</v>
      </c>
      <c r="R143" s="6" t="str">
        <f>IFERROR(Q143/K143%,"")</f>
        <v/>
      </c>
    </row>
    <row r="144" spans="2:18" x14ac:dyDescent="0.3">
      <c r="B144" s="1"/>
      <c r="C144" s="11">
        <f>WEEKNUM(Table1[[#This Row],[Date]])</f>
        <v>0</v>
      </c>
      <c r="D144" s="1" t="str">
        <f>TEXT(Table1[[#This Row],[Date]],"mmm-yy")</f>
        <v>Jan-00</v>
      </c>
      <c r="E144" s="1"/>
      <c r="K144">
        <f>SUM(Table1[[#This Row],[Wholes (kg''s)]:[Rejection (kg''s)]])</f>
        <v>0</v>
      </c>
      <c r="P144">
        <f>SUM(Table1[[#This Row],[BK_Wholes]:[BK_Reject]])</f>
        <v>0</v>
      </c>
      <c r="Q144">
        <f>Table1[[#This Row],[Before Borma (kg''s)]]-Table1[[#This Row],[After Borma (kg''s)]]</f>
        <v>0</v>
      </c>
      <c r="R144" s="6" t="str">
        <f>IFERROR(Q144/K144%,"")</f>
        <v/>
      </c>
    </row>
    <row r="145" spans="2:18" x14ac:dyDescent="0.3">
      <c r="B145" s="1"/>
      <c r="C145" s="11">
        <f>WEEKNUM(Table1[[#This Row],[Date]])</f>
        <v>0</v>
      </c>
      <c r="D145" s="1" t="str">
        <f>TEXT(Table1[[#This Row],[Date]],"mmm-yy")</f>
        <v>Jan-00</v>
      </c>
      <c r="E145" s="1"/>
      <c r="K145">
        <f>SUM(Table1[[#This Row],[Wholes (kg''s)]:[Rejection (kg''s)]])</f>
        <v>0</v>
      </c>
      <c r="P145">
        <f>SUM(Table1[[#This Row],[BK_Wholes]:[BK_Reject]])</f>
        <v>0</v>
      </c>
      <c r="Q145">
        <f>Table1[[#This Row],[Before Borma (kg''s)]]-Table1[[#This Row],[After Borma (kg''s)]]</f>
        <v>0</v>
      </c>
      <c r="R145" s="6" t="str">
        <f>IFERROR(Q145/K145%,"")</f>
        <v/>
      </c>
    </row>
    <row r="146" spans="2:18" x14ac:dyDescent="0.3">
      <c r="B146" s="1"/>
      <c r="C146" s="11">
        <f>WEEKNUM(Table1[[#This Row],[Date]])</f>
        <v>0</v>
      </c>
      <c r="D146" s="1" t="str">
        <f>TEXT(Table1[[#This Row],[Date]],"mmm-yy")</f>
        <v>Jan-00</v>
      </c>
      <c r="E146" s="1"/>
      <c r="K146">
        <f>SUM(Table1[[#This Row],[Wholes (kg''s)]:[Rejection (kg''s)]])</f>
        <v>0</v>
      </c>
      <c r="P146">
        <f>SUM(Table1[[#This Row],[BK_Wholes]:[BK_Reject]])</f>
        <v>0</v>
      </c>
      <c r="Q146">
        <f>Table1[[#This Row],[Before Borma (kg''s)]]-Table1[[#This Row],[After Borma (kg''s)]]</f>
        <v>0</v>
      </c>
      <c r="R146" s="6" t="str">
        <f>IFERROR(Q146/K146%,"")</f>
        <v/>
      </c>
    </row>
    <row r="147" spans="2:18" x14ac:dyDescent="0.3">
      <c r="B147" s="1"/>
      <c r="C147" s="11">
        <f>WEEKNUM(Table1[[#This Row],[Date]])</f>
        <v>0</v>
      </c>
      <c r="D147" s="1" t="str">
        <f>TEXT(Table1[[#This Row],[Date]],"mmm-yy")</f>
        <v>Jan-00</v>
      </c>
      <c r="E147" s="1"/>
      <c r="K147">
        <f>SUM(Table1[[#This Row],[Wholes (kg''s)]:[Rejection (kg''s)]])</f>
        <v>0</v>
      </c>
      <c r="P147">
        <f>SUM(Table1[[#This Row],[BK_Wholes]:[BK_Reject]])</f>
        <v>0</v>
      </c>
      <c r="Q147">
        <f>Table1[[#This Row],[Before Borma (kg''s)]]-Table1[[#This Row],[After Borma (kg''s)]]</f>
        <v>0</v>
      </c>
      <c r="R147" s="6" t="str">
        <f>IFERROR(Q147/K147%,"")</f>
        <v/>
      </c>
    </row>
    <row r="148" spans="2:18" x14ac:dyDescent="0.3">
      <c r="B148" s="1"/>
      <c r="C148" s="11">
        <f>WEEKNUM(Table1[[#This Row],[Date]])</f>
        <v>0</v>
      </c>
      <c r="D148" s="1" t="str">
        <f>TEXT(Table1[[#This Row],[Date]],"mmm-yy")</f>
        <v>Jan-00</v>
      </c>
      <c r="E148" s="1"/>
      <c r="K148">
        <f>SUM(Table1[[#This Row],[Wholes (kg''s)]:[Rejection (kg''s)]])</f>
        <v>0</v>
      </c>
      <c r="P148">
        <f>SUM(Table1[[#This Row],[BK_Wholes]:[BK_Reject]])</f>
        <v>0</v>
      </c>
      <c r="Q148">
        <f>Table1[[#This Row],[Before Borma (kg''s)]]-Table1[[#This Row],[After Borma (kg''s)]]</f>
        <v>0</v>
      </c>
      <c r="R148" s="6" t="str">
        <f>IFERROR(Q148/K148%,"")</f>
        <v/>
      </c>
    </row>
    <row r="149" spans="2:18" x14ac:dyDescent="0.3">
      <c r="B149" s="1"/>
      <c r="C149" s="11">
        <f>WEEKNUM(Table1[[#This Row],[Date]])</f>
        <v>0</v>
      </c>
      <c r="D149" s="1" t="str">
        <f>TEXT(Table1[[#This Row],[Date]],"mmm-yy")</f>
        <v>Jan-00</v>
      </c>
      <c r="E149" s="1"/>
      <c r="K149">
        <f>SUM(Table1[[#This Row],[Wholes (kg''s)]:[Rejection (kg''s)]])</f>
        <v>0</v>
      </c>
      <c r="P149">
        <f>SUM(Table1[[#This Row],[BK_Wholes]:[BK_Reject]])</f>
        <v>0</v>
      </c>
      <c r="Q149">
        <f>Table1[[#This Row],[Before Borma (kg''s)]]-Table1[[#This Row],[After Borma (kg''s)]]</f>
        <v>0</v>
      </c>
      <c r="R149" s="6" t="str">
        <f>IFERROR(Q149/K149%,"")</f>
        <v/>
      </c>
    </row>
    <row r="150" spans="2:18" x14ac:dyDescent="0.3">
      <c r="B150" s="1"/>
      <c r="C150" s="11">
        <f>WEEKNUM(Table1[[#This Row],[Date]])</f>
        <v>0</v>
      </c>
      <c r="D150" s="1" t="str">
        <f>TEXT(Table1[[#This Row],[Date]],"mmm-yy")</f>
        <v>Jan-00</v>
      </c>
      <c r="E150" s="1"/>
      <c r="K150">
        <f>SUM(Table1[[#This Row],[Wholes (kg''s)]:[Rejection (kg''s)]])</f>
        <v>0</v>
      </c>
      <c r="P150">
        <f>SUM(Table1[[#This Row],[BK_Wholes]:[BK_Reject]])</f>
        <v>0</v>
      </c>
      <c r="Q150">
        <f>Table1[[#This Row],[Before Borma (kg''s)]]-Table1[[#This Row],[After Borma (kg''s)]]</f>
        <v>0</v>
      </c>
      <c r="R150" s="6" t="str">
        <f>IFERROR(Q150/K150%,"")</f>
        <v/>
      </c>
    </row>
    <row r="151" spans="2:18" x14ac:dyDescent="0.3">
      <c r="B151" s="1"/>
      <c r="C151" s="11">
        <f>WEEKNUM(Table1[[#This Row],[Date]])</f>
        <v>0</v>
      </c>
      <c r="D151" s="1" t="str">
        <f>TEXT(Table1[[#This Row],[Date]],"mmm-yy")</f>
        <v>Jan-00</v>
      </c>
      <c r="E151" s="1"/>
      <c r="K151">
        <f>SUM(Table1[[#This Row],[Wholes (kg''s)]:[Rejection (kg''s)]])</f>
        <v>0</v>
      </c>
      <c r="P151">
        <f>SUM(Table1[[#This Row],[BK_Wholes]:[BK_Reject]])</f>
        <v>0</v>
      </c>
      <c r="Q151">
        <f>Table1[[#This Row],[Before Borma (kg''s)]]-Table1[[#This Row],[After Borma (kg''s)]]</f>
        <v>0</v>
      </c>
      <c r="R151" s="6" t="str">
        <f>IFERROR(Q151/K151%,"")</f>
        <v/>
      </c>
    </row>
    <row r="152" spans="2:18" x14ac:dyDescent="0.3">
      <c r="B152" s="1"/>
      <c r="C152" s="11">
        <f>WEEKNUM(Table1[[#This Row],[Date]])</f>
        <v>0</v>
      </c>
      <c r="D152" s="1" t="str">
        <f>TEXT(Table1[[#This Row],[Date]],"mmm-yy")</f>
        <v>Jan-00</v>
      </c>
      <c r="E152" s="1"/>
      <c r="K152">
        <f>SUM(Table1[[#This Row],[Wholes (kg''s)]:[Rejection (kg''s)]])</f>
        <v>0</v>
      </c>
      <c r="P152">
        <f>SUM(Table1[[#This Row],[BK_Wholes]:[BK_Reject]])</f>
        <v>0</v>
      </c>
      <c r="Q152">
        <f>Table1[[#This Row],[Before Borma (kg''s)]]-Table1[[#This Row],[After Borma (kg''s)]]</f>
        <v>0</v>
      </c>
      <c r="R152" s="6" t="str">
        <f>IFERROR(Q152/K152%,"")</f>
        <v/>
      </c>
    </row>
    <row r="153" spans="2:18" x14ac:dyDescent="0.3">
      <c r="B153" s="1"/>
      <c r="C153" s="11">
        <f>WEEKNUM(Table1[[#This Row],[Date]])</f>
        <v>0</v>
      </c>
      <c r="D153" s="1" t="str">
        <f>TEXT(Table1[[#This Row],[Date]],"mmm-yy")</f>
        <v>Jan-00</v>
      </c>
      <c r="E153" s="1"/>
      <c r="K153">
        <f>SUM(Table1[[#This Row],[Wholes (kg''s)]:[Rejection (kg''s)]])</f>
        <v>0</v>
      </c>
      <c r="P153">
        <f>SUM(Table1[[#This Row],[BK_Wholes]:[BK_Reject]])</f>
        <v>0</v>
      </c>
      <c r="Q153">
        <f>Table1[[#This Row],[Before Borma (kg''s)]]-Table1[[#This Row],[After Borma (kg''s)]]</f>
        <v>0</v>
      </c>
      <c r="R153" s="6" t="str">
        <f>IFERROR(Q153/K153%,"")</f>
        <v/>
      </c>
    </row>
    <row r="154" spans="2:18" x14ac:dyDescent="0.3">
      <c r="B154" s="1"/>
      <c r="C154" s="11">
        <f>WEEKNUM(Table1[[#This Row],[Date]])</f>
        <v>0</v>
      </c>
      <c r="D154" s="1" t="str">
        <f>TEXT(Table1[[#This Row],[Date]],"mmm-yy")</f>
        <v>Jan-00</v>
      </c>
      <c r="E154" s="1"/>
      <c r="K154">
        <f>SUM(Table1[[#This Row],[Wholes (kg''s)]:[Rejection (kg''s)]])</f>
        <v>0</v>
      </c>
      <c r="P154">
        <f>SUM(Table1[[#This Row],[BK_Wholes]:[BK_Reject]])</f>
        <v>0</v>
      </c>
      <c r="Q154">
        <f>Table1[[#This Row],[Before Borma (kg''s)]]-Table1[[#This Row],[After Borma (kg''s)]]</f>
        <v>0</v>
      </c>
      <c r="R154" s="6" t="str">
        <f>IFERROR(Q154/K154%,"")</f>
        <v/>
      </c>
    </row>
    <row r="155" spans="2:18" x14ac:dyDescent="0.3">
      <c r="B155" s="1"/>
      <c r="C155" s="11">
        <f>WEEKNUM(Table1[[#This Row],[Date]])</f>
        <v>0</v>
      </c>
      <c r="D155" s="1" t="str">
        <f>TEXT(Table1[[#This Row],[Date]],"mmm-yy")</f>
        <v>Jan-00</v>
      </c>
      <c r="E155" s="1"/>
      <c r="K155">
        <f>SUM(Table1[[#This Row],[Wholes (kg''s)]:[Rejection (kg''s)]])</f>
        <v>0</v>
      </c>
      <c r="P155">
        <f>SUM(Table1[[#This Row],[BK_Wholes]:[BK_Reject]])</f>
        <v>0</v>
      </c>
      <c r="Q155">
        <f>Table1[[#This Row],[Before Borma (kg''s)]]-Table1[[#This Row],[After Borma (kg''s)]]</f>
        <v>0</v>
      </c>
      <c r="R155" s="6" t="str">
        <f>IFERROR(Q155/K155%,"")</f>
        <v/>
      </c>
    </row>
    <row r="156" spans="2:18" x14ac:dyDescent="0.3">
      <c r="B156" s="1"/>
      <c r="C156" s="11">
        <f>WEEKNUM(Table1[[#This Row],[Date]])</f>
        <v>0</v>
      </c>
      <c r="D156" s="1" t="str">
        <f>TEXT(Table1[[#This Row],[Date]],"mmm-yy")</f>
        <v>Jan-00</v>
      </c>
      <c r="E156" s="1"/>
      <c r="K156">
        <f>SUM(Table1[[#This Row],[Wholes (kg''s)]:[Rejection (kg''s)]])</f>
        <v>0</v>
      </c>
      <c r="P156">
        <f>SUM(Table1[[#This Row],[BK_Wholes]:[BK_Reject]])</f>
        <v>0</v>
      </c>
      <c r="Q156">
        <f>Table1[[#This Row],[Before Borma (kg''s)]]-Table1[[#This Row],[After Borma (kg''s)]]</f>
        <v>0</v>
      </c>
      <c r="R156" s="6" t="str">
        <f>IFERROR(Q156/K156%,"")</f>
        <v/>
      </c>
    </row>
    <row r="157" spans="2:18" x14ac:dyDescent="0.3">
      <c r="B157" s="1"/>
      <c r="C157" s="11">
        <f>WEEKNUM(Table1[[#This Row],[Date]])</f>
        <v>0</v>
      </c>
      <c r="D157" s="1" t="str">
        <f>TEXT(Table1[[#This Row],[Date]],"mmm-yy")</f>
        <v>Jan-00</v>
      </c>
      <c r="E157" s="1"/>
      <c r="K157">
        <f>SUM(Table1[[#This Row],[Wholes (kg''s)]:[Rejection (kg''s)]])</f>
        <v>0</v>
      </c>
      <c r="P157">
        <f>SUM(Table1[[#This Row],[BK_Wholes]:[BK_Reject]])</f>
        <v>0</v>
      </c>
      <c r="Q157">
        <f>Table1[[#This Row],[Before Borma (kg''s)]]-Table1[[#This Row],[After Borma (kg''s)]]</f>
        <v>0</v>
      </c>
      <c r="R157" s="6" t="str">
        <f>IFERROR(Q157/K157%,"")</f>
        <v/>
      </c>
    </row>
    <row r="158" spans="2:18" x14ac:dyDescent="0.3">
      <c r="B158" s="1"/>
      <c r="C158" s="11">
        <f>WEEKNUM(Table1[[#This Row],[Date]])</f>
        <v>0</v>
      </c>
      <c r="D158" s="1" t="str">
        <f>TEXT(Table1[[#This Row],[Date]],"mmm-yy")</f>
        <v>Jan-00</v>
      </c>
      <c r="E158" s="1"/>
      <c r="K158">
        <f>SUM(Table1[[#This Row],[Wholes (kg''s)]:[Rejection (kg''s)]])</f>
        <v>0</v>
      </c>
      <c r="P158">
        <f>SUM(Table1[[#This Row],[BK_Wholes]:[BK_Reject]])</f>
        <v>0</v>
      </c>
      <c r="Q158">
        <f>Table1[[#This Row],[Before Borma (kg''s)]]-Table1[[#This Row],[After Borma (kg''s)]]</f>
        <v>0</v>
      </c>
      <c r="R158" s="6" t="str">
        <f>IFERROR(Q158/K158%,"")</f>
        <v/>
      </c>
    </row>
    <row r="159" spans="2:18" x14ac:dyDescent="0.3">
      <c r="B159" s="1"/>
      <c r="C159" s="11">
        <f>WEEKNUM(Table1[[#This Row],[Date]])</f>
        <v>0</v>
      </c>
      <c r="D159" s="1" t="str">
        <f>TEXT(Table1[[#This Row],[Date]],"mmm-yy")</f>
        <v>Jan-00</v>
      </c>
      <c r="E159" s="1"/>
      <c r="K159">
        <f>SUM(Table1[[#This Row],[Wholes (kg''s)]:[Rejection (kg''s)]])</f>
        <v>0</v>
      </c>
      <c r="P159">
        <f>SUM(Table1[[#This Row],[BK_Wholes]:[BK_Reject]])</f>
        <v>0</v>
      </c>
      <c r="Q159">
        <f>Table1[[#This Row],[Before Borma (kg''s)]]-Table1[[#This Row],[After Borma (kg''s)]]</f>
        <v>0</v>
      </c>
      <c r="R159" s="6" t="str">
        <f>IFERROR(Q159/K159%,"")</f>
        <v/>
      </c>
    </row>
    <row r="160" spans="2:18" x14ac:dyDescent="0.3">
      <c r="B160" s="1"/>
      <c r="C160" s="11">
        <f>WEEKNUM(Table1[[#This Row],[Date]])</f>
        <v>0</v>
      </c>
      <c r="D160" s="1" t="str">
        <f>TEXT(Table1[[#This Row],[Date]],"mmm-yy")</f>
        <v>Jan-00</v>
      </c>
      <c r="E160" s="1"/>
      <c r="K160">
        <f>SUM(Table1[[#This Row],[Wholes (kg''s)]:[Rejection (kg''s)]])</f>
        <v>0</v>
      </c>
      <c r="P160">
        <f>SUM(Table1[[#This Row],[BK_Wholes]:[BK_Reject]])</f>
        <v>0</v>
      </c>
      <c r="Q160">
        <f>Table1[[#This Row],[Before Borma (kg''s)]]-Table1[[#This Row],[After Borma (kg''s)]]</f>
        <v>0</v>
      </c>
      <c r="R160" s="6" t="str">
        <f>IFERROR(Q160/K160%,"")</f>
        <v/>
      </c>
    </row>
    <row r="161" spans="2:18" x14ac:dyDescent="0.3">
      <c r="B161" s="1"/>
      <c r="C161" s="11">
        <f>WEEKNUM(Table1[[#This Row],[Date]])</f>
        <v>0</v>
      </c>
      <c r="D161" s="1" t="str">
        <f>TEXT(Table1[[#This Row],[Date]],"mmm-yy")</f>
        <v>Jan-00</v>
      </c>
      <c r="E161" s="1"/>
      <c r="K161">
        <f>SUM(Table1[[#This Row],[Wholes (kg''s)]:[Rejection (kg''s)]])</f>
        <v>0</v>
      </c>
      <c r="P161">
        <f>SUM(Table1[[#This Row],[BK_Wholes]:[BK_Reject]])</f>
        <v>0</v>
      </c>
      <c r="Q161">
        <f>Table1[[#This Row],[Before Borma (kg''s)]]-Table1[[#This Row],[After Borma (kg''s)]]</f>
        <v>0</v>
      </c>
      <c r="R161" s="6" t="str">
        <f>IFERROR(Q161/K161%,"")</f>
        <v/>
      </c>
    </row>
    <row r="162" spans="2:18" x14ac:dyDescent="0.3">
      <c r="B162" s="1"/>
      <c r="C162" s="11">
        <f>WEEKNUM(Table1[[#This Row],[Date]])</f>
        <v>0</v>
      </c>
      <c r="D162" s="1" t="str">
        <f>TEXT(Table1[[#This Row],[Date]],"mmm-yy")</f>
        <v>Jan-00</v>
      </c>
      <c r="E162" s="1"/>
      <c r="K162">
        <f>SUM(Table1[[#This Row],[Wholes (kg''s)]:[Rejection (kg''s)]])</f>
        <v>0</v>
      </c>
      <c r="P162">
        <f>SUM(Table1[[#This Row],[BK_Wholes]:[BK_Reject]])</f>
        <v>0</v>
      </c>
      <c r="Q162">
        <f>Table1[[#This Row],[Before Borma (kg''s)]]-Table1[[#This Row],[After Borma (kg''s)]]</f>
        <v>0</v>
      </c>
      <c r="R162" s="6" t="str">
        <f>IFERROR(Q162/K162%,"")</f>
        <v/>
      </c>
    </row>
    <row r="163" spans="2:18" x14ac:dyDescent="0.3">
      <c r="B163" s="1"/>
      <c r="C163" s="11">
        <f>WEEKNUM(Table1[[#This Row],[Date]])</f>
        <v>0</v>
      </c>
      <c r="D163" s="1" t="str">
        <f>TEXT(Table1[[#This Row],[Date]],"mmm-yy")</f>
        <v>Jan-00</v>
      </c>
      <c r="E163" s="1"/>
      <c r="K163">
        <f>SUM(Table1[[#This Row],[Wholes (kg''s)]:[Rejection (kg''s)]])</f>
        <v>0</v>
      </c>
      <c r="P163">
        <f>SUM(Table1[[#This Row],[BK_Wholes]:[BK_Reject]])</f>
        <v>0</v>
      </c>
      <c r="Q163">
        <f>Table1[[#This Row],[Before Borma (kg''s)]]-Table1[[#This Row],[After Borma (kg''s)]]</f>
        <v>0</v>
      </c>
      <c r="R163" s="6" t="str">
        <f>IFERROR(Q163/K163%,"")</f>
        <v/>
      </c>
    </row>
    <row r="164" spans="2:18" x14ac:dyDescent="0.3">
      <c r="B164" s="1"/>
      <c r="C164" s="11">
        <f>WEEKNUM(Table1[[#This Row],[Date]])</f>
        <v>0</v>
      </c>
      <c r="D164" s="1" t="str">
        <f>TEXT(Table1[[#This Row],[Date]],"mmm-yy")</f>
        <v>Jan-00</v>
      </c>
      <c r="E164" s="1"/>
      <c r="K164">
        <f>SUM(Table1[[#This Row],[Wholes (kg''s)]:[Rejection (kg''s)]])</f>
        <v>0</v>
      </c>
      <c r="P164">
        <f>SUM(Table1[[#This Row],[BK_Wholes]:[BK_Reject]])</f>
        <v>0</v>
      </c>
      <c r="Q164">
        <f>Table1[[#This Row],[Before Borma (kg''s)]]-Table1[[#This Row],[After Borma (kg''s)]]</f>
        <v>0</v>
      </c>
      <c r="R164" s="6" t="str">
        <f>IFERROR(Q164/K164%,"")</f>
        <v/>
      </c>
    </row>
    <row r="165" spans="2:18" x14ac:dyDescent="0.3">
      <c r="B165" s="1"/>
      <c r="C165" s="11">
        <f>WEEKNUM(Table1[[#This Row],[Date]])</f>
        <v>0</v>
      </c>
      <c r="D165" s="1" t="str">
        <f>TEXT(Table1[[#This Row],[Date]],"mmm-yy")</f>
        <v>Jan-00</v>
      </c>
      <c r="E165" s="1"/>
      <c r="K165">
        <f>SUM(Table1[[#This Row],[Wholes (kg''s)]:[Rejection (kg''s)]])</f>
        <v>0</v>
      </c>
      <c r="P165">
        <f>SUM(Table1[[#This Row],[BK_Wholes]:[BK_Reject]])</f>
        <v>0</v>
      </c>
      <c r="Q165">
        <f>Table1[[#This Row],[Before Borma (kg''s)]]-Table1[[#This Row],[After Borma (kg''s)]]</f>
        <v>0</v>
      </c>
      <c r="R165" s="6" t="str">
        <f>IFERROR(Q165/K165%,"")</f>
        <v/>
      </c>
    </row>
    <row r="166" spans="2:18" x14ac:dyDescent="0.3">
      <c r="B166" s="1"/>
      <c r="C166" s="11">
        <f>WEEKNUM(Table1[[#This Row],[Date]])</f>
        <v>0</v>
      </c>
      <c r="D166" s="1" t="str">
        <f>TEXT(Table1[[#This Row],[Date]],"mmm-yy")</f>
        <v>Jan-00</v>
      </c>
      <c r="E166" s="1"/>
      <c r="K166">
        <f>SUM(Table1[[#This Row],[Wholes (kg''s)]:[Rejection (kg''s)]])</f>
        <v>0</v>
      </c>
      <c r="P166">
        <f>SUM(Table1[[#This Row],[BK_Wholes]:[BK_Reject]])</f>
        <v>0</v>
      </c>
      <c r="Q166">
        <f>Table1[[#This Row],[Before Borma (kg''s)]]-Table1[[#This Row],[After Borma (kg''s)]]</f>
        <v>0</v>
      </c>
      <c r="R166" s="6" t="str">
        <f>IFERROR(Q166/K166%,"")</f>
        <v/>
      </c>
    </row>
    <row r="167" spans="2:18" x14ac:dyDescent="0.3">
      <c r="B167" s="1"/>
      <c r="C167" s="11">
        <f>WEEKNUM(Table1[[#This Row],[Date]])</f>
        <v>0</v>
      </c>
      <c r="D167" s="1" t="str">
        <f>TEXT(Table1[[#This Row],[Date]],"mmm-yy")</f>
        <v>Jan-00</v>
      </c>
      <c r="E167" s="1"/>
      <c r="K167">
        <f>SUM(Table1[[#This Row],[Wholes (kg''s)]:[Rejection (kg''s)]])</f>
        <v>0</v>
      </c>
      <c r="P167">
        <f>SUM(Table1[[#This Row],[BK_Wholes]:[BK_Reject]])</f>
        <v>0</v>
      </c>
      <c r="Q167">
        <f>Table1[[#This Row],[Before Borma (kg''s)]]-Table1[[#This Row],[After Borma (kg''s)]]</f>
        <v>0</v>
      </c>
      <c r="R167" s="6" t="str">
        <f>IFERROR(Q167/K167%,"")</f>
        <v/>
      </c>
    </row>
    <row r="168" spans="2:18" x14ac:dyDescent="0.3">
      <c r="B168" s="1"/>
      <c r="C168" s="11">
        <f>WEEKNUM(Table1[[#This Row],[Date]])</f>
        <v>0</v>
      </c>
      <c r="D168" s="1" t="str">
        <f>TEXT(Table1[[#This Row],[Date]],"mmm-yy")</f>
        <v>Jan-00</v>
      </c>
      <c r="E168" s="1"/>
      <c r="K168">
        <f>SUM(Table1[[#This Row],[Wholes (kg''s)]:[Rejection (kg''s)]])</f>
        <v>0</v>
      </c>
      <c r="P168">
        <f>SUM(Table1[[#This Row],[BK_Wholes]:[BK_Reject]])</f>
        <v>0</v>
      </c>
      <c r="Q168">
        <f>Table1[[#This Row],[Before Borma (kg''s)]]-Table1[[#This Row],[After Borma (kg''s)]]</f>
        <v>0</v>
      </c>
      <c r="R168" s="6" t="str">
        <f>IFERROR(Q168/K168%,"")</f>
        <v/>
      </c>
    </row>
    <row r="169" spans="2:18" x14ac:dyDescent="0.3">
      <c r="B169" s="1"/>
      <c r="C169" s="11">
        <f>WEEKNUM(Table1[[#This Row],[Date]])</f>
        <v>0</v>
      </c>
      <c r="D169" s="1" t="str">
        <f>TEXT(Table1[[#This Row],[Date]],"mmm-yy")</f>
        <v>Jan-00</v>
      </c>
      <c r="E169" s="1"/>
      <c r="K169">
        <f>SUM(Table1[[#This Row],[Wholes (kg''s)]:[Rejection (kg''s)]])</f>
        <v>0</v>
      </c>
      <c r="P169">
        <f>SUM(Table1[[#This Row],[BK_Wholes]:[BK_Reject]])</f>
        <v>0</v>
      </c>
      <c r="Q169">
        <f>Table1[[#This Row],[Before Borma (kg''s)]]-Table1[[#This Row],[After Borma (kg''s)]]</f>
        <v>0</v>
      </c>
      <c r="R169" s="6" t="str">
        <f>IFERROR(Q169/K169%,"")</f>
        <v/>
      </c>
    </row>
    <row r="170" spans="2:18" x14ac:dyDescent="0.3">
      <c r="B170" s="1"/>
      <c r="C170" s="11">
        <f>WEEKNUM(Table1[[#This Row],[Date]])</f>
        <v>0</v>
      </c>
      <c r="D170" s="1" t="str">
        <f>TEXT(Table1[[#This Row],[Date]],"mmm-yy")</f>
        <v>Jan-00</v>
      </c>
      <c r="E170" s="1"/>
      <c r="K170">
        <f>SUM(Table1[[#This Row],[Wholes (kg''s)]:[Rejection (kg''s)]])</f>
        <v>0</v>
      </c>
      <c r="P170">
        <f>SUM(Table1[[#This Row],[BK_Wholes]:[BK_Reject]])</f>
        <v>0</v>
      </c>
      <c r="Q170">
        <f>Table1[[#This Row],[Before Borma (kg''s)]]-Table1[[#This Row],[After Borma (kg''s)]]</f>
        <v>0</v>
      </c>
      <c r="R170" s="6" t="str">
        <f>IFERROR(Q170/K170%,"")</f>
        <v/>
      </c>
    </row>
    <row r="171" spans="2:18" x14ac:dyDescent="0.3">
      <c r="B171" s="1"/>
      <c r="C171" s="11">
        <f>WEEKNUM(Table1[[#This Row],[Date]])</f>
        <v>0</v>
      </c>
      <c r="D171" s="1" t="str">
        <f>TEXT(Table1[[#This Row],[Date]],"mmm-yy")</f>
        <v>Jan-00</v>
      </c>
      <c r="E171" s="1"/>
      <c r="K171">
        <f>SUM(Table1[[#This Row],[Wholes (kg''s)]:[Rejection (kg''s)]])</f>
        <v>0</v>
      </c>
      <c r="P171">
        <f>SUM(Table1[[#This Row],[BK_Wholes]:[BK_Reject]])</f>
        <v>0</v>
      </c>
      <c r="Q171">
        <f>Table1[[#This Row],[Before Borma (kg''s)]]-Table1[[#This Row],[After Borma (kg''s)]]</f>
        <v>0</v>
      </c>
      <c r="R171" s="6" t="str">
        <f>IFERROR(Q171/K171%,"")</f>
        <v/>
      </c>
    </row>
    <row r="172" spans="2:18" x14ac:dyDescent="0.3">
      <c r="B172" s="1"/>
      <c r="C172" s="11">
        <f>WEEKNUM(Table1[[#This Row],[Date]])</f>
        <v>0</v>
      </c>
      <c r="D172" s="1" t="str">
        <f>TEXT(Table1[[#This Row],[Date]],"mmm-yy")</f>
        <v>Jan-00</v>
      </c>
      <c r="E172" s="1"/>
      <c r="K172">
        <f>SUM(Table1[[#This Row],[Wholes (kg''s)]:[Rejection (kg''s)]])</f>
        <v>0</v>
      </c>
      <c r="P172">
        <f>SUM(Table1[[#This Row],[BK_Wholes]:[BK_Reject]])</f>
        <v>0</v>
      </c>
      <c r="Q172">
        <f>Table1[[#This Row],[Before Borma (kg''s)]]-Table1[[#This Row],[After Borma (kg''s)]]</f>
        <v>0</v>
      </c>
      <c r="R172" s="6" t="str">
        <f>IFERROR(Q172/K172%,"")</f>
        <v/>
      </c>
    </row>
    <row r="173" spans="2:18" x14ac:dyDescent="0.3">
      <c r="B173" s="1"/>
      <c r="C173" s="11">
        <f>WEEKNUM(Table1[[#This Row],[Date]])</f>
        <v>0</v>
      </c>
      <c r="D173" s="1" t="str">
        <f>TEXT(Table1[[#This Row],[Date]],"mmm-yy")</f>
        <v>Jan-00</v>
      </c>
      <c r="E173" s="1"/>
      <c r="K173">
        <f>SUM(Table1[[#This Row],[Wholes (kg''s)]:[Rejection (kg''s)]])</f>
        <v>0</v>
      </c>
      <c r="P173">
        <f>SUM(Table1[[#This Row],[BK_Wholes]:[BK_Reject]])</f>
        <v>0</v>
      </c>
      <c r="Q173">
        <f>Table1[[#This Row],[Before Borma (kg''s)]]-Table1[[#This Row],[After Borma (kg''s)]]</f>
        <v>0</v>
      </c>
      <c r="R173" s="6" t="str">
        <f>IFERROR(Q173/K173%,"")</f>
        <v/>
      </c>
    </row>
    <row r="174" spans="2:18" x14ac:dyDescent="0.3">
      <c r="B174" s="1"/>
      <c r="C174" s="11">
        <f>WEEKNUM(Table1[[#This Row],[Date]])</f>
        <v>0</v>
      </c>
      <c r="D174" s="1" t="str">
        <f>TEXT(Table1[[#This Row],[Date]],"mmm-yy")</f>
        <v>Jan-00</v>
      </c>
      <c r="E174" s="1"/>
      <c r="K174">
        <f>SUM(Table1[[#This Row],[Wholes (kg''s)]:[Rejection (kg''s)]])</f>
        <v>0</v>
      </c>
      <c r="P174">
        <f>SUM(Table1[[#This Row],[BK_Wholes]:[BK_Reject]])</f>
        <v>0</v>
      </c>
      <c r="Q174">
        <f>Table1[[#This Row],[Before Borma (kg''s)]]-Table1[[#This Row],[After Borma (kg''s)]]</f>
        <v>0</v>
      </c>
      <c r="R174" s="6" t="str">
        <f>IFERROR(Q174/K174%,"")</f>
        <v/>
      </c>
    </row>
    <row r="175" spans="2:18" x14ac:dyDescent="0.3">
      <c r="B175" s="1"/>
      <c r="C175" s="11">
        <f>WEEKNUM(Table1[[#This Row],[Date]])</f>
        <v>0</v>
      </c>
      <c r="D175" s="1" t="str">
        <f>TEXT(Table1[[#This Row],[Date]],"mmm-yy")</f>
        <v>Jan-00</v>
      </c>
      <c r="E175" s="1"/>
      <c r="K175">
        <f>SUM(Table1[[#This Row],[Wholes (kg''s)]:[Rejection (kg''s)]])</f>
        <v>0</v>
      </c>
      <c r="P175">
        <f>SUM(Table1[[#This Row],[BK_Wholes]:[BK_Reject]])</f>
        <v>0</v>
      </c>
      <c r="Q175">
        <f>Table1[[#This Row],[Before Borma (kg''s)]]-Table1[[#This Row],[After Borma (kg''s)]]</f>
        <v>0</v>
      </c>
      <c r="R175" s="6" t="str">
        <f>IFERROR(Q175/K175%,"")</f>
        <v/>
      </c>
    </row>
    <row r="176" spans="2:18" x14ac:dyDescent="0.3">
      <c r="B176" s="1"/>
      <c r="C176" s="11">
        <f>WEEKNUM(Table1[[#This Row],[Date]])</f>
        <v>0</v>
      </c>
      <c r="D176" s="1" t="str">
        <f>TEXT(Table1[[#This Row],[Date]],"mmm-yy")</f>
        <v>Jan-00</v>
      </c>
      <c r="E176" s="1"/>
      <c r="K176">
        <f>SUM(Table1[[#This Row],[Wholes (kg''s)]:[Rejection (kg''s)]])</f>
        <v>0</v>
      </c>
      <c r="P176">
        <f>SUM(Table1[[#This Row],[BK_Wholes]:[BK_Reject]])</f>
        <v>0</v>
      </c>
      <c r="Q176">
        <f>Table1[[#This Row],[Before Borma (kg''s)]]-Table1[[#This Row],[After Borma (kg''s)]]</f>
        <v>0</v>
      </c>
      <c r="R176" s="6" t="str">
        <f>IFERROR(Q176/K176%,"")</f>
        <v/>
      </c>
    </row>
    <row r="177" spans="2:18" x14ac:dyDescent="0.3">
      <c r="B177" s="1"/>
      <c r="C177" s="11">
        <f>WEEKNUM(Table1[[#This Row],[Date]])</f>
        <v>0</v>
      </c>
      <c r="D177" s="1" t="str">
        <f>TEXT(Table1[[#This Row],[Date]],"mmm-yy")</f>
        <v>Jan-00</v>
      </c>
      <c r="E177" s="1"/>
      <c r="K177">
        <f>SUM(Table1[[#This Row],[Wholes (kg''s)]:[Rejection (kg''s)]])</f>
        <v>0</v>
      </c>
      <c r="P177">
        <f>SUM(Table1[[#This Row],[BK_Wholes]:[BK_Reject]])</f>
        <v>0</v>
      </c>
      <c r="Q177">
        <f>Table1[[#This Row],[Before Borma (kg''s)]]-Table1[[#This Row],[After Borma (kg''s)]]</f>
        <v>0</v>
      </c>
      <c r="R177" s="6" t="str">
        <f>IFERROR(Q177/K177%,"")</f>
        <v/>
      </c>
    </row>
    <row r="178" spans="2:18" x14ac:dyDescent="0.3">
      <c r="B178" s="1"/>
      <c r="C178" s="11">
        <f>WEEKNUM(Table1[[#This Row],[Date]])</f>
        <v>0</v>
      </c>
      <c r="D178" s="1" t="str">
        <f>TEXT(Table1[[#This Row],[Date]],"mmm-yy")</f>
        <v>Jan-00</v>
      </c>
      <c r="E178" s="1"/>
      <c r="K178">
        <f>SUM(Table1[[#This Row],[Wholes (kg''s)]:[Rejection (kg''s)]])</f>
        <v>0</v>
      </c>
      <c r="P178">
        <f>SUM(Table1[[#This Row],[BK_Wholes]:[BK_Reject]])</f>
        <v>0</v>
      </c>
      <c r="Q178">
        <f>Table1[[#This Row],[Before Borma (kg''s)]]-Table1[[#This Row],[After Borma (kg''s)]]</f>
        <v>0</v>
      </c>
      <c r="R178" s="6" t="str">
        <f>IFERROR(Q178/K178%,"")</f>
        <v/>
      </c>
    </row>
    <row r="179" spans="2:18" x14ac:dyDescent="0.3">
      <c r="B179" s="1"/>
      <c r="C179" s="11">
        <f>WEEKNUM(Table1[[#This Row],[Date]])</f>
        <v>0</v>
      </c>
      <c r="D179" s="1" t="str">
        <f>TEXT(Table1[[#This Row],[Date]],"mmm-yy")</f>
        <v>Jan-00</v>
      </c>
      <c r="E179" s="1"/>
      <c r="K179">
        <f>SUM(Table1[[#This Row],[Wholes (kg''s)]:[Rejection (kg''s)]])</f>
        <v>0</v>
      </c>
      <c r="P179">
        <f>SUM(Table1[[#This Row],[BK_Wholes]:[BK_Reject]])</f>
        <v>0</v>
      </c>
      <c r="Q179">
        <f>Table1[[#This Row],[Before Borma (kg''s)]]-Table1[[#This Row],[After Borma (kg''s)]]</f>
        <v>0</v>
      </c>
      <c r="R179" s="6" t="str">
        <f>IFERROR(Q179/K179%,"")</f>
        <v/>
      </c>
    </row>
    <row r="180" spans="2:18" x14ac:dyDescent="0.3">
      <c r="B180" s="1"/>
      <c r="C180" s="11">
        <f>WEEKNUM(Table1[[#This Row],[Date]])</f>
        <v>0</v>
      </c>
      <c r="D180" s="1" t="str">
        <f>TEXT(Table1[[#This Row],[Date]],"mmm-yy")</f>
        <v>Jan-00</v>
      </c>
      <c r="E180" s="1"/>
      <c r="K180">
        <f>SUM(Table1[[#This Row],[Wholes (kg''s)]:[Rejection (kg''s)]])</f>
        <v>0</v>
      </c>
      <c r="P180">
        <f>SUM(Table1[[#This Row],[BK_Wholes]:[BK_Reject]])</f>
        <v>0</v>
      </c>
      <c r="Q180">
        <f>Table1[[#This Row],[Before Borma (kg''s)]]-Table1[[#This Row],[After Borma (kg''s)]]</f>
        <v>0</v>
      </c>
      <c r="R180" s="6" t="str">
        <f>IFERROR(Q180/K180%,"")</f>
        <v/>
      </c>
    </row>
    <row r="181" spans="2:18" x14ac:dyDescent="0.3">
      <c r="B181" s="1"/>
      <c r="C181" s="11">
        <f>WEEKNUM(Table1[[#This Row],[Date]])</f>
        <v>0</v>
      </c>
      <c r="D181" s="1" t="str">
        <f>TEXT(Table1[[#This Row],[Date]],"mmm-yy")</f>
        <v>Jan-00</v>
      </c>
      <c r="E181" s="1"/>
      <c r="K181">
        <f>SUM(Table1[[#This Row],[Wholes (kg''s)]:[Rejection (kg''s)]])</f>
        <v>0</v>
      </c>
      <c r="P181">
        <f>SUM(Table1[[#This Row],[BK_Wholes]:[BK_Reject]])</f>
        <v>0</v>
      </c>
      <c r="Q181">
        <f>Table1[[#This Row],[Before Borma (kg''s)]]-Table1[[#This Row],[After Borma (kg''s)]]</f>
        <v>0</v>
      </c>
      <c r="R181" s="6" t="str">
        <f>IFERROR(Q181/K181%,"")</f>
        <v/>
      </c>
    </row>
    <row r="182" spans="2:18" x14ac:dyDescent="0.3">
      <c r="B182" s="1"/>
      <c r="C182" s="11">
        <f>WEEKNUM(Table1[[#This Row],[Date]])</f>
        <v>0</v>
      </c>
      <c r="D182" s="1" t="str">
        <f>TEXT(Table1[[#This Row],[Date]],"mmm-yy")</f>
        <v>Jan-00</v>
      </c>
      <c r="E182" s="1"/>
      <c r="K182">
        <f>SUM(Table1[[#This Row],[Wholes (kg''s)]:[Rejection (kg''s)]])</f>
        <v>0</v>
      </c>
      <c r="P182">
        <f>SUM(Table1[[#This Row],[BK_Wholes]:[BK_Reject]])</f>
        <v>0</v>
      </c>
      <c r="Q182">
        <f>Table1[[#This Row],[Before Borma (kg''s)]]-Table1[[#This Row],[After Borma (kg''s)]]</f>
        <v>0</v>
      </c>
      <c r="R182" s="6" t="str">
        <f>IFERROR(Q182/K182%,"")</f>
        <v/>
      </c>
    </row>
    <row r="183" spans="2:18" x14ac:dyDescent="0.3">
      <c r="B183" s="1"/>
      <c r="C183" s="11">
        <f>WEEKNUM(Table1[[#This Row],[Date]])</f>
        <v>0</v>
      </c>
      <c r="D183" s="1" t="str">
        <f>TEXT(Table1[[#This Row],[Date]],"mmm-yy")</f>
        <v>Jan-00</v>
      </c>
      <c r="E183" s="1"/>
      <c r="K183">
        <f>SUM(Table1[[#This Row],[Wholes (kg''s)]:[Rejection (kg''s)]])</f>
        <v>0</v>
      </c>
      <c r="P183">
        <f>SUM(Table1[[#This Row],[BK_Wholes]:[BK_Reject]])</f>
        <v>0</v>
      </c>
      <c r="Q183">
        <f>Table1[[#This Row],[Before Borma (kg''s)]]-Table1[[#This Row],[After Borma (kg''s)]]</f>
        <v>0</v>
      </c>
      <c r="R183" s="6" t="str">
        <f>IFERROR(Q183/K183%,"")</f>
        <v/>
      </c>
    </row>
    <row r="184" spans="2:18" x14ac:dyDescent="0.3">
      <c r="B184" s="1"/>
      <c r="C184" s="11">
        <f>WEEKNUM(Table1[[#This Row],[Date]])</f>
        <v>0</v>
      </c>
      <c r="D184" s="1" t="str">
        <f>TEXT(Table1[[#This Row],[Date]],"mmm-yy")</f>
        <v>Jan-00</v>
      </c>
      <c r="E184" s="1"/>
      <c r="K184">
        <f>SUM(Table1[[#This Row],[Wholes (kg''s)]:[Rejection (kg''s)]])</f>
        <v>0</v>
      </c>
      <c r="P184">
        <f>SUM(Table1[[#This Row],[BK_Wholes]:[BK_Reject]])</f>
        <v>0</v>
      </c>
      <c r="Q184">
        <f>Table1[[#This Row],[Before Borma (kg''s)]]-Table1[[#This Row],[After Borma (kg''s)]]</f>
        <v>0</v>
      </c>
      <c r="R184" s="6" t="str">
        <f>IFERROR(Q184/K184%,"")</f>
        <v/>
      </c>
    </row>
    <row r="185" spans="2:18" x14ac:dyDescent="0.3">
      <c r="B185" s="1"/>
      <c r="C185" s="11">
        <f>WEEKNUM(Table1[[#This Row],[Date]])</f>
        <v>0</v>
      </c>
      <c r="D185" s="1" t="str">
        <f>TEXT(Table1[[#This Row],[Date]],"mmm-yy")</f>
        <v>Jan-00</v>
      </c>
      <c r="E185" s="1"/>
      <c r="K185">
        <f>SUM(Table1[[#This Row],[Wholes (kg''s)]:[Rejection (kg''s)]])</f>
        <v>0</v>
      </c>
      <c r="P185">
        <f>SUM(Table1[[#This Row],[BK_Wholes]:[BK_Reject]])</f>
        <v>0</v>
      </c>
      <c r="Q185">
        <f>Table1[[#This Row],[Before Borma (kg''s)]]-Table1[[#This Row],[After Borma (kg''s)]]</f>
        <v>0</v>
      </c>
      <c r="R185" s="6" t="str">
        <f>IFERROR(Q185/K185%,"")</f>
        <v/>
      </c>
    </row>
    <row r="186" spans="2:18" x14ac:dyDescent="0.3">
      <c r="B186" s="1"/>
      <c r="C186" s="11">
        <f>WEEKNUM(Table1[[#This Row],[Date]])</f>
        <v>0</v>
      </c>
      <c r="D186" s="1" t="str">
        <f>TEXT(Table1[[#This Row],[Date]],"mmm-yy")</f>
        <v>Jan-00</v>
      </c>
      <c r="E186" s="1"/>
      <c r="K186">
        <f>SUM(Table1[[#This Row],[Wholes (kg''s)]:[Rejection (kg''s)]])</f>
        <v>0</v>
      </c>
      <c r="P186">
        <f>SUM(Table1[[#This Row],[BK_Wholes]:[BK_Reject]])</f>
        <v>0</v>
      </c>
      <c r="Q186">
        <f>Table1[[#This Row],[Before Borma (kg''s)]]-Table1[[#This Row],[After Borma (kg''s)]]</f>
        <v>0</v>
      </c>
      <c r="R186" s="6" t="str">
        <f>IFERROR(Q186/K186%,"")</f>
        <v/>
      </c>
    </row>
    <row r="187" spans="2:18" x14ac:dyDescent="0.3">
      <c r="B187" s="1"/>
      <c r="C187" s="11">
        <f>WEEKNUM(Table1[[#This Row],[Date]])</f>
        <v>0</v>
      </c>
      <c r="D187" s="1" t="str">
        <f>TEXT(Table1[[#This Row],[Date]],"mmm-yy")</f>
        <v>Jan-00</v>
      </c>
      <c r="E187" s="1"/>
      <c r="K187">
        <f>SUM(Table1[[#This Row],[Wholes (kg''s)]:[Rejection (kg''s)]])</f>
        <v>0</v>
      </c>
      <c r="P187">
        <f>SUM(Table1[[#This Row],[BK_Wholes]:[BK_Reject]])</f>
        <v>0</v>
      </c>
      <c r="Q187">
        <f>Table1[[#This Row],[Before Borma (kg''s)]]-Table1[[#This Row],[After Borma (kg''s)]]</f>
        <v>0</v>
      </c>
      <c r="R187" s="6" t="str">
        <f>IFERROR(Q187/K187%,"")</f>
        <v/>
      </c>
    </row>
    <row r="188" spans="2:18" x14ac:dyDescent="0.3">
      <c r="B188" s="1"/>
      <c r="C188" s="11">
        <f>WEEKNUM(Table1[[#This Row],[Date]])</f>
        <v>0</v>
      </c>
      <c r="D188" s="1" t="str">
        <f>TEXT(Table1[[#This Row],[Date]],"mmm-yy")</f>
        <v>Jan-00</v>
      </c>
      <c r="E188" s="1"/>
      <c r="K188">
        <f>SUM(Table1[[#This Row],[Wholes (kg''s)]:[Rejection (kg''s)]])</f>
        <v>0</v>
      </c>
      <c r="P188">
        <f>SUM(Table1[[#This Row],[BK_Wholes]:[BK_Reject]])</f>
        <v>0</v>
      </c>
      <c r="Q188">
        <f>Table1[[#This Row],[Before Borma (kg''s)]]-Table1[[#This Row],[After Borma (kg''s)]]</f>
        <v>0</v>
      </c>
      <c r="R188" s="6" t="str">
        <f>IFERROR(Q188/K188%,"")</f>
        <v/>
      </c>
    </row>
    <row r="189" spans="2:18" x14ac:dyDescent="0.3">
      <c r="B189" s="1"/>
      <c r="C189" s="11">
        <f>WEEKNUM(Table1[[#This Row],[Date]])</f>
        <v>0</v>
      </c>
      <c r="D189" s="1" t="str">
        <f>TEXT(Table1[[#This Row],[Date]],"mmm-yy")</f>
        <v>Jan-00</v>
      </c>
      <c r="E189" s="1"/>
      <c r="K189">
        <f>SUM(Table1[[#This Row],[Wholes (kg''s)]:[Rejection (kg''s)]])</f>
        <v>0</v>
      </c>
      <c r="P189">
        <f>SUM(Table1[[#This Row],[BK_Wholes]:[BK_Reject]])</f>
        <v>0</v>
      </c>
      <c r="Q189">
        <f>Table1[[#This Row],[Before Borma (kg''s)]]-Table1[[#This Row],[After Borma (kg''s)]]</f>
        <v>0</v>
      </c>
      <c r="R189" s="6" t="str">
        <f>IFERROR(Q189/K189%,"")</f>
        <v/>
      </c>
    </row>
    <row r="190" spans="2:18" x14ac:dyDescent="0.3">
      <c r="B190" s="1"/>
      <c r="C190" s="11">
        <f>WEEKNUM(Table1[[#This Row],[Date]])</f>
        <v>0</v>
      </c>
      <c r="D190" s="1" t="str">
        <f>TEXT(Table1[[#This Row],[Date]],"mmm-yy")</f>
        <v>Jan-00</v>
      </c>
      <c r="E190" s="1"/>
      <c r="K190">
        <f>SUM(Table1[[#This Row],[Wholes (kg''s)]:[Rejection (kg''s)]])</f>
        <v>0</v>
      </c>
      <c r="P190">
        <f>SUM(Table1[[#This Row],[BK_Wholes]:[BK_Reject]])</f>
        <v>0</v>
      </c>
      <c r="Q190">
        <f>Table1[[#This Row],[Before Borma (kg''s)]]-Table1[[#This Row],[After Borma (kg''s)]]</f>
        <v>0</v>
      </c>
      <c r="R190" s="6" t="str">
        <f>IFERROR(Q190/K190%,"")</f>
        <v/>
      </c>
    </row>
    <row r="191" spans="2:18" x14ac:dyDescent="0.3">
      <c r="B191" s="1"/>
      <c r="C191" s="11">
        <f>WEEKNUM(Table1[[#This Row],[Date]])</f>
        <v>0</v>
      </c>
      <c r="D191" s="1" t="str">
        <f>TEXT(Table1[[#This Row],[Date]],"mmm-yy")</f>
        <v>Jan-00</v>
      </c>
      <c r="E191" s="1"/>
      <c r="K191">
        <f>SUM(Table1[[#This Row],[Wholes (kg''s)]:[Rejection (kg''s)]])</f>
        <v>0</v>
      </c>
      <c r="P191">
        <f>SUM(Table1[[#This Row],[BK_Wholes]:[BK_Reject]])</f>
        <v>0</v>
      </c>
      <c r="Q191">
        <f>Table1[[#This Row],[Before Borma (kg''s)]]-Table1[[#This Row],[After Borma (kg''s)]]</f>
        <v>0</v>
      </c>
      <c r="R191" s="6" t="str">
        <f>IFERROR(Q191/K191%,"")</f>
        <v/>
      </c>
    </row>
    <row r="192" spans="2:18" x14ac:dyDescent="0.3">
      <c r="B192" s="1"/>
      <c r="C192" s="11">
        <f>WEEKNUM(Table1[[#This Row],[Date]])</f>
        <v>0</v>
      </c>
      <c r="D192" s="1" t="str">
        <f>TEXT(Table1[[#This Row],[Date]],"mmm-yy")</f>
        <v>Jan-00</v>
      </c>
      <c r="E192" s="1"/>
      <c r="K192">
        <f>SUM(Table1[[#This Row],[Wholes (kg''s)]:[Rejection (kg''s)]])</f>
        <v>0</v>
      </c>
      <c r="P192">
        <f>SUM(Table1[[#This Row],[BK_Wholes]:[BK_Reject]])</f>
        <v>0</v>
      </c>
      <c r="Q192">
        <f>Table1[[#This Row],[Before Borma (kg''s)]]-Table1[[#This Row],[After Borma (kg''s)]]</f>
        <v>0</v>
      </c>
      <c r="R192" s="6" t="str">
        <f>IFERROR(Q192/K192%,"")</f>
        <v/>
      </c>
    </row>
    <row r="193" spans="2:18" x14ac:dyDescent="0.3">
      <c r="B193" s="1"/>
      <c r="C193" s="11">
        <f>WEEKNUM(Table1[[#This Row],[Date]])</f>
        <v>0</v>
      </c>
      <c r="D193" s="1" t="str">
        <f>TEXT(Table1[[#This Row],[Date]],"mmm-yy")</f>
        <v>Jan-00</v>
      </c>
      <c r="E193" s="1"/>
      <c r="K193">
        <f>SUM(Table1[[#This Row],[Wholes (kg''s)]:[Rejection (kg''s)]])</f>
        <v>0</v>
      </c>
      <c r="P193">
        <f>SUM(Table1[[#This Row],[BK_Wholes]:[BK_Reject]])</f>
        <v>0</v>
      </c>
      <c r="Q193">
        <f>Table1[[#This Row],[Before Borma (kg''s)]]-Table1[[#This Row],[After Borma (kg''s)]]</f>
        <v>0</v>
      </c>
      <c r="R193" s="6" t="str">
        <f>IFERROR(Q193/K193%,"")</f>
        <v/>
      </c>
    </row>
    <row r="194" spans="2:18" x14ac:dyDescent="0.3">
      <c r="B194" s="1"/>
      <c r="C194" s="11">
        <f>WEEKNUM(Table1[[#This Row],[Date]])</f>
        <v>0</v>
      </c>
      <c r="D194" s="1" t="str">
        <f>TEXT(Table1[[#This Row],[Date]],"mmm-yy")</f>
        <v>Jan-00</v>
      </c>
      <c r="E194" s="1"/>
      <c r="K194">
        <f>SUM(Table1[[#This Row],[Wholes (kg''s)]:[Rejection (kg''s)]])</f>
        <v>0</v>
      </c>
      <c r="P194">
        <f>SUM(Table1[[#This Row],[BK_Wholes]:[BK_Reject]])</f>
        <v>0</v>
      </c>
      <c r="Q194">
        <f>Table1[[#This Row],[Before Borma (kg''s)]]-Table1[[#This Row],[After Borma (kg''s)]]</f>
        <v>0</v>
      </c>
      <c r="R194" s="6" t="str">
        <f>IFERROR(Q194/K194%,"")</f>
        <v/>
      </c>
    </row>
    <row r="195" spans="2:18" x14ac:dyDescent="0.3">
      <c r="B195" s="1"/>
      <c r="C195" s="11">
        <f>WEEKNUM(Table1[[#This Row],[Date]])</f>
        <v>0</v>
      </c>
      <c r="D195" s="1" t="str">
        <f>TEXT(Table1[[#This Row],[Date]],"mmm-yy")</f>
        <v>Jan-00</v>
      </c>
      <c r="E195" s="1"/>
      <c r="K195">
        <f>SUM(Table1[[#This Row],[Wholes (kg''s)]:[Rejection (kg''s)]])</f>
        <v>0</v>
      </c>
      <c r="P195">
        <f>SUM(Table1[[#This Row],[BK_Wholes]:[BK_Reject]])</f>
        <v>0</v>
      </c>
      <c r="Q195">
        <f>Table1[[#This Row],[Before Borma (kg''s)]]-Table1[[#This Row],[After Borma (kg''s)]]</f>
        <v>0</v>
      </c>
      <c r="R195" s="6" t="str">
        <f>IFERROR(Q195/K195%,"")</f>
        <v/>
      </c>
    </row>
    <row r="196" spans="2:18" x14ac:dyDescent="0.3">
      <c r="B196" s="1"/>
      <c r="C196" s="11">
        <f>WEEKNUM(Table1[[#This Row],[Date]])</f>
        <v>0</v>
      </c>
      <c r="D196" s="1" t="str">
        <f>TEXT(Table1[[#This Row],[Date]],"mmm-yy")</f>
        <v>Jan-00</v>
      </c>
      <c r="E196" s="1"/>
      <c r="K196">
        <f>SUM(Table1[[#This Row],[Wholes (kg''s)]:[Rejection (kg''s)]])</f>
        <v>0</v>
      </c>
      <c r="P196">
        <f>SUM(Table1[[#This Row],[BK_Wholes]:[BK_Reject]])</f>
        <v>0</v>
      </c>
      <c r="Q196">
        <f>Table1[[#This Row],[Before Borma (kg''s)]]-Table1[[#This Row],[After Borma (kg''s)]]</f>
        <v>0</v>
      </c>
      <c r="R196" s="6" t="str">
        <f>IFERROR(Q196/K196%,"")</f>
        <v/>
      </c>
    </row>
    <row r="197" spans="2:18" x14ac:dyDescent="0.3">
      <c r="B197" s="1"/>
      <c r="C197" s="11">
        <f>WEEKNUM(Table1[[#This Row],[Date]])</f>
        <v>0</v>
      </c>
      <c r="D197" s="1" t="str">
        <f>TEXT(Table1[[#This Row],[Date]],"mmm-yy")</f>
        <v>Jan-00</v>
      </c>
      <c r="E197" s="1"/>
      <c r="K197">
        <f>SUM(Table1[[#This Row],[Wholes (kg''s)]:[Rejection (kg''s)]])</f>
        <v>0</v>
      </c>
      <c r="P197">
        <f>SUM(Table1[[#This Row],[BK_Wholes]:[BK_Reject]])</f>
        <v>0</v>
      </c>
      <c r="Q197">
        <f>Table1[[#This Row],[Before Borma (kg''s)]]-Table1[[#This Row],[After Borma (kg''s)]]</f>
        <v>0</v>
      </c>
      <c r="R197" s="6" t="str">
        <f>IFERROR(Q197/K197%,"")</f>
        <v/>
      </c>
    </row>
    <row r="198" spans="2:18" x14ac:dyDescent="0.3">
      <c r="B198" s="1"/>
      <c r="C198" s="11">
        <f>WEEKNUM(Table1[[#This Row],[Date]])</f>
        <v>0</v>
      </c>
      <c r="D198" s="1" t="str">
        <f>TEXT(Table1[[#This Row],[Date]],"mmm-yy")</f>
        <v>Jan-00</v>
      </c>
      <c r="E198" s="1"/>
      <c r="K198">
        <f>SUM(Table1[[#This Row],[Wholes (kg''s)]:[Rejection (kg''s)]])</f>
        <v>0</v>
      </c>
      <c r="P198">
        <f>SUM(Table1[[#This Row],[BK_Wholes]:[BK_Reject]])</f>
        <v>0</v>
      </c>
      <c r="Q198">
        <f>Table1[[#This Row],[Before Borma (kg''s)]]-Table1[[#This Row],[After Borma (kg''s)]]</f>
        <v>0</v>
      </c>
      <c r="R198" s="6" t="str">
        <f>IFERROR(Q198/K198%,"")</f>
        <v/>
      </c>
    </row>
    <row r="199" spans="2:18" x14ac:dyDescent="0.3">
      <c r="B199" s="1"/>
      <c r="C199" s="11">
        <f>WEEKNUM(Table1[[#This Row],[Date]])</f>
        <v>0</v>
      </c>
      <c r="D199" s="1" t="str">
        <f>TEXT(Table1[[#This Row],[Date]],"mmm-yy")</f>
        <v>Jan-00</v>
      </c>
      <c r="E199" s="1"/>
      <c r="K199">
        <f>SUM(Table1[[#This Row],[Wholes (kg''s)]:[Rejection (kg''s)]])</f>
        <v>0</v>
      </c>
      <c r="P199">
        <f>SUM(Table1[[#This Row],[BK_Wholes]:[BK_Reject]])</f>
        <v>0</v>
      </c>
      <c r="Q199">
        <f>Table1[[#This Row],[Before Borma (kg''s)]]-Table1[[#This Row],[After Borma (kg''s)]]</f>
        <v>0</v>
      </c>
      <c r="R199" s="6" t="str">
        <f>IFERROR(Q199/K199%,"")</f>
        <v/>
      </c>
    </row>
    <row r="200" spans="2:18" x14ac:dyDescent="0.3">
      <c r="B200" s="1"/>
      <c r="C200" s="11">
        <f>WEEKNUM(Table1[[#This Row],[Date]])</f>
        <v>0</v>
      </c>
      <c r="D200" s="1" t="str">
        <f>TEXT(Table1[[#This Row],[Date]],"mmm-yy")</f>
        <v>Jan-00</v>
      </c>
      <c r="E200" s="1"/>
      <c r="K200">
        <f>SUM(Table1[[#This Row],[Wholes (kg''s)]:[Rejection (kg''s)]])</f>
        <v>0</v>
      </c>
      <c r="P200">
        <f>SUM(Table1[[#This Row],[BK_Wholes]:[BK_Reject]])</f>
        <v>0</v>
      </c>
      <c r="Q200">
        <f>Table1[[#This Row],[Before Borma (kg''s)]]-Table1[[#This Row],[After Borma (kg''s)]]</f>
        <v>0</v>
      </c>
      <c r="R200" s="6" t="str">
        <f>IFERROR(Q200/K200%,"")</f>
        <v/>
      </c>
    </row>
    <row r="201" spans="2:18" x14ac:dyDescent="0.3">
      <c r="B201" s="1"/>
      <c r="C201" s="11">
        <f>WEEKNUM(Table1[[#This Row],[Date]])</f>
        <v>0</v>
      </c>
      <c r="D201" s="1" t="str">
        <f>TEXT(Table1[[#This Row],[Date]],"mmm-yy")</f>
        <v>Jan-00</v>
      </c>
      <c r="E201" s="1"/>
      <c r="K201">
        <f>SUM(Table1[[#This Row],[Wholes (kg''s)]:[Rejection (kg''s)]])</f>
        <v>0</v>
      </c>
      <c r="P201">
        <f>SUM(Table1[[#This Row],[BK_Wholes]:[BK_Reject]])</f>
        <v>0</v>
      </c>
      <c r="Q201">
        <f>Table1[[#This Row],[Before Borma (kg''s)]]-Table1[[#This Row],[After Borma (kg''s)]]</f>
        <v>0</v>
      </c>
      <c r="R201" s="6" t="str">
        <f>IFERROR(Q201/K201%,"")</f>
        <v/>
      </c>
    </row>
    <row r="202" spans="2:18" x14ac:dyDescent="0.3">
      <c r="B202" s="1"/>
      <c r="C202" s="11">
        <f>WEEKNUM(Table1[[#This Row],[Date]])</f>
        <v>0</v>
      </c>
      <c r="D202" s="1" t="str">
        <f>TEXT(Table1[[#This Row],[Date]],"mmm-yy")</f>
        <v>Jan-00</v>
      </c>
      <c r="E202" s="1"/>
      <c r="K202">
        <f>SUM(Table1[[#This Row],[Wholes (kg''s)]:[Rejection (kg''s)]])</f>
        <v>0</v>
      </c>
      <c r="P202">
        <f>SUM(Table1[[#This Row],[BK_Wholes]:[BK_Reject]])</f>
        <v>0</v>
      </c>
      <c r="Q202">
        <f>Table1[[#This Row],[Before Borma (kg''s)]]-Table1[[#This Row],[After Borma (kg''s)]]</f>
        <v>0</v>
      </c>
      <c r="R202" s="6" t="str">
        <f>IFERROR(Q202/K202%,"")</f>
        <v/>
      </c>
    </row>
    <row r="203" spans="2:18" x14ac:dyDescent="0.3">
      <c r="B203" s="1"/>
      <c r="C203" s="11">
        <f>WEEKNUM(Table1[[#This Row],[Date]])</f>
        <v>0</v>
      </c>
      <c r="D203" s="1" t="str">
        <f>TEXT(Table1[[#This Row],[Date]],"mmm-yy")</f>
        <v>Jan-00</v>
      </c>
      <c r="E203" s="1"/>
      <c r="K203">
        <f>SUM(Table1[[#This Row],[Wholes (kg''s)]:[Rejection (kg''s)]])</f>
        <v>0</v>
      </c>
      <c r="P203">
        <f>SUM(Table1[[#This Row],[BK_Wholes]:[BK_Reject]])</f>
        <v>0</v>
      </c>
      <c r="Q203">
        <f>Table1[[#This Row],[Before Borma (kg''s)]]-Table1[[#This Row],[After Borma (kg''s)]]</f>
        <v>0</v>
      </c>
      <c r="R203" s="6" t="str">
        <f>IFERROR(Q203/K203%,"")</f>
        <v/>
      </c>
    </row>
    <row r="204" spans="2:18" x14ac:dyDescent="0.3">
      <c r="B204" s="1"/>
      <c r="C204" s="11">
        <f>WEEKNUM(Table1[[#This Row],[Date]])</f>
        <v>0</v>
      </c>
      <c r="D204" s="1" t="str">
        <f>TEXT(Table1[[#This Row],[Date]],"mmm-yy")</f>
        <v>Jan-00</v>
      </c>
      <c r="E204" s="1"/>
      <c r="K204">
        <f>SUM(Table1[[#This Row],[Wholes (kg''s)]:[Rejection (kg''s)]])</f>
        <v>0</v>
      </c>
      <c r="P204">
        <f>SUM(Table1[[#This Row],[BK_Wholes]:[BK_Reject]])</f>
        <v>0</v>
      </c>
      <c r="Q204">
        <f>Table1[[#This Row],[Before Borma (kg''s)]]-Table1[[#This Row],[After Borma (kg''s)]]</f>
        <v>0</v>
      </c>
      <c r="R204" s="6" t="str">
        <f>IFERROR(Q204/K204%,"")</f>
        <v/>
      </c>
    </row>
    <row r="205" spans="2:18" x14ac:dyDescent="0.3">
      <c r="B205" s="1"/>
      <c r="C205" s="11">
        <f>WEEKNUM(Table1[[#This Row],[Date]])</f>
        <v>0</v>
      </c>
      <c r="D205" s="1" t="str">
        <f>TEXT(Table1[[#This Row],[Date]],"mmm-yy")</f>
        <v>Jan-00</v>
      </c>
      <c r="E205" s="1"/>
      <c r="K205">
        <f>SUM(Table1[[#This Row],[Wholes (kg''s)]:[Rejection (kg''s)]])</f>
        <v>0</v>
      </c>
      <c r="P205">
        <f>SUM(Table1[[#This Row],[BK_Wholes]:[BK_Reject]])</f>
        <v>0</v>
      </c>
      <c r="Q205">
        <f>Table1[[#This Row],[Before Borma (kg''s)]]-Table1[[#This Row],[After Borma (kg''s)]]</f>
        <v>0</v>
      </c>
      <c r="R205" s="6" t="str">
        <f>IFERROR(Q205/K205%,"")</f>
        <v/>
      </c>
    </row>
    <row r="206" spans="2:18" x14ac:dyDescent="0.3">
      <c r="B206" s="1"/>
      <c r="C206" s="11">
        <f>WEEKNUM(Table1[[#This Row],[Date]])</f>
        <v>0</v>
      </c>
      <c r="D206" s="1" t="str">
        <f>TEXT(Table1[[#This Row],[Date]],"mmm-yy")</f>
        <v>Jan-00</v>
      </c>
      <c r="E206" s="1"/>
      <c r="K206">
        <f>SUM(Table1[[#This Row],[Wholes (kg''s)]:[Rejection (kg''s)]])</f>
        <v>0</v>
      </c>
      <c r="P206">
        <f>SUM(Table1[[#This Row],[BK_Wholes]:[BK_Reject]])</f>
        <v>0</v>
      </c>
      <c r="Q206">
        <f>Table1[[#This Row],[Before Borma (kg''s)]]-Table1[[#This Row],[After Borma (kg''s)]]</f>
        <v>0</v>
      </c>
      <c r="R206" s="6" t="str">
        <f>IFERROR(Q206/K206%,"")</f>
        <v/>
      </c>
    </row>
    <row r="207" spans="2:18" x14ac:dyDescent="0.3">
      <c r="B207" s="1"/>
      <c r="C207" s="11">
        <f>WEEKNUM(Table1[[#This Row],[Date]])</f>
        <v>0</v>
      </c>
      <c r="D207" s="1" t="str">
        <f>TEXT(Table1[[#This Row],[Date]],"mmm-yy")</f>
        <v>Jan-00</v>
      </c>
      <c r="E207" s="1"/>
      <c r="K207">
        <f>SUM(Table1[[#This Row],[Wholes (kg''s)]:[Rejection (kg''s)]])</f>
        <v>0</v>
      </c>
      <c r="P207">
        <f>SUM(Table1[[#This Row],[BK_Wholes]:[BK_Reject]])</f>
        <v>0</v>
      </c>
      <c r="Q207">
        <f>Table1[[#This Row],[Before Borma (kg''s)]]-Table1[[#This Row],[After Borma (kg''s)]]</f>
        <v>0</v>
      </c>
      <c r="R207" s="6" t="str">
        <f>IFERROR(Q207/K207%,"")</f>
        <v/>
      </c>
    </row>
    <row r="208" spans="2:18" x14ac:dyDescent="0.3">
      <c r="B208" s="1"/>
      <c r="C208" s="11">
        <f>WEEKNUM(Table1[[#This Row],[Date]])</f>
        <v>0</v>
      </c>
      <c r="D208" s="1" t="str">
        <f>TEXT(Table1[[#This Row],[Date]],"mmm-yy")</f>
        <v>Jan-00</v>
      </c>
      <c r="E208" s="1"/>
      <c r="K208">
        <f>SUM(Table1[[#This Row],[Wholes (kg''s)]:[Rejection (kg''s)]])</f>
        <v>0</v>
      </c>
      <c r="P208">
        <f>SUM(Table1[[#This Row],[BK_Wholes]:[BK_Reject]])</f>
        <v>0</v>
      </c>
      <c r="Q208">
        <f>Table1[[#This Row],[Before Borma (kg''s)]]-Table1[[#This Row],[After Borma (kg''s)]]</f>
        <v>0</v>
      </c>
      <c r="R208" s="6" t="str">
        <f>IFERROR(Q208/K208%,"")</f>
        <v/>
      </c>
    </row>
    <row r="209" spans="2:18" x14ac:dyDescent="0.3">
      <c r="B209" s="1"/>
      <c r="C209" s="11">
        <f>WEEKNUM(Table1[[#This Row],[Date]])</f>
        <v>0</v>
      </c>
      <c r="D209" s="1" t="str">
        <f>TEXT(Table1[[#This Row],[Date]],"mmm-yy")</f>
        <v>Jan-00</v>
      </c>
      <c r="E209" s="1"/>
      <c r="K209">
        <f>SUM(Table1[[#This Row],[Wholes (kg''s)]:[Rejection (kg''s)]])</f>
        <v>0</v>
      </c>
      <c r="P209">
        <f>SUM(Table1[[#This Row],[BK_Wholes]:[BK_Reject]])</f>
        <v>0</v>
      </c>
      <c r="Q209">
        <f>Table1[[#This Row],[Before Borma (kg''s)]]-Table1[[#This Row],[After Borma (kg''s)]]</f>
        <v>0</v>
      </c>
      <c r="R209" s="6" t="str">
        <f>IFERROR(Q209/K209%,"")</f>
        <v/>
      </c>
    </row>
    <row r="210" spans="2:18" x14ac:dyDescent="0.3">
      <c r="B210" s="1"/>
      <c r="C210" s="11">
        <f>WEEKNUM(Table1[[#This Row],[Date]])</f>
        <v>0</v>
      </c>
      <c r="D210" s="1" t="str">
        <f>TEXT(Table1[[#This Row],[Date]],"mmm-yy")</f>
        <v>Jan-00</v>
      </c>
      <c r="E210" s="1"/>
      <c r="K210">
        <f>SUM(Table1[[#This Row],[Wholes (kg''s)]:[Rejection (kg''s)]])</f>
        <v>0</v>
      </c>
      <c r="P210">
        <f>SUM(Table1[[#This Row],[BK_Wholes]:[BK_Reject]])</f>
        <v>0</v>
      </c>
      <c r="Q210">
        <f>Table1[[#This Row],[Before Borma (kg''s)]]-Table1[[#This Row],[After Borma (kg''s)]]</f>
        <v>0</v>
      </c>
      <c r="R210" s="6" t="str">
        <f>IFERROR(Q210/K210%,"")</f>
        <v/>
      </c>
    </row>
    <row r="211" spans="2:18" x14ac:dyDescent="0.3">
      <c r="B211" s="1"/>
      <c r="C211" s="11">
        <f>WEEKNUM(Table1[[#This Row],[Date]])</f>
        <v>0</v>
      </c>
      <c r="D211" s="1" t="str">
        <f>TEXT(Table1[[#This Row],[Date]],"mmm-yy")</f>
        <v>Jan-00</v>
      </c>
      <c r="E211" s="1"/>
      <c r="K211">
        <f>SUM(Table1[[#This Row],[Wholes (kg''s)]:[Rejection (kg''s)]])</f>
        <v>0</v>
      </c>
      <c r="P211">
        <f>SUM(Table1[[#This Row],[BK_Wholes]:[BK_Reject]])</f>
        <v>0</v>
      </c>
      <c r="Q211">
        <f>Table1[[#This Row],[Before Borma (kg''s)]]-Table1[[#This Row],[After Borma (kg''s)]]</f>
        <v>0</v>
      </c>
      <c r="R211" s="6" t="str">
        <f>IFERROR(Q211/K211%,"")</f>
        <v/>
      </c>
    </row>
    <row r="212" spans="2:18" x14ac:dyDescent="0.3">
      <c r="B212" s="1"/>
      <c r="C212" s="11">
        <f>WEEKNUM(Table1[[#This Row],[Date]])</f>
        <v>0</v>
      </c>
      <c r="D212" s="1" t="str">
        <f>TEXT(Table1[[#This Row],[Date]],"mmm-yy")</f>
        <v>Jan-00</v>
      </c>
      <c r="E212" s="1"/>
      <c r="K212">
        <f>SUM(Table1[[#This Row],[Wholes (kg''s)]:[Rejection (kg''s)]])</f>
        <v>0</v>
      </c>
      <c r="P212">
        <f>SUM(Table1[[#This Row],[BK_Wholes]:[BK_Reject]])</f>
        <v>0</v>
      </c>
      <c r="Q212">
        <f>Table1[[#This Row],[Before Borma (kg''s)]]-Table1[[#This Row],[After Borma (kg''s)]]</f>
        <v>0</v>
      </c>
      <c r="R212" s="6" t="str">
        <f>IFERROR(Q212/K212%,"")</f>
        <v/>
      </c>
    </row>
    <row r="213" spans="2:18" x14ac:dyDescent="0.3">
      <c r="B213" s="1"/>
      <c r="C213" s="11">
        <f>WEEKNUM(Table1[[#This Row],[Date]])</f>
        <v>0</v>
      </c>
      <c r="D213" s="1" t="str">
        <f>TEXT(Table1[[#This Row],[Date]],"mmm-yy")</f>
        <v>Jan-00</v>
      </c>
      <c r="E213" s="1"/>
      <c r="K213">
        <f>SUM(Table1[[#This Row],[Wholes (kg''s)]:[Rejection (kg''s)]])</f>
        <v>0</v>
      </c>
      <c r="P213">
        <f>SUM(Table1[[#This Row],[BK_Wholes]:[BK_Reject]])</f>
        <v>0</v>
      </c>
      <c r="Q213">
        <f>Table1[[#This Row],[Before Borma (kg''s)]]-Table1[[#This Row],[After Borma (kg''s)]]</f>
        <v>0</v>
      </c>
      <c r="R213" s="6" t="str">
        <f>IFERROR(Q213/K213%,"")</f>
        <v/>
      </c>
    </row>
    <row r="214" spans="2:18" x14ac:dyDescent="0.3">
      <c r="B214" s="1"/>
      <c r="C214" s="11">
        <f>WEEKNUM(Table1[[#This Row],[Date]])</f>
        <v>0</v>
      </c>
      <c r="D214" s="1" t="str">
        <f>TEXT(Table1[[#This Row],[Date]],"mmm-yy")</f>
        <v>Jan-00</v>
      </c>
      <c r="E214" s="1"/>
      <c r="K214">
        <f>SUM(Table1[[#This Row],[Wholes (kg''s)]:[Rejection (kg''s)]])</f>
        <v>0</v>
      </c>
      <c r="P214">
        <f>SUM(Table1[[#This Row],[BK_Wholes]:[BK_Reject]])</f>
        <v>0</v>
      </c>
      <c r="Q214">
        <f>Table1[[#This Row],[Before Borma (kg''s)]]-Table1[[#This Row],[After Borma (kg''s)]]</f>
        <v>0</v>
      </c>
      <c r="R214" s="6" t="str">
        <f>IFERROR(Q214/K214%,"")</f>
        <v/>
      </c>
    </row>
    <row r="215" spans="2:18" x14ac:dyDescent="0.3">
      <c r="B215" s="1"/>
      <c r="C215" s="11">
        <f>WEEKNUM(Table1[[#This Row],[Date]])</f>
        <v>0</v>
      </c>
      <c r="D215" s="1" t="str">
        <f>TEXT(Table1[[#This Row],[Date]],"mmm-yy")</f>
        <v>Jan-00</v>
      </c>
      <c r="E215" s="1"/>
      <c r="K215">
        <f>SUM(Table1[[#This Row],[Wholes (kg''s)]:[Rejection (kg''s)]])</f>
        <v>0</v>
      </c>
      <c r="P215">
        <f>SUM(Table1[[#This Row],[BK_Wholes]:[BK_Reject]])</f>
        <v>0</v>
      </c>
      <c r="Q215">
        <f>Table1[[#This Row],[Before Borma (kg''s)]]-Table1[[#This Row],[After Borma (kg''s)]]</f>
        <v>0</v>
      </c>
      <c r="R215" s="6" t="str">
        <f>IFERROR(Q215/K215%,"")</f>
        <v/>
      </c>
    </row>
    <row r="216" spans="2:18" x14ac:dyDescent="0.3">
      <c r="B216" s="1"/>
      <c r="C216" s="11">
        <f>WEEKNUM(Table1[[#This Row],[Date]])</f>
        <v>0</v>
      </c>
      <c r="D216" s="1" t="str">
        <f>TEXT(Table1[[#This Row],[Date]],"mmm-yy")</f>
        <v>Jan-00</v>
      </c>
      <c r="E216" s="1"/>
      <c r="K216">
        <f>SUM(Table1[[#This Row],[Wholes (kg''s)]:[Rejection (kg''s)]])</f>
        <v>0</v>
      </c>
      <c r="P216">
        <f>SUM(Table1[[#This Row],[BK_Wholes]:[BK_Reject]])</f>
        <v>0</v>
      </c>
      <c r="Q216">
        <f>Table1[[#This Row],[Before Borma (kg''s)]]-Table1[[#This Row],[After Borma (kg''s)]]</f>
        <v>0</v>
      </c>
      <c r="R216" s="6" t="str">
        <f>IFERROR(Q216/K216%,"")</f>
        <v/>
      </c>
    </row>
    <row r="217" spans="2:18" x14ac:dyDescent="0.3">
      <c r="B217" s="1"/>
      <c r="C217" s="11">
        <f>WEEKNUM(Table1[[#This Row],[Date]])</f>
        <v>0</v>
      </c>
      <c r="D217" s="1" t="str">
        <f>TEXT(Table1[[#This Row],[Date]],"mmm-yy")</f>
        <v>Jan-00</v>
      </c>
      <c r="E217" s="1"/>
      <c r="K217">
        <f>SUM(Table1[[#This Row],[Wholes (kg''s)]:[Rejection (kg''s)]])</f>
        <v>0</v>
      </c>
      <c r="P217">
        <f>SUM(Table1[[#This Row],[BK_Wholes]:[BK_Reject]])</f>
        <v>0</v>
      </c>
      <c r="Q217">
        <f>Table1[[#This Row],[Before Borma (kg''s)]]-Table1[[#This Row],[After Borma (kg''s)]]</f>
        <v>0</v>
      </c>
      <c r="R217" s="6" t="str">
        <f>IFERROR(Q217/K217%,"")</f>
        <v/>
      </c>
    </row>
    <row r="218" spans="2:18" x14ac:dyDescent="0.3">
      <c r="B218" s="1"/>
      <c r="C218" s="11">
        <f>WEEKNUM(Table1[[#This Row],[Date]])</f>
        <v>0</v>
      </c>
      <c r="D218" s="1" t="str">
        <f>TEXT(Table1[[#This Row],[Date]],"mmm-yy")</f>
        <v>Jan-00</v>
      </c>
      <c r="E218" s="1"/>
      <c r="K218">
        <f>SUM(Table1[[#This Row],[Wholes (kg''s)]:[Rejection (kg''s)]])</f>
        <v>0</v>
      </c>
      <c r="P218">
        <f>SUM(Table1[[#This Row],[BK_Wholes]:[BK_Reject]])</f>
        <v>0</v>
      </c>
      <c r="Q218">
        <f>Table1[[#This Row],[Before Borma (kg''s)]]-Table1[[#This Row],[After Borma (kg''s)]]</f>
        <v>0</v>
      </c>
      <c r="R218" s="6" t="str">
        <f>IFERROR(Q218/K218%,"")</f>
        <v/>
      </c>
    </row>
    <row r="219" spans="2:18" x14ac:dyDescent="0.3">
      <c r="B219" s="1"/>
      <c r="C219" s="11">
        <f>WEEKNUM(Table1[[#This Row],[Date]])</f>
        <v>0</v>
      </c>
      <c r="D219" s="1" t="str">
        <f>TEXT(Table1[[#This Row],[Date]],"mmm-yy")</f>
        <v>Jan-00</v>
      </c>
      <c r="E219" s="1"/>
      <c r="K219">
        <f>SUM(Table1[[#This Row],[Wholes (kg''s)]:[Rejection (kg''s)]])</f>
        <v>0</v>
      </c>
      <c r="P219">
        <f>SUM(Table1[[#This Row],[BK_Wholes]:[BK_Reject]])</f>
        <v>0</v>
      </c>
      <c r="Q219">
        <f>Table1[[#This Row],[Before Borma (kg''s)]]-Table1[[#This Row],[After Borma (kg''s)]]</f>
        <v>0</v>
      </c>
      <c r="R219" s="6" t="str">
        <f>IFERROR(Q219/K219%,"")</f>
        <v/>
      </c>
    </row>
    <row r="220" spans="2:18" x14ac:dyDescent="0.3">
      <c r="B220" s="1"/>
      <c r="C220" s="11">
        <f>WEEKNUM(Table1[[#This Row],[Date]])</f>
        <v>0</v>
      </c>
      <c r="D220" s="1" t="str">
        <f>TEXT(Table1[[#This Row],[Date]],"mmm-yy")</f>
        <v>Jan-00</v>
      </c>
      <c r="E220" s="1"/>
      <c r="K220">
        <f>SUM(Table1[[#This Row],[Wholes (kg''s)]:[Rejection (kg''s)]])</f>
        <v>0</v>
      </c>
      <c r="P220">
        <f>SUM(Table1[[#This Row],[BK_Wholes]:[BK_Reject]])</f>
        <v>0</v>
      </c>
      <c r="Q220">
        <f>Table1[[#This Row],[Before Borma (kg''s)]]-Table1[[#This Row],[After Borma (kg''s)]]</f>
        <v>0</v>
      </c>
      <c r="R220" s="6" t="str">
        <f>IFERROR(Q220/K220%,"")</f>
        <v/>
      </c>
    </row>
    <row r="221" spans="2:18" x14ac:dyDescent="0.3">
      <c r="B221" s="1"/>
      <c r="C221" s="11">
        <f>WEEKNUM(Table1[[#This Row],[Date]])</f>
        <v>0</v>
      </c>
      <c r="D221" s="1" t="str">
        <f>TEXT(Table1[[#This Row],[Date]],"mmm-yy")</f>
        <v>Jan-00</v>
      </c>
      <c r="E221" s="1"/>
      <c r="K221">
        <f>SUM(Table1[[#This Row],[Wholes (kg''s)]:[Rejection (kg''s)]])</f>
        <v>0</v>
      </c>
      <c r="P221">
        <f>SUM(Table1[[#This Row],[BK_Wholes]:[BK_Reject]])</f>
        <v>0</v>
      </c>
      <c r="Q221">
        <f>Table1[[#This Row],[Before Borma (kg''s)]]-Table1[[#This Row],[After Borma (kg''s)]]</f>
        <v>0</v>
      </c>
      <c r="R221" s="6" t="str">
        <f>IFERROR(Q221/K221%,"")</f>
        <v/>
      </c>
    </row>
    <row r="222" spans="2:18" x14ac:dyDescent="0.3">
      <c r="B222" s="1"/>
      <c r="C222" s="11">
        <f>WEEKNUM(Table1[[#This Row],[Date]])</f>
        <v>0</v>
      </c>
      <c r="D222" s="1" t="str">
        <f>TEXT(Table1[[#This Row],[Date]],"mmm-yy")</f>
        <v>Jan-00</v>
      </c>
      <c r="E222" s="1"/>
      <c r="K222">
        <f>SUM(Table1[[#This Row],[Wholes (kg''s)]:[Rejection (kg''s)]])</f>
        <v>0</v>
      </c>
      <c r="P222">
        <f>SUM(Table1[[#This Row],[BK_Wholes]:[BK_Reject]])</f>
        <v>0</v>
      </c>
      <c r="Q222">
        <f>Table1[[#This Row],[Before Borma (kg''s)]]-Table1[[#This Row],[After Borma (kg''s)]]</f>
        <v>0</v>
      </c>
      <c r="R222" s="6" t="str">
        <f>IFERROR(Q222/K222%,"")</f>
        <v/>
      </c>
    </row>
    <row r="223" spans="2:18" x14ac:dyDescent="0.3">
      <c r="B223" s="1"/>
      <c r="C223" s="11">
        <f>WEEKNUM(Table1[[#This Row],[Date]])</f>
        <v>0</v>
      </c>
      <c r="D223" s="1" t="str">
        <f>TEXT(Table1[[#This Row],[Date]],"mmm-yy")</f>
        <v>Jan-00</v>
      </c>
      <c r="E223" s="1"/>
      <c r="K223">
        <f>SUM(Table1[[#This Row],[Wholes (kg''s)]:[Rejection (kg''s)]])</f>
        <v>0</v>
      </c>
      <c r="P223">
        <f>SUM(Table1[[#This Row],[BK_Wholes]:[BK_Reject]])</f>
        <v>0</v>
      </c>
      <c r="Q223">
        <f>Table1[[#This Row],[Before Borma (kg''s)]]-Table1[[#This Row],[After Borma (kg''s)]]</f>
        <v>0</v>
      </c>
      <c r="R223" s="6" t="str">
        <f>IFERROR(Q223/K223%,"")</f>
        <v/>
      </c>
    </row>
    <row r="224" spans="2:18" x14ac:dyDescent="0.3">
      <c r="B224" s="1"/>
      <c r="C224" s="11">
        <f>WEEKNUM(Table1[[#This Row],[Date]])</f>
        <v>0</v>
      </c>
      <c r="D224" s="1" t="str">
        <f>TEXT(Table1[[#This Row],[Date]],"mmm-yy")</f>
        <v>Jan-00</v>
      </c>
      <c r="E224" s="1"/>
      <c r="K224">
        <f>SUM(Table1[[#This Row],[Wholes (kg''s)]:[Rejection (kg''s)]])</f>
        <v>0</v>
      </c>
      <c r="P224">
        <f>SUM(Table1[[#This Row],[BK_Wholes]:[BK_Reject]])</f>
        <v>0</v>
      </c>
      <c r="Q224">
        <f>Table1[[#This Row],[Before Borma (kg''s)]]-Table1[[#This Row],[After Borma (kg''s)]]</f>
        <v>0</v>
      </c>
      <c r="R224" s="6" t="str">
        <f>IFERROR(Q224/K224%,"")</f>
        <v/>
      </c>
    </row>
    <row r="225" spans="2:18" x14ac:dyDescent="0.3">
      <c r="B225" s="1"/>
      <c r="C225" s="11">
        <f>WEEKNUM(Table1[[#This Row],[Date]])</f>
        <v>0</v>
      </c>
      <c r="D225" s="1" t="str">
        <f>TEXT(Table1[[#This Row],[Date]],"mmm-yy")</f>
        <v>Jan-00</v>
      </c>
      <c r="E225" s="1"/>
      <c r="K225">
        <f>SUM(Table1[[#This Row],[Wholes (kg''s)]:[Rejection (kg''s)]])</f>
        <v>0</v>
      </c>
      <c r="P225">
        <f>SUM(Table1[[#This Row],[BK_Wholes]:[BK_Reject]])</f>
        <v>0</v>
      </c>
      <c r="Q225">
        <f>Table1[[#This Row],[Before Borma (kg''s)]]-Table1[[#This Row],[After Borma (kg''s)]]</f>
        <v>0</v>
      </c>
      <c r="R225" s="6" t="str">
        <f>IFERROR(Q225/K225%,"")</f>
        <v/>
      </c>
    </row>
    <row r="226" spans="2:18" x14ac:dyDescent="0.3">
      <c r="B226" s="1"/>
      <c r="C226" s="11">
        <f>WEEKNUM(Table1[[#This Row],[Date]])</f>
        <v>0</v>
      </c>
      <c r="D226" s="1" t="str">
        <f>TEXT(Table1[[#This Row],[Date]],"mmm-yy")</f>
        <v>Jan-00</v>
      </c>
      <c r="E226" s="1"/>
      <c r="K226">
        <f>SUM(Table1[[#This Row],[Wholes (kg''s)]:[Rejection (kg''s)]])</f>
        <v>0</v>
      </c>
      <c r="P226">
        <f>SUM(Table1[[#This Row],[BK_Wholes]:[BK_Reject]])</f>
        <v>0</v>
      </c>
      <c r="Q226">
        <f>Table1[[#This Row],[Before Borma (kg''s)]]-Table1[[#This Row],[After Borma (kg''s)]]</f>
        <v>0</v>
      </c>
      <c r="R226" s="6" t="str">
        <f>IFERROR(Q226/K226%,"")</f>
        <v/>
      </c>
    </row>
    <row r="227" spans="2:18" x14ac:dyDescent="0.3">
      <c r="B227" s="1"/>
      <c r="C227" s="11">
        <f>WEEKNUM(Table1[[#This Row],[Date]])</f>
        <v>0</v>
      </c>
      <c r="D227" s="1" t="str">
        <f>TEXT(Table1[[#This Row],[Date]],"mmm-yy")</f>
        <v>Jan-00</v>
      </c>
      <c r="E227" s="1"/>
      <c r="K227">
        <f>SUM(Table1[[#This Row],[Wholes (kg''s)]:[Rejection (kg''s)]])</f>
        <v>0</v>
      </c>
      <c r="P227">
        <f>SUM(Table1[[#This Row],[BK_Wholes]:[BK_Reject]])</f>
        <v>0</v>
      </c>
      <c r="Q227">
        <f>Table1[[#This Row],[Before Borma (kg''s)]]-Table1[[#This Row],[After Borma (kg''s)]]</f>
        <v>0</v>
      </c>
      <c r="R227" s="6" t="str">
        <f>IFERROR(Q227/K227%,"")</f>
        <v/>
      </c>
    </row>
    <row r="228" spans="2:18" x14ac:dyDescent="0.3">
      <c r="B228" s="1"/>
      <c r="C228" s="11">
        <f>WEEKNUM(Table1[[#This Row],[Date]])</f>
        <v>0</v>
      </c>
      <c r="D228" s="1" t="str">
        <f>TEXT(Table1[[#This Row],[Date]],"mmm-yy")</f>
        <v>Jan-00</v>
      </c>
      <c r="E228" s="1"/>
      <c r="K228">
        <f>SUM(Table1[[#This Row],[Wholes (kg''s)]:[Rejection (kg''s)]])</f>
        <v>0</v>
      </c>
      <c r="P228">
        <f>SUM(Table1[[#This Row],[BK_Wholes]:[BK_Reject]])</f>
        <v>0</v>
      </c>
      <c r="Q228">
        <f>Table1[[#This Row],[Before Borma (kg''s)]]-Table1[[#This Row],[After Borma (kg''s)]]</f>
        <v>0</v>
      </c>
      <c r="R228" s="6" t="str">
        <f>IFERROR(Q228/K228%,"")</f>
        <v/>
      </c>
    </row>
    <row r="229" spans="2:18" x14ac:dyDescent="0.3">
      <c r="B229" s="1"/>
      <c r="C229" s="11">
        <f>WEEKNUM(Table1[[#This Row],[Date]])</f>
        <v>0</v>
      </c>
      <c r="D229" s="1" t="str">
        <f>TEXT(Table1[[#This Row],[Date]],"mmm-yy")</f>
        <v>Jan-00</v>
      </c>
      <c r="E229" s="1"/>
      <c r="K229">
        <f>SUM(Table1[[#This Row],[Wholes (kg''s)]:[Rejection (kg''s)]])</f>
        <v>0</v>
      </c>
      <c r="P229">
        <f>SUM(Table1[[#This Row],[BK_Wholes]:[BK_Reject]])</f>
        <v>0</v>
      </c>
      <c r="Q229">
        <f>Table1[[#This Row],[Before Borma (kg''s)]]-Table1[[#This Row],[After Borma (kg''s)]]</f>
        <v>0</v>
      </c>
      <c r="R229" s="6" t="str">
        <f>IFERROR(Q229/K229%,"")</f>
        <v/>
      </c>
    </row>
    <row r="230" spans="2:18" x14ac:dyDescent="0.3">
      <c r="B230" s="1"/>
      <c r="C230" s="11">
        <f>WEEKNUM(Table1[[#This Row],[Date]])</f>
        <v>0</v>
      </c>
      <c r="D230" s="1" t="str">
        <f>TEXT(Table1[[#This Row],[Date]],"mmm-yy")</f>
        <v>Jan-00</v>
      </c>
      <c r="E230" s="1"/>
      <c r="K230">
        <f>SUM(Table1[[#This Row],[Wholes (kg''s)]:[Rejection (kg''s)]])</f>
        <v>0</v>
      </c>
      <c r="P230">
        <f>SUM(Table1[[#This Row],[BK_Wholes]:[BK_Reject]])</f>
        <v>0</v>
      </c>
      <c r="Q230">
        <f>Table1[[#This Row],[Before Borma (kg''s)]]-Table1[[#This Row],[After Borma (kg''s)]]</f>
        <v>0</v>
      </c>
      <c r="R230" s="6" t="str">
        <f>IFERROR(Q230/K230%,"")</f>
        <v/>
      </c>
    </row>
    <row r="231" spans="2:18" x14ac:dyDescent="0.3">
      <c r="B231" s="1"/>
      <c r="C231" s="11">
        <f>WEEKNUM(Table1[[#This Row],[Date]])</f>
        <v>0</v>
      </c>
      <c r="D231" s="1" t="str">
        <f>TEXT(Table1[[#This Row],[Date]],"mmm-yy")</f>
        <v>Jan-00</v>
      </c>
      <c r="E231" s="1"/>
      <c r="K231">
        <f>SUM(Table1[[#This Row],[Wholes (kg''s)]:[Rejection (kg''s)]])</f>
        <v>0</v>
      </c>
      <c r="P231">
        <f>SUM(Table1[[#This Row],[BK_Wholes]:[BK_Reject]])</f>
        <v>0</v>
      </c>
      <c r="Q231">
        <f>Table1[[#This Row],[Before Borma (kg''s)]]-Table1[[#This Row],[After Borma (kg''s)]]</f>
        <v>0</v>
      </c>
      <c r="R231" s="6" t="str">
        <f>IFERROR(Q231/K231%,"")</f>
        <v/>
      </c>
    </row>
    <row r="232" spans="2:18" x14ac:dyDescent="0.3">
      <c r="B232" s="1"/>
      <c r="C232" s="11">
        <f>WEEKNUM(Table1[[#This Row],[Date]])</f>
        <v>0</v>
      </c>
      <c r="D232" s="1" t="str">
        <f>TEXT(Table1[[#This Row],[Date]],"mmm-yy")</f>
        <v>Jan-00</v>
      </c>
      <c r="E232" s="1"/>
      <c r="K232">
        <f>SUM(Table1[[#This Row],[Wholes (kg''s)]:[Rejection (kg''s)]])</f>
        <v>0</v>
      </c>
      <c r="P232">
        <f>SUM(Table1[[#This Row],[BK_Wholes]:[BK_Reject]])</f>
        <v>0</v>
      </c>
      <c r="Q232">
        <f>Table1[[#This Row],[Before Borma (kg''s)]]-Table1[[#This Row],[After Borma (kg''s)]]</f>
        <v>0</v>
      </c>
      <c r="R232" s="6" t="str">
        <f>IFERROR(Q232/K232%,"")</f>
        <v/>
      </c>
    </row>
    <row r="233" spans="2:18" x14ac:dyDescent="0.3">
      <c r="B233" s="1"/>
      <c r="C233" s="11">
        <f>WEEKNUM(Table1[[#This Row],[Date]])</f>
        <v>0</v>
      </c>
      <c r="D233" s="1" t="str">
        <f>TEXT(Table1[[#This Row],[Date]],"mmm-yy")</f>
        <v>Jan-00</v>
      </c>
      <c r="E233" s="1"/>
      <c r="K233">
        <f>SUM(Table1[[#This Row],[Wholes (kg''s)]:[Rejection (kg''s)]])</f>
        <v>0</v>
      </c>
      <c r="P233">
        <f>SUM(Table1[[#This Row],[BK_Wholes]:[BK_Reject]])</f>
        <v>0</v>
      </c>
      <c r="Q233">
        <f>Table1[[#This Row],[Before Borma (kg''s)]]-Table1[[#This Row],[After Borma (kg''s)]]</f>
        <v>0</v>
      </c>
      <c r="R233" s="6" t="str">
        <f>IFERROR(Q233/K233%,"")</f>
        <v/>
      </c>
    </row>
    <row r="234" spans="2:18" x14ac:dyDescent="0.3">
      <c r="B234" s="1"/>
      <c r="C234" s="11">
        <f>WEEKNUM(Table1[[#This Row],[Date]])</f>
        <v>0</v>
      </c>
      <c r="D234" s="1" t="str">
        <f>TEXT(Table1[[#This Row],[Date]],"mmm-yy")</f>
        <v>Jan-00</v>
      </c>
      <c r="E234" s="1"/>
      <c r="K234">
        <f>SUM(Table1[[#This Row],[Wholes (kg''s)]:[Rejection (kg''s)]])</f>
        <v>0</v>
      </c>
      <c r="P234">
        <f>SUM(Table1[[#This Row],[BK_Wholes]:[BK_Reject]])</f>
        <v>0</v>
      </c>
      <c r="Q234">
        <f>Table1[[#This Row],[Before Borma (kg''s)]]-Table1[[#This Row],[After Borma (kg''s)]]</f>
        <v>0</v>
      </c>
      <c r="R234" s="6" t="str">
        <f>IFERROR(Q234/K234%,"")</f>
        <v/>
      </c>
    </row>
    <row r="235" spans="2:18" x14ac:dyDescent="0.3">
      <c r="B235" s="1"/>
      <c r="C235" s="11">
        <f>WEEKNUM(Table1[[#This Row],[Date]])</f>
        <v>0</v>
      </c>
      <c r="D235" s="1" t="str">
        <f>TEXT(Table1[[#This Row],[Date]],"mmm-yy")</f>
        <v>Jan-00</v>
      </c>
      <c r="E235" s="1"/>
      <c r="K235">
        <f>SUM(Table1[[#This Row],[Wholes (kg''s)]:[Rejection (kg''s)]])</f>
        <v>0</v>
      </c>
      <c r="P235">
        <f>SUM(Table1[[#This Row],[BK_Wholes]:[BK_Reject]])</f>
        <v>0</v>
      </c>
      <c r="Q235">
        <f>Table1[[#This Row],[Before Borma (kg''s)]]-Table1[[#This Row],[After Borma (kg''s)]]</f>
        <v>0</v>
      </c>
      <c r="R235" s="6" t="str">
        <f>IFERROR(Q235/K235%,"")</f>
        <v/>
      </c>
    </row>
    <row r="236" spans="2:18" x14ac:dyDescent="0.3">
      <c r="B236" s="1"/>
      <c r="C236" s="11">
        <f>WEEKNUM(Table1[[#This Row],[Date]])</f>
        <v>0</v>
      </c>
      <c r="D236" s="1" t="str">
        <f>TEXT(Table1[[#This Row],[Date]],"mmm-yy")</f>
        <v>Jan-00</v>
      </c>
      <c r="E236" s="1"/>
      <c r="K236">
        <f>SUM(Table1[[#This Row],[Wholes (kg''s)]:[Rejection (kg''s)]])</f>
        <v>0</v>
      </c>
      <c r="P236">
        <f>SUM(Table1[[#This Row],[BK_Wholes]:[BK_Reject]])</f>
        <v>0</v>
      </c>
      <c r="Q236">
        <f>Table1[[#This Row],[Before Borma (kg''s)]]-Table1[[#This Row],[After Borma (kg''s)]]</f>
        <v>0</v>
      </c>
      <c r="R236" s="6" t="str">
        <f>IFERROR(Q236/K236%,"")</f>
        <v/>
      </c>
    </row>
    <row r="237" spans="2:18" x14ac:dyDescent="0.3">
      <c r="B237" s="1"/>
      <c r="C237" s="11">
        <f>WEEKNUM(Table1[[#This Row],[Date]])</f>
        <v>0</v>
      </c>
      <c r="D237" s="1" t="str">
        <f>TEXT(Table1[[#This Row],[Date]],"mmm-yy")</f>
        <v>Jan-00</v>
      </c>
      <c r="E237" s="1"/>
      <c r="K237">
        <f>SUM(Table1[[#This Row],[Wholes (kg''s)]:[Rejection (kg''s)]])</f>
        <v>0</v>
      </c>
      <c r="P237">
        <f>SUM(Table1[[#This Row],[BK_Wholes]:[BK_Reject]])</f>
        <v>0</v>
      </c>
      <c r="Q237">
        <f>Table1[[#This Row],[Before Borma (kg''s)]]-Table1[[#This Row],[After Borma (kg''s)]]</f>
        <v>0</v>
      </c>
      <c r="R237" s="6" t="str">
        <f>IFERROR(Q237/K237%,"")</f>
        <v/>
      </c>
    </row>
    <row r="238" spans="2:18" x14ac:dyDescent="0.3">
      <c r="B238" s="1"/>
      <c r="C238" s="11">
        <f>WEEKNUM(Table1[[#This Row],[Date]])</f>
        <v>0</v>
      </c>
      <c r="D238" s="1" t="str">
        <f>TEXT(Table1[[#This Row],[Date]],"mmm-yy")</f>
        <v>Jan-00</v>
      </c>
      <c r="E238" s="1"/>
      <c r="K238">
        <f>SUM(Table1[[#This Row],[Wholes (kg''s)]:[Rejection (kg''s)]])</f>
        <v>0</v>
      </c>
      <c r="P238">
        <f>SUM(Table1[[#This Row],[BK_Wholes]:[BK_Reject]])</f>
        <v>0</v>
      </c>
      <c r="Q238">
        <f>Table1[[#This Row],[Before Borma (kg''s)]]-Table1[[#This Row],[After Borma (kg''s)]]</f>
        <v>0</v>
      </c>
      <c r="R238" s="6" t="str">
        <f>IFERROR(Q238/K238%,"")</f>
        <v/>
      </c>
    </row>
    <row r="239" spans="2:18" x14ac:dyDescent="0.3">
      <c r="B239" s="1"/>
      <c r="C239" s="11">
        <f>WEEKNUM(Table1[[#This Row],[Date]])</f>
        <v>0</v>
      </c>
      <c r="D239" s="1" t="str">
        <f>TEXT(Table1[[#This Row],[Date]],"mmm-yy")</f>
        <v>Jan-00</v>
      </c>
      <c r="E239" s="1"/>
      <c r="K239">
        <f>SUM(Table1[[#This Row],[Wholes (kg''s)]:[Rejection (kg''s)]])</f>
        <v>0</v>
      </c>
      <c r="P239">
        <f>SUM(Table1[[#This Row],[BK_Wholes]:[BK_Reject]])</f>
        <v>0</v>
      </c>
      <c r="Q239">
        <f>Table1[[#This Row],[Before Borma (kg''s)]]-Table1[[#This Row],[After Borma (kg''s)]]</f>
        <v>0</v>
      </c>
      <c r="R239" s="6" t="str">
        <f>IFERROR(Q239/K239%,"")</f>
        <v/>
      </c>
    </row>
    <row r="240" spans="2:18" x14ac:dyDescent="0.3">
      <c r="B240" s="1"/>
      <c r="C240" s="11">
        <f>WEEKNUM(Table1[[#This Row],[Date]])</f>
        <v>0</v>
      </c>
      <c r="D240" s="1" t="str">
        <f>TEXT(Table1[[#This Row],[Date]],"mmm-yy")</f>
        <v>Jan-00</v>
      </c>
      <c r="E240" s="1"/>
      <c r="K240">
        <f>SUM(Table1[[#This Row],[Wholes (kg''s)]:[Rejection (kg''s)]])</f>
        <v>0</v>
      </c>
      <c r="P240">
        <f>SUM(Table1[[#This Row],[BK_Wholes]:[BK_Reject]])</f>
        <v>0</v>
      </c>
      <c r="Q240">
        <f>Table1[[#This Row],[Before Borma (kg''s)]]-Table1[[#This Row],[After Borma (kg''s)]]</f>
        <v>0</v>
      </c>
      <c r="R240" s="6" t="str">
        <f>IFERROR(Q240/K240%,"")</f>
        <v/>
      </c>
    </row>
    <row r="241" spans="2:18" x14ac:dyDescent="0.3">
      <c r="B241" s="1"/>
      <c r="C241" s="11">
        <f>WEEKNUM(Table1[[#This Row],[Date]])</f>
        <v>0</v>
      </c>
      <c r="D241" s="1" t="str">
        <f>TEXT(Table1[[#This Row],[Date]],"mmm-yy")</f>
        <v>Jan-00</v>
      </c>
      <c r="E241" s="1"/>
      <c r="K241">
        <f>SUM(Table1[[#This Row],[Wholes (kg''s)]:[Rejection (kg''s)]])</f>
        <v>0</v>
      </c>
      <c r="P241">
        <f>SUM(Table1[[#This Row],[BK_Wholes]:[BK_Reject]])</f>
        <v>0</v>
      </c>
      <c r="Q241">
        <f>Table1[[#This Row],[Before Borma (kg''s)]]-Table1[[#This Row],[After Borma (kg''s)]]</f>
        <v>0</v>
      </c>
      <c r="R241" s="6" t="str">
        <f>IFERROR(Q241/K241%,"")</f>
        <v/>
      </c>
    </row>
    <row r="242" spans="2:18" x14ac:dyDescent="0.3">
      <c r="B242" s="1"/>
      <c r="C242" s="11">
        <f>WEEKNUM(Table1[[#This Row],[Date]])</f>
        <v>0</v>
      </c>
      <c r="D242" s="1" t="str">
        <f>TEXT(Table1[[#This Row],[Date]],"mmm-yy")</f>
        <v>Jan-00</v>
      </c>
      <c r="E242" s="1"/>
      <c r="K242">
        <f>SUM(Table1[[#This Row],[Wholes (kg''s)]:[Rejection (kg''s)]])</f>
        <v>0</v>
      </c>
      <c r="P242">
        <f>SUM(Table1[[#This Row],[BK_Wholes]:[BK_Reject]])</f>
        <v>0</v>
      </c>
      <c r="Q242">
        <f>Table1[[#This Row],[Before Borma (kg''s)]]-Table1[[#This Row],[After Borma (kg''s)]]</f>
        <v>0</v>
      </c>
      <c r="R242" s="6" t="str">
        <f>IFERROR(Q242/K242%,"")</f>
        <v/>
      </c>
    </row>
    <row r="243" spans="2:18" x14ac:dyDescent="0.3">
      <c r="B243" s="1"/>
      <c r="C243" s="11">
        <f>WEEKNUM(Table1[[#This Row],[Date]])</f>
        <v>0</v>
      </c>
      <c r="D243" s="1" t="str">
        <f>TEXT(Table1[[#This Row],[Date]],"mmm-yy")</f>
        <v>Jan-00</v>
      </c>
      <c r="E243" s="1"/>
      <c r="K243">
        <f>SUM(Table1[[#This Row],[Wholes (kg''s)]:[Rejection (kg''s)]])</f>
        <v>0</v>
      </c>
      <c r="P243">
        <f>SUM(Table1[[#This Row],[BK_Wholes]:[BK_Reject]])</f>
        <v>0</v>
      </c>
      <c r="Q243">
        <f>Table1[[#This Row],[Before Borma (kg''s)]]-Table1[[#This Row],[After Borma (kg''s)]]</f>
        <v>0</v>
      </c>
      <c r="R243" s="6" t="str">
        <f>IFERROR(Q243/K243%,"")</f>
        <v/>
      </c>
    </row>
    <row r="244" spans="2:18" x14ac:dyDescent="0.3">
      <c r="B244" s="1"/>
      <c r="C244" s="11">
        <f>WEEKNUM(Table1[[#This Row],[Date]])</f>
        <v>0</v>
      </c>
      <c r="D244" s="1" t="str">
        <f>TEXT(Table1[[#This Row],[Date]],"mmm-yy")</f>
        <v>Jan-00</v>
      </c>
      <c r="E244" s="1"/>
      <c r="K244">
        <f>SUM(Table1[[#This Row],[Wholes (kg''s)]:[Rejection (kg''s)]])</f>
        <v>0</v>
      </c>
      <c r="P244">
        <f>SUM(Table1[[#This Row],[BK_Wholes]:[BK_Reject]])</f>
        <v>0</v>
      </c>
      <c r="Q244">
        <f>Table1[[#This Row],[Before Borma (kg''s)]]-Table1[[#This Row],[After Borma (kg''s)]]</f>
        <v>0</v>
      </c>
      <c r="R244" s="6" t="str">
        <f>IFERROR(Q244/K244%,"")</f>
        <v/>
      </c>
    </row>
    <row r="245" spans="2:18" x14ac:dyDescent="0.3">
      <c r="B245" s="1"/>
      <c r="C245" s="11">
        <f>WEEKNUM(Table1[[#This Row],[Date]])</f>
        <v>0</v>
      </c>
      <c r="D245" s="1" t="str">
        <f>TEXT(Table1[[#This Row],[Date]],"mmm-yy")</f>
        <v>Jan-00</v>
      </c>
      <c r="E245" s="1"/>
      <c r="K245">
        <f>SUM(Table1[[#This Row],[Wholes (kg''s)]:[Rejection (kg''s)]])</f>
        <v>0</v>
      </c>
      <c r="P245">
        <f>SUM(Table1[[#This Row],[BK_Wholes]:[BK_Reject]])</f>
        <v>0</v>
      </c>
      <c r="Q245">
        <f>Table1[[#This Row],[Before Borma (kg''s)]]-Table1[[#This Row],[After Borma (kg''s)]]</f>
        <v>0</v>
      </c>
      <c r="R245" s="6" t="str">
        <f>IFERROR(Q245/K245%,"")</f>
        <v/>
      </c>
    </row>
    <row r="246" spans="2:18" x14ac:dyDescent="0.3">
      <c r="B246" s="1"/>
      <c r="C246" s="11">
        <f>WEEKNUM(Table1[[#This Row],[Date]])</f>
        <v>0</v>
      </c>
      <c r="D246" s="1" t="str">
        <f>TEXT(Table1[[#This Row],[Date]],"mmm-yy")</f>
        <v>Jan-00</v>
      </c>
      <c r="E246" s="1"/>
      <c r="K246">
        <f>SUM(Table1[[#This Row],[Wholes (kg''s)]:[Rejection (kg''s)]])</f>
        <v>0</v>
      </c>
      <c r="P246">
        <f>SUM(Table1[[#This Row],[BK_Wholes]:[BK_Reject]])</f>
        <v>0</v>
      </c>
      <c r="Q246">
        <f>Table1[[#This Row],[Before Borma (kg''s)]]-Table1[[#This Row],[After Borma (kg''s)]]</f>
        <v>0</v>
      </c>
      <c r="R246" s="6" t="str">
        <f>IFERROR(Q246/K246%,"")</f>
        <v/>
      </c>
    </row>
    <row r="247" spans="2:18" x14ac:dyDescent="0.3">
      <c r="B247" s="1"/>
      <c r="C247" s="11">
        <f>WEEKNUM(Table1[[#This Row],[Date]])</f>
        <v>0</v>
      </c>
      <c r="D247" s="1" t="str">
        <f>TEXT(Table1[[#This Row],[Date]],"mmm-yy")</f>
        <v>Jan-00</v>
      </c>
      <c r="E247" s="1"/>
      <c r="K247">
        <f>SUM(Table1[[#This Row],[Wholes (kg''s)]:[Rejection (kg''s)]])</f>
        <v>0</v>
      </c>
      <c r="P247">
        <f>SUM(Table1[[#This Row],[BK_Wholes]:[BK_Reject]])</f>
        <v>0</v>
      </c>
      <c r="Q247">
        <f>Table1[[#This Row],[Before Borma (kg''s)]]-Table1[[#This Row],[After Borma (kg''s)]]</f>
        <v>0</v>
      </c>
      <c r="R247" s="6" t="str">
        <f>IFERROR(Q247/K247%,"")</f>
        <v/>
      </c>
    </row>
    <row r="248" spans="2:18" x14ac:dyDescent="0.3">
      <c r="B248" s="1"/>
      <c r="C248" s="11">
        <f>WEEKNUM(Table1[[#This Row],[Date]])</f>
        <v>0</v>
      </c>
      <c r="D248" s="1" t="str">
        <f>TEXT(Table1[[#This Row],[Date]],"mmm-yy")</f>
        <v>Jan-00</v>
      </c>
      <c r="E248" s="1"/>
      <c r="K248">
        <f>SUM(Table1[[#This Row],[Wholes (kg''s)]:[Rejection (kg''s)]])</f>
        <v>0</v>
      </c>
      <c r="P248">
        <f>SUM(Table1[[#This Row],[BK_Wholes]:[BK_Reject]])</f>
        <v>0</v>
      </c>
      <c r="Q248">
        <f>Table1[[#This Row],[Before Borma (kg''s)]]-Table1[[#This Row],[After Borma (kg''s)]]</f>
        <v>0</v>
      </c>
      <c r="R248" s="6" t="str">
        <f>IFERROR(Q248/K248%,"")</f>
        <v/>
      </c>
    </row>
    <row r="249" spans="2:18" x14ac:dyDescent="0.3">
      <c r="B249" s="1"/>
      <c r="C249" s="11">
        <f>WEEKNUM(Table1[[#This Row],[Date]])</f>
        <v>0</v>
      </c>
      <c r="D249" s="1" t="str">
        <f>TEXT(Table1[[#This Row],[Date]],"mmm-yy")</f>
        <v>Jan-00</v>
      </c>
      <c r="E249" s="1"/>
      <c r="K249">
        <f>SUM(Table1[[#This Row],[Wholes (kg''s)]:[Rejection (kg''s)]])</f>
        <v>0</v>
      </c>
      <c r="P249">
        <f>SUM(Table1[[#This Row],[BK_Wholes]:[BK_Reject]])</f>
        <v>0</v>
      </c>
      <c r="Q249">
        <f>Table1[[#This Row],[Before Borma (kg''s)]]-Table1[[#This Row],[After Borma (kg''s)]]</f>
        <v>0</v>
      </c>
      <c r="R249" s="6" t="str">
        <f>IFERROR(Q249/K249%,"")</f>
        <v/>
      </c>
    </row>
    <row r="250" spans="2:18" x14ac:dyDescent="0.3">
      <c r="B250" s="1"/>
      <c r="C250" s="11">
        <f>WEEKNUM(Table1[[#This Row],[Date]])</f>
        <v>0</v>
      </c>
      <c r="D250" s="1" t="str">
        <f>TEXT(Table1[[#This Row],[Date]],"mmm-yy")</f>
        <v>Jan-00</v>
      </c>
      <c r="E250" s="1"/>
      <c r="K250">
        <f>SUM(Table1[[#This Row],[Wholes (kg''s)]:[Rejection (kg''s)]])</f>
        <v>0</v>
      </c>
      <c r="P250">
        <f>SUM(Table1[[#This Row],[BK_Wholes]:[BK_Reject]])</f>
        <v>0</v>
      </c>
      <c r="Q250">
        <f>Table1[[#This Row],[Before Borma (kg''s)]]-Table1[[#This Row],[After Borma (kg''s)]]</f>
        <v>0</v>
      </c>
      <c r="R250" s="6" t="str">
        <f>IFERROR(Q250/K250%,"")</f>
        <v/>
      </c>
    </row>
    <row r="251" spans="2:18" x14ac:dyDescent="0.3">
      <c r="B251" s="1"/>
      <c r="C251" s="11">
        <f>WEEKNUM(Table1[[#This Row],[Date]])</f>
        <v>0</v>
      </c>
      <c r="D251" s="1" t="str">
        <f>TEXT(Table1[[#This Row],[Date]],"mmm-yy")</f>
        <v>Jan-00</v>
      </c>
      <c r="E251" s="1"/>
      <c r="K251">
        <f>SUM(Table1[[#This Row],[Wholes (kg''s)]:[Rejection (kg''s)]])</f>
        <v>0</v>
      </c>
      <c r="P251">
        <f>SUM(Table1[[#This Row],[BK_Wholes]:[BK_Reject]])</f>
        <v>0</v>
      </c>
      <c r="Q251">
        <f>Table1[[#This Row],[Before Borma (kg''s)]]-Table1[[#This Row],[After Borma (kg''s)]]</f>
        <v>0</v>
      </c>
      <c r="R251" s="6" t="str">
        <f>IFERROR(Q251/K251%,"")</f>
        <v/>
      </c>
    </row>
    <row r="252" spans="2:18" x14ac:dyDescent="0.3">
      <c r="B252" s="1"/>
      <c r="C252" s="11">
        <f>WEEKNUM(Table1[[#This Row],[Date]])</f>
        <v>0</v>
      </c>
      <c r="D252" s="1" t="str">
        <f>TEXT(Table1[[#This Row],[Date]],"mmm-yy")</f>
        <v>Jan-00</v>
      </c>
      <c r="E252" s="1"/>
      <c r="K252">
        <f>SUM(Table1[[#This Row],[Wholes (kg''s)]:[Rejection (kg''s)]])</f>
        <v>0</v>
      </c>
      <c r="P252">
        <f>SUM(Table1[[#This Row],[BK_Wholes]:[BK_Reject]])</f>
        <v>0</v>
      </c>
      <c r="Q252">
        <f>Table1[[#This Row],[Before Borma (kg''s)]]-Table1[[#This Row],[After Borma (kg''s)]]</f>
        <v>0</v>
      </c>
      <c r="R252" s="6" t="str">
        <f>IFERROR(Q252/K252%,"")</f>
        <v/>
      </c>
    </row>
    <row r="253" spans="2:18" x14ac:dyDescent="0.3">
      <c r="B253" s="1"/>
      <c r="C253" s="11">
        <f>WEEKNUM(Table1[[#This Row],[Date]])</f>
        <v>0</v>
      </c>
      <c r="D253" s="1" t="str">
        <f>TEXT(Table1[[#This Row],[Date]],"mmm-yy")</f>
        <v>Jan-00</v>
      </c>
      <c r="E253" s="1"/>
      <c r="K253">
        <f>SUM(Table1[[#This Row],[Wholes (kg''s)]:[Rejection (kg''s)]])</f>
        <v>0</v>
      </c>
      <c r="P253">
        <f>SUM(Table1[[#This Row],[BK_Wholes]:[BK_Reject]])</f>
        <v>0</v>
      </c>
      <c r="Q253">
        <f>Table1[[#This Row],[Before Borma (kg''s)]]-Table1[[#This Row],[After Borma (kg''s)]]</f>
        <v>0</v>
      </c>
      <c r="R253" s="6" t="str">
        <f>IFERROR(Q253/K253%,"")</f>
        <v/>
      </c>
    </row>
    <row r="254" spans="2:18" x14ac:dyDescent="0.3">
      <c r="B254" s="1"/>
      <c r="C254" s="11">
        <f>WEEKNUM(Table1[[#This Row],[Date]])</f>
        <v>0</v>
      </c>
      <c r="D254" s="1" t="str">
        <f>TEXT(Table1[[#This Row],[Date]],"mmm-yy")</f>
        <v>Jan-00</v>
      </c>
      <c r="E254" s="1"/>
      <c r="K254">
        <f>SUM(Table1[[#This Row],[Wholes (kg''s)]:[Rejection (kg''s)]])</f>
        <v>0</v>
      </c>
      <c r="P254">
        <f>SUM(Table1[[#This Row],[BK_Wholes]:[BK_Reject]])</f>
        <v>0</v>
      </c>
      <c r="Q254">
        <f>Table1[[#This Row],[Before Borma (kg''s)]]-Table1[[#This Row],[After Borma (kg''s)]]</f>
        <v>0</v>
      </c>
      <c r="R254" s="6" t="str">
        <f>IFERROR(Q254/K254%,"")</f>
        <v/>
      </c>
    </row>
    <row r="255" spans="2:18" x14ac:dyDescent="0.3">
      <c r="B255" s="1"/>
      <c r="C255" s="11">
        <f>WEEKNUM(Table1[[#This Row],[Date]])</f>
        <v>0</v>
      </c>
      <c r="D255" s="1" t="str">
        <f>TEXT(Table1[[#This Row],[Date]],"mmm-yy")</f>
        <v>Jan-00</v>
      </c>
      <c r="E255" s="1"/>
      <c r="K255">
        <f>SUM(Table1[[#This Row],[Wholes (kg''s)]:[Rejection (kg''s)]])</f>
        <v>0</v>
      </c>
      <c r="P255">
        <f>SUM(Table1[[#This Row],[BK_Wholes]:[BK_Reject]])</f>
        <v>0</v>
      </c>
      <c r="Q255">
        <f>Table1[[#This Row],[Before Borma (kg''s)]]-Table1[[#This Row],[After Borma (kg''s)]]</f>
        <v>0</v>
      </c>
      <c r="R255" s="6" t="str">
        <f>IFERROR(Q255/K255%,"")</f>
        <v/>
      </c>
    </row>
    <row r="256" spans="2:18" x14ac:dyDescent="0.3">
      <c r="B256" s="1"/>
      <c r="C256" s="11">
        <f>WEEKNUM(Table1[[#This Row],[Date]])</f>
        <v>0</v>
      </c>
      <c r="D256" s="1" t="str">
        <f>TEXT(Table1[[#This Row],[Date]],"mmm-yy")</f>
        <v>Jan-00</v>
      </c>
      <c r="E256" s="1"/>
      <c r="K256">
        <f>SUM(Table1[[#This Row],[Wholes (kg''s)]:[Rejection (kg''s)]])</f>
        <v>0</v>
      </c>
      <c r="P256">
        <f>SUM(Table1[[#This Row],[BK_Wholes]:[BK_Reject]])</f>
        <v>0</v>
      </c>
      <c r="Q256">
        <f>Table1[[#This Row],[Before Borma (kg''s)]]-Table1[[#This Row],[After Borma (kg''s)]]</f>
        <v>0</v>
      </c>
      <c r="R256" s="6" t="str">
        <f>IFERROR(Q256/K256%,"")</f>
        <v/>
      </c>
    </row>
    <row r="257" spans="2:18" x14ac:dyDescent="0.3">
      <c r="B257" s="1"/>
      <c r="C257" s="11">
        <f>WEEKNUM(Table1[[#This Row],[Date]])</f>
        <v>0</v>
      </c>
      <c r="D257" s="1" t="str">
        <f>TEXT(Table1[[#This Row],[Date]],"mmm-yy")</f>
        <v>Jan-00</v>
      </c>
      <c r="E257" s="1"/>
      <c r="K257">
        <f>SUM(Table1[[#This Row],[Wholes (kg''s)]:[Rejection (kg''s)]])</f>
        <v>0</v>
      </c>
      <c r="P257">
        <f>SUM(Table1[[#This Row],[BK_Wholes]:[BK_Reject]])</f>
        <v>0</v>
      </c>
      <c r="Q257">
        <f>Table1[[#This Row],[Before Borma (kg''s)]]-Table1[[#This Row],[After Borma (kg''s)]]</f>
        <v>0</v>
      </c>
      <c r="R257" s="6" t="str">
        <f>IFERROR(Q257/K257%,"")</f>
        <v/>
      </c>
    </row>
    <row r="258" spans="2:18" x14ac:dyDescent="0.3">
      <c r="B258" s="1"/>
      <c r="C258" s="11">
        <f>WEEKNUM(Table1[[#This Row],[Date]])</f>
        <v>0</v>
      </c>
      <c r="D258" s="1" t="str">
        <f>TEXT(Table1[[#This Row],[Date]],"mmm-yy")</f>
        <v>Jan-00</v>
      </c>
      <c r="E258" s="1"/>
      <c r="K258">
        <f>SUM(Table1[[#This Row],[Wholes (kg''s)]:[Rejection (kg''s)]])</f>
        <v>0</v>
      </c>
      <c r="P258">
        <f>SUM(Table1[[#This Row],[BK_Wholes]:[BK_Reject]])</f>
        <v>0</v>
      </c>
      <c r="Q258">
        <f>Table1[[#This Row],[Before Borma (kg''s)]]-Table1[[#This Row],[After Borma (kg''s)]]</f>
        <v>0</v>
      </c>
      <c r="R258" s="6" t="str">
        <f>IFERROR(Q258/K258%,"")</f>
        <v/>
      </c>
    </row>
    <row r="259" spans="2:18" x14ac:dyDescent="0.3">
      <c r="B259" s="1"/>
      <c r="C259" s="11">
        <f>WEEKNUM(Table1[[#This Row],[Date]])</f>
        <v>0</v>
      </c>
      <c r="D259" s="1" t="str">
        <f>TEXT(Table1[[#This Row],[Date]],"mmm-yy")</f>
        <v>Jan-00</v>
      </c>
      <c r="E259" s="1"/>
      <c r="K259">
        <f>SUM(Table1[[#This Row],[Wholes (kg''s)]:[Rejection (kg''s)]])</f>
        <v>0</v>
      </c>
      <c r="P259">
        <f>SUM(Table1[[#This Row],[BK_Wholes]:[BK_Reject]])</f>
        <v>0</v>
      </c>
      <c r="Q259">
        <f>Table1[[#This Row],[Before Borma (kg''s)]]-Table1[[#This Row],[After Borma (kg''s)]]</f>
        <v>0</v>
      </c>
      <c r="R259" s="6" t="str">
        <f>IFERROR(Q259/K259%,"")</f>
        <v/>
      </c>
    </row>
    <row r="260" spans="2:18" x14ac:dyDescent="0.3">
      <c r="B260" s="1"/>
      <c r="C260" s="11">
        <f>WEEKNUM(Table1[[#This Row],[Date]])</f>
        <v>0</v>
      </c>
      <c r="D260" s="1" t="str">
        <f>TEXT(Table1[[#This Row],[Date]],"mmm-yy")</f>
        <v>Jan-00</v>
      </c>
      <c r="E260" s="1"/>
      <c r="K260">
        <f>SUM(Table1[[#This Row],[Wholes (kg''s)]:[Rejection (kg''s)]])</f>
        <v>0</v>
      </c>
      <c r="P260">
        <f>SUM(Table1[[#This Row],[BK_Wholes]:[BK_Reject]])</f>
        <v>0</v>
      </c>
      <c r="Q260">
        <f>Table1[[#This Row],[Before Borma (kg''s)]]-Table1[[#This Row],[After Borma (kg''s)]]</f>
        <v>0</v>
      </c>
      <c r="R260" s="6" t="str">
        <f>IFERROR(Q260/K260%,"")</f>
        <v/>
      </c>
    </row>
    <row r="261" spans="2:18" x14ac:dyDescent="0.3">
      <c r="B261" s="1"/>
      <c r="C261" s="11">
        <f>WEEKNUM(Table1[[#This Row],[Date]])</f>
        <v>0</v>
      </c>
      <c r="D261" s="1" t="str">
        <f>TEXT(Table1[[#This Row],[Date]],"mmm-yy")</f>
        <v>Jan-00</v>
      </c>
      <c r="E261" s="1"/>
      <c r="K261">
        <f>SUM(Table1[[#This Row],[Wholes (kg''s)]:[Rejection (kg''s)]])</f>
        <v>0</v>
      </c>
      <c r="P261">
        <f>SUM(Table1[[#This Row],[BK_Wholes]:[BK_Reject]])</f>
        <v>0</v>
      </c>
      <c r="Q261">
        <f>Table1[[#This Row],[Before Borma (kg''s)]]-Table1[[#This Row],[After Borma (kg''s)]]</f>
        <v>0</v>
      </c>
      <c r="R261" s="6" t="str">
        <f>IFERROR(Q261/K261%,"")</f>
        <v/>
      </c>
    </row>
    <row r="262" spans="2:18" x14ac:dyDescent="0.3">
      <c r="B262" s="1"/>
      <c r="C262" s="11">
        <f>WEEKNUM(Table1[[#This Row],[Date]])</f>
        <v>0</v>
      </c>
      <c r="D262" s="1" t="str">
        <f>TEXT(Table1[[#This Row],[Date]],"mmm-yy")</f>
        <v>Jan-00</v>
      </c>
      <c r="E262" s="1"/>
      <c r="K262">
        <f>SUM(Table1[[#This Row],[Wholes (kg''s)]:[Rejection (kg''s)]])</f>
        <v>0</v>
      </c>
      <c r="P262">
        <f>SUM(Table1[[#This Row],[BK_Wholes]:[BK_Reject]])</f>
        <v>0</v>
      </c>
      <c r="Q262">
        <f>Table1[[#This Row],[Before Borma (kg''s)]]-Table1[[#This Row],[After Borma (kg''s)]]</f>
        <v>0</v>
      </c>
      <c r="R262" s="6" t="str">
        <f>IFERROR(Q262/K262%,"")</f>
        <v/>
      </c>
    </row>
    <row r="263" spans="2:18" x14ac:dyDescent="0.3">
      <c r="B263" s="1"/>
      <c r="C263" s="11">
        <f>WEEKNUM(Table1[[#This Row],[Date]])</f>
        <v>0</v>
      </c>
      <c r="D263" s="1" t="str">
        <f>TEXT(Table1[[#This Row],[Date]],"mmm-yy")</f>
        <v>Jan-00</v>
      </c>
      <c r="E263" s="1"/>
      <c r="K263">
        <f>SUM(Table1[[#This Row],[Wholes (kg''s)]:[Rejection (kg''s)]])</f>
        <v>0</v>
      </c>
      <c r="P263">
        <f>SUM(Table1[[#This Row],[BK_Wholes]:[BK_Reject]])</f>
        <v>0</v>
      </c>
      <c r="Q263">
        <f>Table1[[#This Row],[Before Borma (kg''s)]]-Table1[[#This Row],[After Borma (kg''s)]]</f>
        <v>0</v>
      </c>
      <c r="R263" s="6" t="str">
        <f>IFERROR(Q263/K263%,"")</f>
        <v/>
      </c>
    </row>
    <row r="264" spans="2:18" x14ac:dyDescent="0.3">
      <c r="B264" s="1"/>
      <c r="C264" s="11">
        <f>WEEKNUM(Table1[[#This Row],[Date]])</f>
        <v>0</v>
      </c>
      <c r="D264" s="1" t="str">
        <f>TEXT(Table1[[#This Row],[Date]],"mmm-yy")</f>
        <v>Jan-00</v>
      </c>
      <c r="E264" s="1"/>
      <c r="K264">
        <f>SUM(Table1[[#This Row],[Wholes (kg''s)]:[Rejection (kg''s)]])</f>
        <v>0</v>
      </c>
      <c r="P264">
        <f>SUM(Table1[[#This Row],[BK_Wholes]:[BK_Reject]])</f>
        <v>0</v>
      </c>
      <c r="Q264">
        <f>Table1[[#This Row],[Before Borma (kg''s)]]-Table1[[#This Row],[After Borma (kg''s)]]</f>
        <v>0</v>
      </c>
      <c r="R264" s="6" t="str">
        <f>IFERROR(Q264/K264%,"")</f>
        <v/>
      </c>
    </row>
    <row r="265" spans="2:18" x14ac:dyDescent="0.3">
      <c r="B265" s="1"/>
      <c r="C265" s="11">
        <f>WEEKNUM(Table1[[#This Row],[Date]])</f>
        <v>0</v>
      </c>
      <c r="D265" s="1" t="str">
        <f>TEXT(Table1[[#This Row],[Date]],"mmm-yy")</f>
        <v>Jan-00</v>
      </c>
      <c r="E265" s="1"/>
      <c r="K265">
        <f>SUM(Table1[[#This Row],[Wholes (kg''s)]:[Rejection (kg''s)]])</f>
        <v>0</v>
      </c>
      <c r="P265">
        <f>SUM(Table1[[#This Row],[BK_Wholes]:[BK_Reject]])</f>
        <v>0</v>
      </c>
      <c r="Q265">
        <f>Table1[[#This Row],[Before Borma (kg''s)]]-Table1[[#This Row],[After Borma (kg''s)]]</f>
        <v>0</v>
      </c>
      <c r="R265" s="6" t="str">
        <f>IFERROR(Q265/K265%,"")</f>
        <v/>
      </c>
    </row>
    <row r="266" spans="2:18" x14ac:dyDescent="0.3">
      <c r="B266" s="1"/>
      <c r="C266" s="11">
        <f>WEEKNUM(Table1[[#This Row],[Date]])</f>
        <v>0</v>
      </c>
      <c r="D266" s="1" t="str">
        <f>TEXT(Table1[[#This Row],[Date]],"mmm-yy")</f>
        <v>Jan-00</v>
      </c>
      <c r="E266" s="1"/>
      <c r="K266">
        <f>SUM(Table1[[#This Row],[Wholes (kg''s)]:[Rejection (kg''s)]])</f>
        <v>0</v>
      </c>
      <c r="P266">
        <f>SUM(Table1[[#This Row],[BK_Wholes]:[BK_Reject]])</f>
        <v>0</v>
      </c>
      <c r="Q266">
        <f>Table1[[#This Row],[Before Borma (kg''s)]]-Table1[[#This Row],[After Borma (kg''s)]]</f>
        <v>0</v>
      </c>
      <c r="R266" s="6" t="str">
        <f>IFERROR(Q266/K266%,"")</f>
        <v/>
      </c>
    </row>
    <row r="267" spans="2:18" x14ac:dyDescent="0.3">
      <c r="B267" s="1"/>
      <c r="C267" s="11">
        <f>WEEKNUM(Table1[[#This Row],[Date]])</f>
        <v>0</v>
      </c>
      <c r="D267" s="1" t="str">
        <f>TEXT(Table1[[#This Row],[Date]],"mmm-yy")</f>
        <v>Jan-00</v>
      </c>
      <c r="E267" s="1"/>
      <c r="K267">
        <f>SUM(Table1[[#This Row],[Wholes (kg''s)]:[Rejection (kg''s)]])</f>
        <v>0</v>
      </c>
      <c r="P267">
        <f>SUM(Table1[[#This Row],[BK_Wholes]:[BK_Reject]])</f>
        <v>0</v>
      </c>
      <c r="Q267">
        <f>Table1[[#This Row],[Before Borma (kg''s)]]-Table1[[#This Row],[After Borma (kg''s)]]</f>
        <v>0</v>
      </c>
      <c r="R267" s="6" t="str">
        <f>IFERROR(Q267/K267%,"")</f>
        <v/>
      </c>
    </row>
    <row r="268" spans="2:18" x14ac:dyDescent="0.3">
      <c r="B268" s="1"/>
      <c r="C268" s="11">
        <f>WEEKNUM(Table1[[#This Row],[Date]])</f>
        <v>0</v>
      </c>
      <c r="D268" s="1" t="str">
        <f>TEXT(Table1[[#This Row],[Date]],"mmm-yy")</f>
        <v>Jan-00</v>
      </c>
      <c r="E268" s="1"/>
      <c r="K268">
        <f>SUM(Table1[[#This Row],[Wholes (kg''s)]:[Rejection (kg''s)]])</f>
        <v>0</v>
      </c>
      <c r="P268">
        <f>SUM(Table1[[#This Row],[BK_Wholes]:[BK_Reject]])</f>
        <v>0</v>
      </c>
      <c r="Q268">
        <f>Table1[[#This Row],[Before Borma (kg''s)]]-Table1[[#This Row],[After Borma (kg''s)]]</f>
        <v>0</v>
      </c>
      <c r="R268" s="6" t="str">
        <f>IFERROR(Q268/K268%,"")</f>
        <v/>
      </c>
    </row>
    <row r="269" spans="2:18" x14ac:dyDescent="0.3">
      <c r="B269" s="1"/>
      <c r="C269" s="11">
        <f>WEEKNUM(Table1[[#This Row],[Date]])</f>
        <v>0</v>
      </c>
      <c r="D269" s="1" t="str">
        <f>TEXT(Table1[[#This Row],[Date]],"mmm-yy")</f>
        <v>Jan-00</v>
      </c>
      <c r="E269" s="1"/>
      <c r="K269">
        <f>SUM(Table1[[#This Row],[Wholes (kg''s)]:[Rejection (kg''s)]])</f>
        <v>0</v>
      </c>
      <c r="P269">
        <f>SUM(Table1[[#This Row],[BK_Wholes]:[BK_Reject]])</f>
        <v>0</v>
      </c>
      <c r="Q269">
        <f>Table1[[#This Row],[Before Borma (kg''s)]]-Table1[[#This Row],[After Borma (kg''s)]]</f>
        <v>0</v>
      </c>
      <c r="R269" s="6" t="str">
        <f>IFERROR(Q269/K269%,"")</f>
        <v/>
      </c>
    </row>
    <row r="270" spans="2:18" x14ac:dyDescent="0.3">
      <c r="B270" s="1"/>
      <c r="C270" s="11">
        <f>WEEKNUM(Table1[[#This Row],[Date]])</f>
        <v>0</v>
      </c>
      <c r="D270" s="1" t="str">
        <f>TEXT(Table1[[#This Row],[Date]],"mmm-yy")</f>
        <v>Jan-00</v>
      </c>
      <c r="E270" s="1"/>
      <c r="K270">
        <f>SUM(Table1[[#This Row],[Wholes (kg''s)]:[Rejection (kg''s)]])</f>
        <v>0</v>
      </c>
      <c r="P270">
        <f>SUM(Table1[[#This Row],[BK_Wholes]:[BK_Reject]])</f>
        <v>0</v>
      </c>
      <c r="Q270">
        <f>Table1[[#This Row],[Before Borma (kg''s)]]-Table1[[#This Row],[After Borma (kg''s)]]</f>
        <v>0</v>
      </c>
      <c r="R270" s="6" t="str">
        <f>IFERROR(Q270/K270%,"")</f>
        <v/>
      </c>
    </row>
    <row r="271" spans="2:18" x14ac:dyDescent="0.3">
      <c r="B271" s="1"/>
      <c r="C271" s="11">
        <f>WEEKNUM(Table1[[#This Row],[Date]])</f>
        <v>0</v>
      </c>
      <c r="D271" s="1" t="str">
        <f>TEXT(Table1[[#This Row],[Date]],"mmm-yy")</f>
        <v>Jan-00</v>
      </c>
      <c r="E271" s="1"/>
      <c r="K271">
        <f>SUM(Table1[[#This Row],[Wholes (kg''s)]:[Rejection (kg''s)]])</f>
        <v>0</v>
      </c>
      <c r="P271">
        <f>SUM(Table1[[#This Row],[BK_Wholes]:[BK_Reject]])</f>
        <v>0</v>
      </c>
      <c r="Q271">
        <f>Table1[[#This Row],[Before Borma (kg''s)]]-Table1[[#This Row],[After Borma (kg''s)]]</f>
        <v>0</v>
      </c>
      <c r="R271" s="6" t="str">
        <f>IFERROR(Q271/K271%,"")</f>
        <v/>
      </c>
    </row>
    <row r="272" spans="2:18" x14ac:dyDescent="0.3">
      <c r="B272" s="1"/>
      <c r="C272" s="11">
        <f>WEEKNUM(Table1[[#This Row],[Date]])</f>
        <v>0</v>
      </c>
      <c r="D272" s="1" t="str">
        <f>TEXT(Table1[[#This Row],[Date]],"mmm-yy")</f>
        <v>Jan-00</v>
      </c>
      <c r="E272" s="1"/>
      <c r="K272">
        <f>SUM(Table1[[#This Row],[Wholes (kg''s)]:[Rejection (kg''s)]])</f>
        <v>0</v>
      </c>
      <c r="P272">
        <f>SUM(Table1[[#This Row],[BK_Wholes]:[BK_Reject]])</f>
        <v>0</v>
      </c>
      <c r="Q272">
        <f>Table1[[#This Row],[Before Borma (kg''s)]]-Table1[[#This Row],[After Borma (kg''s)]]</f>
        <v>0</v>
      </c>
      <c r="R272" s="6" t="str">
        <f>IFERROR(Q272/K272%,"")</f>
        <v/>
      </c>
    </row>
    <row r="273" spans="2:18" x14ac:dyDescent="0.3">
      <c r="B273" s="1"/>
      <c r="C273" s="11">
        <f>WEEKNUM(Table1[[#This Row],[Date]])</f>
        <v>0</v>
      </c>
      <c r="D273" s="1" t="str">
        <f>TEXT(Table1[[#This Row],[Date]],"mmm-yy")</f>
        <v>Jan-00</v>
      </c>
      <c r="E273" s="1"/>
      <c r="K273">
        <f>SUM(Table1[[#This Row],[Wholes (kg''s)]:[Rejection (kg''s)]])</f>
        <v>0</v>
      </c>
      <c r="P273">
        <f>SUM(Table1[[#This Row],[BK_Wholes]:[BK_Reject]])</f>
        <v>0</v>
      </c>
      <c r="Q273">
        <f>Table1[[#This Row],[Before Borma (kg''s)]]-Table1[[#This Row],[After Borma (kg''s)]]</f>
        <v>0</v>
      </c>
      <c r="R273" s="6" t="str">
        <f>IFERROR(Q273/K273%,"")</f>
        <v/>
      </c>
    </row>
    <row r="274" spans="2:18" x14ac:dyDescent="0.3">
      <c r="B274" s="1"/>
      <c r="C274" s="11">
        <f>WEEKNUM(Table1[[#This Row],[Date]])</f>
        <v>0</v>
      </c>
      <c r="D274" s="1" t="str">
        <f>TEXT(Table1[[#This Row],[Date]],"mmm-yy")</f>
        <v>Jan-00</v>
      </c>
      <c r="E274" s="1"/>
      <c r="K274">
        <f>SUM(Table1[[#This Row],[Wholes (kg''s)]:[Rejection (kg''s)]])</f>
        <v>0</v>
      </c>
      <c r="P274">
        <f>SUM(Table1[[#This Row],[BK_Wholes]:[BK_Reject]])</f>
        <v>0</v>
      </c>
      <c r="Q274">
        <f>Table1[[#This Row],[Before Borma (kg''s)]]-Table1[[#This Row],[After Borma (kg''s)]]</f>
        <v>0</v>
      </c>
      <c r="R274" s="6" t="str">
        <f>IFERROR(Q274/K274%,"")</f>
        <v/>
      </c>
    </row>
    <row r="275" spans="2:18" x14ac:dyDescent="0.3">
      <c r="B275" s="1"/>
      <c r="C275" s="11">
        <f>WEEKNUM(Table1[[#This Row],[Date]])</f>
        <v>0</v>
      </c>
      <c r="D275" s="1" t="str">
        <f>TEXT(Table1[[#This Row],[Date]],"mmm-yy")</f>
        <v>Jan-00</v>
      </c>
      <c r="E275" s="1"/>
      <c r="K275">
        <f>SUM(Table1[[#This Row],[Wholes (kg''s)]:[Rejection (kg''s)]])</f>
        <v>0</v>
      </c>
      <c r="P275">
        <f>SUM(Table1[[#This Row],[BK_Wholes]:[BK_Reject]])</f>
        <v>0</v>
      </c>
      <c r="Q275">
        <f>Table1[[#This Row],[Before Borma (kg''s)]]-Table1[[#This Row],[After Borma (kg''s)]]</f>
        <v>0</v>
      </c>
      <c r="R275" s="6" t="str">
        <f>IFERROR(Q275/K275%,"")</f>
        <v/>
      </c>
    </row>
    <row r="276" spans="2:18" x14ac:dyDescent="0.3">
      <c r="B276" s="1"/>
      <c r="C276" s="11">
        <f>WEEKNUM(Table1[[#This Row],[Date]])</f>
        <v>0</v>
      </c>
      <c r="D276" s="1" t="str">
        <f>TEXT(Table1[[#This Row],[Date]],"mmm-yy")</f>
        <v>Jan-00</v>
      </c>
      <c r="E276" s="1"/>
      <c r="K276">
        <f>SUM(Table1[[#This Row],[Wholes (kg''s)]:[Rejection (kg''s)]])</f>
        <v>0</v>
      </c>
      <c r="P276">
        <f>SUM(Table1[[#This Row],[BK_Wholes]:[BK_Reject]])</f>
        <v>0</v>
      </c>
      <c r="Q276">
        <f>Table1[[#This Row],[Before Borma (kg''s)]]-Table1[[#This Row],[After Borma (kg''s)]]</f>
        <v>0</v>
      </c>
      <c r="R276" s="6" t="str">
        <f>IFERROR(Q276/K276%,"")</f>
        <v/>
      </c>
    </row>
    <row r="277" spans="2:18" x14ac:dyDescent="0.3">
      <c r="B277" s="1"/>
      <c r="C277" s="11">
        <f>WEEKNUM(Table1[[#This Row],[Date]])</f>
        <v>0</v>
      </c>
      <c r="D277" s="1" t="str">
        <f>TEXT(Table1[[#This Row],[Date]],"mmm-yy")</f>
        <v>Jan-00</v>
      </c>
      <c r="E277" s="1"/>
      <c r="K277">
        <f>SUM(Table1[[#This Row],[Wholes (kg''s)]:[Rejection (kg''s)]])</f>
        <v>0</v>
      </c>
      <c r="P277">
        <f>SUM(Table1[[#This Row],[BK_Wholes]:[BK_Reject]])</f>
        <v>0</v>
      </c>
      <c r="Q277">
        <f>Table1[[#This Row],[Before Borma (kg''s)]]-Table1[[#This Row],[After Borma (kg''s)]]</f>
        <v>0</v>
      </c>
      <c r="R277" s="6" t="str">
        <f>IFERROR(Q277/K277%,"")</f>
        <v/>
      </c>
    </row>
    <row r="278" spans="2:18" x14ac:dyDescent="0.3">
      <c r="B278" s="1"/>
      <c r="C278" s="11">
        <f>WEEKNUM(Table1[[#This Row],[Date]])</f>
        <v>0</v>
      </c>
      <c r="D278" s="1" t="str">
        <f>TEXT(Table1[[#This Row],[Date]],"mmm-yy")</f>
        <v>Jan-00</v>
      </c>
      <c r="E278" s="1"/>
      <c r="K278">
        <f>SUM(Table1[[#This Row],[Wholes (kg''s)]:[Rejection (kg''s)]])</f>
        <v>0</v>
      </c>
      <c r="P278">
        <f>SUM(Table1[[#This Row],[BK_Wholes]:[BK_Reject]])</f>
        <v>0</v>
      </c>
      <c r="Q278">
        <f>Table1[[#This Row],[Before Borma (kg''s)]]-Table1[[#This Row],[After Borma (kg''s)]]</f>
        <v>0</v>
      </c>
      <c r="R278" s="6" t="str">
        <f>IFERROR(Q278/K278%,"")</f>
        <v/>
      </c>
    </row>
    <row r="279" spans="2:18" x14ac:dyDescent="0.3">
      <c r="B279" s="1"/>
      <c r="C279" s="11">
        <f>WEEKNUM(Table1[[#This Row],[Date]])</f>
        <v>0</v>
      </c>
      <c r="D279" s="1" t="str">
        <f>TEXT(Table1[[#This Row],[Date]],"mmm-yy")</f>
        <v>Jan-00</v>
      </c>
      <c r="E279" s="1"/>
      <c r="K279">
        <f>SUM(Table1[[#This Row],[Wholes (kg''s)]:[Rejection (kg''s)]])</f>
        <v>0</v>
      </c>
      <c r="P279">
        <f>SUM(Table1[[#This Row],[BK_Wholes]:[BK_Reject]])</f>
        <v>0</v>
      </c>
      <c r="Q279">
        <f>Table1[[#This Row],[Before Borma (kg''s)]]-Table1[[#This Row],[After Borma (kg''s)]]</f>
        <v>0</v>
      </c>
      <c r="R279" s="6" t="str">
        <f>IFERROR(Q279/K279%,"")</f>
        <v/>
      </c>
    </row>
    <row r="280" spans="2:18" x14ac:dyDescent="0.3">
      <c r="B280" s="1"/>
      <c r="C280" s="11">
        <f>WEEKNUM(Table1[[#This Row],[Date]])</f>
        <v>0</v>
      </c>
      <c r="D280" s="1" t="str">
        <f>TEXT(Table1[[#This Row],[Date]],"mmm-yy")</f>
        <v>Jan-00</v>
      </c>
      <c r="E280" s="1"/>
      <c r="K280">
        <f>SUM(Table1[[#This Row],[Wholes (kg''s)]:[Rejection (kg''s)]])</f>
        <v>0</v>
      </c>
      <c r="P280">
        <f>SUM(Table1[[#This Row],[BK_Wholes]:[BK_Reject]])</f>
        <v>0</v>
      </c>
      <c r="Q280">
        <f>Table1[[#This Row],[Before Borma (kg''s)]]-Table1[[#This Row],[After Borma (kg''s)]]</f>
        <v>0</v>
      </c>
      <c r="R280" s="6" t="str">
        <f>IFERROR(Q280/K280%,"")</f>
        <v/>
      </c>
    </row>
    <row r="281" spans="2:18" x14ac:dyDescent="0.3">
      <c r="B281" s="1"/>
      <c r="C281" s="11">
        <f>WEEKNUM(Table1[[#This Row],[Date]])</f>
        <v>0</v>
      </c>
      <c r="D281" s="1" t="str">
        <f>TEXT(Table1[[#This Row],[Date]],"mmm-yy")</f>
        <v>Jan-00</v>
      </c>
      <c r="E281" s="1"/>
      <c r="K281">
        <f>SUM(Table1[[#This Row],[Wholes (kg''s)]:[Rejection (kg''s)]])</f>
        <v>0</v>
      </c>
      <c r="P281">
        <f>SUM(Table1[[#This Row],[BK_Wholes]:[BK_Reject]])</f>
        <v>0</v>
      </c>
      <c r="Q281">
        <f>Table1[[#This Row],[Before Borma (kg''s)]]-Table1[[#This Row],[After Borma (kg''s)]]</f>
        <v>0</v>
      </c>
      <c r="R281" s="6" t="str">
        <f>IFERROR(Q281/K281%,"")</f>
        <v/>
      </c>
    </row>
    <row r="282" spans="2:18" x14ac:dyDescent="0.3">
      <c r="B282" s="1"/>
      <c r="C282" s="11">
        <f>WEEKNUM(Table1[[#This Row],[Date]])</f>
        <v>0</v>
      </c>
      <c r="D282" s="1" t="str">
        <f>TEXT(Table1[[#This Row],[Date]],"mmm-yy")</f>
        <v>Jan-00</v>
      </c>
      <c r="E282" s="1"/>
      <c r="K282">
        <f>SUM(Table1[[#This Row],[Wholes (kg''s)]:[Rejection (kg''s)]])</f>
        <v>0</v>
      </c>
      <c r="P282">
        <f>SUM(Table1[[#This Row],[BK_Wholes]:[BK_Reject]])</f>
        <v>0</v>
      </c>
      <c r="Q282">
        <f>Table1[[#This Row],[Before Borma (kg''s)]]-Table1[[#This Row],[After Borma (kg''s)]]</f>
        <v>0</v>
      </c>
      <c r="R282" s="6" t="str">
        <f>IFERROR(Q282/K282%,"")</f>
        <v/>
      </c>
    </row>
    <row r="283" spans="2:18" x14ac:dyDescent="0.3">
      <c r="B283" s="1"/>
      <c r="C283" s="11">
        <f>WEEKNUM(Table1[[#This Row],[Date]])</f>
        <v>0</v>
      </c>
      <c r="D283" s="1" t="str">
        <f>TEXT(Table1[[#This Row],[Date]],"mmm-yy")</f>
        <v>Jan-00</v>
      </c>
      <c r="E283" s="1"/>
      <c r="K283">
        <f>SUM(Table1[[#This Row],[Wholes (kg''s)]:[Rejection (kg''s)]])</f>
        <v>0</v>
      </c>
      <c r="P283">
        <f>SUM(Table1[[#This Row],[BK_Wholes]:[BK_Reject]])</f>
        <v>0</v>
      </c>
      <c r="Q283">
        <f>Table1[[#This Row],[Before Borma (kg''s)]]-Table1[[#This Row],[After Borma (kg''s)]]</f>
        <v>0</v>
      </c>
      <c r="R283" s="6" t="str">
        <f>IFERROR(Q283/K283%,"")</f>
        <v/>
      </c>
    </row>
    <row r="284" spans="2:18" x14ac:dyDescent="0.3">
      <c r="B284" s="1"/>
      <c r="C284" s="11">
        <f>WEEKNUM(Table1[[#This Row],[Date]])</f>
        <v>0</v>
      </c>
      <c r="D284" s="1" t="str">
        <f>TEXT(Table1[[#This Row],[Date]],"mmm-yy")</f>
        <v>Jan-00</v>
      </c>
      <c r="E284" s="1"/>
      <c r="K284">
        <f>SUM(Table1[[#This Row],[Wholes (kg''s)]:[Rejection (kg''s)]])</f>
        <v>0</v>
      </c>
      <c r="P284">
        <f>SUM(Table1[[#This Row],[BK_Wholes]:[BK_Reject]])</f>
        <v>0</v>
      </c>
      <c r="Q284">
        <f>Table1[[#This Row],[Before Borma (kg''s)]]-Table1[[#This Row],[After Borma (kg''s)]]</f>
        <v>0</v>
      </c>
      <c r="R284" s="6" t="str">
        <f>IFERROR(Q284/K284%,"")</f>
        <v/>
      </c>
    </row>
    <row r="285" spans="2:18" x14ac:dyDescent="0.3">
      <c r="B285" s="1"/>
      <c r="C285" s="11">
        <f>WEEKNUM(Table1[[#This Row],[Date]])</f>
        <v>0</v>
      </c>
      <c r="D285" s="1" t="str">
        <f>TEXT(Table1[[#This Row],[Date]],"mmm-yy")</f>
        <v>Jan-00</v>
      </c>
      <c r="E285" s="1"/>
      <c r="K285">
        <f>SUM(Table1[[#This Row],[Wholes (kg''s)]:[Rejection (kg''s)]])</f>
        <v>0</v>
      </c>
      <c r="P285">
        <f>SUM(Table1[[#This Row],[BK_Wholes]:[BK_Reject]])</f>
        <v>0</v>
      </c>
      <c r="Q285">
        <f>Table1[[#This Row],[Before Borma (kg''s)]]-Table1[[#This Row],[After Borma (kg''s)]]</f>
        <v>0</v>
      </c>
      <c r="R285" s="6" t="str">
        <f>IFERROR(Q285/K285%,"")</f>
        <v/>
      </c>
    </row>
    <row r="286" spans="2:18" x14ac:dyDescent="0.3">
      <c r="B286" s="1"/>
      <c r="C286" s="11">
        <f>WEEKNUM(Table1[[#This Row],[Date]])</f>
        <v>0</v>
      </c>
      <c r="D286" s="1" t="str">
        <f>TEXT(Table1[[#This Row],[Date]],"mmm-yy")</f>
        <v>Jan-00</v>
      </c>
      <c r="E286" s="1"/>
      <c r="K286">
        <f>SUM(Table1[[#This Row],[Wholes (kg''s)]:[Rejection (kg''s)]])</f>
        <v>0</v>
      </c>
      <c r="P286">
        <f>SUM(Table1[[#This Row],[BK_Wholes]:[BK_Reject]])</f>
        <v>0</v>
      </c>
      <c r="Q286">
        <f>Table1[[#This Row],[Before Borma (kg''s)]]-Table1[[#This Row],[After Borma (kg''s)]]</f>
        <v>0</v>
      </c>
      <c r="R286" s="6" t="str">
        <f>IFERROR(Q286/K286%,"")</f>
        <v/>
      </c>
    </row>
    <row r="287" spans="2:18" x14ac:dyDescent="0.3">
      <c r="B287" s="1"/>
      <c r="C287" s="11">
        <f>WEEKNUM(Table1[[#This Row],[Date]])</f>
        <v>0</v>
      </c>
      <c r="D287" s="1" t="str">
        <f>TEXT(Table1[[#This Row],[Date]],"mmm-yy")</f>
        <v>Jan-00</v>
      </c>
      <c r="E287" s="1"/>
      <c r="K287">
        <f>SUM(Table1[[#This Row],[Wholes (kg''s)]:[Rejection (kg''s)]])</f>
        <v>0</v>
      </c>
      <c r="P287">
        <f>SUM(Table1[[#This Row],[BK_Wholes]:[BK_Reject]])</f>
        <v>0</v>
      </c>
      <c r="Q287">
        <f>Table1[[#This Row],[Before Borma (kg''s)]]-Table1[[#This Row],[After Borma (kg''s)]]</f>
        <v>0</v>
      </c>
      <c r="R287" s="6" t="str">
        <f>IFERROR(Q287/K287%,"")</f>
        <v/>
      </c>
    </row>
    <row r="288" spans="2:18" x14ac:dyDescent="0.3">
      <c r="B288" s="1"/>
      <c r="C288" s="11">
        <f>WEEKNUM(Table1[[#This Row],[Date]])</f>
        <v>0</v>
      </c>
      <c r="D288" s="1" t="str">
        <f>TEXT(Table1[[#This Row],[Date]],"mmm-yy")</f>
        <v>Jan-00</v>
      </c>
      <c r="E288" s="1"/>
      <c r="K288">
        <f>SUM(Table1[[#This Row],[Wholes (kg''s)]:[Rejection (kg''s)]])</f>
        <v>0</v>
      </c>
      <c r="P288">
        <f>SUM(Table1[[#This Row],[BK_Wholes]:[BK_Reject]])</f>
        <v>0</v>
      </c>
      <c r="Q288">
        <f>Table1[[#This Row],[Before Borma (kg''s)]]-Table1[[#This Row],[After Borma (kg''s)]]</f>
        <v>0</v>
      </c>
      <c r="R288" s="6" t="str">
        <f>IFERROR(Q288/K288%,"")</f>
        <v/>
      </c>
    </row>
    <row r="289" spans="2:18" x14ac:dyDescent="0.3">
      <c r="B289" s="1"/>
      <c r="C289" s="11">
        <f>WEEKNUM(Table1[[#This Row],[Date]])</f>
        <v>0</v>
      </c>
      <c r="D289" s="1" t="str">
        <f>TEXT(Table1[[#This Row],[Date]],"mmm-yy")</f>
        <v>Jan-00</v>
      </c>
      <c r="E289" s="1"/>
      <c r="K289">
        <f>SUM(Table1[[#This Row],[Wholes (kg''s)]:[Rejection (kg''s)]])</f>
        <v>0</v>
      </c>
      <c r="P289">
        <f>SUM(Table1[[#This Row],[BK_Wholes]:[BK_Reject]])</f>
        <v>0</v>
      </c>
      <c r="Q289">
        <f>Table1[[#This Row],[Before Borma (kg''s)]]-Table1[[#This Row],[After Borma (kg''s)]]</f>
        <v>0</v>
      </c>
      <c r="R289" s="6" t="str">
        <f>IFERROR(Q289/K289%,"")</f>
        <v/>
      </c>
    </row>
    <row r="290" spans="2:18" x14ac:dyDescent="0.3">
      <c r="B290" s="1"/>
      <c r="C290" s="11">
        <f>WEEKNUM(Table1[[#This Row],[Date]])</f>
        <v>0</v>
      </c>
      <c r="D290" s="1" t="str">
        <f>TEXT(Table1[[#This Row],[Date]],"mmm-yy")</f>
        <v>Jan-00</v>
      </c>
      <c r="E290" s="1"/>
      <c r="K290">
        <f>SUM(Table1[[#This Row],[Wholes (kg''s)]:[Rejection (kg''s)]])</f>
        <v>0</v>
      </c>
      <c r="P290">
        <f>SUM(Table1[[#This Row],[BK_Wholes]:[BK_Reject]])</f>
        <v>0</v>
      </c>
      <c r="Q290">
        <f>Table1[[#This Row],[Before Borma (kg''s)]]-Table1[[#This Row],[After Borma (kg''s)]]</f>
        <v>0</v>
      </c>
      <c r="R290" s="6" t="str">
        <f>IFERROR(Q290/K290%,"")</f>
        <v/>
      </c>
    </row>
    <row r="291" spans="2:18" x14ac:dyDescent="0.3">
      <c r="B291" s="1"/>
      <c r="C291" s="11">
        <f>WEEKNUM(Table1[[#This Row],[Date]])</f>
        <v>0</v>
      </c>
      <c r="D291" s="1" t="str">
        <f>TEXT(Table1[[#This Row],[Date]],"mmm-yy")</f>
        <v>Jan-00</v>
      </c>
      <c r="E291" s="1"/>
      <c r="K291">
        <f>SUM(Table1[[#This Row],[Wholes (kg''s)]:[Rejection (kg''s)]])</f>
        <v>0</v>
      </c>
      <c r="P291">
        <f>SUM(Table1[[#This Row],[BK_Wholes]:[BK_Reject]])</f>
        <v>0</v>
      </c>
      <c r="Q291">
        <f>Table1[[#This Row],[Before Borma (kg''s)]]-Table1[[#This Row],[After Borma (kg''s)]]</f>
        <v>0</v>
      </c>
      <c r="R291" s="6" t="str">
        <f>IFERROR(Q291/K291%,"")</f>
        <v/>
      </c>
    </row>
    <row r="292" spans="2:18" x14ac:dyDescent="0.3">
      <c r="B292" s="1"/>
      <c r="C292" s="11">
        <f>WEEKNUM(Table1[[#This Row],[Date]])</f>
        <v>0</v>
      </c>
      <c r="D292" s="1" t="str">
        <f>TEXT(Table1[[#This Row],[Date]],"mmm-yy")</f>
        <v>Jan-00</v>
      </c>
      <c r="E292" s="1"/>
      <c r="K292">
        <f>SUM(Table1[[#This Row],[Wholes (kg''s)]:[Rejection (kg''s)]])</f>
        <v>0</v>
      </c>
      <c r="P292">
        <f>SUM(Table1[[#This Row],[BK_Wholes]:[BK_Reject]])</f>
        <v>0</v>
      </c>
      <c r="Q292">
        <f>Table1[[#This Row],[Before Borma (kg''s)]]-Table1[[#This Row],[After Borma (kg''s)]]</f>
        <v>0</v>
      </c>
      <c r="R292" s="6" t="str">
        <f>IFERROR(Q292/K292%,"")</f>
        <v/>
      </c>
    </row>
    <row r="293" spans="2:18" x14ac:dyDescent="0.3">
      <c r="B293" s="1"/>
      <c r="C293" s="11">
        <f>WEEKNUM(Table1[[#This Row],[Date]])</f>
        <v>0</v>
      </c>
      <c r="D293" s="1" t="str">
        <f>TEXT(Table1[[#This Row],[Date]],"mmm-yy")</f>
        <v>Jan-00</v>
      </c>
      <c r="E293" s="1"/>
      <c r="K293">
        <f>SUM(Table1[[#This Row],[Wholes (kg''s)]:[Rejection (kg''s)]])</f>
        <v>0</v>
      </c>
      <c r="P293">
        <f>SUM(Table1[[#This Row],[BK_Wholes]:[BK_Reject]])</f>
        <v>0</v>
      </c>
      <c r="Q293">
        <f>Table1[[#This Row],[Before Borma (kg''s)]]-Table1[[#This Row],[After Borma (kg''s)]]</f>
        <v>0</v>
      </c>
      <c r="R293" s="6" t="str">
        <f>IFERROR(Q293/K293%,"")</f>
        <v/>
      </c>
    </row>
    <row r="294" spans="2:18" x14ac:dyDescent="0.3">
      <c r="B294" s="1"/>
      <c r="C294" s="11">
        <f>WEEKNUM(Table1[[#This Row],[Date]])</f>
        <v>0</v>
      </c>
      <c r="D294" s="1" t="str">
        <f>TEXT(Table1[[#This Row],[Date]],"mmm-yy")</f>
        <v>Jan-00</v>
      </c>
      <c r="E294" s="1"/>
      <c r="K294">
        <f>SUM(Table1[[#This Row],[Wholes (kg''s)]:[Rejection (kg''s)]])</f>
        <v>0</v>
      </c>
      <c r="P294">
        <f>SUM(Table1[[#This Row],[BK_Wholes]:[BK_Reject]])</f>
        <v>0</v>
      </c>
      <c r="Q294">
        <f>Table1[[#This Row],[Before Borma (kg''s)]]-Table1[[#This Row],[After Borma (kg''s)]]</f>
        <v>0</v>
      </c>
      <c r="R294" s="6" t="str">
        <f>IFERROR(Q294/K294%,"")</f>
        <v/>
      </c>
    </row>
    <row r="295" spans="2:18" x14ac:dyDescent="0.3">
      <c r="B295" s="1"/>
      <c r="C295" s="11">
        <f>WEEKNUM(Table1[[#This Row],[Date]])</f>
        <v>0</v>
      </c>
      <c r="D295" s="1" t="str">
        <f>TEXT(Table1[[#This Row],[Date]],"mmm-yy")</f>
        <v>Jan-00</v>
      </c>
      <c r="E295" s="1"/>
      <c r="K295">
        <f>SUM(Table1[[#This Row],[Wholes (kg''s)]:[Rejection (kg''s)]])</f>
        <v>0</v>
      </c>
      <c r="P295">
        <f>SUM(Table1[[#This Row],[BK_Wholes]:[BK_Reject]])</f>
        <v>0</v>
      </c>
      <c r="Q295">
        <f>Table1[[#This Row],[Before Borma (kg''s)]]-Table1[[#This Row],[After Borma (kg''s)]]</f>
        <v>0</v>
      </c>
      <c r="R295" s="6" t="str">
        <f>IFERROR(Q295/K295%,"")</f>
        <v/>
      </c>
    </row>
    <row r="296" spans="2:18" x14ac:dyDescent="0.3">
      <c r="B296" s="1"/>
      <c r="C296" s="11">
        <f>WEEKNUM(Table1[[#This Row],[Date]])</f>
        <v>0</v>
      </c>
      <c r="D296" s="1" t="str">
        <f>TEXT(Table1[[#This Row],[Date]],"mmm-yy")</f>
        <v>Jan-00</v>
      </c>
      <c r="E296" s="1"/>
      <c r="K296">
        <f>SUM(Table1[[#This Row],[Wholes (kg''s)]:[Rejection (kg''s)]])</f>
        <v>0</v>
      </c>
      <c r="P296">
        <f>SUM(Table1[[#This Row],[BK_Wholes]:[BK_Reject]])</f>
        <v>0</v>
      </c>
      <c r="Q296">
        <f>Table1[[#This Row],[Before Borma (kg''s)]]-Table1[[#This Row],[After Borma (kg''s)]]</f>
        <v>0</v>
      </c>
      <c r="R296" s="6" t="str">
        <f>IFERROR(Q296/K296%,"")</f>
        <v/>
      </c>
    </row>
    <row r="297" spans="2:18" x14ac:dyDescent="0.3">
      <c r="B297" s="1"/>
      <c r="C297" s="11">
        <f>WEEKNUM(Table1[[#This Row],[Date]])</f>
        <v>0</v>
      </c>
      <c r="D297" s="1" t="str">
        <f>TEXT(Table1[[#This Row],[Date]],"mmm-yy")</f>
        <v>Jan-00</v>
      </c>
      <c r="E297" s="1"/>
      <c r="K297">
        <f>SUM(Table1[[#This Row],[Wholes (kg''s)]:[Rejection (kg''s)]])</f>
        <v>0</v>
      </c>
      <c r="P297">
        <f>SUM(Table1[[#This Row],[BK_Wholes]:[BK_Reject]])</f>
        <v>0</v>
      </c>
      <c r="Q297">
        <f>Table1[[#This Row],[Before Borma (kg''s)]]-Table1[[#This Row],[After Borma (kg''s)]]</f>
        <v>0</v>
      </c>
      <c r="R297" s="6" t="str">
        <f>IFERROR(Q297/K297%,"")</f>
        <v/>
      </c>
    </row>
    <row r="298" spans="2:18" x14ac:dyDescent="0.3">
      <c r="B298" s="1"/>
      <c r="C298" s="11">
        <f>WEEKNUM(Table1[[#This Row],[Date]])</f>
        <v>0</v>
      </c>
      <c r="D298" s="1" t="str">
        <f>TEXT(Table1[[#This Row],[Date]],"mmm-yy")</f>
        <v>Jan-00</v>
      </c>
      <c r="E298" s="1"/>
      <c r="K298">
        <f>SUM(Table1[[#This Row],[Wholes (kg''s)]:[Rejection (kg''s)]])</f>
        <v>0</v>
      </c>
      <c r="P298">
        <f>SUM(Table1[[#This Row],[BK_Wholes]:[BK_Reject]])</f>
        <v>0</v>
      </c>
      <c r="Q298">
        <f>Table1[[#This Row],[Before Borma (kg''s)]]-Table1[[#This Row],[After Borma (kg''s)]]</f>
        <v>0</v>
      </c>
      <c r="R298" s="6" t="str">
        <f>IFERROR(Q298/K298%,"")</f>
        <v/>
      </c>
    </row>
    <row r="299" spans="2:18" x14ac:dyDescent="0.3">
      <c r="B299" s="1"/>
      <c r="C299" s="11">
        <f>WEEKNUM(Table1[[#This Row],[Date]])</f>
        <v>0</v>
      </c>
      <c r="D299" s="1" t="str">
        <f>TEXT(Table1[[#This Row],[Date]],"mmm-yy")</f>
        <v>Jan-00</v>
      </c>
      <c r="E299" s="1"/>
      <c r="K299">
        <f>SUM(Table1[[#This Row],[Wholes (kg''s)]:[Rejection (kg''s)]])</f>
        <v>0</v>
      </c>
      <c r="P299">
        <f>SUM(Table1[[#This Row],[BK_Wholes]:[BK_Reject]])</f>
        <v>0</v>
      </c>
      <c r="Q299">
        <f>Table1[[#This Row],[Before Borma (kg''s)]]-Table1[[#This Row],[After Borma (kg''s)]]</f>
        <v>0</v>
      </c>
      <c r="R299" s="6" t="str">
        <f>IFERROR(Q299/K299%,"")</f>
        <v/>
      </c>
    </row>
    <row r="300" spans="2:18" x14ac:dyDescent="0.3">
      <c r="B300" s="1"/>
      <c r="C300" s="11">
        <f>WEEKNUM(Table1[[#This Row],[Date]])</f>
        <v>0</v>
      </c>
      <c r="D300" s="1" t="str">
        <f>TEXT(Table1[[#This Row],[Date]],"mmm-yy")</f>
        <v>Jan-00</v>
      </c>
      <c r="E300" s="1"/>
      <c r="K300">
        <f>SUM(Table1[[#This Row],[Wholes (kg''s)]:[Rejection (kg''s)]])</f>
        <v>0</v>
      </c>
      <c r="P300">
        <f>SUM(Table1[[#This Row],[BK_Wholes]:[BK_Reject]])</f>
        <v>0</v>
      </c>
      <c r="Q300">
        <f>Table1[[#This Row],[Before Borma (kg''s)]]-Table1[[#This Row],[After Borma (kg''s)]]</f>
        <v>0</v>
      </c>
      <c r="R300" s="6" t="str">
        <f>IFERROR(Q300/K300%,"")</f>
        <v/>
      </c>
    </row>
    <row r="301" spans="2:18" x14ac:dyDescent="0.3">
      <c r="B301" s="1"/>
      <c r="C301" s="11">
        <f>WEEKNUM(Table1[[#This Row],[Date]])</f>
        <v>0</v>
      </c>
      <c r="D301" s="1" t="str">
        <f>TEXT(Table1[[#This Row],[Date]],"mmm-yy")</f>
        <v>Jan-00</v>
      </c>
      <c r="E301" s="1"/>
      <c r="K301">
        <f>SUM(Table1[[#This Row],[Wholes (kg''s)]:[Rejection (kg''s)]])</f>
        <v>0</v>
      </c>
      <c r="P301">
        <f>SUM(Table1[[#This Row],[BK_Wholes]:[BK_Reject]])</f>
        <v>0</v>
      </c>
      <c r="Q301">
        <f>Table1[[#This Row],[Before Borma (kg''s)]]-Table1[[#This Row],[After Borma (kg''s)]]</f>
        <v>0</v>
      </c>
      <c r="R301" s="6" t="str">
        <f>IFERROR(Q301/K301%,"")</f>
        <v/>
      </c>
    </row>
    <row r="302" spans="2:18" x14ac:dyDescent="0.3">
      <c r="B302" s="1"/>
      <c r="C302" s="11">
        <f>WEEKNUM(Table1[[#This Row],[Date]])</f>
        <v>0</v>
      </c>
      <c r="D302" s="1" t="str">
        <f>TEXT(Table1[[#This Row],[Date]],"mmm-yy")</f>
        <v>Jan-00</v>
      </c>
      <c r="E302" s="1"/>
      <c r="K302">
        <f>SUM(Table1[[#This Row],[Wholes (kg''s)]:[Rejection (kg''s)]])</f>
        <v>0</v>
      </c>
      <c r="P302">
        <f>SUM(Table1[[#This Row],[BK_Wholes]:[BK_Reject]])</f>
        <v>0</v>
      </c>
      <c r="Q302">
        <f>Table1[[#This Row],[Before Borma (kg''s)]]-Table1[[#This Row],[After Borma (kg''s)]]</f>
        <v>0</v>
      </c>
      <c r="R302" s="6" t="str">
        <f>IFERROR(Q302/K302%,"")</f>
        <v/>
      </c>
    </row>
    <row r="303" spans="2:18" x14ac:dyDescent="0.3">
      <c r="B303" s="1"/>
      <c r="C303" s="11">
        <f>WEEKNUM(Table1[[#This Row],[Date]])</f>
        <v>0</v>
      </c>
      <c r="D303" s="1" t="str">
        <f>TEXT(Table1[[#This Row],[Date]],"mmm-yy")</f>
        <v>Jan-00</v>
      </c>
      <c r="E303" s="1"/>
      <c r="K303">
        <f>SUM(Table1[[#This Row],[Wholes (kg''s)]:[Rejection (kg''s)]])</f>
        <v>0</v>
      </c>
      <c r="P303">
        <f>SUM(Table1[[#This Row],[BK_Wholes]:[BK_Reject]])</f>
        <v>0</v>
      </c>
      <c r="Q303">
        <f>Table1[[#This Row],[Before Borma (kg''s)]]-Table1[[#This Row],[After Borma (kg''s)]]</f>
        <v>0</v>
      </c>
      <c r="R303" s="6" t="str">
        <f>IFERROR(Q303/K303%,"")</f>
        <v/>
      </c>
    </row>
    <row r="304" spans="2:18" x14ac:dyDescent="0.3">
      <c r="B304" s="1"/>
      <c r="C304" s="11">
        <f>WEEKNUM(Table1[[#This Row],[Date]])</f>
        <v>0</v>
      </c>
      <c r="D304" s="1" t="str">
        <f>TEXT(Table1[[#This Row],[Date]],"mmm-yy")</f>
        <v>Jan-00</v>
      </c>
      <c r="E304" s="1"/>
      <c r="K304">
        <f>SUM(Table1[[#This Row],[Wholes (kg''s)]:[Rejection (kg''s)]])</f>
        <v>0</v>
      </c>
      <c r="P304">
        <f>SUM(Table1[[#This Row],[BK_Wholes]:[BK_Reject]])</f>
        <v>0</v>
      </c>
      <c r="Q304">
        <f>Table1[[#This Row],[Before Borma (kg''s)]]-Table1[[#This Row],[After Borma (kg''s)]]</f>
        <v>0</v>
      </c>
      <c r="R304" s="6" t="str">
        <f>IFERROR(Q304/K304%,"")</f>
        <v/>
      </c>
    </row>
    <row r="305" spans="2:18" x14ac:dyDescent="0.3">
      <c r="B305" s="1"/>
      <c r="C305" s="11">
        <f>WEEKNUM(Table1[[#This Row],[Date]])</f>
        <v>0</v>
      </c>
      <c r="D305" s="1" t="str">
        <f>TEXT(Table1[[#This Row],[Date]],"mmm-yy")</f>
        <v>Jan-00</v>
      </c>
      <c r="E305" s="1"/>
      <c r="K305">
        <f>SUM(Table1[[#This Row],[Wholes (kg''s)]:[Rejection (kg''s)]])</f>
        <v>0</v>
      </c>
      <c r="P305">
        <f>SUM(Table1[[#This Row],[BK_Wholes]:[BK_Reject]])</f>
        <v>0</v>
      </c>
      <c r="Q305">
        <f>Table1[[#This Row],[Before Borma (kg''s)]]-Table1[[#This Row],[After Borma (kg''s)]]</f>
        <v>0</v>
      </c>
      <c r="R305" s="6" t="str">
        <f>IFERROR(Q305/K305%,"")</f>
        <v/>
      </c>
    </row>
    <row r="306" spans="2:18" x14ac:dyDescent="0.3">
      <c r="B306" s="1"/>
      <c r="C306" s="11">
        <f>WEEKNUM(Table1[[#This Row],[Date]])</f>
        <v>0</v>
      </c>
      <c r="D306" s="1" t="str">
        <f>TEXT(Table1[[#This Row],[Date]],"mmm-yy")</f>
        <v>Jan-00</v>
      </c>
      <c r="E306" s="1"/>
      <c r="K306">
        <f>SUM(Table1[[#This Row],[Wholes (kg''s)]:[Rejection (kg''s)]])</f>
        <v>0</v>
      </c>
      <c r="P306">
        <f>SUM(Table1[[#This Row],[BK_Wholes]:[BK_Reject]])</f>
        <v>0</v>
      </c>
      <c r="Q306">
        <f>Table1[[#This Row],[Before Borma (kg''s)]]-Table1[[#This Row],[After Borma (kg''s)]]</f>
        <v>0</v>
      </c>
      <c r="R306" s="6" t="str">
        <f>IFERROR(Q306/K306%,"")</f>
        <v/>
      </c>
    </row>
    <row r="307" spans="2:18" x14ac:dyDescent="0.3">
      <c r="B307" s="1"/>
      <c r="C307" s="11">
        <f>WEEKNUM(Table1[[#This Row],[Date]])</f>
        <v>0</v>
      </c>
      <c r="D307" s="1" t="str">
        <f>TEXT(Table1[[#This Row],[Date]],"mmm-yy")</f>
        <v>Jan-00</v>
      </c>
      <c r="E307" s="1"/>
      <c r="K307">
        <f>SUM(Table1[[#This Row],[Wholes (kg''s)]:[Rejection (kg''s)]])</f>
        <v>0</v>
      </c>
      <c r="P307">
        <f>SUM(Table1[[#This Row],[BK_Wholes]:[BK_Reject]])</f>
        <v>0</v>
      </c>
      <c r="Q307">
        <f>Table1[[#This Row],[Before Borma (kg''s)]]-Table1[[#This Row],[After Borma (kg''s)]]</f>
        <v>0</v>
      </c>
      <c r="R307" s="6" t="str">
        <f>IFERROR(Q307/K307%,"")</f>
        <v/>
      </c>
    </row>
    <row r="308" spans="2:18" x14ac:dyDescent="0.3">
      <c r="B308" s="1"/>
      <c r="C308" s="11">
        <f>WEEKNUM(Table1[[#This Row],[Date]])</f>
        <v>0</v>
      </c>
      <c r="D308" s="1" t="str">
        <f>TEXT(Table1[[#This Row],[Date]],"mmm-yy")</f>
        <v>Jan-00</v>
      </c>
      <c r="E308" s="1"/>
      <c r="K308">
        <f>SUM(Table1[[#This Row],[Wholes (kg''s)]:[Rejection (kg''s)]])</f>
        <v>0</v>
      </c>
      <c r="P308">
        <f>SUM(Table1[[#This Row],[BK_Wholes]:[BK_Reject]])</f>
        <v>0</v>
      </c>
      <c r="Q308">
        <f>Table1[[#This Row],[Before Borma (kg''s)]]-Table1[[#This Row],[After Borma (kg''s)]]</f>
        <v>0</v>
      </c>
      <c r="R308" s="6" t="str">
        <f>IFERROR(Q308/K308%,"")</f>
        <v/>
      </c>
    </row>
    <row r="309" spans="2:18" x14ac:dyDescent="0.3">
      <c r="B309" s="1"/>
      <c r="C309" s="11">
        <f>WEEKNUM(Table1[[#This Row],[Date]])</f>
        <v>0</v>
      </c>
      <c r="D309" s="1" t="str">
        <f>TEXT(Table1[[#This Row],[Date]],"mmm-yy")</f>
        <v>Jan-00</v>
      </c>
      <c r="E309" s="1"/>
      <c r="K309">
        <f>SUM(Table1[[#This Row],[Wholes (kg''s)]:[Rejection (kg''s)]])</f>
        <v>0</v>
      </c>
      <c r="P309">
        <f>SUM(Table1[[#This Row],[BK_Wholes]:[BK_Reject]])</f>
        <v>0</v>
      </c>
      <c r="Q309">
        <f>Table1[[#This Row],[Before Borma (kg''s)]]-Table1[[#This Row],[After Borma (kg''s)]]</f>
        <v>0</v>
      </c>
      <c r="R309" s="6" t="str">
        <f>IFERROR(Q309/K309%,"")</f>
        <v/>
      </c>
    </row>
    <row r="310" spans="2:18" x14ac:dyDescent="0.3">
      <c r="B310" s="1"/>
      <c r="C310" s="11">
        <f>WEEKNUM(Table1[[#This Row],[Date]])</f>
        <v>0</v>
      </c>
      <c r="D310" s="1" t="str">
        <f>TEXT(Table1[[#This Row],[Date]],"mmm-yy")</f>
        <v>Jan-00</v>
      </c>
      <c r="E310" s="1"/>
      <c r="K310">
        <f>SUM(Table1[[#This Row],[Wholes (kg''s)]:[Rejection (kg''s)]])</f>
        <v>0</v>
      </c>
      <c r="P310">
        <f>SUM(Table1[[#This Row],[BK_Wholes]:[BK_Reject]])</f>
        <v>0</v>
      </c>
      <c r="Q310">
        <f>Table1[[#This Row],[Before Borma (kg''s)]]-Table1[[#This Row],[After Borma (kg''s)]]</f>
        <v>0</v>
      </c>
      <c r="R310" s="6" t="str">
        <f>IFERROR(Q310/K310%,"")</f>
        <v/>
      </c>
    </row>
    <row r="311" spans="2:18" x14ac:dyDescent="0.3">
      <c r="B311" s="1"/>
      <c r="C311" s="11">
        <f>WEEKNUM(Table1[[#This Row],[Date]])</f>
        <v>0</v>
      </c>
      <c r="D311" s="1" t="str">
        <f>TEXT(Table1[[#This Row],[Date]],"mmm-yy")</f>
        <v>Jan-00</v>
      </c>
      <c r="E311" s="1"/>
      <c r="K311">
        <f>SUM(Table1[[#This Row],[Wholes (kg''s)]:[Rejection (kg''s)]])</f>
        <v>0</v>
      </c>
      <c r="P311">
        <f>SUM(Table1[[#This Row],[BK_Wholes]:[BK_Reject]])</f>
        <v>0</v>
      </c>
      <c r="Q311">
        <f>Table1[[#This Row],[Before Borma (kg''s)]]-Table1[[#This Row],[After Borma (kg''s)]]</f>
        <v>0</v>
      </c>
      <c r="R311" s="6" t="str">
        <f>IFERROR(Q311/K311%,"")</f>
        <v/>
      </c>
    </row>
    <row r="312" spans="2:18" x14ac:dyDescent="0.3">
      <c r="B312" s="1"/>
      <c r="C312" s="11">
        <f>WEEKNUM(Table1[[#This Row],[Date]])</f>
        <v>0</v>
      </c>
      <c r="D312" s="1" t="str">
        <f>TEXT(Table1[[#This Row],[Date]],"mmm-yy")</f>
        <v>Jan-00</v>
      </c>
      <c r="E312" s="1"/>
      <c r="K312">
        <f>SUM(Table1[[#This Row],[Wholes (kg''s)]:[Rejection (kg''s)]])</f>
        <v>0</v>
      </c>
      <c r="P312">
        <f>SUM(Table1[[#This Row],[BK_Wholes]:[BK_Reject]])</f>
        <v>0</v>
      </c>
      <c r="Q312">
        <f>Table1[[#This Row],[Before Borma (kg''s)]]-Table1[[#This Row],[After Borma (kg''s)]]</f>
        <v>0</v>
      </c>
      <c r="R312" s="6" t="str">
        <f>IFERROR(Q312/K312%,"")</f>
        <v/>
      </c>
    </row>
    <row r="313" spans="2:18" x14ac:dyDescent="0.3">
      <c r="B313" s="1"/>
      <c r="C313" s="11">
        <f>WEEKNUM(Table1[[#This Row],[Date]])</f>
        <v>0</v>
      </c>
      <c r="D313" s="1" t="str">
        <f>TEXT(Table1[[#This Row],[Date]],"mmm-yy")</f>
        <v>Jan-00</v>
      </c>
      <c r="E313" s="1"/>
      <c r="K313">
        <f>SUM(Table1[[#This Row],[Wholes (kg''s)]:[Rejection (kg''s)]])</f>
        <v>0</v>
      </c>
      <c r="P313">
        <f>SUM(Table1[[#This Row],[BK_Wholes]:[BK_Reject]])</f>
        <v>0</v>
      </c>
      <c r="Q313">
        <f>Table1[[#This Row],[Before Borma (kg''s)]]-Table1[[#This Row],[After Borma (kg''s)]]</f>
        <v>0</v>
      </c>
      <c r="R313" s="6" t="str">
        <f>IFERROR(Q313/K313%,"")</f>
        <v/>
      </c>
    </row>
    <row r="314" spans="2:18" x14ac:dyDescent="0.3">
      <c r="B314" s="1"/>
      <c r="C314" s="11">
        <f>WEEKNUM(Table1[[#This Row],[Date]])</f>
        <v>0</v>
      </c>
      <c r="D314" s="1" t="str">
        <f>TEXT(Table1[[#This Row],[Date]],"mmm-yy")</f>
        <v>Jan-00</v>
      </c>
      <c r="E314" s="1"/>
      <c r="K314">
        <f>SUM(Table1[[#This Row],[Wholes (kg''s)]:[Rejection (kg''s)]])</f>
        <v>0</v>
      </c>
      <c r="P314">
        <f>SUM(Table1[[#This Row],[BK_Wholes]:[BK_Reject]])</f>
        <v>0</v>
      </c>
      <c r="Q314">
        <f>Table1[[#This Row],[Before Borma (kg''s)]]-Table1[[#This Row],[After Borma (kg''s)]]</f>
        <v>0</v>
      </c>
      <c r="R314" s="6" t="str">
        <f>IFERROR(Q314/K314%,"")</f>
        <v/>
      </c>
    </row>
    <row r="315" spans="2:18" x14ac:dyDescent="0.3">
      <c r="B315" s="1"/>
      <c r="C315" s="11">
        <f>WEEKNUM(Table1[[#This Row],[Date]])</f>
        <v>0</v>
      </c>
      <c r="D315" s="1" t="str">
        <f>TEXT(Table1[[#This Row],[Date]],"mmm-yy")</f>
        <v>Jan-00</v>
      </c>
      <c r="E315" s="1"/>
      <c r="K315">
        <f>SUM(Table1[[#This Row],[Wholes (kg''s)]:[Rejection (kg''s)]])</f>
        <v>0</v>
      </c>
      <c r="P315">
        <f>SUM(Table1[[#This Row],[BK_Wholes]:[BK_Reject]])</f>
        <v>0</v>
      </c>
      <c r="Q315">
        <f>Table1[[#This Row],[Before Borma (kg''s)]]-Table1[[#This Row],[After Borma (kg''s)]]</f>
        <v>0</v>
      </c>
      <c r="R315" s="6" t="str">
        <f>IFERROR(Q315/K315%,"")</f>
        <v/>
      </c>
    </row>
    <row r="316" spans="2:18" x14ac:dyDescent="0.3">
      <c r="B316" s="1"/>
      <c r="C316" s="11">
        <f>WEEKNUM(Table1[[#This Row],[Date]])</f>
        <v>0</v>
      </c>
      <c r="D316" s="1" t="str">
        <f>TEXT(Table1[[#This Row],[Date]],"mmm-yy")</f>
        <v>Jan-00</v>
      </c>
      <c r="E316" s="1"/>
      <c r="K316">
        <f>SUM(Table1[[#This Row],[Wholes (kg''s)]:[Rejection (kg''s)]])</f>
        <v>0</v>
      </c>
      <c r="P316">
        <f>SUM(Table1[[#This Row],[BK_Wholes]:[BK_Reject]])</f>
        <v>0</v>
      </c>
      <c r="Q316">
        <f>Table1[[#This Row],[Before Borma (kg''s)]]-Table1[[#This Row],[After Borma (kg''s)]]</f>
        <v>0</v>
      </c>
      <c r="R316" s="6" t="str">
        <f>IFERROR(Q316/K316%,"")</f>
        <v/>
      </c>
    </row>
    <row r="317" spans="2:18" x14ac:dyDescent="0.3">
      <c r="B317" s="1"/>
      <c r="C317" s="11">
        <f>WEEKNUM(Table1[[#This Row],[Date]])</f>
        <v>0</v>
      </c>
      <c r="D317" s="1" t="str">
        <f>TEXT(Table1[[#This Row],[Date]],"mmm-yy")</f>
        <v>Jan-00</v>
      </c>
      <c r="E317" s="1"/>
      <c r="K317">
        <f>SUM(Table1[[#This Row],[Wholes (kg''s)]:[Rejection (kg''s)]])</f>
        <v>0</v>
      </c>
      <c r="P317">
        <f>SUM(Table1[[#This Row],[BK_Wholes]:[BK_Reject]])</f>
        <v>0</v>
      </c>
      <c r="Q317">
        <f>Table1[[#This Row],[Before Borma (kg''s)]]-Table1[[#This Row],[After Borma (kg''s)]]</f>
        <v>0</v>
      </c>
      <c r="R317" s="6" t="str">
        <f>IFERROR(Q317/K317%,"")</f>
        <v/>
      </c>
    </row>
    <row r="318" spans="2:18" x14ac:dyDescent="0.3">
      <c r="B318" s="1"/>
      <c r="C318" s="11">
        <f>WEEKNUM(Table1[[#This Row],[Date]])</f>
        <v>0</v>
      </c>
      <c r="D318" s="1" t="str">
        <f>TEXT(Table1[[#This Row],[Date]],"mmm-yy")</f>
        <v>Jan-00</v>
      </c>
      <c r="E318" s="1"/>
      <c r="K318">
        <f>SUM(Table1[[#This Row],[Wholes (kg''s)]:[Rejection (kg''s)]])</f>
        <v>0</v>
      </c>
      <c r="P318">
        <f>SUM(Table1[[#This Row],[BK_Wholes]:[BK_Reject]])</f>
        <v>0</v>
      </c>
      <c r="Q318">
        <f>Table1[[#This Row],[Before Borma (kg''s)]]-Table1[[#This Row],[After Borma (kg''s)]]</f>
        <v>0</v>
      </c>
      <c r="R318" s="6" t="str">
        <f>IFERROR(Q318/K318%,"")</f>
        <v/>
      </c>
    </row>
    <row r="319" spans="2:18" x14ac:dyDescent="0.3">
      <c r="B319" s="1"/>
      <c r="C319" s="11">
        <f>WEEKNUM(Table1[[#This Row],[Date]])</f>
        <v>0</v>
      </c>
      <c r="D319" s="1" t="str">
        <f>TEXT(Table1[[#This Row],[Date]],"mmm-yy")</f>
        <v>Jan-00</v>
      </c>
      <c r="E319" s="1"/>
      <c r="K319">
        <f>SUM(Table1[[#This Row],[Wholes (kg''s)]:[Rejection (kg''s)]])</f>
        <v>0</v>
      </c>
      <c r="P319">
        <f>SUM(Table1[[#This Row],[BK_Wholes]:[BK_Reject]])</f>
        <v>0</v>
      </c>
      <c r="Q319">
        <f>Table1[[#This Row],[Before Borma (kg''s)]]-Table1[[#This Row],[After Borma (kg''s)]]</f>
        <v>0</v>
      </c>
      <c r="R319" s="6" t="str">
        <f>IFERROR(Q319/K319%,"")</f>
        <v/>
      </c>
    </row>
    <row r="320" spans="2:18" x14ac:dyDescent="0.3">
      <c r="B320" s="1"/>
      <c r="C320" s="11">
        <f>WEEKNUM(Table1[[#This Row],[Date]])</f>
        <v>0</v>
      </c>
      <c r="D320" s="1" t="str">
        <f>TEXT(Table1[[#This Row],[Date]],"mmm-yy")</f>
        <v>Jan-00</v>
      </c>
      <c r="E320" s="1"/>
      <c r="K320">
        <f>SUM(Table1[[#This Row],[Wholes (kg''s)]:[Rejection (kg''s)]])</f>
        <v>0</v>
      </c>
      <c r="P320">
        <f>SUM(Table1[[#This Row],[BK_Wholes]:[BK_Reject]])</f>
        <v>0</v>
      </c>
      <c r="Q320">
        <f>Table1[[#This Row],[Before Borma (kg''s)]]-Table1[[#This Row],[After Borma (kg''s)]]</f>
        <v>0</v>
      </c>
      <c r="R320" s="6" t="str">
        <f>IFERROR(Q320/K320%,"")</f>
        <v/>
      </c>
    </row>
    <row r="321" spans="2:18" x14ac:dyDescent="0.3">
      <c r="B321" s="1"/>
      <c r="C321" s="11">
        <f>WEEKNUM(Table1[[#This Row],[Date]])</f>
        <v>0</v>
      </c>
      <c r="D321" s="1" t="str">
        <f>TEXT(Table1[[#This Row],[Date]],"mmm-yy")</f>
        <v>Jan-00</v>
      </c>
      <c r="E321" s="1"/>
      <c r="K321">
        <f>SUM(Table1[[#This Row],[Wholes (kg''s)]:[Rejection (kg''s)]])</f>
        <v>0</v>
      </c>
      <c r="P321">
        <f>SUM(Table1[[#This Row],[BK_Wholes]:[BK_Reject]])</f>
        <v>0</v>
      </c>
      <c r="Q321">
        <f>Table1[[#This Row],[Before Borma (kg''s)]]-Table1[[#This Row],[After Borma (kg''s)]]</f>
        <v>0</v>
      </c>
      <c r="R321" s="6" t="str">
        <f>IFERROR(Q321/K321%,"")</f>
        <v/>
      </c>
    </row>
    <row r="322" spans="2:18" x14ac:dyDescent="0.3">
      <c r="B322" s="1"/>
      <c r="C322" s="11">
        <f>WEEKNUM(Table1[[#This Row],[Date]])</f>
        <v>0</v>
      </c>
      <c r="D322" s="1" t="str">
        <f>TEXT(Table1[[#This Row],[Date]],"mmm-yy")</f>
        <v>Jan-00</v>
      </c>
      <c r="E322" s="1"/>
      <c r="K322">
        <f>SUM(Table1[[#This Row],[Wholes (kg''s)]:[Rejection (kg''s)]])</f>
        <v>0</v>
      </c>
      <c r="P322">
        <f>SUM(Table1[[#This Row],[BK_Wholes]:[BK_Reject]])</f>
        <v>0</v>
      </c>
      <c r="Q322">
        <f>Table1[[#This Row],[Before Borma (kg''s)]]-Table1[[#This Row],[After Borma (kg''s)]]</f>
        <v>0</v>
      </c>
      <c r="R322" s="6" t="str">
        <f>IFERROR(Q322/K322%,"")</f>
        <v/>
      </c>
    </row>
    <row r="323" spans="2:18" x14ac:dyDescent="0.3">
      <c r="B323" s="1"/>
      <c r="C323" s="11">
        <f>WEEKNUM(Table1[[#This Row],[Date]])</f>
        <v>0</v>
      </c>
      <c r="D323" s="1" t="str">
        <f>TEXT(Table1[[#This Row],[Date]],"mmm-yy")</f>
        <v>Jan-00</v>
      </c>
      <c r="E323" s="1"/>
      <c r="K323">
        <f>SUM(Table1[[#This Row],[Wholes (kg''s)]:[Rejection (kg''s)]])</f>
        <v>0</v>
      </c>
      <c r="P323">
        <f>SUM(Table1[[#This Row],[BK_Wholes]:[BK_Reject]])</f>
        <v>0</v>
      </c>
      <c r="Q323">
        <f>Table1[[#This Row],[Before Borma (kg''s)]]-Table1[[#This Row],[After Borma (kg''s)]]</f>
        <v>0</v>
      </c>
      <c r="R323" s="6" t="str">
        <f>IFERROR(Q323/K323%,"")</f>
        <v/>
      </c>
    </row>
    <row r="324" spans="2:18" x14ac:dyDescent="0.3">
      <c r="B324" s="1"/>
      <c r="C324" s="11">
        <f>WEEKNUM(Table1[[#This Row],[Date]])</f>
        <v>0</v>
      </c>
      <c r="D324" s="1" t="str">
        <f>TEXT(Table1[[#This Row],[Date]],"mmm-yy")</f>
        <v>Jan-00</v>
      </c>
      <c r="E324" s="1"/>
      <c r="K324">
        <f>SUM(Table1[[#This Row],[Wholes (kg''s)]:[Rejection (kg''s)]])</f>
        <v>0</v>
      </c>
      <c r="P324">
        <f>SUM(Table1[[#This Row],[BK_Wholes]:[BK_Reject]])</f>
        <v>0</v>
      </c>
      <c r="Q324">
        <f>Table1[[#This Row],[Before Borma (kg''s)]]-Table1[[#This Row],[After Borma (kg''s)]]</f>
        <v>0</v>
      </c>
      <c r="R324" s="6" t="str">
        <f>IFERROR(Q324/K324%,"")</f>
        <v/>
      </c>
    </row>
    <row r="325" spans="2:18" x14ac:dyDescent="0.3">
      <c r="B325" s="1"/>
      <c r="C325" s="11">
        <f>WEEKNUM(Table1[[#This Row],[Date]])</f>
        <v>0</v>
      </c>
      <c r="D325" s="1" t="str">
        <f>TEXT(Table1[[#This Row],[Date]],"mmm-yy")</f>
        <v>Jan-00</v>
      </c>
      <c r="E325" s="1"/>
      <c r="K325">
        <f>SUM(Table1[[#This Row],[Wholes (kg''s)]:[Rejection (kg''s)]])</f>
        <v>0</v>
      </c>
      <c r="P325">
        <f>SUM(Table1[[#This Row],[BK_Wholes]:[BK_Reject]])</f>
        <v>0</v>
      </c>
      <c r="Q325">
        <f>Table1[[#This Row],[Before Borma (kg''s)]]-Table1[[#This Row],[After Borma (kg''s)]]</f>
        <v>0</v>
      </c>
      <c r="R325" s="6" t="str">
        <f>IFERROR(Q325/K325%,"")</f>
        <v/>
      </c>
    </row>
    <row r="326" spans="2:18" x14ac:dyDescent="0.3">
      <c r="B326" s="1"/>
      <c r="C326" s="11">
        <f>WEEKNUM(Table1[[#This Row],[Date]])</f>
        <v>0</v>
      </c>
      <c r="D326" s="1" t="str">
        <f>TEXT(Table1[[#This Row],[Date]],"mmm-yy")</f>
        <v>Jan-00</v>
      </c>
      <c r="E326" s="1"/>
      <c r="K326">
        <f>SUM(Table1[[#This Row],[Wholes (kg''s)]:[Rejection (kg''s)]])</f>
        <v>0</v>
      </c>
      <c r="P326">
        <f>SUM(Table1[[#This Row],[BK_Wholes]:[BK_Reject]])</f>
        <v>0</v>
      </c>
      <c r="Q326">
        <f>Table1[[#This Row],[Before Borma (kg''s)]]-Table1[[#This Row],[After Borma (kg''s)]]</f>
        <v>0</v>
      </c>
      <c r="R326" s="6" t="str">
        <f>IFERROR(Q326/K326%,"")</f>
        <v/>
      </c>
    </row>
    <row r="327" spans="2:18" x14ac:dyDescent="0.3">
      <c r="B327" s="1"/>
      <c r="C327" s="11">
        <f>WEEKNUM(Table1[[#This Row],[Date]])</f>
        <v>0</v>
      </c>
      <c r="D327" s="1" t="str">
        <f>TEXT(Table1[[#This Row],[Date]],"mmm-yy")</f>
        <v>Jan-00</v>
      </c>
      <c r="E327" s="1"/>
      <c r="K327">
        <f>SUM(Table1[[#This Row],[Wholes (kg''s)]:[Rejection (kg''s)]])</f>
        <v>0</v>
      </c>
      <c r="P327">
        <f>SUM(Table1[[#This Row],[BK_Wholes]:[BK_Reject]])</f>
        <v>0</v>
      </c>
      <c r="Q327">
        <f>Table1[[#This Row],[Before Borma (kg''s)]]-Table1[[#This Row],[After Borma (kg''s)]]</f>
        <v>0</v>
      </c>
      <c r="R327" s="6" t="str">
        <f>IFERROR(Q327/K327%,"")</f>
        <v/>
      </c>
    </row>
    <row r="328" spans="2:18" x14ac:dyDescent="0.3">
      <c r="B328" s="1"/>
      <c r="C328" s="11">
        <f>WEEKNUM(Table1[[#This Row],[Date]])</f>
        <v>0</v>
      </c>
      <c r="D328" s="1" t="str">
        <f>TEXT(Table1[[#This Row],[Date]],"mmm-yy")</f>
        <v>Jan-00</v>
      </c>
      <c r="E328" s="1"/>
      <c r="K328">
        <f>SUM(Table1[[#This Row],[Wholes (kg''s)]:[Rejection (kg''s)]])</f>
        <v>0</v>
      </c>
      <c r="P328">
        <f>SUM(Table1[[#This Row],[BK_Wholes]:[BK_Reject]])</f>
        <v>0</v>
      </c>
      <c r="Q328">
        <f>Table1[[#This Row],[Before Borma (kg''s)]]-Table1[[#This Row],[After Borma (kg''s)]]</f>
        <v>0</v>
      </c>
      <c r="R328" s="6" t="str">
        <f>IFERROR(Q328/K328%,"")</f>
        <v/>
      </c>
    </row>
    <row r="329" spans="2:18" x14ac:dyDescent="0.3">
      <c r="B329" s="1"/>
      <c r="C329" s="11">
        <f>WEEKNUM(Table1[[#This Row],[Date]])</f>
        <v>0</v>
      </c>
      <c r="D329" s="1" t="str">
        <f>TEXT(Table1[[#This Row],[Date]],"mmm-yy")</f>
        <v>Jan-00</v>
      </c>
      <c r="E329" s="1"/>
      <c r="K329">
        <f>SUM(Table1[[#This Row],[Wholes (kg''s)]:[Rejection (kg''s)]])</f>
        <v>0</v>
      </c>
      <c r="P329">
        <f>SUM(Table1[[#This Row],[BK_Wholes]:[BK_Reject]])</f>
        <v>0</v>
      </c>
      <c r="Q329">
        <f>Table1[[#This Row],[Before Borma (kg''s)]]-Table1[[#This Row],[After Borma (kg''s)]]</f>
        <v>0</v>
      </c>
      <c r="R329" s="6" t="str">
        <f>IFERROR(Q329/K329%,"")</f>
        <v/>
      </c>
    </row>
    <row r="330" spans="2:18" x14ac:dyDescent="0.3">
      <c r="B330" s="1"/>
      <c r="C330" s="11">
        <f>WEEKNUM(Table1[[#This Row],[Date]])</f>
        <v>0</v>
      </c>
      <c r="D330" s="1" t="str">
        <f>TEXT(Table1[[#This Row],[Date]],"mmm-yy")</f>
        <v>Jan-00</v>
      </c>
      <c r="E330" s="1"/>
      <c r="K330">
        <f>SUM(Table1[[#This Row],[Wholes (kg''s)]:[Rejection (kg''s)]])</f>
        <v>0</v>
      </c>
      <c r="P330">
        <f>SUM(Table1[[#This Row],[BK_Wholes]:[BK_Reject]])</f>
        <v>0</v>
      </c>
      <c r="Q330">
        <f>Table1[[#This Row],[Before Borma (kg''s)]]-Table1[[#This Row],[After Borma (kg''s)]]</f>
        <v>0</v>
      </c>
      <c r="R330" s="6" t="str">
        <f>IFERROR(Q330/K330%,"")</f>
        <v/>
      </c>
    </row>
    <row r="331" spans="2:18" x14ac:dyDescent="0.3">
      <c r="B331" s="1"/>
      <c r="C331" s="11">
        <f>WEEKNUM(Table1[[#This Row],[Date]])</f>
        <v>0</v>
      </c>
      <c r="D331" s="1" t="str">
        <f>TEXT(Table1[[#This Row],[Date]],"mmm-yy")</f>
        <v>Jan-00</v>
      </c>
      <c r="E331" s="1"/>
      <c r="K331">
        <f>SUM(Table1[[#This Row],[Wholes (kg''s)]:[Rejection (kg''s)]])</f>
        <v>0</v>
      </c>
      <c r="P331">
        <f>SUM(Table1[[#This Row],[BK_Wholes]:[BK_Reject]])</f>
        <v>0</v>
      </c>
      <c r="Q331">
        <f>Table1[[#This Row],[Before Borma (kg''s)]]-Table1[[#This Row],[After Borma (kg''s)]]</f>
        <v>0</v>
      </c>
      <c r="R331" s="6" t="str">
        <f>IFERROR(Q331/K331%,"")</f>
        <v/>
      </c>
    </row>
    <row r="332" spans="2:18" x14ac:dyDescent="0.3">
      <c r="B332" s="1"/>
      <c r="C332" s="11">
        <f>WEEKNUM(Table1[[#This Row],[Date]])</f>
        <v>0</v>
      </c>
      <c r="D332" s="1" t="str">
        <f>TEXT(Table1[[#This Row],[Date]],"mmm-yy")</f>
        <v>Jan-00</v>
      </c>
      <c r="E332" s="1"/>
      <c r="K332">
        <f>SUM(Table1[[#This Row],[Wholes (kg''s)]:[Rejection (kg''s)]])</f>
        <v>0</v>
      </c>
      <c r="P332">
        <f>SUM(Table1[[#This Row],[BK_Wholes]:[BK_Reject]])</f>
        <v>0</v>
      </c>
      <c r="Q332">
        <f>Table1[[#This Row],[Before Borma (kg''s)]]-Table1[[#This Row],[After Borma (kg''s)]]</f>
        <v>0</v>
      </c>
      <c r="R332" s="6" t="str">
        <f>IFERROR(Q332/K332%,"")</f>
        <v/>
      </c>
    </row>
    <row r="333" spans="2:18" x14ac:dyDescent="0.3">
      <c r="B333" s="1"/>
      <c r="C333" s="11">
        <f>WEEKNUM(Table1[[#This Row],[Date]])</f>
        <v>0</v>
      </c>
      <c r="D333" s="1" t="str">
        <f>TEXT(Table1[[#This Row],[Date]],"mmm-yy")</f>
        <v>Jan-00</v>
      </c>
      <c r="E333" s="1"/>
      <c r="K333">
        <f>SUM(Table1[[#This Row],[Wholes (kg''s)]:[Rejection (kg''s)]])</f>
        <v>0</v>
      </c>
      <c r="P333">
        <f>SUM(Table1[[#This Row],[BK_Wholes]:[BK_Reject]])</f>
        <v>0</v>
      </c>
      <c r="Q333">
        <f>Table1[[#This Row],[Before Borma (kg''s)]]-Table1[[#This Row],[After Borma (kg''s)]]</f>
        <v>0</v>
      </c>
      <c r="R333" s="6" t="str">
        <f>IFERROR(Q333/K333%,"")</f>
        <v/>
      </c>
    </row>
    <row r="334" spans="2:18" x14ac:dyDescent="0.3">
      <c r="B334" s="1"/>
      <c r="C334" s="11">
        <f>WEEKNUM(Table1[[#This Row],[Date]])</f>
        <v>0</v>
      </c>
      <c r="D334" s="1" t="str">
        <f>TEXT(Table1[[#This Row],[Date]],"mmm-yy")</f>
        <v>Jan-00</v>
      </c>
      <c r="E334" s="1"/>
      <c r="K334">
        <f>SUM(Table1[[#This Row],[Wholes (kg''s)]:[Rejection (kg''s)]])</f>
        <v>0</v>
      </c>
      <c r="P334">
        <f>SUM(Table1[[#This Row],[BK_Wholes]:[BK_Reject]])</f>
        <v>0</v>
      </c>
      <c r="Q334">
        <f>Table1[[#This Row],[Before Borma (kg''s)]]-Table1[[#This Row],[After Borma (kg''s)]]</f>
        <v>0</v>
      </c>
      <c r="R334" s="6" t="str">
        <f>IFERROR(Q334/K334%,"")</f>
        <v/>
      </c>
    </row>
    <row r="335" spans="2:18" x14ac:dyDescent="0.3">
      <c r="B335" s="1"/>
      <c r="C335" s="11">
        <f>WEEKNUM(Table1[[#This Row],[Date]])</f>
        <v>0</v>
      </c>
      <c r="D335" s="1" t="str">
        <f>TEXT(Table1[[#This Row],[Date]],"mmm-yy")</f>
        <v>Jan-00</v>
      </c>
      <c r="E335" s="1"/>
      <c r="K335">
        <f>SUM(Table1[[#This Row],[Wholes (kg''s)]:[Rejection (kg''s)]])</f>
        <v>0</v>
      </c>
      <c r="P335">
        <f>SUM(Table1[[#This Row],[BK_Wholes]:[BK_Reject]])</f>
        <v>0</v>
      </c>
      <c r="Q335">
        <f>Table1[[#This Row],[Before Borma (kg''s)]]-Table1[[#This Row],[After Borma (kg''s)]]</f>
        <v>0</v>
      </c>
      <c r="R335" s="6" t="str">
        <f>IFERROR(Q335/K335%,"")</f>
        <v/>
      </c>
    </row>
    <row r="336" spans="2:18" x14ac:dyDescent="0.3">
      <c r="B336" s="1"/>
      <c r="C336" s="11">
        <f>WEEKNUM(Table1[[#This Row],[Date]])</f>
        <v>0</v>
      </c>
      <c r="D336" s="1" t="str">
        <f>TEXT(Table1[[#This Row],[Date]],"mmm-yy")</f>
        <v>Jan-00</v>
      </c>
      <c r="E336" s="1"/>
      <c r="K336">
        <f>SUM(Table1[[#This Row],[Wholes (kg''s)]:[Rejection (kg''s)]])</f>
        <v>0</v>
      </c>
      <c r="P336">
        <f>SUM(Table1[[#This Row],[BK_Wholes]:[BK_Reject]])</f>
        <v>0</v>
      </c>
      <c r="Q336">
        <f>Table1[[#This Row],[Before Borma (kg''s)]]-Table1[[#This Row],[After Borma (kg''s)]]</f>
        <v>0</v>
      </c>
      <c r="R336" s="6" t="str">
        <f>IFERROR(Q336/K336%,"")</f>
        <v/>
      </c>
    </row>
    <row r="337" spans="2:18" x14ac:dyDescent="0.3">
      <c r="B337" s="1"/>
      <c r="C337" s="11">
        <f>WEEKNUM(Table1[[#This Row],[Date]])</f>
        <v>0</v>
      </c>
      <c r="D337" s="1" t="str">
        <f>TEXT(Table1[[#This Row],[Date]],"mmm-yy")</f>
        <v>Jan-00</v>
      </c>
      <c r="E337" s="1"/>
      <c r="K337">
        <f>SUM(Table1[[#This Row],[Wholes (kg''s)]:[Rejection (kg''s)]])</f>
        <v>0</v>
      </c>
      <c r="P337">
        <f>SUM(Table1[[#This Row],[BK_Wholes]:[BK_Reject]])</f>
        <v>0</v>
      </c>
      <c r="Q337">
        <f>Table1[[#This Row],[Before Borma (kg''s)]]-Table1[[#This Row],[After Borma (kg''s)]]</f>
        <v>0</v>
      </c>
      <c r="R337" s="6" t="str">
        <f>IFERROR(Q337/K337%,"")</f>
        <v/>
      </c>
    </row>
    <row r="338" spans="2:18" x14ac:dyDescent="0.3">
      <c r="B338" s="1"/>
      <c r="C338" s="11">
        <f>WEEKNUM(Table1[[#This Row],[Date]])</f>
        <v>0</v>
      </c>
      <c r="D338" s="1" t="str">
        <f>TEXT(Table1[[#This Row],[Date]],"mmm-yy")</f>
        <v>Jan-00</v>
      </c>
      <c r="E338" s="1"/>
      <c r="K338">
        <f>SUM(Table1[[#This Row],[Wholes (kg''s)]:[Rejection (kg''s)]])</f>
        <v>0</v>
      </c>
      <c r="P338">
        <f>SUM(Table1[[#This Row],[BK_Wholes]:[BK_Reject]])</f>
        <v>0</v>
      </c>
      <c r="Q338">
        <f>Table1[[#This Row],[Before Borma (kg''s)]]-Table1[[#This Row],[After Borma (kg''s)]]</f>
        <v>0</v>
      </c>
      <c r="R338" s="6" t="str">
        <f>IFERROR(Q338/K338%,"")</f>
        <v/>
      </c>
    </row>
    <row r="339" spans="2:18" x14ac:dyDescent="0.3">
      <c r="B339" s="1"/>
      <c r="C339" s="11">
        <f>WEEKNUM(Table1[[#This Row],[Date]])</f>
        <v>0</v>
      </c>
      <c r="D339" s="1" t="str">
        <f>TEXT(Table1[[#This Row],[Date]],"mmm-yy")</f>
        <v>Jan-00</v>
      </c>
      <c r="E339" s="1"/>
      <c r="K339">
        <f>SUM(Table1[[#This Row],[Wholes (kg''s)]:[Rejection (kg''s)]])</f>
        <v>0</v>
      </c>
      <c r="P339">
        <f>SUM(Table1[[#This Row],[BK_Wholes]:[BK_Reject]])</f>
        <v>0</v>
      </c>
      <c r="Q339">
        <f>Table1[[#This Row],[Before Borma (kg''s)]]-Table1[[#This Row],[After Borma (kg''s)]]</f>
        <v>0</v>
      </c>
      <c r="R339" s="6" t="str">
        <f>IFERROR(Q339/K339%,"")</f>
        <v/>
      </c>
    </row>
    <row r="340" spans="2:18" x14ac:dyDescent="0.3">
      <c r="B340" s="1"/>
      <c r="C340" s="11">
        <f>WEEKNUM(Table1[[#This Row],[Date]])</f>
        <v>0</v>
      </c>
      <c r="D340" s="1" t="str">
        <f>TEXT(Table1[[#This Row],[Date]],"mmm-yy")</f>
        <v>Jan-00</v>
      </c>
      <c r="E340" s="1"/>
      <c r="K340">
        <f>SUM(Table1[[#This Row],[Wholes (kg''s)]:[Rejection (kg''s)]])</f>
        <v>0</v>
      </c>
      <c r="P340">
        <f>SUM(Table1[[#This Row],[BK_Wholes]:[BK_Reject]])</f>
        <v>0</v>
      </c>
      <c r="Q340">
        <f>Table1[[#This Row],[Before Borma (kg''s)]]-Table1[[#This Row],[After Borma (kg''s)]]</f>
        <v>0</v>
      </c>
      <c r="R340" s="6" t="str">
        <f>IFERROR(Q340/K340%,"")</f>
        <v/>
      </c>
    </row>
    <row r="341" spans="2:18" x14ac:dyDescent="0.3">
      <c r="B341" s="1"/>
      <c r="C341" s="11">
        <f>WEEKNUM(Table1[[#This Row],[Date]])</f>
        <v>0</v>
      </c>
      <c r="D341" s="1" t="str">
        <f>TEXT(Table1[[#This Row],[Date]],"mmm-yy")</f>
        <v>Jan-00</v>
      </c>
      <c r="E341" s="1"/>
      <c r="K341">
        <f>SUM(Table1[[#This Row],[Wholes (kg''s)]:[Rejection (kg''s)]])</f>
        <v>0</v>
      </c>
      <c r="P341">
        <f>SUM(Table1[[#This Row],[BK_Wholes]:[BK_Reject]])</f>
        <v>0</v>
      </c>
      <c r="Q341">
        <f>Table1[[#This Row],[Before Borma (kg''s)]]-Table1[[#This Row],[After Borma (kg''s)]]</f>
        <v>0</v>
      </c>
      <c r="R341" s="6" t="str">
        <f>IFERROR(Q341/K341%,"")</f>
        <v/>
      </c>
    </row>
    <row r="342" spans="2:18" x14ac:dyDescent="0.3">
      <c r="B342" s="1"/>
      <c r="C342" s="11">
        <f>WEEKNUM(Table1[[#This Row],[Date]])</f>
        <v>0</v>
      </c>
      <c r="D342" s="1" t="str">
        <f>TEXT(Table1[[#This Row],[Date]],"mmm-yy")</f>
        <v>Jan-00</v>
      </c>
      <c r="E342" s="1"/>
      <c r="K342">
        <f>SUM(Table1[[#This Row],[Wholes (kg''s)]:[Rejection (kg''s)]])</f>
        <v>0</v>
      </c>
      <c r="P342">
        <f>SUM(Table1[[#This Row],[BK_Wholes]:[BK_Reject]])</f>
        <v>0</v>
      </c>
      <c r="Q342">
        <f>Table1[[#This Row],[Before Borma (kg''s)]]-Table1[[#This Row],[After Borma (kg''s)]]</f>
        <v>0</v>
      </c>
      <c r="R342" s="6" t="str">
        <f>IFERROR(Q342/K342%,"")</f>
        <v/>
      </c>
    </row>
    <row r="343" spans="2:18" x14ac:dyDescent="0.3">
      <c r="B343" s="1"/>
      <c r="C343" s="11">
        <f>WEEKNUM(Table1[[#This Row],[Date]])</f>
        <v>0</v>
      </c>
      <c r="D343" s="1" t="str">
        <f>TEXT(Table1[[#This Row],[Date]],"mmm-yy")</f>
        <v>Jan-00</v>
      </c>
      <c r="E343" s="1"/>
      <c r="K343">
        <f>SUM(Table1[[#This Row],[Wholes (kg''s)]:[Rejection (kg''s)]])</f>
        <v>0</v>
      </c>
      <c r="P343">
        <f>SUM(Table1[[#This Row],[BK_Wholes]:[BK_Reject]])</f>
        <v>0</v>
      </c>
      <c r="Q343">
        <f>Table1[[#This Row],[Before Borma (kg''s)]]-Table1[[#This Row],[After Borma (kg''s)]]</f>
        <v>0</v>
      </c>
      <c r="R343" s="6" t="str">
        <f>IFERROR(Q343/K343%,"")</f>
        <v/>
      </c>
    </row>
    <row r="344" spans="2:18" x14ac:dyDescent="0.3">
      <c r="B344" s="1"/>
      <c r="C344" s="11">
        <f>WEEKNUM(Table1[[#This Row],[Date]])</f>
        <v>0</v>
      </c>
      <c r="D344" s="1" t="str">
        <f>TEXT(Table1[[#This Row],[Date]],"mmm-yy")</f>
        <v>Jan-00</v>
      </c>
      <c r="E344" s="1"/>
      <c r="K344">
        <f>SUM(Table1[[#This Row],[Wholes (kg''s)]:[Rejection (kg''s)]])</f>
        <v>0</v>
      </c>
      <c r="P344">
        <f>SUM(Table1[[#This Row],[BK_Wholes]:[BK_Reject]])</f>
        <v>0</v>
      </c>
      <c r="Q344">
        <f>Table1[[#This Row],[Before Borma (kg''s)]]-Table1[[#This Row],[After Borma (kg''s)]]</f>
        <v>0</v>
      </c>
      <c r="R344" s="6" t="str">
        <f>IFERROR(Q344/K344%,"")</f>
        <v/>
      </c>
    </row>
    <row r="345" spans="2:18" x14ac:dyDescent="0.3">
      <c r="B345" s="1"/>
      <c r="C345" s="11">
        <f>WEEKNUM(Table1[[#This Row],[Date]])</f>
        <v>0</v>
      </c>
      <c r="D345" s="1" t="str">
        <f>TEXT(Table1[[#This Row],[Date]],"mmm-yy")</f>
        <v>Jan-00</v>
      </c>
      <c r="E345" s="1"/>
      <c r="K345">
        <f>SUM(Table1[[#This Row],[Wholes (kg''s)]:[Rejection (kg''s)]])</f>
        <v>0</v>
      </c>
      <c r="P345">
        <f>SUM(Table1[[#This Row],[BK_Wholes]:[BK_Reject]])</f>
        <v>0</v>
      </c>
      <c r="Q345">
        <f>Table1[[#This Row],[Before Borma (kg''s)]]-Table1[[#This Row],[After Borma (kg''s)]]</f>
        <v>0</v>
      </c>
      <c r="R345" s="6" t="str">
        <f>IFERROR(Q345/K345%,"")</f>
        <v/>
      </c>
    </row>
    <row r="346" spans="2:18" x14ac:dyDescent="0.3">
      <c r="B346" s="1"/>
      <c r="C346" s="11">
        <f>WEEKNUM(Table1[[#This Row],[Date]])</f>
        <v>0</v>
      </c>
      <c r="D346" s="1" t="str">
        <f>TEXT(Table1[[#This Row],[Date]],"mmm-yy")</f>
        <v>Jan-00</v>
      </c>
      <c r="E346" s="1"/>
      <c r="K346">
        <f>SUM(Table1[[#This Row],[Wholes (kg''s)]:[Rejection (kg''s)]])</f>
        <v>0</v>
      </c>
      <c r="P346">
        <f>SUM(Table1[[#This Row],[BK_Wholes]:[BK_Reject]])</f>
        <v>0</v>
      </c>
      <c r="Q346">
        <f>Table1[[#This Row],[Before Borma (kg''s)]]-Table1[[#This Row],[After Borma (kg''s)]]</f>
        <v>0</v>
      </c>
      <c r="R346" s="6" t="str">
        <f>IFERROR(Q346/K346%,"")</f>
        <v/>
      </c>
    </row>
    <row r="347" spans="2:18" x14ac:dyDescent="0.3">
      <c r="B347" s="1"/>
      <c r="C347" s="11">
        <f>WEEKNUM(Table1[[#This Row],[Date]])</f>
        <v>0</v>
      </c>
      <c r="D347" s="1" t="str">
        <f>TEXT(Table1[[#This Row],[Date]],"mmm-yy")</f>
        <v>Jan-00</v>
      </c>
      <c r="E347" s="1"/>
      <c r="K347">
        <f>SUM(Table1[[#This Row],[Wholes (kg''s)]:[Rejection (kg''s)]])</f>
        <v>0</v>
      </c>
      <c r="P347">
        <f>SUM(Table1[[#This Row],[BK_Wholes]:[BK_Reject]])</f>
        <v>0</v>
      </c>
      <c r="Q347">
        <f>Table1[[#This Row],[Before Borma (kg''s)]]-Table1[[#This Row],[After Borma (kg''s)]]</f>
        <v>0</v>
      </c>
      <c r="R347" s="6" t="str">
        <f>IFERROR(Q347/K347%,"")</f>
        <v/>
      </c>
    </row>
    <row r="348" spans="2:18" x14ac:dyDescent="0.3">
      <c r="B348" s="1"/>
      <c r="C348" s="11">
        <f>WEEKNUM(Table1[[#This Row],[Date]])</f>
        <v>0</v>
      </c>
      <c r="D348" s="1" t="str">
        <f>TEXT(Table1[[#This Row],[Date]],"mmm-yy")</f>
        <v>Jan-00</v>
      </c>
      <c r="E348" s="1"/>
      <c r="K348">
        <f>SUM(Table1[[#This Row],[Wholes (kg''s)]:[Rejection (kg''s)]])</f>
        <v>0</v>
      </c>
      <c r="P348">
        <f>SUM(Table1[[#This Row],[BK_Wholes]:[BK_Reject]])</f>
        <v>0</v>
      </c>
      <c r="Q348">
        <f>Table1[[#This Row],[Before Borma (kg''s)]]-Table1[[#This Row],[After Borma (kg''s)]]</f>
        <v>0</v>
      </c>
      <c r="R348" s="6" t="str">
        <f>IFERROR(Q348/K348%,"")</f>
        <v/>
      </c>
    </row>
    <row r="349" spans="2:18" x14ac:dyDescent="0.3">
      <c r="B349" s="1"/>
      <c r="C349" s="11">
        <f>WEEKNUM(Table1[[#This Row],[Date]])</f>
        <v>0</v>
      </c>
      <c r="D349" s="1" t="str">
        <f>TEXT(Table1[[#This Row],[Date]],"mmm-yy")</f>
        <v>Jan-00</v>
      </c>
      <c r="E349" s="1"/>
      <c r="K349">
        <f>SUM(Table1[[#This Row],[Wholes (kg''s)]:[Rejection (kg''s)]])</f>
        <v>0</v>
      </c>
      <c r="P349">
        <f>SUM(Table1[[#This Row],[BK_Wholes]:[BK_Reject]])</f>
        <v>0</v>
      </c>
      <c r="Q349">
        <f>Table1[[#This Row],[Before Borma (kg''s)]]-Table1[[#This Row],[After Borma (kg''s)]]</f>
        <v>0</v>
      </c>
      <c r="R349" s="6" t="str">
        <f>IFERROR(Q349/K349%,"")</f>
        <v/>
      </c>
    </row>
    <row r="350" spans="2:18" x14ac:dyDescent="0.3">
      <c r="B350" s="1"/>
      <c r="C350" s="11">
        <f>WEEKNUM(Table1[[#This Row],[Date]])</f>
        <v>0</v>
      </c>
      <c r="D350" s="1" t="str">
        <f>TEXT(Table1[[#This Row],[Date]],"mmm-yy")</f>
        <v>Jan-00</v>
      </c>
      <c r="E350" s="1"/>
      <c r="K350">
        <f>SUM(Table1[[#This Row],[Wholes (kg''s)]:[Rejection (kg''s)]])</f>
        <v>0</v>
      </c>
      <c r="P350">
        <f>SUM(Table1[[#This Row],[BK_Wholes]:[BK_Reject]])</f>
        <v>0</v>
      </c>
      <c r="Q350">
        <f>Table1[[#This Row],[Before Borma (kg''s)]]-Table1[[#This Row],[After Borma (kg''s)]]</f>
        <v>0</v>
      </c>
      <c r="R350" s="6" t="str">
        <f>IFERROR(Q350/K350%,"")</f>
        <v/>
      </c>
    </row>
    <row r="351" spans="2:18" x14ac:dyDescent="0.3">
      <c r="B351" s="1"/>
      <c r="C351" s="11">
        <f>WEEKNUM(Table1[[#This Row],[Date]])</f>
        <v>0</v>
      </c>
      <c r="D351" s="1" t="str">
        <f>TEXT(Table1[[#This Row],[Date]],"mmm-yy")</f>
        <v>Jan-00</v>
      </c>
      <c r="E351" s="1"/>
      <c r="K351">
        <f>SUM(Table1[[#This Row],[Wholes (kg''s)]:[Rejection (kg''s)]])</f>
        <v>0</v>
      </c>
      <c r="P351">
        <f>SUM(Table1[[#This Row],[BK_Wholes]:[BK_Reject]])</f>
        <v>0</v>
      </c>
      <c r="Q351">
        <f>Table1[[#This Row],[Before Borma (kg''s)]]-Table1[[#This Row],[After Borma (kg''s)]]</f>
        <v>0</v>
      </c>
      <c r="R351" s="6" t="str">
        <f>IFERROR(Q351/K351%,"")</f>
        <v/>
      </c>
    </row>
    <row r="352" spans="2:18" x14ac:dyDescent="0.3">
      <c r="B352" s="1"/>
      <c r="C352" s="11">
        <f>WEEKNUM(Table1[[#This Row],[Date]])</f>
        <v>0</v>
      </c>
      <c r="D352" s="1" t="str">
        <f>TEXT(Table1[[#This Row],[Date]],"mmm-yy")</f>
        <v>Jan-00</v>
      </c>
      <c r="E352" s="1"/>
      <c r="K352">
        <f>SUM(Table1[[#This Row],[Wholes (kg''s)]:[Rejection (kg''s)]])</f>
        <v>0</v>
      </c>
      <c r="P352">
        <f>SUM(Table1[[#This Row],[BK_Wholes]:[BK_Reject]])</f>
        <v>0</v>
      </c>
      <c r="Q352">
        <f>Table1[[#This Row],[Before Borma (kg''s)]]-Table1[[#This Row],[After Borma (kg''s)]]</f>
        <v>0</v>
      </c>
      <c r="R352" s="6" t="str">
        <f>IFERROR(Q352/K352%,"")</f>
        <v/>
      </c>
    </row>
    <row r="353" spans="2:18" x14ac:dyDescent="0.3">
      <c r="B353" s="1"/>
      <c r="C353" s="11">
        <f>WEEKNUM(Table1[[#This Row],[Date]])</f>
        <v>0</v>
      </c>
      <c r="D353" s="1" t="str">
        <f>TEXT(Table1[[#This Row],[Date]],"mmm-yy")</f>
        <v>Jan-00</v>
      </c>
      <c r="E353" s="1"/>
      <c r="K353">
        <f>SUM(Table1[[#This Row],[Wholes (kg''s)]:[Rejection (kg''s)]])</f>
        <v>0</v>
      </c>
      <c r="P353">
        <f>SUM(Table1[[#This Row],[BK_Wholes]:[BK_Reject]])</f>
        <v>0</v>
      </c>
      <c r="Q353">
        <f>Table1[[#This Row],[Before Borma (kg''s)]]-Table1[[#This Row],[After Borma (kg''s)]]</f>
        <v>0</v>
      </c>
      <c r="R353" s="6" t="str">
        <f>IFERROR(Q353/K353%,"")</f>
        <v/>
      </c>
    </row>
    <row r="354" spans="2:18" x14ac:dyDescent="0.3">
      <c r="B354" s="1"/>
      <c r="C354" s="11">
        <f>WEEKNUM(Table1[[#This Row],[Date]])</f>
        <v>0</v>
      </c>
      <c r="D354" s="1" t="str">
        <f>TEXT(Table1[[#This Row],[Date]],"mmm-yy")</f>
        <v>Jan-00</v>
      </c>
      <c r="E354" s="1"/>
      <c r="K354">
        <f>SUM(Table1[[#This Row],[Wholes (kg''s)]:[Rejection (kg''s)]])</f>
        <v>0</v>
      </c>
      <c r="P354">
        <f>SUM(Table1[[#This Row],[BK_Wholes]:[BK_Reject]])</f>
        <v>0</v>
      </c>
      <c r="Q354">
        <f>Table1[[#This Row],[Before Borma (kg''s)]]-Table1[[#This Row],[After Borma (kg''s)]]</f>
        <v>0</v>
      </c>
      <c r="R354" s="6" t="str">
        <f>IFERROR(Q354/K354%,"")</f>
        <v/>
      </c>
    </row>
    <row r="355" spans="2:18" x14ac:dyDescent="0.3">
      <c r="B355" s="1"/>
      <c r="C355" s="11">
        <f>WEEKNUM(Table1[[#This Row],[Date]])</f>
        <v>0</v>
      </c>
      <c r="D355" s="1" t="str">
        <f>TEXT(Table1[[#This Row],[Date]],"mmm-yy")</f>
        <v>Jan-00</v>
      </c>
      <c r="E355" s="1"/>
      <c r="K355">
        <f>SUM(Table1[[#This Row],[Wholes (kg''s)]:[Rejection (kg''s)]])</f>
        <v>0</v>
      </c>
      <c r="P355">
        <f>SUM(Table1[[#This Row],[BK_Wholes]:[BK_Reject]])</f>
        <v>0</v>
      </c>
      <c r="Q355">
        <f>Table1[[#This Row],[Before Borma (kg''s)]]-Table1[[#This Row],[After Borma (kg''s)]]</f>
        <v>0</v>
      </c>
      <c r="R355" s="6" t="str">
        <f>IFERROR(Q355/K355%,"")</f>
        <v/>
      </c>
    </row>
    <row r="356" spans="2:18" x14ac:dyDescent="0.3">
      <c r="B356" s="1"/>
      <c r="C356" s="11">
        <f>WEEKNUM(Table1[[#This Row],[Date]])</f>
        <v>0</v>
      </c>
      <c r="D356" s="1" t="str">
        <f>TEXT(Table1[[#This Row],[Date]],"mmm-yy")</f>
        <v>Jan-00</v>
      </c>
      <c r="E356" s="1"/>
      <c r="K356">
        <f>SUM(Table1[[#This Row],[Wholes (kg''s)]:[Rejection (kg''s)]])</f>
        <v>0</v>
      </c>
      <c r="P356">
        <f>SUM(Table1[[#This Row],[BK_Wholes]:[BK_Reject]])</f>
        <v>0</v>
      </c>
      <c r="Q356">
        <f>Table1[[#This Row],[Before Borma (kg''s)]]-Table1[[#This Row],[After Borma (kg''s)]]</f>
        <v>0</v>
      </c>
      <c r="R356" s="6" t="str">
        <f>IFERROR(Q356/K356%,"")</f>
        <v/>
      </c>
    </row>
    <row r="357" spans="2:18" x14ac:dyDescent="0.3">
      <c r="B357" s="1"/>
      <c r="C357" s="11">
        <f>WEEKNUM(Table1[[#This Row],[Date]])</f>
        <v>0</v>
      </c>
      <c r="D357" s="1" t="str">
        <f>TEXT(Table1[[#This Row],[Date]],"mmm-yy")</f>
        <v>Jan-00</v>
      </c>
      <c r="E357" s="1"/>
      <c r="K357">
        <f>SUM(Table1[[#This Row],[Wholes (kg''s)]:[Rejection (kg''s)]])</f>
        <v>0</v>
      </c>
      <c r="P357">
        <f>SUM(Table1[[#This Row],[BK_Wholes]:[BK_Reject]])</f>
        <v>0</v>
      </c>
      <c r="Q357">
        <f>Table1[[#This Row],[Before Borma (kg''s)]]-Table1[[#This Row],[After Borma (kg''s)]]</f>
        <v>0</v>
      </c>
      <c r="R357" s="6" t="str">
        <f>IFERROR(Q357/K357%,"")</f>
        <v/>
      </c>
    </row>
    <row r="358" spans="2:18" x14ac:dyDescent="0.3">
      <c r="B358" s="1"/>
      <c r="C358" s="11">
        <f>WEEKNUM(Table1[[#This Row],[Date]])</f>
        <v>0</v>
      </c>
      <c r="D358" s="1" t="str">
        <f>TEXT(Table1[[#This Row],[Date]],"mmm-yy")</f>
        <v>Jan-00</v>
      </c>
      <c r="E358" s="1"/>
      <c r="K358">
        <f>SUM(Table1[[#This Row],[Wholes (kg''s)]:[Rejection (kg''s)]])</f>
        <v>0</v>
      </c>
      <c r="P358">
        <f>SUM(Table1[[#This Row],[BK_Wholes]:[BK_Reject]])</f>
        <v>0</v>
      </c>
      <c r="Q358">
        <f>Table1[[#This Row],[Before Borma (kg''s)]]-Table1[[#This Row],[After Borma (kg''s)]]</f>
        <v>0</v>
      </c>
      <c r="R358" s="6" t="str">
        <f>IFERROR(Q358/K358%,"")</f>
        <v/>
      </c>
    </row>
    <row r="359" spans="2:18" x14ac:dyDescent="0.3">
      <c r="B359" s="1"/>
      <c r="C359" s="11">
        <f>WEEKNUM(Table1[[#This Row],[Date]])</f>
        <v>0</v>
      </c>
      <c r="D359" s="1" t="str">
        <f>TEXT(Table1[[#This Row],[Date]],"mmm-yy")</f>
        <v>Jan-00</v>
      </c>
      <c r="E359" s="1"/>
      <c r="K359">
        <f>SUM(Table1[[#This Row],[Wholes (kg''s)]:[Rejection (kg''s)]])</f>
        <v>0</v>
      </c>
      <c r="P359">
        <f>SUM(Table1[[#This Row],[BK_Wholes]:[BK_Reject]])</f>
        <v>0</v>
      </c>
      <c r="Q359">
        <f>Table1[[#This Row],[Before Borma (kg''s)]]-Table1[[#This Row],[After Borma (kg''s)]]</f>
        <v>0</v>
      </c>
      <c r="R359" s="6" t="str">
        <f>IFERROR(Q359/K359%,"")</f>
        <v/>
      </c>
    </row>
    <row r="360" spans="2:18" x14ac:dyDescent="0.3">
      <c r="B360" s="1"/>
      <c r="C360" s="11">
        <f>WEEKNUM(Table1[[#This Row],[Date]])</f>
        <v>0</v>
      </c>
      <c r="D360" s="1" t="str">
        <f>TEXT(Table1[[#This Row],[Date]],"mmm-yy")</f>
        <v>Jan-00</v>
      </c>
      <c r="E360" s="1"/>
      <c r="K360">
        <f>SUM(Table1[[#This Row],[Wholes (kg''s)]:[Rejection (kg''s)]])</f>
        <v>0</v>
      </c>
      <c r="P360">
        <f>SUM(Table1[[#This Row],[BK_Wholes]:[BK_Reject]])</f>
        <v>0</v>
      </c>
      <c r="Q360">
        <f>Table1[[#This Row],[Before Borma (kg''s)]]-Table1[[#This Row],[After Borma (kg''s)]]</f>
        <v>0</v>
      </c>
      <c r="R360" s="6" t="str">
        <f>IFERROR(Q360/K360%,"")</f>
        <v/>
      </c>
    </row>
    <row r="361" spans="2:18" x14ac:dyDescent="0.3">
      <c r="B361" s="1"/>
      <c r="C361" s="11">
        <f>WEEKNUM(Table1[[#This Row],[Date]])</f>
        <v>0</v>
      </c>
      <c r="D361" s="1" t="str">
        <f>TEXT(Table1[[#This Row],[Date]],"mmm-yy")</f>
        <v>Jan-00</v>
      </c>
      <c r="E361" s="1"/>
      <c r="K361">
        <f>SUM(Table1[[#This Row],[Wholes (kg''s)]:[Rejection (kg''s)]])</f>
        <v>0</v>
      </c>
      <c r="P361">
        <f>SUM(Table1[[#This Row],[BK_Wholes]:[BK_Reject]])</f>
        <v>0</v>
      </c>
      <c r="Q361">
        <f>Table1[[#This Row],[Before Borma (kg''s)]]-Table1[[#This Row],[After Borma (kg''s)]]</f>
        <v>0</v>
      </c>
      <c r="R361" s="6" t="str">
        <f>IFERROR(Q361/K361%,"")</f>
        <v/>
      </c>
    </row>
    <row r="362" spans="2:18" x14ac:dyDescent="0.3">
      <c r="B362" s="1"/>
      <c r="C362" s="11">
        <f>WEEKNUM(Table1[[#This Row],[Date]])</f>
        <v>0</v>
      </c>
      <c r="D362" s="1" t="str">
        <f>TEXT(Table1[[#This Row],[Date]],"mmm-yy")</f>
        <v>Jan-00</v>
      </c>
      <c r="E362" s="1"/>
      <c r="K362">
        <f>SUM(Table1[[#This Row],[Wholes (kg''s)]:[Rejection (kg''s)]])</f>
        <v>0</v>
      </c>
      <c r="P362">
        <f>SUM(Table1[[#This Row],[BK_Wholes]:[BK_Reject]])</f>
        <v>0</v>
      </c>
      <c r="Q362">
        <f>Table1[[#This Row],[Before Borma (kg''s)]]-Table1[[#This Row],[After Borma (kg''s)]]</f>
        <v>0</v>
      </c>
      <c r="R362" s="6" t="str">
        <f>IFERROR(Q362/K362%,"")</f>
        <v/>
      </c>
    </row>
    <row r="363" spans="2:18" x14ac:dyDescent="0.3">
      <c r="B363" s="1"/>
      <c r="C363" s="11">
        <f>WEEKNUM(Table1[[#This Row],[Date]])</f>
        <v>0</v>
      </c>
      <c r="D363" s="1" t="str">
        <f>TEXT(Table1[[#This Row],[Date]],"mmm-yy")</f>
        <v>Jan-00</v>
      </c>
      <c r="E363" s="1"/>
      <c r="K363">
        <f>SUM(Table1[[#This Row],[Wholes (kg''s)]:[Rejection (kg''s)]])</f>
        <v>0</v>
      </c>
      <c r="P363">
        <f>SUM(Table1[[#This Row],[BK_Wholes]:[BK_Reject]])</f>
        <v>0</v>
      </c>
      <c r="Q363">
        <f>Table1[[#This Row],[Before Borma (kg''s)]]-Table1[[#This Row],[After Borma (kg''s)]]</f>
        <v>0</v>
      </c>
      <c r="R363" s="6" t="str">
        <f>IFERROR(Q363/K363%,"")</f>
        <v/>
      </c>
    </row>
    <row r="364" spans="2:18" x14ac:dyDescent="0.3">
      <c r="B364" s="1"/>
      <c r="C364" s="11">
        <f>WEEKNUM(Table1[[#This Row],[Date]])</f>
        <v>0</v>
      </c>
      <c r="D364" s="1" t="str">
        <f>TEXT(Table1[[#This Row],[Date]],"mmm-yy")</f>
        <v>Jan-00</v>
      </c>
      <c r="E364" s="1"/>
      <c r="K364">
        <f>SUM(Table1[[#This Row],[Wholes (kg''s)]:[Rejection (kg''s)]])</f>
        <v>0</v>
      </c>
      <c r="P364">
        <f>SUM(Table1[[#This Row],[BK_Wholes]:[BK_Reject]])</f>
        <v>0</v>
      </c>
      <c r="Q364">
        <f>Table1[[#This Row],[Before Borma (kg''s)]]-Table1[[#This Row],[After Borma (kg''s)]]</f>
        <v>0</v>
      </c>
      <c r="R364" s="6" t="str">
        <f>IFERROR(Q364/K364%,"")</f>
        <v/>
      </c>
    </row>
    <row r="365" spans="2:18" x14ac:dyDescent="0.3">
      <c r="B365" s="1"/>
      <c r="C365" s="11">
        <f>WEEKNUM(Table1[[#This Row],[Date]])</f>
        <v>0</v>
      </c>
      <c r="D365" s="1" t="str">
        <f>TEXT(Table1[[#This Row],[Date]],"mmm-yy")</f>
        <v>Jan-00</v>
      </c>
      <c r="E365" s="1"/>
      <c r="K365">
        <f>SUM(Table1[[#This Row],[Wholes (kg''s)]:[Rejection (kg''s)]])</f>
        <v>0</v>
      </c>
      <c r="P365">
        <f>SUM(Table1[[#This Row],[BK_Wholes]:[BK_Reject]])</f>
        <v>0</v>
      </c>
      <c r="Q365">
        <f>Table1[[#This Row],[Before Borma (kg''s)]]-Table1[[#This Row],[After Borma (kg''s)]]</f>
        <v>0</v>
      </c>
      <c r="R365" s="6" t="str">
        <f>IFERROR(Q365/K365%,"")</f>
        <v/>
      </c>
    </row>
    <row r="366" spans="2:18" x14ac:dyDescent="0.3">
      <c r="B366" s="1"/>
      <c r="C366" s="11">
        <f>WEEKNUM(Table1[[#This Row],[Date]])</f>
        <v>0</v>
      </c>
      <c r="D366" s="1" t="str">
        <f>TEXT(Table1[[#This Row],[Date]],"mmm-yy")</f>
        <v>Jan-00</v>
      </c>
      <c r="E366" s="1"/>
      <c r="K366">
        <f>SUM(Table1[[#This Row],[Wholes (kg''s)]:[Rejection (kg''s)]])</f>
        <v>0</v>
      </c>
      <c r="P366">
        <f>SUM(Table1[[#This Row],[BK_Wholes]:[BK_Reject]])</f>
        <v>0</v>
      </c>
      <c r="Q366">
        <f>Table1[[#This Row],[Before Borma (kg''s)]]-Table1[[#This Row],[After Borma (kg''s)]]</f>
        <v>0</v>
      </c>
      <c r="R366" s="6" t="str">
        <f>IFERROR(Q366/K366%,"")</f>
        <v/>
      </c>
    </row>
    <row r="367" spans="2:18" x14ac:dyDescent="0.3">
      <c r="B367" s="1"/>
      <c r="C367" s="11">
        <f>WEEKNUM(Table1[[#This Row],[Date]])</f>
        <v>0</v>
      </c>
      <c r="D367" s="1" t="str">
        <f>TEXT(Table1[[#This Row],[Date]],"mmm-yy")</f>
        <v>Jan-00</v>
      </c>
      <c r="E367" s="1"/>
      <c r="K367">
        <f>SUM(Table1[[#This Row],[Wholes (kg''s)]:[Rejection (kg''s)]])</f>
        <v>0</v>
      </c>
      <c r="P367">
        <f>SUM(Table1[[#This Row],[BK_Wholes]:[BK_Reject]])</f>
        <v>0</v>
      </c>
      <c r="Q367">
        <f>Table1[[#This Row],[Before Borma (kg''s)]]-Table1[[#This Row],[After Borma (kg''s)]]</f>
        <v>0</v>
      </c>
      <c r="R367" s="6" t="str">
        <f>IFERROR(Q367/K367%,"")</f>
        <v/>
      </c>
    </row>
    <row r="368" spans="2:18" x14ac:dyDescent="0.3">
      <c r="B368" s="1"/>
      <c r="C368" s="11">
        <f>WEEKNUM(Table1[[#This Row],[Date]])</f>
        <v>0</v>
      </c>
      <c r="D368" s="1" t="str">
        <f>TEXT(Table1[[#This Row],[Date]],"mmm-yy")</f>
        <v>Jan-00</v>
      </c>
      <c r="E368" s="1"/>
      <c r="K368">
        <f>SUM(Table1[[#This Row],[Wholes (kg''s)]:[Rejection (kg''s)]])</f>
        <v>0</v>
      </c>
      <c r="P368">
        <f>SUM(Table1[[#This Row],[BK_Wholes]:[BK_Reject]])</f>
        <v>0</v>
      </c>
      <c r="Q368">
        <f>Table1[[#This Row],[Before Borma (kg''s)]]-Table1[[#This Row],[After Borma (kg''s)]]</f>
        <v>0</v>
      </c>
      <c r="R368" s="6" t="str">
        <f>IFERROR(Q368/K368%,"")</f>
        <v/>
      </c>
    </row>
    <row r="369" spans="2:18" x14ac:dyDescent="0.3">
      <c r="B369" s="1"/>
      <c r="C369" s="11">
        <f>WEEKNUM(Table1[[#This Row],[Date]])</f>
        <v>0</v>
      </c>
      <c r="D369" s="1" t="str">
        <f>TEXT(Table1[[#This Row],[Date]],"mmm-yy")</f>
        <v>Jan-00</v>
      </c>
      <c r="E369" s="1"/>
      <c r="K369">
        <f>SUM(Table1[[#This Row],[Wholes (kg''s)]:[Rejection (kg''s)]])</f>
        <v>0</v>
      </c>
      <c r="P369">
        <f>SUM(Table1[[#This Row],[BK_Wholes]:[BK_Reject]])</f>
        <v>0</v>
      </c>
      <c r="Q369">
        <f>Table1[[#This Row],[Before Borma (kg''s)]]-Table1[[#This Row],[After Borma (kg''s)]]</f>
        <v>0</v>
      </c>
      <c r="R369" s="6" t="str">
        <f>IFERROR(Q369/K369%,"")</f>
        <v/>
      </c>
    </row>
    <row r="370" spans="2:18" x14ac:dyDescent="0.3">
      <c r="B370" s="1"/>
      <c r="C370" s="11">
        <f>WEEKNUM(Table1[[#This Row],[Date]])</f>
        <v>0</v>
      </c>
      <c r="D370" s="1" t="str">
        <f>TEXT(Table1[[#This Row],[Date]],"mmm-yy")</f>
        <v>Jan-00</v>
      </c>
      <c r="E370" s="1"/>
      <c r="K370">
        <f>SUM(Table1[[#This Row],[Wholes (kg''s)]:[Rejection (kg''s)]])</f>
        <v>0</v>
      </c>
      <c r="P370">
        <f>SUM(Table1[[#This Row],[BK_Wholes]:[BK_Reject]])</f>
        <v>0</v>
      </c>
      <c r="Q370">
        <f>Table1[[#This Row],[Before Borma (kg''s)]]-Table1[[#This Row],[After Borma (kg''s)]]</f>
        <v>0</v>
      </c>
      <c r="R370" s="6" t="str">
        <f>IFERROR(Q370/K370%,"")</f>
        <v/>
      </c>
    </row>
    <row r="371" spans="2:18" x14ac:dyDescent="0.3">
      <c r="B371" s="1"/>
      <c r="C371" s="11">
        <f>WEEKNUM(Table1[[#This Row],[Date]])</f>
        <v>0</v>
      </c>
      <c r="D371" s="1" t="str">
        <f>TEXT(Table1[[#This Row],[Date]],"mmm-yy")</f>
        <v>Jan-00</v>
      </c>
      <c r="E371" s="1"/>
      <c r="K371">
        <f>SUM(Table1[[#This Row],[Wholes (kg''s)]:[Rejection (kg''s)]])</f>
        <v>0</v>
      </c>
      <c r="P371">
        <f>SUM(Table1[[#This Row],[BK_Wholes]:[BK_Reject]])</f>
        <v>0</v>
      </c>
      <c r="Q371">
        <f>Table1[[#This Row],[Before Borma (kg''s)]]-Table1[[#This Row],[After Borma (kg''s)]]</f>
        <v>0</v>
      </c>
      <c r="R371" s="6" t="str">
        <f>IFERROR(Q371/K371%,"")</f>
        <v/>
      </c>
    </row>
    <row r="372" spans="2:18" x14ac:dyDescent="0.3">
      <c r="B372" s="1"/>
      <c r="C372" s="11">
        <f>WEEKNUM(Table1[[#This Row],[Date]])</f>
        <v>0</v>
      </c>
      <c r="D372" s="1" t="str">
        <f>TEXT(Table1[[#This Row],[Date]],"mmm-yy")</f>
        <v>Jan-00</v>
      </c>
      <c r="E372" s="1"/>
      <c r="K372">
        <f>SUM(Table1[[#This Row],[Wholes (kg''s)]:[Rejection (kg''s)]])</f>
        <v>0</v>
      </c>
      <c r="P372">
        <f>SUM(Table1[[#This Row],[BK_Wholes]:[BK_Reject]])</f>
        <v>0</v>
      </c>
      <c r="Q372">
        <f>Table1[[#This Row],[Before Borma (kg''s)]]-Table1[[#This Row],[After Borma (kg''s)]]</f>
        <v>0</v>
      </c>
      <c r="R372" s="6" t="str">
        <f>IFERROR(Q372/K372%,"")</f>
        <v/>
      </c>
    </row>
    <row r="373" spans="2:18" x14ac:dyDescent="0.3">
      <c r="B373" s="1"/>
      <c r="C373" s="11">
        <f>WEEKNUM(Table1[[#This Row],[Date]])</f>
        <v>0</v>
      </c>
      <c r="D373" s="1" t="str">
        <f>TEXT(Table1[[#This Row],[Date]],"mmm-yy")</f>
        <v>Jan-00</v>
      </c>
      <c r="E373" s="1"/>
      <c r="K373">
        <f>SUM(Table1[[#This Row],[Wholes (kg''s)]:[Rejection (kg''s)]])</f>
        <v>0</v>
      </c>
      <c r="P373">
        <f>SUM(Table1[[#This Row],[BK_Wholes]:[BK_Reject]])</f>
        <v>0</v>
      </c>
      <c r="Q373">
        <f>Table1[[#This Row],[Before Borma (kg''s)]]-Table1[[#This Row],[After Borma (kg''s)]]</f>
        <v>0</v>
      </c>
      <c r="R373" s="6" t="str">
        <f>IFERROR(Q373/K373%,"")</f>
        <v/>
      </c>
    </row>
    <row r="374" spans="2:18" x14ac:dyDescent="0.3">
      <c r="B374" s="1"/>
      <c r="C374" s="11">
        <f>WEEKNUM(Table1[[#This Row],[Date]])</f>
        <v>0</v>
      </c>
      <c r="D374" s="1" t="str">
        <f>TEXT(Table1[[#This Row],[Date]],"mmm-yy")</f>
        <v>Jan-00</v>
      </c>
      <c r="E374" s="1"/>
      <c r="K374">
        <f>SUM(Table1[[#This Row],[Wholes (kg''s)]:[Rejection (kg''s)]])</f>
        <v>0</v>
      </c>
      <c r="P374">
        <f>SUM(Table1[[#This Row],[BK_Wholes]:[BK_Reject]])</f>
        <v>0</v>
      </c>
      <c r="Q374">
        <f>Table1[[#This Row],[Before Borma (kg''s)]]-Table1[[#This Row],[After Borma (kg''s)]]</f>
        <v>0</v>
      </c>
      <c r="R374" s="6" t="str">
        <f>IFERROR(Q374/K374%,"")</f>
        <v/>
      </c>
    </row>
    <row r="375" spans="2:18" x14ac:dyDescent="0.3">
      <c r="B375" s="1"/>
      <c r="C375" s="11">
        <f>WEEKNUM(Table1[[#This Row],[Date]])</f>
        <v>0</v>
      </c>
      <c r="D375" s="1" t="str">
        <f>TEXT(Table1[[#This Row],[Date]],"mmm-yy")</f>
        <v>Jan-00</v>
      </c>
      <c r="E375" s="1"/>
      <c r="K375">
        <f>SUM(Table1[[#This Row],[Wholes (kg''s)]:[Rejection (kg''s)]])</f>
        <v>0</v>
      </c>
      <c r="P375">
        <f>SUM(Table1[[#This Row],[BK_Wholes]:[BK_Reject]])</f>
        <v>0</v>
      </c>
      <c r="Q375">
        <f>Table1[[#This Row],[Before Borma (kg''s)]]-Table1[[#This Row],[After Borma (kg''s)]]</f>
        <v>0</v>
      </c>
      <c r="R375" s="6" t="str">
        <f>IFERROR(Q375/K375%,"")</f>
        <v/>
      </c>
    </row>
    <row r="376" spans="2:18" x14ac:dyDescent="0.3">
      <c r="B376" s="1"/>
      <c r="C376" s="11">
        <f>WEEKNUM(Table1[[#This Row],[Date]])</f>
        <v>0</v>
      </c>
      <c r="D376" s="1" t="str">
        <f>TEXT(Table1[[#This Row],[Date]],"mmm-yy")</f>
        <v>Jan-00</v>
      </c>
      <c r="E376" s="1"/>
      <c r="K376">
        <f>SUM(Table1[[#This Row],[Wholes (kg''s)]:[Rejection (kg''s)]])</f>
        <v>0</v>
      </c>
      <c r="P376">
        <f>SUM(Table1[[#This Row],[BK_Wholes]:[BK_Reject]])</f>
        <v>0</v>
      </c>
      <c r="Q376">
        <f>Table1[[#This Row],[Before Borma (kg''s)]]-Table1[[#This Row],[After Borma (kg''s)]]</f>
        <v>0</v>
      </c>
      <c r="R376" s="6" t="str">
        <f>IFERROR(Q376/K376%,"")</f>
        <v/>
      </c>
    </row>
    <row r="377" spans="2:18" x14ac:dyDescent="0.3">
      <c r="B377" s="1"/>
      <c r="C377" s="11">
        <f>WEEKNUM(Table1[[#This Row],[Date]])</f>
        <v>0</v>
      </c>
      <c r="D377" s="1" t="str">
        <f>TEXT(Table1[[#This Row],[Date]],"mmm-yy")</f>
        <v>Jan-00</v>
      </c>
      <c r="E377" s="1"/>
      <c r="K377">
        <f>SUM(Table1[[#This Row],[Wholes (kg''s)]:[Rejection (kg''s)]])</f>
        <v>0</v>
      </c>
      <c r="P377">
        <f>SUM(Table1[[#This Row],[BK_Wholes]:[BK_Reject]])</f>
        <v>0</v>
      </c>
      <c r="Q377">
        <f>Table1[[#This Row],[Before Borma (kg''s)]]-Table1[[#This Row],[After Borma (kg''s)]]</f>
        <v>0</v>
      </c>
      <c r="R377" s="6" t="str">
        <f>IFERROR(Q377/K377%,"")</f>
        <v/>
      </c>
    </row>
    <row r="378" spans="2:18" x14ac:dyDescent="0.3">
      <c r="B378" s="1"/>
      <c r="C378" s="11">
        <f>WEEKNUM(Table1[[#This Row],[Date]])</f>
        <v>0</v>
      </c>
      <c r="D378" s="1" t="str">
        <f>TEXT(Table1[[#This Row],[Date]],"mmm-yy")</f>
        <v>Jan-00</v>
      </c>
      <c r="E378" s="1"/>
      <c r="K378">
        <f>SUM(Table1[[#This Row],[Wholes (kg''s)]:[Rejection (kg''s)]])</f>
        <v>0</v>
      </c>
      <c r="P378">
        <f>SUM(Table1[[#This Row],[BK_Wholes]:[BK_Reject]])</f>
        <v>0</v>
      </c>
      <c r="Q378">
        <f>Table1[[#This Row],[Before Borma (kg''s)]]-Table1[[#This Row],[After Borma (kg''s)]]</f>
        <v>0</v>
      </c>
      <c r="R378" s="6" t="str">
        <f>IFERROR(Q378/K378%,"")</f>
        <v/>
      </c>
    </row>
    <row r="379" spans="2:18" x14ac:dyDescent="0.3">
      <c r="B379" s="1"/>
      <c r="C379" s="11">
        <f>WEEKNUM(Table1[[#This Row],[Date]])</f>
        <v>0</v>
      </c>
      <c r="D379" s="1" t="str">
        <f>TEXT(Table1[[#This Row],[Date]],"mmm-yy")</f>
        <v>Jan-00</v>
      </c>
      <c r="E379" s="1"/>
      <c r="K379">
        <f>SUM(Table1[[#This Row],[Wholes (kg''s)]:[Rejection (kg''s)]])</f>
        <v>0</v>
      </c>
      <c r="P379">
        <f>SUM(Table1[[#This Row],[BK_Wholes]:[BK_Reject]])</f>
        <v>0</v>
      </c>
      <c r="Q379">
        <f>Table1[[#This Row],[Before Borma (kg''s)]]-Table1[[#This Row],[After Borma (kg''s)]]</f>
        <v>0</v>
      </c>
      <c r="R379" s="6" t="str">
        <f>IFERROR(Q379/K379%,"")</f>
        <v/>
      </c>
    </row>
    <row r="380" spans="2:18" x14ac:dyDescent="0.3">
      <c r="B380" s="1"/>
      <c r="C380" s="11">
        <f>WEEKNUM(Table1[[#This Row],[Date]])</f>
        <v>0</v>
      </c>
      <c r="D380" s="1" t="str">
        <f>TEXT(Table1[[#This Row],[Date]],"mmm-yy")</f>
        <v>Jan-00</v>
      </c>
      <c r="E380" s="1"/>
      <c r="K380">
        <f>SUM(Table1[[#This Row],[Wholes (kg''s)]:[Rejection (kg''s)]])</f>
        <v>0</v>
      </c>
      <c r="P380">
        <f>SUM(Table1[[#This Row],[BK_Wholes]:[BK_Reject]])</f>
        <v>0</v>
      </c>
      <c r="Q380">
        <f>Table1[[#This Row],[Before Borma (kg''s)]]-Table1[[#This Row],[After Borma (kg''s)]]</f>
        <v>0</v>
      </c>
      <c r="R380" s="6" t="str">
        <f>IFERROR(Q380/K380%,"")</f>
        <v/>
      </c>
    </row>
    <row r="381" spans="2:18" x14ac:dyDescent="0.3">
      <c r="B381" s="1"/>
      <c r="C381" s="11">
        <f>WEEKNUM(Table1[[#This Row],[Date]])</f>
        <v>0</v>
      </c>
      <c r="D381" s="1" t="str">
        <f>TEXT(Table1[[#This Row],[Date]],"mmm-yy")</f>
        <v>Jan-00</v>
      </c>
      <c r="E381" s="1"/>
      <c r="K381">
        <f>SUM(Table1[[#This Row],[Wholes (kg''s)]:[Rejection (kg''s)]])</f>
        <v>0</v>
      </c>
      <c r="P381">
        <f>SUM(Table1[[#This Row],[BK_Wholes]:[BK_Reject]])</f>
        <v>0</v>
      </c>
      <c r="Q381">
        <f>Table1[[#This Row],[Before Borma (kg''s)]]-Table1[[#This Row],[After Borma (kg''s)]]</f>
        <v>0</v>
      </c>
      <c r="R381" s="6" t="str">
        <f>IFERROR(Q381/K381%,"")</f>
        <v/>
      </c>
    </row>
    <row r="382" spans="2:18" x14ac:dyDescent="0.3">
      <c r="B382" s="1"/>
      <c r="C382" s="11">
        <f>WEEKNUM(Table1[[#This Row],[Date]])</f>
        <v>0</v>
      </c>
      <c r="D382" s="1" t="str">
        <f>TEXT(Table1[[#This Row],[Date]],"mmm-yy")</f>
        <v>Jan-00</v>
      </c>
      <c r="E382" s="1"/>
      <c r="K382">
        <f>SUM(Table1[[#This Row],[Wholes (kg''s)]:[Rejection (kg''s)]])</f>
        <v>0</v>
      </c>
      <c r="P382">
        <f>SUM(Table1[[#This Row],[BK_Wholes]:[BK_Reject]])</f>
        <v>0</v>
      </c>
      <c r="Q382">
        <f>Table1[[#This Row],[Before Borma (kg''s)]]-Table1[[#This Row],[After Borma (kg''s)]]</f>
        <v>0</v>
      </c>
      <c r="R382" s="6" t="str">
        <f>IFERROR(Q382/K382%,"")</f>
        <v/>
      </c>
    </row>
    <row r="383" spans="2:18" x14ac:dyDescent="0.3">
      <c r="B383" s="1"/>
      <c r="C383" s="11">
        <f>WEEKNUM(Table1[[#This Row],[Date]])</f>
        <v>0</v>
      </c>
      <c r="D383" s="1" t="str">
        <f>TEXT(Table1[[#This Row],[Date]],"mmm-yy")</f>
        <v>Jan-00</v>
      </c>
      <c r="E383" s="1"/>
      <c r="K383">
        <f>SUM(Table1[[#This Row],[Wholes (kg''s)]:[Rejection (kg''s)]])</f>
        <v>0</v>
      </c>
      <c r="P383">
        <f>SUM(Table1[[#This Row],[BK_Wholes]:[BK_Reject]])</f>
        <v>0</v>
      </c>
      <c r="Q383">
        <f>Table1[[#This Row],[Before Borma (kg''s)]]-Table1[[#This Row],[After Borma (kg''s)]]</f>
        <v>0</v>
      </c>
      <c r="R383" s="6" t="str">
        <f>IFERROR(Q383/K383%,"")</f>
        <v/>
      </c>
    </row>
    <row r="384" spans="2:18" x14ac:dyDescent="0.3">
      <c r="B384" s="1"/>
      <c r="C384" s="11">
        <f>WEEKNUM(Table1[[#This Row],[Date]])</f>
        <v>0</v>
      </c>
      <c r="D384" s="1" t="str">
        <f>TEXT(Table1[[#This Row],[Date]],"mmm-yy")</f>
        <v>Jan-00</v>
      </c>
      <c r="E384" s="1"/>
      <c r="K384">
        <f>SUM(Table1[[#This Row],[Wholes (kg''s)]:[Rejection (kg''s)]])</f>
        <v>0</v>
      </c>
      <c r="P384">
        <f>SUM(Table1[[#This Row],[BK_Wholes]:[BK_Reject]])</f>
        <v>0</v>
      </c>
      <c r="Q384">
        <f>Table1[[#This Row],[Before Borma (kg''s)]]-Table1[[#This Row],[After Borma (kg''s)]]</f>
        <v>0</v>
      </c>
      <c r="R384" s="6" t="str">
        <f>IFERROR(Q384/K384%,"")</f>
        <v/>
      </c>
    </row>
    <row r="385" spans="2:18" x14ac:dyDescent="0.3">
      <c r="B385" s="1"/>
      <c r="C385" s="11">
        <f>WEEKNUM(Table1[[#This Row],[Date]])</f>
        <v>0</v>
      </c>
      <c r="D385" s="1" t="str">
        <f>TEXT(Table1[[#This Row],[Date]],"mmm-yy")</f>
        <v>Jan-00</v>
      </c>
      <c r="E385" s="1"/>
      <c r="K385">
        <f>SUM(Table1[[#This Row],[Wholes (kg''s)]:[Rejection (kg''s)]])</f>
        <v>0</v>
      </c>
      <c r="P385">
        <f>SUM(Table1[[#This Row],[BK_Wholes]:[BK_Reject]])</f>
        <v>0</v>
      </c>
      <c r="Q385">
        <f>Table1[[#This Row],[Before Borma (kg''s)]]-Table1[[#This Row],[After Borma (kg''s)]]</f>
        <v>0</v>
      </c>
      <c r="R385" s="6" t="str">
        <f>IFERROR(Q385/K385%,"")</f>
        <v/>
      </c>
    </row>
    <row r="386" spans="2:18" x14ac:dyDescent="0.3">
      <c r="B386" s="1"/>
      <c r="C386" s="11">
        <f>WEEKNUM(Table1[[#This Row],[Date]])</f>
        <v>0</v>
      </c>
      <c r="D386" s="1" t="str">
        <f>TEXT(Table1[[#This Row],[Date]],"mmm-yy")</f>
        <v>Jan-00</v>
      </c>
      <c r="E386" s="1"/>
      <c r="K386">
        <f>SUM(Table1[[#This Row],[Wholes (kg''s)]:[Rejection (kg''s)]])</f>
        <v>0</v>
      </c>
      <c r="P386">
        <f>SUM(Table1[[#This Row],[BK_Wholes]:[BK_Reject]])</f>
        <v>0</v>
      </c>
      <c r="Q386">
        <f>Table1[[#This Row],[Before Borma (kg''s)]]-Table1[[#This Row],[After Borma (kg''s)]]</f>
        <v>0</v>
      </c>
      <c r="R386" s="6" t="str">
        <f>IFERROR(Q386/K386%,"")</f>
        <v/>
      </c>
    </row>
    <row r="387" spans="2:18" x14ac:dyDescent="0.3">
      <c r="B387" s="1"/>
      <c r="C387" s="11">
        <f>WEEKNUM(Table1[[#This Row],[Date]])</f>
        <v>0</v>
      </c>
      <c r="D387" s="1" t="str">
        <f>TEXT(Table1[[#This Row],[Date]],"mmm-yy")</f>
        <v>Jan-00</v>
      </c>
      <c r="E387" s="1"/>
      <c r="K387">
        <f>SUM(Table1[[#This Row],[Wholes (kg''s)]:[Rejection (kg''s)]])</f>
        <v>0</v>
      </c>
      <c r="P387">
        <f>SUM(Table1[[#This Row],[BK_Wholes]:[BK_Reject]])</f>
        <v>0</v>
      </c>
      <c r="Q387">
        <f>Table1[[#This Row],[Before Borma (kg''s)]]-Table1[[#This Row],[After Borma (kg''s)]]</f>
        <v>0</v>
      </c>
      <c r="R387" s="6" t="str">
        <f>IFERROR(Q387/K387%,"")</f>
        <v/>
      </c>
    </row>
    <row r="388" spans="2:18" x14ac:dyDescent="0.3">
      <c r="B388" s="1"/>
      <c r="C388" s="11">
        <f>WEEKNUM(Table1[[#This Row],[Date]])</f>
        <v>0</v>
      </c>
      <c r="D388" s="1" t="str">
        <f>TEXT(Table1[[#This Row],[Date]],"mmm-yy")</f>
        <v>Jan-00</v>
      </c>
      <c r="E388" s="1"/>
      <c r="K388">
        <f>SUM(Table1[[#This Row],[Wholes (kg''s)]:[Rejection (kg''s)]])</f>
        <v>0</v>
      </c>
      <c r="P388">
        <f>SUM(Table1[[#This Row],[BK_Wholes]:[BK_Reject]])</f>
        <v>0</v>
      </c>
      <c r="Q388">
        <f>Table1[[#This Row],[Before Borma (kg''s)]]-Table1[[#This Row],[After Borma (kg''s)]]</f>
        <v>0</v>
      </c>
      <c r="R388" s="6" t="str">
        <f>IFERROR(Q388/K388%,"")</f>
        <v/>
      </c>
    </row>
    <row r="389" spans="2:18" x14ac:dyDescent="0.3">
      <c r="B389" s="1"/>
      <c r="C389" s="11">
        <f>WEEKNUM(Table1[[#This Row],[Date]])</f>
        <v>0</v>
      </c>
      <c r="D389" s="1" t="str">
        <f>TEXT(Table1[[#This Row],[Date]],"mmm-yy")</f>
        <v>Jan-00</v>
      </c>
      <c r="E389" s="1"/>
      <c r="K389">
        <f>SUM(Table1[[#This Row],[Wholes (kg''s)]:[Rejection (kg''s)]])</f>
        <v>0</v>
      </c>
      <c r="P389">
        <f>SUM(Table1[[#This Row],[BK_Wholes]:[BK_Reject]])</f>
        <v>0</v>
      </c>
      <c r="Q389">
        <f>Table1[[#This Row],[Before Borma (kg''s)]]-Table1[[#This Row],[After Borma (kg''s)]]</f>
        <v>0</v>
      </c>
      <c r="R389" s="6" t="str">
        <f>IFERROR(Q389/K389%,"")</f>
        <v/>
      </c>
    </row>
    <row r="390" spans="2:18" x14ac:dyDescent="0.3">
      <c r="B390" s="1"/>
      <c r="C390" s="11">
        <f>WEEKNUM(Table1[[#This Row],[Date]])</f>
        <v>0</v>
      </c>
      <c r="D390" s="1" t="str">
        <f>TEXT(Table1[[#This Row],[Date]],"mmm-yy")</f>
        <v>Jan-00</v>
      </c>
      <c r="E390" s="1"/>
      <c r="K390">
        <f>SUM(Table1[[#This Row],[Wholes (kg''s)]:[Rejection (kg''s)]])</f>
        <v>0</v>
      </c>
      <c r="P390">
        <f>SUM(Table1[[#This Row],[BK_Wholes]:[BK_Reject]])</f>
        <v>0</v>
      </c>
      <c r="Q390">
        <f>Table1[[#This Row],[Before Borma (kg''s)]]-Table1[[#This Row],[After Borma (kg''s)]]</f>
        <v>0</v>
      </c>
      <c r="R390" s="6" t="str">
        <f>IFERROR(Q390/K390%,"")</f>
        <v/>
      </c>
    </row>
    <row r="391" spans="2:18" x14ac:dyDescent="0.3">
      <c r="B391" s="1"/>
      <c r="C391" s="11">
        <f>WEEKNUM(Table1[[#This Row],[Date]])</f>
        <v>0</v>
      </c>
      <c r="D391" s="1" t="str">
        <f>TEXT(Table1[[#This Row],[Date]],"mmm-yy")</f>
        <v>Jan-00</v>
      </c>
      <c r="E391" s="1"/>
      <c r="K391">
        <f>SUM(Table1[[#This Row],[Wholes (kg''s)]:[Rejection (kg''s)]])</f>
        <v>0</v>
      </c>
      <c r="P391">
        <f>SUM(Table1[[#This Row],[BK_Wholes]:[BK_Reject]])</f>
        <v>0</v>
      </c>
      <c r="Q391">
        <f>Table1[[#This Row],[Before Borma (kg''s)]]-Table1[[#This Row],[After Borma (kg''s)]]</f>
        <v>0</v>
      </c>
      <c r="R391" s="6" t="str">
        <f>IFERROR(Q391/K391%,"")</f>
        <v/>
      </c>
    </row>
    <row r="392" spans="2:18" x14ac:dyDescent="0.3">
      <c r="B392" s="1"/>
      <c r="C392" s="11">
        <f>WEEKNUM(Table1[[#This Row],[Date]])</f>
        <v>0</v>
      </c>
      <c r="D392" s="1" t="str">
        <f>TEXT(Table1[[#This Row],[Date]],"mmm-yy")</f>
        <v>Jan-00</v>
      </c>
      <c r="E392" s="1"/>
      <c r="K392">
        <f>SUM(Table1[[#This Row],[Wholes (kg''s)]:[Rejection (kg''s)]])</f>
        <v>0</v>
      </c>
      <c r="P392">
        <f>SUM(Table1[[#This Row],[BK_Wholes]:[BK_Reject]])</f>
        <v>0</v>
      </c>
      <c r="Q392">
        <f>Table1[[#This Row],[Before Borma (kg''s)]]-Table1[[#This Row],[After Borma (kg''s)]]</f>
        <v>0</v>
      </c>
      <c r="R392" s="6" t="str">
        <f>IFERROR(Q392/K392%,"")</f>
        <v/>
      </c>
    </row>
    <row r="393" spans="2:18" x14ac:dyDescent="0.3">
      <c r="B393" s="1"/>
      <c r="C393" s="11">
        <f>WEEKNUM(Table1[[#This Row],[Date]])</f>
        <v>0</v>
      </c>
      <c r="D393" s="1" t="str">
        <f>TEXT(Table1[[#This Row],[Date]],"mmm-yy")</f>
        <v>Jan-00</v>
      </c>
      <c r="E393" s="1"/>
      <c r="K393">
        <f>SUM(Table1[[#This Row],[Wholes (kg''s)]:[Rejection (kg''s)]])</f>
        <v>0</v>
      </c>
      <c r="P393">
        <f>SUM(Table1[[#This Row],[BK_Wholes]:[BK_Reject]])</f>
        <v>0</v>
      </c>
      <c r="Q393">
        <f>Table1[[#This Row],[Before Borma (kg''s)]]-Table1[[#This Row],[After Borma (kg''s)]]</f>
        <v>0</v>
      </c>
      <c r="R393" s="6" t="str">
        <f>IFERROR(Q393/K393%,"")</f>
        <v/>
      </c>
    </row>
    <row r="394" spans="2:18" x14ac:dyDescent="0.3">
      <c r="B394" s="1"/>
      <c r="C394" s="11">
        <f>WEEKNUM(Table1[[#This Row],[Date]])</f>
        <v>0</v>
      </c>
      <c r="D394" s="1" t="str">
        <f>TEXT(Table1[[#This Row],[Date]],"mmm-yy")</f>
        <v>Jan-00</v>
      </c>
      <c r="E394" s="1"/>
      <c r="K394">
        <f>SUM(Table1[[#This Row],[Wholes (kg''s)]:[Rejection (kg''s)]])</f>
        <v>0</v>
      </c>
      <c r="P394">
        <f>SUM(Table1[[#This Row],[BK_Wholes]:[BK_Reject]])</f>
        <v>0</v>
      </c>
      <c r="Q394">
        <f>Table1[[#This Row],[Before Borma (kg''s)]]-Table1[[#This Row],[After Borma (kg''s)]]</f>
        <v>0</v>
      </c>
      <c r="R394" s="6" t="str">
        <f>IFERROR(Q394/K394%,"")</f>
        <v/>
      </c>
    </row>
    <row r="395" spans="2:18" x14ac:dyDescent="0.3">
      <c r="B395" s="1"/>
      <c r="C395" s="11">
        <f>WEEKNUM(Table1[[#This Row],[Date]])</f>
        <v>0</v>
      </c>
      <c r="D395" s="1" t="str">
        <f>TEXT(Table1[[#This Row],[Date]],"mmm-yy")</f>
        <v>Jan-00</v>
      </c>
      <c r="E395" s="1"/>
      <c r="K395">
        <f>SUM(Table1[[#This Row],[Wholes (kg''s)]:[Rejection (kg''s)]])</f>
        <v>0</v>
      </c>
      <c r="P395">
        <f>SUM(Table1[[#This Row],[BK_Wholes]:[BK_Reject]])</f>
        <v>0</v>
      </c>
      <c r="Q395">
        <f>Table1[[#This Row],[Before Borma (kg''s)]]-Table1[[#This Row],[After Borma (kg''s)]]</f>
        <v>0</v>
      </c>
      <c r="R395" s="6" t="str">
        <f>IFERROR(Q395/K395%,"")</f>
        <v/>
      </c>
    </row>
    <row r="396" spans="2:18" x14ac:dyDescent="0.3">
      <c r="B396" s="1"/>
      <c r="C396" s="11">
        <f>WEEKNUM(Table1[[#This Row],[Date]])</f>
        <v>0</v>
      </c>
      <c r="D396" s="1" t="str">
        <f>TEXT(Table1[[#This Row],[Date]],"mmm-yy")</f>
        <v>Jan-00</v>
      </c>
      <c r="E396" s="1"/>
      <c r="K396">
        <f>SUM(Table1[[#This Row],[Wholes (kg''s)]:[Rejection (kg''s)]])</f>
        <v>0</v>
      </c>
      <c r="P396">
        <f>SUM(Table1[[#This Row],[BK_Wholes]:[BK_Reject]])</f>
        <v>0</v>
      </c>
      <c r="Q396">
        <f>Table1[[#This Row],[Before Borma (kg''s)]]-Table1[[#This Row],[After Borma (kg''s)]]</f>
        <v>0</v>
      </c>
      <c r="R396" s="6" t="str">
        <f>IFERROR(Q396/K396%,"")</f>
        <v/>
      </c>
    </row>
    <row r="397" spans="2:18" x14ac:dyDescent="0.3">
      <c r="B397" s="1"/>
      <c r="C397" s="11">
        <f>WEEKNUM(Table1[[#This Row],[Date]])</f>
        <v>0</v>
      </c>
      <c r="D397" s="1" t="str">
        <f>TEXT(Table1[[#This Row],[Date]],"mmm-yy")</f>
        <v>Jan-00</v>
      </c>
      <c r="E397" s="1"/>
      <c r="K397">
        <f>SUM(Table1[[#This Row],[Wholes (kg''s)]:[Rejection (kg''s)]])</f>
        <v>0</v>
      </c>
      <c r="P397">
        <f>SUM(Table1[[#This Row],[BK_Wholes]:[BK_Reject]])</f>
        <v>0</v>
      </c>
      <c r="Q397">
        <f>Table1[[#This Row],[Before Borma (kg''s)]]-Table1[[#This Row],[After Borma (kg''s)]]</f>
        <v>0</v>
      </c>
      <c r="R397" s="6" t="str">
        <f>IFERROR(Q397/K397%,"")</f>
        <v/>
      </c>
    </row>
    <row r="398" spans="2:18" x14ac:dyDescent="0.3">
      <c r="B398" s="1"/>
      <c r="C398" s="11">
        <f>WEEKNUM(Table1[[#This Row],[Date]])</f>
        <v>0</v>
      </c>
      <c r="D398" s="1" t="str">
        <f>TEXT(Table1[[#This Row],[Date]],"mmm-yy")</f>
        <v>Jan-00</v>
      </c>
      <c r="E398" s="1"/>
      <c r="K398">
        <f>SUM(Table1[[#This Row],[Wholes (kg''s)]:[Rejection (kg''s)]])</f>
        <v>0</v>
      </c>
      <c r="P398">
        <f>SUM(Table1[[#This Row],[BK_Wholes]:[BK_Reject]])</f>
        <v>0</v>
      </c>
      <c r="Q398">
        <f>Table1[[#This Row],[Before Borma (kg''s)]]-Table1[[#This Row],[After Borma (kg''s)]]</f>
        <v>0</v>
      </c>
      <c r="R398" s="6" t="str">
        <f>IFERROR(Q398/K398%,"")</f>
        <v/>
      </c>
    </row>
    <row r="399" spans="2:18" x14ac:dyDescent="0.3">
      <c r="B399" s="1"/>
      <c r="C399" s="11">
        <f>WEEKNUM(Table1[[#This Row],[Date]])</f>
        <v>0</v>
      </c>
      <c r="D399" s="1" t="str">
        <f>TEXT(Table1[[#This Row],[Date]],"mmm-yy")</f>
        <v>Jan-00</v>
      </c>
      <c r="E399" s="1"/>
      <c r="K399">
        <f>SUM(Table1[[#This Row],[Wholes (kg''s)]:[Rejection (kg''s)]])</f>
        <v>0</v>
      </c>
      <c r="P399">
        <f>SUM(Table1[[#This Row],[BK_Wholes]:[BK_Reject]])</f>
        <v>0</v>
      </c>
      <c r="Q399">
        <f>Table1[[#This Row],[Before Borma (kg''s)]]-Table1[[#This Row],[After Borma (kg''s)]]</f>
        <v>0</v>
      </c>
      <c r="R399" s="6" t="str">
        <f>IFERROR(Q399/K399%,"")</f>
        <v/>
      </c>
    </row>
    <row r="400" spans="2:18" x14ac:dyDescent="0.3">
      <c r="B400" s="1"/>
      <c r="C400" s="11">
        <f>WEEKNUM(Table1[[#This Row],[Date]])</f>
        <v>0</v>
      </c>
      <c r="D400" s="1" t="str">
        <f>TEXT(Table1[[#This Row],[Date]],"mmm-yy")</f>
        <v>Jan-00</v>
      </c>
      <c r="E400" s="1"/>
      <c r="K400">
        <f>SUM(Table1[[#This Row],[Wholes (kg''s)]:[Rejection (kg''s)]])</f>
        <v>0</v>
      </c>
      <c r="P400">
        <f>SUM(Table1[[#This Row],[BK_Wholes]:[BK_Reject]])</f>
        <v>0</v>
      </c>
      <c r="Q400">
        <f>Table1[[#This Row],[Before Borma (kg''s)]]-Table1[[#This Row],[After Borma (kg''s)]]</f>
        <v>0</v>
      </c>
      <c r="R400" s="6" t="str">
        <f>IFERROR(Q400/K400%,"")</f>
        <v/>
      </c>
    </row>
    <row r="401" spans="2:18" x14ac:dyDescent="0.3">
      <c r="B401" s="1"/>
      <c r="C401" s="11">
        <f>WEEKNUM(Table1[[#This Row],[Date]])</f>
        <v>0</v>
      </c>
      <c r="D401" s="1" t="str">
        <f>TEXT(Table1[[#This Row],[Date]],"mmm-yy")</f>
        <v>Jan-00</v>
      </c>
      <c r="E401" s="1"/>
      <c r="K401">
        <f>SUM(Table1[[#This Row],[Wholes (kg''s)]:[Rejection (kg''s)]])</f>
        <v>0</v>
      </c>
      <c r="P401">
        <f>SUM(Table1[[#This Row],[BK_Wholes]:[BK_Reject]])</f>
        <v>0</v>
      </c>
      <c r="Q401">
        <f>Table1[[#This Row],[Before Borma (kg''s)]]-Table1[[#This Row],[After Borma (kg''s)]]</f>
        <v>0</v>
      </c>
      <c r="R401" s="6" t="str">
        <f>IFERROR(Q401/K401%,"")</f>
        <v/>
      </c>
    </row>
    <row r="402" spans="2:18" x14ac:dyDescent="0.3">
      <c r="B402" s="1"/>
      <c r="C402" s="11">
        <f>WEEKNUM(Table1[[#This Row],[Date]])</f>
        <v>0</v>
      </c>
      <c r="D402" s="1" t="str">
        <f>TEXT(Table1[[#This Row],[Date]],"mmm-yy")</f>
        <v>Jan-00</v>
      </c>
      <c r="E402" s="1"/>
      <c r="K402">
        <f>SUM(Table1[[#This Row],[Wholes (kg''s)]:[Rejection (kg''s)]])</f>
        <v>0</v>
      </c>
      <c r="P402">
        <f>SUM(Table1[[#This Row],[BK_Wholes]:[BK_Reject]])</f>
        <v>0</v>
      </c>
      <c r="Q402">
        <f>Table1[[#This Row],[Before Borma (kg''s)]]-Table1[[#This Row],[After Borma (kg''s)]]</f>
        <v>0</v>
      </c>
      <c r="R402" s="6" t="str">
        <f>IFERROR(Q402/K402%,"")</f>
        <v/>
      </c>
    </row>
    <row r="403" spans="2:18" x14ac:dyDescent="0.3">
      <c r="B403" s="1"/>
      <c r="C403" s="11">
        <f>WEEKNUM(Table1[[#This Row],[Date]])</f>
        <v>0</v>
      </c>
      <c r="D403" s="1" t="str">
        <f>TEXT(Table1[[#This Row],[Date]],"mmm-yy")</f>
        <v>Jan-00</v>
      </c>
      <c r="E403" s="1"/>
      <c r="K403">
        <f>SUM(Table1[[#This Row],[Wholes (kg''s)]:[Rejection (kg''s)]])</f>
        <v>0</v>
      </c>
      <c r="P403">
        <f>SUM(Table1[[#This Row],[BK_Wholes]:[BK_Reject]])</f>
        <v>0</v>
      </c>
      <c r="Q403">
        <f>Table1[[#This Row],[Before Borma (kg''s)]]-Table1[[#This Row],[After Borma (kg''s)]]</f>
        <v>0</v>
      </c>
      <c r="R403" s="6" t="str">
        <f>IFERROR(Q403/K403%,"")</f>
        <v/>
      </c>
    </row>
    <row r="404" spans="2:18" x14ac:dyDescent="0.3">
      <c r="B404" s="1"/>
      <c r="C404" s="11">
        <f>WEEKNUM(Table1[[#This Row],[Date]])</f>
        <v>0</v>
      </c>
      <c r="D404" s="1" t="str">
        <f>TEXT(Table1[[#This Row],[Date]],"mmm-yy")</f>
        <v>Jan-00</v>
      </c>
      <c r="E404" s="1"/>
      <c r="K404">
        <f>SUM(Table1[[#This Row],[Wholes (kg''s)]:[Rejection (kg''s)]])</f>
        <v>0</v>
      </c>
      <c r="P404">
        <f>SUM(Table1[[#This Row],[BK_Wholes]:[BK_Reject]])</f>
        <v>0</v>
      </c>
      <c r="Q404">
        <f>Table1[[#This Row],[Before Borma (kg''s)]]-Table1[[#This Row],[After Borma (kg''s)]]</f>
        <v>0</v>
      </c>
      <c r="R404" s="6" t="str">
        <f>IFERROR(Q404/K404%,"")</f>
        <v/>
      </c>
    </row>
    <row r="405" spans="2:18" x14ac:dyDescent="0.3">
      <c r="B405" s="1"/>
      <c r="C405" s="11">
        <f>WEEKNUM(Table1[[#This Row],[Date]])</f>
        <v>0</v>
      </c>
      <c r="D405" s="1" t="str">
        <f>TEXT(Table1[[#This Row],[Date]],"mmm-yy")</f>
        <v>Jan-00</v>
      </c>
      <c r="E405" s="1"/>
      <c r="K405">
        <f>SUM(Table1[[#This Row],[Wholes (kg''s)]:[Rejection (kg''s)]])</f>
        <v>0</v>
      </c>
      <c r="P405">
        <f>SUM(Table1[[#This Row],[BK_Wholes]:[BK_Reject]])</f>
        <v>0</v>
      </c>
      <c r="Q405">
        <f>Table1[[#This Row],[Before Borma (kg''s)]]-Table1[[#This Row],[After Borma (kg''s)]]</f>
        <v>0</v>
      </c>
      <c r="R405" s="6" t="str">
        <f>IFERROR(Q405/K405%,"")</f>
        <v/>
      </c>
    </row>
    <row r="406" spans="2:18" x14ac:dyDescent="0.3">
      <c r="B406" s="1"/>
      <c r="C406" s="11">
        <f>WEEKNUM(Table1[[#This Row],[Date]])</f>
        <v>0</v>
      </c>
      <c r="D406" s="1" t="str">
        <f>TEXT(Table1[[#This Row],[Date]],"mmm-yy")</f>
        <v>Jan-00</v>
      </c>
      <c r="E406" s="1"/>
      <c r="K406">
        <f>SUM(Table1[[#This Row],[Wholes (kg''s)]:[Rejection (kg''s)]])</f>
        <v>0</v>
      </c>
      <c r="P406">
        <f>SUM(Table1[[#This Row],[BK_Wholes]:[BK_Reject]])</f>
        <v>0</v>
      </c>
      <c r="Q406">
        <f>Table1[[#This Row],[Before Borma (kg''s)]]-Table1[[#This Row],[After Borma (kg''s)]]</f>
        <v>0</v>
      </c>
      <c r="R406" s="6" t="str">
        <f>IFERROR(Q406/K406%,"")</f>
        <v/>
      </c>
    </row>
    <row r="407" spans="2:18" x14ac:dyDescent="0.3">
      <c r="B407" s="1"/>
      <c r="C407" s="11">
        <f>WEEKNUM(Table1[[#This Row],[Date]])</f>
        <v>0</v>
      </c>
      <c r="D407" s="1" t="str">
        <f>TEXT(Table1[[#This Row],[Date]],"mmm-yy")</f>
        <v>Jan-00</v>
      </c>
      <c r="E407" s="1"/>
      <c r="K407">
        <f>SUM(Table1[[#This Row],[Wholes (kg''s)]:[Rejection (kg''s)]])</f>
        <v>0</v>
      </c>
      <c r="P407">
        <f>SUM(Table1[[#This Row],[BK_Wholes]:[BK_Reject]])</f>
        <v>0</v>
      </c>
      <c r="Q407">
        <f>Table1[[#This Row],[Before Borma (kg''s)]]-Table1[[#This Row],[After Borma (kg''s)]]</f>
        <v>0</v>
      </c>
      <c r="R407" s="6" t="str">
        <f>IFERROR(Q407/K407%,"")</f>
        <v/>
      </c>
    </row>
    <row r="408" spans="2:18" x14ac:dyDescent="0.3">
      <c r="B408" s="1"/>
      <c r="C408" s="11">
        <f>WEEKNUM(Table1[[#This Row],[Date]])</f>
        <v>0</v>
      </c>
      <c r="D408" s="1" t="str">
        <f>TEXT(Table1[[#This Row],[Date]],"mmm-yy")</f>
        <v>Jan-00</v>
      </c>
      <c r="E408" s="1"/>
      <c r="K408">
        <f>SUM(Table1[[#This Row],[Wholes (kg''s)]:[Rejection (kg''s)]])</f>
        <v>0</v>
      </c>
      <c r="P408">
        <f>SUM(Table1[[#This Row],[BK_Wholes]:[BK_Reject]])</f>
        <v>0</v>
      </c>
      <c r="Q408">
        <f>Table1[[#This Row],[Before Borma (kg''s)]]-Table1[[#This Row],[After Borma (kg''s)]]</f>
        <v>0</v>
      </c>
      <c r="R408" s="6" t="str">
        <f>IFERROR(Q408/K408%,"")</f>
        <v/>
      </c>
    </row>
    <row r="409" spans="2:18" x14ac:dyDescent="0.3">
      <c r="B409" s="1"/>
      <c r="C409" s="11">
        <f>WEEKNUM(Table1[[#This Row],[Date]])</f>
        <v>0</v>
      </c>
      <c r="D409" s="1" t="str">
        <f>TEXT(Table1[[#This Row],[Date]],"mmm-yy")</f>
        <v>Jan-00</v>
      </c>
      <c r="E409" s="1"/>
      <c r="K409">
        <f>SUM(Table1[[#This Row],[Wholes (kg''s)]:[Rejection (kg''s)]])</f>
        <v>0</v>
      </c>
      <c r="P409">
        <f>SUM(Table1[[#This Row],[BK_Wholes]:[BK_Reject]])</f>
        <v>0</v>
      </c>
      <c r="Q409">
        <f>Table1[[#This Row],[Before Borma (kg''s)]]-Table1[[#This Row],[After Borma (kg''s)]]</f>
        <v>0</v>
      </c>
      <c r="R409" s="6" t="str">
        <f>IFERROR(Q409/K409%,"")</f>
        <v/>
      </c>
    </row>
    <row r="410" spans="2:18" x14ac:dyDescent="0.3">
      <c r="B410" s="1"/>
      <c r="C410" s="11">
        <f>WEEKNUM(Table1[[#This Row],[Date]])</f>
        <v>0</v>
      </c>
      <c r="D410" s="1" t="str">
        <f>TEXT(Table1[[#This Row],[Date]],"mmm-yy")</f>
        <v>Jan-00</v>
      </c>
      <c r="E410" s="1"/>
      <c r="K410">
        <f>SUM(Table1[[#This Row],[Wholes (kg''s)]:[Rejection (kg''s)]])</f>
        <v>0</v>
      </c>
      <c r="P410">
        <f>SUM(Table1[[#This Row],[BK_Wholes]:[BK_Reject]])</f>
        <v>0</v>
      </c>
      <c r="Q410">
        <f>Table1[[#This Row],[Before Borma (kg''s)]]-Table1[[#This Row],[After Borma (kg''s)]]</f>
        <v>0</v>
      </c>
      <c r="R410" s="6" t="str">
        <f>IFERROR(Q410/K410%,"")</f>
        <v/>
      </c>
    </row>
    <row r="411" spans="2:18" x14ac:dyDescent="0.3">
      <c r="B411" s="1"/>
      <c r="C411" s="11">
        <f>WEEKNUM(Table1[[#This Row],[Date]])</f>
        <v>0</v>
      </c>
      <c r="D411" s="1" t="str">
        <f>TEXT(Table1[[#This Row],[Date]],"mmm-yy")</f>
        <v>Jan-00</v>
      </c>
      <c r="E411" s="1"/>
      <c r="K411">
        <f>SUM(Table1[[#This Row],[Wholes (kg''s)]:[Rejection (kg''s)]])</f>
        <v>0</v>
      </c>
      <c r="P411">
        <f>SUM(Table1[[#This Row],[BK_Wholes]:[BK_Reject]])</f>
        <v>0</v>
      </c>
      <c r="Q411">
        <f>Table1[[#This Row],[Before Borma (kg''s)]]-Table1[[#This Row],[After Borma (kg''s)]]</f>
        <v>0</v>
      </c>
      <c r="R411" s="6" t="str">
        <f>IFERROR(Q411/K411%,"")</f>
        <v/>
      </c>
    </row>
    <row r="412" spans="2:18" x14ac:dyDescent="0.3">
      <c r="B412" s="1"/>
      <c r="C412" s="11">
        <f>WEEKNUM(Table1[[#This Row],[Date]])</f>
        <v>0</v>
      </c>
      <c r="D412" s="1" t="str">
        <f>TEXT(Table1[[#This Row],[Date]],"mmm-yy")</f>
        <v>Jan-00</v>
      </c>
      <c r="E412" s="1"/>
      <c r="K412">
        <f>SUM(Table1[[#This Row],[Wholes (kg''s)]:[Rejection (kg''s)]])</f>
        <v>0</v>
      </c>
      <c r="P412">
        <f>SUM(Table1[[#This Row],[BK_Wholes]:[BK_Reject]])</f>
        <v>0</v>
      </c>
      <c r="Q412">
        <f>Table1[[#This Row],[Before Borma (kg''s)]]-Table1[[#This Row],[After Borma (kg''s)]]</f>
        <v>0</v>
      </c>
      <c r="R412" s="6" t="str">
        <f>IFERROR(Q412/K412%,"")</f>
        <v/>
      </c>
    </row>
    <row r="413" spans="2:18" x14ac:dyDescent="0.3">
      <c r="B413" s="1"/>
      <c r="C413" s="11">
        <f>WEEKNUM(Table1[[#This Row],[Date]])</f>
        <v>0</v>
      </c>
      <c r="D413" s="1" t="str">
        <f>TEXT(Table1[[#This Row],[Date]],"mmm-yy")</f>
        <v>Jan-00</v>
      </c>
      <c r="E413" s="1"/>
      <c r="K413">
        <f>SUM(Table1[[#This Row],[Wholes (kg''s)]:[Rejection (kg''s)]])</f>
        <v>0</v>
      </c>
      <c r="P413">
        <f>SUM(Table1[[#This Row],[BK_Wholes]:[BK_Reject]])</f>
        <v>0</v>
      </c>
      <c r="Q413">
        <f>Table1[[#This Row],[Before Borma (kg''s)]]-Table1[[#This Row],[After Borma (kg''s)]]</f>
        <v>0</v>
      </c>
      <c r="R413" s="6" t="str">
        <f>IFERROR(Q413/K413%,"")</f>
        <v/>
      </c>
    </row>
    <row r="414" spans="2:18" x14ac:dyDescent="0.3">
      <c r="B414" s="1"/>
      <c r="C414" s="11">
        <f>WEEKNUM(Table1[[#This Row],[Date]])</f>
        <v>0</v>
      </c>
      <c r="D414" s="1" t="str">
        <f>TEXT(Table1[[#This Row],[Date]],"mmm-yy")</f>
        <v>Jan-00</v>
      </c>
      <c r="E414" s="1"/>
      <c r="K414">
        <f>SUM(Table1[[#This Row],[Wholes (kg''s)]:[Rejection (kg''s)]])</f>
        <v>0</v>
      </c>
      <c r="P414">
        <f>SUM(Table1[[#This Row],[BK_Wholes]:[BK_Reject]])</f>
        <v>0</v>
      </c>
      <c r="Q414">
        <f>Table1[[#This Row],[Before Borma (kg''s)]]-Table1[[#This Row],[After Borma (kg''s)]]</f>
        <v>0</v>
      </c>
      <c r="R414" s="6" t="str">
        <f>IFERROR(Q414/K414%,"")</f>
        <v/>
      </c>
    </row>
    <row r="415" spans="2:18" x14ac:dyDescent="0.3">
      <c r="B415" s="1"/>
      <c r="C415" s="11">
        <f>WEEKNUM(Table1[[#This Row],[Date]])</f>
        <v>0</v>
      </c>
      <c r="D415" s="1" t="str">
        <f>TEXT(Table1[[#This Row],[Date]],"mmm-yy")</f>
        <v>Jan-00</v>
      </c>
      <c r="E415" s="1"/>
      <c r="K415">
        <f>SUM(Table1[[#This Row],[Wholes (kg''s)]:[Rejection (kg''s)]])</f>
        <v>0</v>
      </c>
      <c r="P415">
        <f>SUM(Table1[[#This Row],[BK_Wholes]:[BK_Reject]])</f>
        <v>0</v>
      </c>
      <c r="Q415">
        <f>Table1[[#This Row],[Before Borma (kg''s)]]-Table1[[#This Row],[After Borma (kg''s)]]</f>
        <v>0</v>
      </c>
      <c r="R415" s="6" t="str">
        <f>IFERROR(Q415/K415%,"")</f>
        <v/>
      </c>
    </row>
    <row r="416" spans="2:18" x14ac:dyDescent="0.3">
      <c r="B416" s="1"/>
      <c r="C416" s="11">
        <f>WEEKNUM(Table1[[#This Row],[Date]])</f>
        <v>0</v>
      </c>
      <c r="D416" s="1" t="str">
        <f>TEXT(Table1[[#This Row],[Date]],"mmm-yy")</f>
        <v>Jan-00</v>
      </c>
      <c r="E416" s="1"/>
      <c r="K416">
        <f>SUM(Table1[[#This Row],[Wholes (kg''s)]:[Rejection (kg''s)]])</f>
        <v>0</v>
      </c>
      <c r="P416">
        <f>SUM(Table1[[#This Row],[BK_Wholes]:[BK_Reject]])</f>
        <v>0</v>
      </c>
      <c r="Q416">
        <f>Table1[[#This Row],[Before Borma (kg''s)]]-Table1[[#This Row],[After Borma (kg''s)]]</f>
        <v>0</v>
      </c>
      <c r="R416" s="6" t="str">
        <f>IFERROR(Q416/K416%,"")</f>
        <v/>
      </c>
    </row>
    <row r="417" spans="2:18" x14ac:dyDescent="0.3">
      <c r="B417" s="1"/>
      <c r="C417" s="11">
        <f>WEEKNUM(Table1[[#This Row],[Date]])</f>
        <v>0</v>
      </c>
      <c r="D417" s="1" t="str">
        <f>TEXT(Table1[[#This Row],[Date]],"mmm-yy")</f>
        <v>Jan-00</v>
      </c>
      <c r="E417" s="1"/>
      <c r="K417">
        <f>SUM(Table1[[#This Row],[Wholes (kg''s)]:[Rejection (kg''s)]])</f>
        <v>0</v>
      </c>
      <c r="P417">
        <f>SUM(Table1[[#This Row],[BK_Wholes]:[BK_Reject]])</f>
        <v>0</v>
      </c>
      <c r="Q417">
        <f>Table1[[#This Row],[Before Borma (kg''s)]]-Table1[[#This Row],[After Borma (kg''s)]]</f>
        <v>0</v>
      </c>
      <c r="R417" s="6" t="str">
        <f>IFERROR(Q417/K417%,"")</f>
        <v/>
      </c>
    </row>
    <row r="418" spans="2:18" x14ac:dyDescent="0.3">
      <c r="B418" s="1"/>
      <c r="C418" s="11">
        <f>WEEKNUM(Table1[[#This Row],[Date]])</f>
        <v>0</v>
      </c>
      <c r="D418" s="1" t="str">
        <f>TEXT(Table1[[#This Row],[Date]],"mmm-yy")</f>
        <v>Jan-00</v>
      </c>
      <c r="E418" s="1"/>
      <c r="K418">
        <f>SUM(Table1[[#This Row],[Wholes (kg''s)]:[Rejection (kg''s)]])</f>
        <v>0</v>
      </c>
      <c r="P418">
        <f>SUM(Table1[[#This Row],[BK_Wholes]:[BK_Reject]])</f>
        <v>0</v>
      </c>
      <c r="Q418">
        <f>Table1[[#This Row],[Before Borma (kg''s)]]-Table1[[#This Row],[After Borma (kg''s)]]</f>
        <v>0</v>
      </c>
      <c r="R418" s="6" t="str">
        <f>IFERROR(Q418/K418%,"")</f>
        <v/>
      </c>
    </row>
    <row r="419" spans="2:18" x14ac:dyDescent="0.3">
      <c r="B419" s="1"/>
      <c r="C419" s="11">
        <f>WEEKNUM(Table1[[#This Row],[Date]])</f>
        <v>0</v>
      </c>
      <c r="D419" s="1" t="str">
        <f>TEXT(Table1[[#This Row],[Date]],"mmm-yy")</f>
        <v>Jan-00</v>
      </c>
      <c r="E419" s="1"/>
      <c r="K419">
        <f>SUM(Table1[[#This Row],[Wholes (kg''s)]:[Rejection (kg''s)]])</f>
        <v>0</v>
      </c>
      <c r="P419">
        <f>SUM(Table1[[#This Row],[BK_Wholes]:[BK_Reject]])</f>
        <v>0</v>
      </c>
      <c r="Q419">
        <f>Table1[[#This Row],[Before Borma (kg''s)]]-Table1[[#This Row],[After Borma (kg''s)]]</f>
        <v>0</v>
      </c>
      <c r="R419" s="6" t="str">
        <f>IFERROR(Q419/K419%,"")</f>
        <v/>
      </c>
    </row>
    <row r="420" spans="2:18" x14ac:dyDescent="0.3">
      <c r="B420" s="1"/>
      <c r="C420" s="11">
        <f>WEEKNUM(Table1[[#This Row],[Date]])</f>
        <v>0</v>
      </c>
      <c r="D420" s="1" t="str">
        <f>TEXT(Table1[[#This Row],[Date]],"mmm-yy")</f>
        <v>Jan-00</v>
      </c>
      <c r="E420" s="1"/>
      <c r="K420">
        <f>SUM(Table1[[#This Row],[Wholes (kg''s)]:[Rejection (kg''s)]])</f>
        <v>0</v>
      </c>
      <c r="P420">
        <f>SUM(Table1[[#This Row],[BK_Wholes]:[BK_Reject]])</f>
        <v>0</v>
      </c>
      <c r="Q420">
        <f>Table1[[#This Row],[Before Borma (kg''s)]]-Table1[[#This Row],[After Borma (kg''s)]]</f>
        <v>0</v>
      </c>
      <c r="R420" s="6" t="str">
        <f>IFERROR(Q420/K420%,"")</f>
        <v/>
      </c>
    </row>
    <row r="421" spans="2:18" x14ac:dyDescent="0.3">
      <c r="B421" s="1"/>
      <c r="C421" s="11">
        <f>WEEKNUM(Table1[[#This Row],[Date]])</f>
        <v>0</v>
      </c>
      <c r="D421" s="1" t="str">
        <f>TEXT(Table1[[#This Row],[Date]],"mmm-yy")</f>
        <v>Jan-00</v>
      </c>
      <c r="E421" s="1"/>
      <c r="K421">
        <f>SUM(Table1[[#This Row],[Wholes (kg''s)]:[Rejection (kg''s)]])</f>
        <v>0</v>
      </c>
      <c r="P421">
        <f>SUM(Table1[[#This Row],[BK_Wholes]:[BK_Reject]])</f>
        <v>0</v>
      </c>
      <c r="Q421">
        <f>Table1[[#This Row],[Before Borma (kg''s)]]-Table1[[#This Row],[After Borma (kg''s)]]</f>
        <v>0</v>
      </c>
      <c r="R421" s="6" t="str">
        <f>IFERROR(Q421/K421%,"")</f>
        <v/>
      </c>
    </row>
    <row r="422" spans="2:18" x14ac:dyDescent="0.3">
      <c r="B422" s="1"/>
      <c r="C422" s="11">
        <f>WEEKNUM(Table1[[#This Row],[Date]])</f>
        <v>0</v>
      </c>
      <c r="D422" s="1" t="str">
        <f>TEXT(Table1[[#This Row],[Date]],"mmm-yy")</f>
        <v>Jan-00</v>
      </c>
      <c r="E422" s="1"/>
      <c r="K422">
        <f>SUM(Table1[[#This Row],[Wholes (kg''s)]:[Rejection (kg''s)]])</f>
        <v>0</v>
      </c>
      <c r="P422">
        <f>SUM(Table1[[#This Row],[BK_Wholes]:[BK_Reject]])</f>
        <v>0</v>
      </c>
      <c r="Q422">
        <f>Table1[[#This Row],[Before Borma (kg''s)]]-Table1[[#This Row],[After Borma (kg''s)]]</f>
        <v>0</v>
      </c>
      <c r="R422" s="6" t="str">
        <f>IFERROR(Q422/K422%,"")</f>
        <v/>
      </c>
    </row>
    <row r="423" spans="2:18" x14ac:dyDescent="0.3">
      <c r="B423" s="1"/>
      <c r="C423" s="11">
        <f>WEEKNUM(Table1[[#This Row],[Date]])</f>
        <v>0</v>
      </c>
      <c r="D423" s="1" t="str">
        <f>TEXT(Table1[[#This Row],[Date]],"mmm-yy")</f>
        <v>Jan-00</v>
      </c>
      <c r="E423" s="1"/>
      <c r="K423">
        <f>SUM(Table1[[#This Row],[Wholes (kg''s)]:[Rejection (kg''s)]])</f>
        <v>0</v>
      </c>
      <c r="P423">
        <f>SUM(Table1[[#This Row],[BK_Wholes]:[BK_Reject]])</f>
        <v>0</v>
      </c>
      <c r="Q423">
        <f>Table1[[#This Row],[Before Borma (kg''s)]]-Table1[[#This Row],[After Borma (kg''s)]]</f>
        <v>0</v>
      </c>
      <c r="R423" s="6" t="str">
        <f>IFERROR(Q423/K423%,"")</f>
        <v/>
      </c>
    </row>
    <row r="424" spans="2:18" x14ac:dyDescent="0.3">
      <c r="B424" s="1"/>
      <c r="C424" s="11">
        <f>WEEKNUM(Table1[[#This Row],[Date]])</f>
        <v>0</v>
      </c>
      <c r="D424" s="1" t="str">
        <f>TEXT(Table1[[#This Row],[Date]],"mmm-yy")</f>
        <v>Jan-00</v>
      </c>
      <c r="E424" s="1"/>
      <c r="K424">
        <f>SUM(Table1[[#This Row],[Wholes (kg''s)]:[Rejection (kg''s)]])</f>
        <v>0</v>
      </c>
      <c r="P424">
        <f>SUM(Table1[[#This Row],[BK_Wholes]:[BK_Reject]])</f>
        <v>0</v>
      </c>
      <c r="Q424">
        <f>Table1[[#This Row],[Before Borma (kg''s)]]-Table1[[#This Row],[After Borma (kg''s)]]</f>
        <v>0</v>
      </c>
      <c r="R424" s="6" t="str">
        <f>IFERROR(Q424/K424%,"")</f>
        <v/>
      </c>
    </row>
    <row r="425" spans="2:18" x14ac:dyDescent="0.3">
      <c r="B425" s="1"/>
      <c r="C425" s="11">
        <f>WEEKNUM(Table1[[#This Row],[Date]])</f>
        <v>0</v>
      </c>
      <c r="D425" s="1" t="str">
        <f>TEXT(Table1[[#This Row],[Date]],"mmm-yy")</f>
        <v>Jan-00</v>
      </c>
      <c r="E425" s="1"/>
      <c r="K425">
        <f>SUM(Table1[[#This Row],[Wholes (kg''s)]:[Rejection (kg''s)]])</f>
        <v>0</v>
      </c>
      <c r="P425">
        <f>SUM(Table1[[#This Row],[BK_Wholes]:[BK_Reject]])</f>
        <v>0</v>
      </c>
      <c r="Q425">
        <f>Table1[[#This Row],[Before Borma (kg''s)]]-Table1[[#This Row],[After Borma (kg''s)]]</f>
        <v>0</v>
      </c>
      <c r="R425" s="6" t="str">
        <f>IFERROR(Q425/K425%,"")</f>
        <v/>
      </c>
    </row>
    <row r="426" spans="2:18" x14ac:dyDescent="0.3">
      <c r="B426" s="1"/>
      <c r="C426" s="11">
        <f>WEEKNUM(Table1[[#This Row],[Date]])</f>
        <v>0</v>
      </c>
      <c r="D426" s="1" t="str">
        <f>TEXT(Table1[[#This Row],[Date]],"mmm-yy")</f>
        <v>Jan-00</v>
      </c>
      <c r="E426" s="1"/>
      <c r="K426">
        <f>SUM(Table1[[#This Row],[Wholes (kg''s)]:[Rejection (kg''s)]])</f>
        <v>0</v>
      </c>
      <c r="P426">
        <f>SUM(Table1[[#This Row],[BK_Wholes]:[BK_Reject]])</f>
        <v>0</v>
      </c>
      <c r="Q426">
        <f>Table1[[#This Row],[Before Borma (kg''s)]]-Table1[[#This Row],[After Borma (kg''s)]]</f>
        <v>0</v>
      </c>
      <c r="R426" s="6" t="str">
        <f>IFERROR(Q426/K426%,"")</f>
        <v/>
      </c>
    </row>
    <row r="427" spans="2:18" x14ac:dyDescent="0.3">
      <c r="B427" s="1"/>
      <c r="C427" s="11">
        <f>WEEKNUM(Table1[[#This Row],[Date]])</f>
        <v>0</v>
      </c>
      <c r="D427" s="1" t="str">
        <f>TEXT(Table1[[#This Row],[Date]],"mmm-yy")</f>
        <v>Jan-00</v>
      </c>
      <c r="E427" s="1"/>
      <c r="K427">
        <f>SUM(Table1[[#This Row],[Wholes (kg''s)]:[Rejection (kg''s)]])</f>
        <v>0</v>
      </c>
      <c r="P427">
        <f>SUM(Table1[[#This Row],[BK_Wholes]:[BK_Reject]])</f>
        <v>0</v>
      </c>
      <c r="Q427">
        <f>Table1[[#This Row],[Before Borma (kg''s)]]-Table1[[#This Row],[After Borma (kg''s)]]</f>
        <v>0</v>
      </c>
      <c r="R427" s="6" t="str">
        <f>IFERROR(Q427/K427%,"")</f>
        <v/>
      </c>
    </row>
    <row r="428" spans="2:18" x14ac:dyDescent="0.3">
      <c r="B428" s="1"/>
      <c r="C428" s="11">
        <f>WEEKNUM(Table1[[#This Row],[Date]])</f>
        <v>0</v>
      </c>
      <c r="D428" s="1" t="str">
        <f>TEXT(Table1[[#This Row],[Date]],"mmm-yy")</f>
        <v>Jan-00</v>
      </c>
      <c r="E428" s="1"/>
      <c r="K428">
        <f>SUM(Table1[[#This Row],[Wholes (kg''s)]:[Rejection (kg''s)]])</f>
        <v>0</v>
      </c>
      <c r="P428">
        <f>SUM(Table1[[#This Row],[BK_Wholes]:[BK_Reject]])</f>
        <v>0</v>
      </c>
      <c r="Q428">
        <f>Table1[[#This Row],[Before Borma (kg''s)]]-Table1[[#This Row],[After Borma (kg''s)]]</f>
        <v>0</v>
      </c>
      <c r="R428" s="6" t="str">
        <f>IFERROR(Q428/K428%,"")</f>
        <v/>
      </c>
    </row>
    <row r="429" spans="2:18" x14ac:dyDescent="0.3">
      <c r="B429" s="1"/>
      <c r="C429" s="11">
        <f>WEEKNUM(Table1[[#This Row],[Date]])</f>
        <v>0</v>
      </c>
      <c r="D429" s="1" t="str">
        <f>TEXT(Table1[[#This Row],[Date]],"mmm-yy")</f>
        <v>Jan-00</v>
      </c>
      <c r="E429" s="1"/>
      <c r="K429">
        <f>SUM(Table1[[#This Row],[Wholes (kg''s)]:[Rejection (kg''s)]])</f>
        <v>0</v>
      </c>
      <c r="P429">
        <f>SUM(Table1[[#This Row],[BK_Wholes]:[BK_Reject]])</f>
        <v>0</v>
      </c>
      <c r="Q429">
        <f>Table1[[#This Row],[Before Borma (kg''s)]]-Table1[[#This Row],[After Borma (kg''s)]]</f>
        <v>0</v>
      </c>
      <c r="R429" s="6" t="str">
        <f>IFERROR(Q429/K429%,"")</f>
        <v/>
      </c>
    </row>
    <row r="430" spans="2:18" x14ac:dyDescent="0.3">
      <c r="B430" s="1"/>
      <c r="C430" s="11">
        <f>WEEKNUM(Table1[[#This Row],[Date]])</f>
        <v>0</v>
      </c>
      <c r="D430" s="1" t="str">
        <f>TEXT(Table1[[#This Row],[Date]],"mmm-yy")</f>
        <v>Jan-00</v>
      </c>
      <c r="E430" s="1"/>
      <c r="K430">
        <f>SUM(Table1[[#This Row],[Wholes (kg''s)]:[Rejection (kg''s)]])</f>
        <v>0</v>
      </c>
      <c r="P430">
        <f>SUM(Table1[[#This Row],[BK_Wholes]:[BK_Reject]])</f>
        <v>0</v>
      </c>
      <c r="Q430">
        <f>Table1[[#This Row],[Before Borma (kg''s)]]-Table1[[#This Row],[After Borma (kg''s)]]</f>
        <v>0</v>
      </c>
      <c r="R430" s="6" t="str">
        <f>IFERROR(Q430/K430%,"")</f>
        <v/>
      </c>
    </row>
    <row r="431" spans="2:18" x14ac:dyDescent="0.3">
      <c r="B431" s="1"/>
      <c r="C431" s="11">
        <f>WEEKNUM(Table1[[#This Row],[Date]])</f>
        <v>0</v>
      </c>
      <c r="D431" s="1" t="str">
        <f>TEXT(Table1[[#This Row],[Date]],"mmm-yy")</f>
        <v>Jan-00</v>
      </c>
      <c r="E431" s="1"/>
      <c r="K431">
        <f>SUM(Table1[[#This Row],[Wholes (kg''s)]:[Rejection (kg''s)]])</f>
        <v>0</v>
      </c>
      <c r="P431">
        <f>SUM(Table1[[#This Row],[BK_Wholes]:[BK_Reject]])</f>
        <v>0</v>
      </c>
      <c r="Q431">
        <f>Table1[[#This Row],[Before Borma (kg''s)]]-Table1[[#This Row],[After Borma (kg''s)]]</f>
        <v>0</v>
      </c>
      <c r="R431" s="6" t="str">
        <f>IFERROR(Q431/K431%,"")</f>
        <v/>
      </c>
    </row>
    <row r="432" spans="2:18" x14ac:dyDescent="0.3">
      <c r="B432" s="1"/>
      <c r="C432" s="11">
        <f>WEEKNUM(Table1[[#This Row],[Date]])</f>
        <v>0</v>
      </c>
      <c r="D432" s="1" t="str">
        <f>TEXT(Table1[[#This Row],[Date]],"mmm-yy")</f>
        <v>Jan-00</v>
      </c>
      <c r="E432" s="1"/>
      <c r="K432">
        <f>SUM(Table1[[#This Row],[Wholes (kg''s)]:[Rejection (kg''s)]])</f>
        <v>0</v>
      </c>
      <c r="P432">
        <f>SUM(Table1[[#This Row],[BK_Wholes]:[BK_Reject]])</f>
        <v>0</v>
      </c>
      <c r="Q432">
        <f>Table1[[#This Row],[Before Borma (kg''s)]]-Table1[[#This Row],[After Borma (kg''s)]]</f>
        <v>0</v>
      </c>
      <c r="R432" s="6" t="str">
        <f>IFERROR(Q432/K432%,"")</f>
        <v/>
      </c>
    </row>
    <row r="433" spans="2:18" x14ac:dyDescent="0.3">
      <c r="B433" s="1"/>
      <c r="C433" s="11">
        <f>WEEKNUM(Table1[[#This Row],[Date]])</f>
        <v>0</v>
      </c>
      <c r="D433" s="1" t="str">
        <f>TEXT(Table1[[#This Row],[Date]],"mmm-yy")</f>
        <v>Jan-00</v>
      </c>
      <c r="E433" s="1"/>
      <c r="K433">
        <f>SUM(Table1[[#This Row],[Wholes (kg''s)]:[Rejection (kg''s)]])</f>
        <v>0</v>
      </c>
      <c r="P433">
        <f>SUM(Table1[[#This Row],[BK_Wholes]:[BK_Reject]])</f>
        <v>0</v>
      </c>
      <c r="Q433">
        <f>Table1[[#This Row],[Before Borma (kg''s)]]-Table1[[#This Row],[After Borma (kg''s)]]</f>
        <v>0</v>
      </c>
      <c r="R433" s="6" t="str">
        <f>IFERROR(Q433/K433%,"")</f>
        <v/>
      </c>
    </row>
    <row r="434" spans="2:18" x14ac:dyDescent="0.3">
      <c r="B434" s="1"/>
      <c r="C434" s="11">
        <f>WEEKNUM(Table1[[#This Row],[Date]])</f>
        <v>0</v>
      </c>
      <c r="D434" s="1" t="str">
        <f>TEXT(Table1[[#This Row],[Date]],"mmm-yy")</f>
        <v>Jan-00</v>
      </c>
      <c r="E434" s="1"/>
      <c r="K434">
        <f>SUM(Table1[[#This Row],[Wholes (kg''s)]:[Rejection (kg''s)]])</f>
        <v>0</v>
      </c>
      <c r="P434">
        <f>SUM(Table1[[#This Row],[BK_Wholes]:[BK_Reject]])</f>
        <v>0</v>
      </c>
      <c r="Q434">
        <f>Table1[[#This Row],[Before Borma (kg''s)]]-Table1[[#This Row],[After Borma (kg''s)]]</f>
        <v>0</v>
      </c>
      <c r="R434" s="6" t="str">
        <f>IFERROR(Q434/K434%,"")</f>
        <v/>
      </c>
    </row>
    <row r="435" spans="2:18" x14ac:dyDescent="0.3">
      <c r="B435" s="1"/>
      <c r="C435" s="11">
        <f>WEEKNUM(Table1[[#This Row],[Date]])</f>
        <v>0</v>
      </c>
      <c r="D435" s="1" t="str">
        <f>TEXT(Table1[[#This Row],[Date]],"mmm-yy")</f>
        <v>Jan-00</v>
      </c>
      <c r="E435" s="1"/>
      <c r="K435">
        <f>SUM(Table1[[#This Row],[Wholes (kg''s)]:[Rejection (kg''s)]])</f>
        <v>0</v>
      </c>
      <c r="P435">
        <f>SUM(Table1[[#This Row],[BK_Wholes]:[BK_Reject]])</f>
        <v>0</v>
      </c>
      <c r="Q435">
        <f>Table1[[#This Row],[Before Borma (kg''s)]]-Table1[[#This Row],[After Borma (kg''s)]]</f>
        <v>0</v>
      </c>
      <c r="R435" s="6" t="str">
        <f>IFERROR(Q435/K435%,"")</f>
        <v/>
      </c>
    </row>
    <row r="436" spans="2:18" x14ac:dyDescent="0.3">
      <c r="B436" s="1"/>
      <c r="C436" s="11">
        <f>WEEKNUM(Table1[[#This Row],[Date]])</f>
        <v>0</v>
      </c>
      <c r="D436" s="1" t="str">
        <f>TEXT(Table1[[#This Row],[Date]],"mmm-yy")</f>
        <v>Jan-00</v>
      </c>
      <c r="E436" s="1"/>
      <c r="K436">
        <f>SUM(Table1[[#This Row],[Wholes (kg''s)]:[Rejection (kg''s)]])</f>
        <v>0</v>
      </c>
      <c r="P436">
        <f>SUM(Table1[[#This Row],[BK_Wholes]:[BK_Reject]])</f>
        <v>0</v>
      </c>
      <c r="Q436">
        <f>Table1[[#This Row],[Before Borma (kg''s)]]-Table1[[#This Row],[After Borma (kg''s)]]</f>
        <v>0</v>
      </c>
      <c r="R436" s="6" t="str">
        <f>IFERROR(Q436/K436%,"")</f>
        <v/>
      </c>
    </row>
    <row r="437" spans="2:18" x14ac:dyDescent="0.3">
      <c r="B437" s="1"/>
      <c r="C437" s="11">
        <f>WEEKNUM(Table1[[#This Row],[Date]])</f>
        <v>0</v>
      </c>
      <c r="D437" s="1" t="str">
        <f>TEXT(Table1[[#This Row],[Date]],"mmm-yy")</f>
        <v>Jan-00</v>
      </c>
      <c r="E437" s="1"/>
      <c r="K437">
        <f>SUM(Table1[[#This Row],[Wholes (kg''s)]:[Rejection (kg''s)]])</f>
        <v>0</v>
      </c>
      <c r="P437">
        <f>SUM(Table1[[#This Row],[BK_Wholes]:[BK_Reject]])</f>
        <v>0</v>
      </c>
      <c r="Q437">
        <f>Table1[[#This Row],[Before Borma (kg''s)]]-Table1[[#This Row],[After Borma (kg''s)]]</f>
        <v>0</v>
      </c>
      <c r="R437" s="6" t="str">
        <f>IFERROR(Q437/K437%,"")</f>
        <v/>
      </c>
    </row>
    <row r="438" spans="2:18" x14ac:dyDescent="0.3">
      <c r="B438" s="1"/>
      <c r="C438" s="11">
        <f>WEEKNUM(Table1[[#This Row],[Date]])</f>
        <v>0</v>
      </c>
      <c r="D438" s="1" t="str">
        <f>TEXT(Table1[[#This Row],[Date]],"mmm-yy")</f>
        <v>Jan-00</v>
      </c>
      <c r="E438" s="1"/>
      <c r="K438">
        <f>SUM(Table1[[#This Row],[Wholes (kg''s)]:[Rejection (kg''s)]])</f>
        <v>0</v>
      </c>
      <c r="P438">
        <f>SUM(Table1[[#This Row],[BK_Wholes]:[BK_Reject]])</f>
        <v>0</v>
      </c>
      <c r="Q438">
        <f>Table1[[#This Row],[Before Borma (kg''s)]]-Table1[[#This Row],[After Borma (kg''s)]]</f>
        <v>0</v>
      </c>
      <c r="R438" s="6" t="str">
        <f>IFERROR(Q438/K438%,"")</f>
        <v/>
      </c>
    </row>
    <row r="439" spans="2:18" x14ac:dyDescent="0.3">
      <c r="B439" s="1"/>
      <c r="C439" s="11">
        <f>WEEKNUM(Table1[[#This Row],[Date]])</f>
        <v>0</v>
      </c>
      <c r="D439" s="1" t="str">
        <f>TEXT(Table1[[#This Row],[Date]],"mmm-yy")</f>
        <v>Jan-00</v>
      </c>
      <c r="E439" s="1"/>
      <c r="K439">
        <f>SUM(Table1[[#This Row],[Wholes (kg''s)]:[Rejection (kg''s)]])</f>
        <v>0</v>
      </c>
      <c r="P439">
        <f>SUM(Table1[[#This Row],[BK_Wholes]:[BK_Reject]])</f>
        <v>0</v>
      </c>
      <c r="Q439">
        <f>Table1[[#This Row],[Before Borma (kg''s)]]-Table1[[#This Row],[After Borma (kg''s)]]</f>
        <v>0</v>
      </c>
      <c r="R439" s="6" t="str">
        <f>IFERROR(Q439/K439%,"")</f>
        <v/>
      </c>
    </row>
    <row r="440" spans="2:18" x14ac:dyDescent="0.3">
      <c r="B440" s="1"/>
      <c r="C440" s="11">
        <f>WEEKNUM(Table1[[#This Row],[Date]])</f>
        <v>0</v>
      </c>
      <c r="D440" s="1" t="str">
        <f>TEXT(Table1[[#This Row],[Date]],"mmm-yy")</f>
        <v>Jan-00</v>
      </c>
      <c r="E440" s="1"/>
      <c r="K440">
        <f>SUM(Table1[[#This Row],[Wholes (kg''s)]:[Rejection (kg''s)]])</f>
        <v>0</v>
      </c>
      <c r="P440">
        <f>SUM(Table1[[#This Row],[BK_Wholes]:[BK_Reject]])</f>
        <v>0</v>
      </c>
      <c r="Q440">
        <f>Table1[[#This Row],[Before Borma (kg''s)]]-Table1[[#This Row],[After Borma (kg''s)]]</f>
        <v>0</v>
      </c>
      <c r="R440" s="6" t="str">
        <f>IFERROR(Q440/K440%,"")</f>
        <v/>
      </c>
    </row>
    <row r="441" spans="2:18" x14ac:dyDescent="0.3">
      <c r="B441" s="1"/>
      <c r="C441" s="11">
        <f>WEEKNUM(Table1[[#This Row],[Date]])</f>
        <v>0</v>
      </c>
      <c r="D441" s="1" t="str">
        <f>TEXT(Table1[[#This Row],[Date]],"mmm-yy")</f>
        <v>Jan-00</v>
      </c>
      <c r="E441" s="1"/>
      <c r="K441">
        <f>SUM(Table1[[#This Row],[Wholes (kg''s)]:[Rejection (kg''s)]])</f>
        <v>0</v>
      </c>
      <c r="P441">
        <f>SUM(Table1[[#This Row],[BK_Wholes]:[BK_Reject]])</f>
        <v>0</v>
      </c>
      <c r="Q441">
        <f>Table1[[#This Row],[Before Borma (kg''s)]]-Table1[[#This Row],[After Borma (kg''s)]]</f>
        <v>0</v>
      </c>
      <c r="R441" s="6" t="str">
        <f>IFERROR(Q441/K441%,"")</f>
        <v/>
      </c>
    </row>
    <row r="442" spans="2:18" x14ac:dyDescent="0.3">
      <c r="B442" s="1"/>
      <c r="C442" s="11">
        <f>WEEKNUM(Table1[[#This Row],[Date]])</f>
        <v>0</v>
      </c>
      <c r="D442" s="1" t="str">
        <f>TEXT(Table1[[#This Row],[Date]],"mmm-yy")</f>
        <v>Jan-00</v>
      </c>
      <c r="E442" s="1"/>
      <c r="K442">
        <f>SUM(Table1[[#This Row],[Wholes (kg''s)]:[Rejection (kg''s)]])</f>
        <v>0</v>
      </c>
      <c r="P442">
        <f>SUM(Table1[[#This Row],[BK_Wholes]:[BK_Reject]])</f>
        <v>0</v>
      </c>
      <c r="Q442">
        <f>Table1[[#This Row],[Before Borma (kg''s)]]-Table1[[#This Row],[After Borma (kg''s)]]</f>
        <v>0</v>
      </c>
      <c r="R442" s="6" t="str">
        <f>IFERROR(Q442/K442%,"")</f>
        <v/>
      </c>
    </row>
    <row r="443" spans="2:18" x14ac:dyDescent="0.3">
      <c r="B443" s="1"/>
      <c r="C443" s="11">
        <f>WEEKNUM(Table1[[#This Row],[Date]])</f>
        <v>0</v>
      </c>
      <c r="D443" s="1" t="str">
        <f>TEXT(Table1[[#This Row],[Date]],"mmm-yy")</f>
        <v>Jan-00</v>
      </c>
      <c r="E443" s="1"/>
      <c r="K443">
        <f>SUM(Table1[[#This Row],[Wholes (kg''s)]:[Rejection (kg''s)]])</f>
        <v>0</v>
      </c>
      <c r="P443">
        <f>SUM(Table1[[#This Row],[BK_Wholes]:[BK_Reject]])</f>
        <v>0</v>
      </c>
      <c r="Q443">
        <f>Table1[[#This Row],[Before Borma (kg''s)]]-Table1[[#This Row],[After Borma (kg''s)]]</f>
        <v>0</v>
      </c>
      <c r="R443" s="6" t="str">
        <f>IFERROR(Q443/K443%,"")</f>
        <v/>
      </c>
    </row>
    <row r="444" spans="2:18" x14ac:dyDescent="0.3">
      <c r="B444" s="1"/>
      <c r="C444" s="11">
        <f>WEEKNUM(Table1[[#This Row],[Date]])</f>
        <v>0</v>
      </c>
      <c r="D444" s="1" t="str">
        <f>TEXT(Table1[[#This Row],[Date]],"mmm-yy")</f>
        <v>Jan-00</v>
      </c>
      <c r="E444" s="1"/>
      <c r="K444">
        <f>SUM(Table1[[#This Row],[Wholes (kg''s)]:[Rejection (kg''s)]])</f>
        <v>0</v>
      </c>
      <c r="P444">
        <f>SUM(Table1[[#This Row],[BK_Wholes]:[BK_Reject]])</f>
        <v>0</v>
      </c>
      <c r="Q444">
        <f>Table1[[#This Row],[Before Borma (kg''s)]]-Table1[[#This Row],[After Borma (kg''s)]]</f>
        <v>0</v>
      </c>
      <c r="R444" s="6" t="str">
        <f>IFERROR(Q444/K444%,"")</f>
        <v/>
      </c>
    </row>
    <row r="445" spans="2:18" x14ac:dyDescent="0.3">
      <c r="B445" s="1"/>
      <c r="C445" s="11">
        <f>WEEKNUM(Table1[[#This Row],[Date]])</f>
        <v>0</v>
      </c>
      <c r="D445" s="1" t="str">
        <f>TEXT(Table1[[#This Row],[Date]],"mmm-yy")</f>
        <v>Jan-00</v>
      </c>
      <c r="E445" s="1"/>
      <c r="K445">
        <f>SUM(Table1[[#This Row],[Wholes (kg''s)]:[Rejection (kg''s)]])</f>
        <v>0</v>
      </c>
      <c r="P445">
        <f>SUM(Table1[[#This Row],[BK_Wholes]:[BK_Reject]])</f>
        <v>0</v>
      </c>
      <c r="Q445">
        <f>Table1[[#This Row],[Before Borma (kg''s)]]-Table1[[#This Row],[After Borma (kg''s)]]</f>
        <v>0</v>
      </c>
      <c r="R445" s="6" t="str">
        <f>IFERROR(Q445/K445%,"")</f>
        <v/>
      </c>
    </row>
    <row r="446" spans="2:18" x14ac:dyDescent="0.3">
      <c r="B446" s="1"/>
      <c r="C446" s="11">
        <f>WEEKNUM(Table1[[#This Row],[Date]])</f>
        <v>0</v>
      </c>
      <c r="D446" s="1" t="str">
        <f>TEXT(Table1[[#This Row],[Date]],"mmm-yy")</f>
        <v>Jan-00</v>
      </c>
      <c r="E446" s="1"/>
      <c r="K446">
        <f>SUM(Table1[[#This Row],[Wholes (kg''s)]:[Rejection (kg''s)]])</f>
        <v>0</v>
      </c>
      <c r="P446">
        <f>SUM(Table1[[#This Row],[BK_Wholes]:[BK_Reject]])</f>
        <v>0</v>
      </c>
      <c r="Q446">
        <f>Table1[[#This Row],[Before Borma (kg''s)]]-Table1[[#This Row],[After Borma (kg''s)]]</f>
        <v>0</v>
      </c>
      <c r="R446" s="6" t="str">
        <f>IFERROR(Q446/K446%,"")</f>
        <v/>
      </c>
    </row>
    <row r="447" spans="2:18" x14ac:dyDescent="0.3">
      <c r="B447" s="1"/>
      <c r="C447" s="11">
        <f>WEEKNUM(Table1[[#This Row],[Date]])</f>
        <v>0</v>
      </c>
      <c r="D447" s="1" t="str">
        <f>TEXT(Table1[[#This Row],[Date]],"mmm-yy")</f>
        <v>Jan-00</v>
      </c>
      <c r="E447" s="1"/>
      <c r="K447">
        <f>SUM(Table1[[#This Row],[Wholes (kg''s)]:[Rejection (kg''s)]])</f>
        <v>0</v>
      </c>
      <c r="P447">
        <f>SUM(Table1[[#This Row],[BK_Wholes]:[BK_Reject]])</f>
        <v>0</v>
      </c>
      <c r="Q447">
        <f>Table1[[#This Row],[Before Borma (kg''s)]]-Table1[[#This Row],[After Borma (kg''s)]]</f>
        <v>0</v>
      </c>
      <c r="R447" s="6" t="str">
        <f>IFERROR(Q447/K447%,"")</f>
        <v/>
      </c>
    </row>
    <row r="448" spans="2:18" x14ac:dyDescent="0.3">
      <c r="B448" s="1"/>
      <c r="C448" s="11">
        <f>WEEKNUM(Table1[[#This Row],[Date]])</f>
        <v>0</v>
      </c>
      <c r="D448" s="1" t="str">
        <f>TEXT(Table1[[#This Row],[Date]],"mmm-yy")</f>
        <v>Jan-00</v>
      </c>
      <c r="E448" s="1"/>
      <c r="K448">
        <f>SUM(Table1[[#This Row],[Wholes (kg''s)]:[Rejection (kg''s)]])</f>
        <v>0</v>
      </c>
      <c r="P448">
        <f>SUM(Table1[[#This Row],[BK_Wholes]:[BK_Reject]])</f>
        <v>0</v>
      </c>
      <c r="Q448">
        <f>Table1[[#This Row],[Before Borma (kg''s)]]-Table1[[#This Row],[After Borma (kg''s)]]</f>
        <v>0</v>
      </c>
      <c r="R448" s="6" t="str">
        <f>IFERROR(Q448/K448%,"")</f>
        <v/>
      </c>
    </row>
    <row r="449" spans="2:18" x14ac:dyDescent="0.3">
      <c r="B449" s="1"/>
      <c r="C449" s="11">
        <f>WEEKNUM(Table1[[#This Row],[Date]])</f>
        <v>0</v>
      </c>
      <c r="D449" s="1" t="str">
        <f>TEXT(Table1[[#This Row],[Date]],"mmm-yy")</f>
        <v>Jan-00</v>
      </c>
      <c r="E449" s="1"/>
      <c r="K449">
        <f>SUM(Table1[[#This Row],[Wholes (kg''s)]:[Rejection (kg''s)]])</f>
        <v>0</v>
      </c>
      <c r="P449">
        <f>SUM(Table1[[#This Row],[BK_Wholes]:[BK_Reject]])</f>
        <v>0</v>
      </c>
      <c r="Q449">
        <f>Table1[[#This Row],[Before Borma (kg''s)]]-Table1[[#This Row],[After Borma (kg''s)]]</f>
        <v>0</v>
      </c>
      <c r="R449" s="6" t="str">
        <f>IFERROR(Q449/K449%,"")</f>
        <v/>
      </c>
    </row>
    <row r="450" spans="2:18" x14ac:dyDescent="0.3">
      <c r="B450" s="1"/>
      <c r="C450" s="11">
        <f>WEEKNUM(Table1[[#This Row],[Date]])</f>
        <v>0</v>
      </c>
      <c r="D450" s="1" t="str">
        <f>TEXT(Table1[[#This Row],[Date]],"mmm-yy")</f>
        <v>Jan-00</v>
      </c>
      <c r="E450" s="1"/>
      <c r="K450">
        <f>SUM(Table1[[#This Row],[Wholes (kg''s)]:[Rejection (kg''s)]])</f>
        <v>0</v>
      </c>
      <c r="P450">
        <f>SUM(Table1[[#This Row],[BK_Wholes]:[BK_Reject]])</f>
        <v>0</v>
      </c>
      <c r="Q450">
        <f>Table1[[#This Row],[Before Borma (kg''s)]]-Table1[[#This Row],[After Borma (kg''s)]]</f>
        <v>0</v>
      </c>
      <c r="R450" s="6" t="str">
        <f>IFERROR(Q450/K450%,"")</f>
        <v/>
      </c>
    </row>
    <row r="451" spans="2:18" x14ac:dyDescent="0.3">
      <c r="B451" s="1"/>
      <c r="C451" s="11">
        <f>WEEKNUM(Table1[[#This Row],[Date]])</f>
        <v>0</v>
      </c>
      <c r="D451" s="1" t="str">
        <f>TEXT(Table1[[#This Row],[Date]],"mmm-yy")</f>
        <v>Jan-00</v>
      </c>
      <c r="E451" s="1"/>
      <c r="K451">
        <f>SUM(Table1[[#This Row],[Wholes (kg''s)]:[Rejection (kg''s)]])</f>
        <v>0</v>
      </c>
      <c r="P451">
        <f>SUM(Table1[[#This Row],[BK_Wholes]:[BK_Reject]])</f>
        <v>0</v>
      </c>
      <c r="Q451">
        <f>Table1[[#This Row],[Before Borma (kg''s)]]-Table1[[#This Row],[After Borma (kg''s)]]</f>
        <v>0</v>
      </c>
      <c r="R451" s="6" t="str">
        <f>IFERROR(Q451/K451%,"")</f>
        <v/>
      </c>
    </row>
    <row r="452" spans="2:18" x14ac:dyDescent="0.3">
      <c r="B452" s="1"/>
      <c r="C452" s="11">
        <f>WEEKNUM(Table1[[#This Row],[Date]])</f>
        <v>0</v>
      </c>
      <c r="D452" s="1" t="str">
        <f>TEXT(Table1[[#This Row],[Date]],"mmm-yy")</f>
        <v>Jan-00</v>
      </c>
      <c r="E452" s="1"/>
      <c r="K452">
        <f>SUM(Table1[[#This Row],[Wholes (kg''s)]:[Rejection (kg''s)]])</f>
        <v>0</v>
      </c>
      <c r="P452">
        <f>SUM(Table1[[#This Row],[BK_Wholes]:[BK_Reject]])</f>
        <v>0</v>
      </c>
      <c r="Q452">
        <f>Table1[[#This Row],[Before Borma (kg''s)]]-Table1[[#This Row],[After Borma (kg''s)]]</f>
        <v>0</v>
      </c>
      <c r="R452" s="6" t="str">
        <f>IFERROR(Q452/K452%,"")</f>
        <v/>
      </c>
    </row>
    <row r="453" spans="2:18" x14ac:dyDescent="0.3">
      <c r="B453" s="1"/>
      <c r="C453" s="11">
        <f>WEEKNUM(Table1[[#This Row],[Date]])</f>
        <v>0</v>
      </c>
      <c r="D453" s="1" t="str">
        <f>TEXT(Table1[[#This Row],[Date]],"mmm-yy")</f>
        <v>Jan-00</v>
      </c>
      <c r="E453" s="1"/>
      <c r="K453">
        <f>SUM(Table1[[#This Row],[Wholes (kg''s)]:[Rejection (kg''s)]])</f>
        <v>0</v>
      </c>
      <c r="P453">
        <f>SUM(Table1[[#This Row],[BK_Wholes]:[BK_Reject]])</f>
        <v>0</v>
      </c>
      <c r="Q453">
        <f>Table1[[#This Row],[Before Borma (kg''s)]]-Table1[[#This Row],[After Borma (kg''s)]]</f>
        <v>0</v>
      </c>
      <c r="R453" s="6" t="str">
        <f>IFERROR(Q453/K453%,"")</f>
        <v/>
      </c>
    </row>
    <row r="454" spans="2:18" x14ac:dyDescent="0.3">
      <c r="B454" s="1"/>
      <c r="C454" s="11">
        <f>WEEKNUM(Table1[[#This Row],[Date]])</f>
        <v>0</v>
      </c>
      <c r="D454" s="1" t="str">
        <f>TEXT(Table1[[#This Row],[Date]],"mmm-yy")</f>
        <v>Jan-00</v>
      </c>
      <c r="E454" s="1"/>
      <c r="K454">
        <f>SUM(Table1[[#This Row],[Wholes (kg''s)]:[Rejection (kg''s)]])</f>
        <v>0</v>
      </c>
      <c r="P454">
        <f>SUM(Table1[[#This Row],[BK_Wholes]:[BK_Reject]])</f>
        <v>0</v>
      </c>
      <c r="Q454">
        <f>Table1[[#This Row],[Before Borma (kg''s)]]-Table1[[#This Row],[After Borma (kg''s)]]</f>
        <v>0</v>
      </c>
      <c r="R454" s="6" t="str">
        <f>IFERROR(Q454/K454%,"")</f>
        <v/>
      </c>
    </row>
    <row r="455" spans="2:18" x14ac:dyDescent="0.3">
      <c r="B455" s="1"/>
      <c r="C455" s="11">
        <f>WEEKNUM(Table1[[#This Row],[Date]])</f>
        <v>0</v>
      </c>
      <c r="D455" s="1" t="str">
        <f>TEXT(Table1[[#This Row],[Date]],"mmm-yy")</f>
        <v>Jan-00</v>
      </c>
      <c r="E455" s="1"/>
      <c r="K455">
        <f>SUM(Table1[[#This Row],[Wholes (kg''s)]:[Rejection (kg''s)]])</f>
        <v>0</v>
      </c>
      <c r="P455">
        <f>SUM(Table1[[#This Row],[BK_Wholes]:[BK_Reject]])</f>
        <v>0</v>
      </c>
      <c r="Q455">
        <f>Table1[[#This Row],[Before Borma (kg''s)]]-Table1[[#This Row],[After Borma (kg''s)]]</f>
        <v>0</v>
      </c>
      <c r="R455" s="6" t="str">
        <f>IFERROR(Q455/K455%,"")</f>
        <v/>
      </c>
    </row>
    <row r="456" spans="2:18" x14ac:dyDescent="0.3">
      <c r="B456" s="1"/>
      <c r="C456" s="11">
        <f>WEEKNUM(Table1[[#This Row],[Date]])</f>
        <v>0</v>
      </c>
      <c r="D456" s="1" t="str">
        <f>TEXT(Table1[[#This Row],[Date]],"mmm-yy")</f>
        <v>Jan-00</v>
      </c>
      <c r="E456" s="1"/>
      <c r="K456">
        <f>SUM(Table1[[#This Row],[Wholes (kg''s)]:[Rejection (kg''s)]])</f>
        <v>0</v>
      </c>
      <c r="P456">
        <f>SUM(Table1[[#This Row],[BK_Wholes]:[BK_Reject]])</f>
        <v>0</v>
      </c>
      <c r="Q456">
        <f>Table1[[#This Row],[Before Borma (kg''s)]]-Table1[[#This Row],[After Borma (kg''s)]]</f>
        <v>0</v>
      </c>
      <c r="R456" s="6" t="str">
        <f>IFERROR(Q456/K456%,"")</f>
        <v/>
      </c>
    </row>
    <row r="457" spans="2:18" x14ac:dyDescent="0.3">
      <c r="B457" s="1"/>
      <c r="C457" s="11">
        <f>WEEKNUM(Table1[[#This Row],[Date]])</f>
        <v>0</v>
      </c>
      <c r="D457" s="1" t="str">
        <f>TEXT(Table1[[#This Row],[Date]],"mmm-yy")</f>
        <v>Jan-00</v>
      </c>
      <c r="E457" s="1"/>
      <c r="K457">
        <f>SUM(Table1[[#This Row],[Wholes (kg''s)]:[Rejection (kg''s)]])</f>
        <v>0</v>
      </c>
      <c r="P457">
        <f>SUM(Table1[[#This Row],[BK_Wholes]:[BK_Reject]])</f>
        <v>0</v>
      </c>
      <c r="Q457">
        <f>Table1[[#This Row],[Before Borma (kg''s)]]-Table1[[#This Row],[After Borma (kg''s)]]</f>
        <v>0</v>
      </c>
      <c r="R457" s="6" t="str">
        <f>IFERROR(Q457/K457%,"")</f>
        <v/>
      </c>
    </row>
    <row r="458" spans="2:18" x14ac:dyDescent="0.3">
      <c r="B458" s="1"/>
      <c r="C458" s="11">
        <f>WEEKNUM(Table1[[#This Row],[Date]])</f>
        <v>0</v>
      </c>
      <c r="D458" s="1" t="str">
        <f>TEXT(Table1[[#This Row],[Date]],"mmm-yy")</f>
        <v>Jan-00</v>
      </c>
      <c r="E458" s="1"/>
      <c r="K458">
        <f>SUM(Table1[[#This Row],[Wholes (kg''s)]:[Rejection (kg''s)]])</f>
        <v>0</v>
      </c>
      <c r="P458">
        <f>SUM(Table1[[#This Row],[BK_Wholes]:[BK_Reject]])</f>
        <v>0</v>
      </c>
      <c r="Q458">
        <f>Table1[[#This Row],[Before Borma (kg''s)]]-Table1[[#This Row],[After Borma (kg''s)]]</f>
        <v>0</v>
      </c>
      <c r="R458" s="6" t="str">
        <f>IFERROR(Q458/K458%,"")</f>
        <v/>
      </c>
    </row>
    <row r="459" spans="2:18" x14ac:dyDescent="0.3">
      <c r="B459" s="1"/>
      <c r="C459" s="11">
        <f>WEEKNUM(Table1[[#This Row],[Date]])</f>
        <v>0</v>
      </c>
      <c r="D459" s="1" t="str">
        <f>TEXT(Table1[[#This Row],[Date]],"mmm-yy")</f>
        <v>Jan-00</v>
      </c>
      <c r="E459" s="1"/>
      <c r="K459">
        <f>SUM(Table1[[#This Row],[Wholes (kg''s)]:[Rejection (kg''s)]])</f>
        <v>0</v>
      </c>
      <c r="P459">
        <f>SUM(Table1[[#This Row],[BK_Wholes]:[BK_Reject]])</f>
        <v>0</v>
      </c>
      <c r="Q459">
        <f>Table1[[#This Row],[Before Borma (kg''s)]]-Table1[[#This Row],[After Borma (kg''s)]]</f>
        <v>0</v>
      </c>
      <c r="R459" s="6" t="str">
        <f>IFERROR(Q459/K459%,"")</f>
        <v/>
      </c>
    </row>
    <row r="460" spans="2:18" x14ac:dyDescent="0.3">
      <c r="B460" s="1"/>
      <c r="C460" s="11">
        <f>WEEKNUM(Table1[[#This Row],[Date]])</f>
        <v>0</v>
      </c>
      <c r="D460" s="1" t="str">
        <f>TEXT(Table1[[#This Row],[Date]],"mmm-yy")</f>
        <v>Jan-00</v>
      </c>
      <c r="E460" s="1"/>
      <c r="K460">
        <f>SUM(Table1[[#This Row],[Wholes (kg''s)]:[Rejection (kg''s)]])</f>
        <v>0</v>
      </c>
      <c r="P460">
        <f>SUM(Table1[[#This Row],[BK_Wholes]:[BK_Reject]])</f>
        <v>0</v>
      </c>
      <c r="Q460">
        <f>Table1[[#This Row],[Before Borma (kg''s)]]-Table1[[#This Row],[After Borma (kg''s)]]</f>
        <v>0</v>
      </c>
      <c r="R460" s="6" t="str">
        <f>IFERROR(Q460/K460%,"")</f>
        <v/>
      </c>
    </row>
    <row r="461" spans="2:18" x14ac:dyDescent="0.3">
      <c r="B461" s="1"/>
      <c r="C461" s="11">
        <f>WEEKNUM(Table1[[#This Row],[Date]])</f>
        <v>0</v>
      </c>
      <c r="D461" s="1" t="str">
        <f>TEXT(Table1[[#This Row],[Date]],"mmm-yy")</f>
        <v>Jan-00</v>
      </c>
      <c r="E461" s="1"/>
      <c r="K461">
        <f>SUM(Table1[[#This Row],[Wholes (kg''s)]:[Rejection (kg''s)]])</f>
        <v>0</v>
      </c>
      <c r="P461">
        <f>SUM(Table1[[#This Row],[BK_Wholes]:[BK_Reject]])</f>
        <v>0</v>
      </c>
      <c r="Q461">
        <f>Table1[[#This Row],[Before Borma (kg''s)]]-Table1[[#This Row],[After Borma (kg''s)]]</f>
        <v>0</v>
      </c>
      <c r="R461" s="6" t="str">
        <f>IFERROR(Q461/K461%,"")</f>
        <v/>
      </c>
    </row>
    <row r="462" spans="2:18" x14ac:dyDescent="0.3">
      <c r="B462" s="1"/>
      <c r="C462" s="11">
        <f>WEEKNUM(Table1[[#This Row],[Date]])</f>
        <v>0</v>
      </c>
      <c r="D462" s="1" t="str">
        <f>TEXT(Table1[[#This Row],[Date]],"mmm-yy")</f>
        <v>Jan-00</v>
      </c>
      <c r="E462" s="1"/>
      <c r="K462">
        <f>SUM(Table1[[#This Row],[Wholes (kg''s)]:[Rejection (kg''s)]])</f>
        <v>0</v>
      </c>
      <c r="P462">
        <f>SUM(Table1[[#This Row],[BK_Wholes]:[BK_Reject]])</f>
        <v>0</v>
      </c>
      <c r="Q462">
        <f>Table1[[#This Row],[Before Borma (kg''s)]]-Table1[[#This Row],[After Borma (kg''s)]]</f>
        <v>0</v>
      </c>
      <c r="R462" s="6" t="str">
        <f>IFERROR(Q462/K462%,"")</f>
        <v/>
      </c>
    </row>
    <row r="463" spans="2:18" x14ac:dyDescent="0.3">
      <c r="B463" s="1"/>
      <c r="C463" s="11">
        <f>WEEKNUM(Table1[[#This Row],[Date]])</f>
        <v>0</v>
      </c>
      <c r="D463" s="1" t="str">
        <f>TEXT(Table1[[#This Row],[Date]],"mmm-yy")</f>
        <v>Jan-00</v>
      </c>
      <c r="E463" s="1"/>
      <c r="K463">
        <f>SUM(Table1[[#This Row],[Wholes (kg''s)]:[Rejection (kg''s)]])</f>
        <v>0</v>
      </c>
      <c r="P463">
        <f>SUM(Table1[[#This Row],[BK_Wholes]:[BK_Reject]])</f>
        <v>0</v>
      </c>
      <c r="Q463">
        <f>Table1[[#This Row],[Before Borma (kg''s)]]-Table1[[#This Row],[After Borma (kg''s)]]</f>
        <v>0</v>
      </c>
      <c r="R463" s="6" t="str">
        <f>IFERROR(Q463/K463%,"")</f>
        <v/>
      </c>
    </row>
    <row r="464" spans="2:18" x14ac:dyDescent="0.3">
      <c r="B464" s="1"/>
      <c r="C464" s="11">
        <f>WEEKNUM(Table1[[#This Row],[Date]])</f>
        <v>0</v>
      </c>
      <c r="D464" s="1" t="str">
        <f>TEXT(Table1[[#This Row],[Date]],"mmm-yy")</f>
        <v>Jan-00</v>
      </c>
      <c r="E464" s="1"/>
      <c r="K464">
        <f>SUM(Table1[[#This Row],[Wholes (kg''s)]:[Rejection (kg''s)]])</f>
        <v>0</v>
      </c>
      <c r="P464">
        <f>SUM(Table1[[#This Row],[BK_Wholes]:[BK_Reject]])</f>
        <v>0</v>
      </c>
      <c r="Q464">
        <f>Table1[[#This Row],[Before Borma (kg''s)]]-Table1[[#This Row],[After Borma (kg''s)]]</f>
        <v>0</v>
      </c>
      <c r="R464" s="6" t="str">
        <f>IFERROR(Q464/K464%,"")</f>
        <v/>
      </c>
    </row>
    <row r="465" spans="2:18" x14ac:dyDescent="0.3">
      <c r="B465" s="1"/>
      <c r="C465" s="11">
        <f>WEEKNUM(Table1[[#This Row],[Date]])</f>
        <v>0</v>
      </c>
      <c r="D465" s="1" t="str">
        <f>TEXT(Table1[[#This Row],[Date]],"mmm-yy")</f>
        <v>Jan-00</v>
      </c>
      <c r="E465" s="1"/>
      <c r="K465">
        <f>SUM(Table1[[#This Row],[Wholes (kg''s)]:[Rejection (kg''s)]])</f>
        <v>0</v>
      </c>
      <c r="P465">
        <f>SUM(Table1[[#This Row],[BK_Wholes]:[BK_Reject]])</f>
        <v>0</v>
      </c>
      <c r="Q465">
        <f>Table1[[#This Row],[Before Borma (kg''s)]]-Table1[[#This Row],[After Borma (kg''s)]]</f>
        <v>0</v>
      </c>
      <c r="R465" s="6" t="str">
        <f>IFERROR(Q465/K465%,"")</f>
        <v/>
      </c>
    </row>
    <row r="466" spans="2:18" x14ac:dyDescent="0.3">
      <c r="B466" s="1"/>
      <c r="C466" s="11">
        <f>WEEKNUM(Table1[[#This Row],[Date]])</f>
        <v>0</v>
      </c>
      <c r="D466" s="1" t="str">
        <f>TEXT(Table1[[#This Row],[Date]],"mmm-yy")</f>
        <v>Jan-00</v>
      </c>
      <c r="E466" s="1"/>
      <c r="K466">
        <f>SUM(Table1[[#This Row],[Wholes (kg''s)]:[Rejection (kg''s)]])</f>
        <v>0</v>
      </c>
      <c r="P466">
        <f>SUM(Table1[[#This Row],[BK_Wholes]:[BK_Reject]])</f>
        <v>0</v>
      </c>
      <c r="Q466">
        <f>Table1[[#This Row],[Before Borma (kg''s)]]-Table1[[#This Row],[After Borma (kg''s)]]</f>
        <v>0</v>
      </c>
      <c r="R466" s="6" t="str">
        <f>IFERROR(Q466/K466%,"")</f>
        <v/>
      </c>
    </row>
    <row r="467" spans="2:18" x14ac:dyDescent="0.3">
      <c r="B467" s="1"/>
      <c r="C467" s="11">
        <f>WEEKNUM(Table1[[#This Row],[Date]])</f>
        <v>0</v>
      </c>
      <c r="D467" s="1" t="str">
        <f>TEXT(Table1[[#This Row],[Date]],"mmm-yy")</f>
        <v>Jan-00</v>
      </c>
      <c r="E467" s="1"/>
      <c r="K467">
        <f>SUM(Table1[[#This Row],[Wholes (kg''s)]:[Rejection (kg''s)]])</f>
        <v>0</v>
      </c>
      <c r="P467">
        <f>SUM(Table1[[#This Row],[BK_Wholes]:[BK_Reject]])</f>
        <v>0</v>
      </c>
      <c r="Q467">
        <f>Table1[[#This Row],[Before Borma (kg''s)]]-Table1[[#This Row],[After Borma (kg''s)]]</f>
        <v>0</v>
      </c>
      <c r="R467" s="6" t="str">
        <f>IFERROR(Q467/K467%,"")</f>
        <v/>
      </c>
    </row>
    <row r="468" spans="2:18" x14ac:dyDescent="0.3">
      <c r="B468" s="1"/>
      <c r="C468" s="11">
        <f>WEEKNUM(Table1[[#This Row],[Date]])</f>
        <v>0</v>
      </c>
      <c r="D468" s="1" t="str">
        <f>TEXT(Table1[[#This Row],[Date]],"mmm-yy")</f>
        <v>Jan-00</v>
      </c>
      <c r="E468" s="1"/>
      <c r="K468">
        <f>SUM(Table1[[#This Row],[Wholes (kg''s)]:[Rejection (kg''s)]])</f>
        <v>0</v>
      </c>
      <c r="P468">
        <f>SUM(Table1[[#This Row],[BK_Wholes]:[BK_Reject]])</f>
        <v>0</v>
      </c>
      <c r="Q468">
        <f>Table1[[#This Row],[Before Borma (kg''s)]]-Table1[[#This Row],[After Borma (kg''s)]]</f>
        <v>0</v>
      </c>
      <c r="R468" s="6" t="str">
        <f>IFERROR(Q468/K468%,"")</f>
        <v/>
      </c>
    </row>
    <row r="469" spans="2:18" x14ac:dyDescent="0.3">
      <c r="B469" s="1"/>
      <c r="C469" s="11">
        <f>WEEKNUM(Table1[[#This Row],[Date]])</f>
        <v>0</v>
      </c>
      <c r="D469" s="1" t="str">
        <f>TEXT(Table1[[#This Row],[Date]],"mmm-yy")</f>
        <v>Jan-00</v>
      </c>
      <c r="E469" s="1"/>
      <c r="K469">
        <f>SUM(Table1[[#This Row],[Wholes (kg''s)]:[Rejection (kg''s)]])</f>
        <v>0</v>
      </c>
      <c r="P469">
        <f>SUM(Table1[[#This Row],[BK_Wholes]:[BK_Reject]])</f>
        <v>0</v>
      </c>
      <c r="Q469">
        <f>Table1[[#This Row],[Before Borma (kg''s)]]-Table1[[#This Row],[After Borma (kg''s)]]</f>
        <v>0</v>
      </c>
      <c r="R469" s="6" t="str">
        <f>IFERROR(Q469/K469%,"")</f>
        <v/>
      </c>
    </row>
    <row r="470" spans="2:18" x14ac:dyDescent="0.3">
      <c r="B470" s="1"/>
      <c r="C470" s="11">
        <f>WEEKNUM(Table1[[#This Row],[Date]])</f>
        <v>0</v>
      </c>
      <c r="D470" s="1" t="str">
        <f>TEXT(Table1[[#This Row],[Date]],"mmm-yy")</f>
        <v>Jan-00</v>
      </c>
      <c r="E470" s="1"/>
      <c r="K470">
        <f>SUM(Table1[[#This Row],[Wholes (kg''s)]:[Rejection (kg''s)]])</f>
        <v>0</v>
      </c>
      <c r="P470">
        <f>SUM(Table1[[#This Row],[BK_Wholes]:[BK_Reject]])</f>
        <v>0</v>
      </c>
      <c r="Q470">
        <f>Table1[[#This Row],[Before Borma (kg''s)]]-Table1[[#This Row],[After Borma (kg''s)]]</f>
        <v>0</v>
      </c>
      <c r="R470" s="6" t="str">
        <f>IFERROR(Q470/K470%,"")</f>
        <v/>
      </c>
    </row>
    <row r="471" spans="2:18" x14ac:dyDescent="0.3">
      <c r="B471" s="1"/>
      <c r="C471" s="11">
        <f>WEEKNUM(Table1[[#This Row],[Date]])</f>
        <v>0</v>
      </c>
      <c r="D471" s="1" t="str">
        <f>TEXT(Table1[[#This Row],[Date]],"mmm-yy")</f>
        <v>Jan-00</v>
      </c>
      <c r="E471" s="1"/>
      <c r="K471">
        <f>SUM(Table1[[#This Row],[Wholes (kg''s)]:[Rejection (kg''s)]])</f>
        <v>0</v>
      </c>
      <c r="P471">
        <f>SUM(Table1[[#This Row],[BK_Wholes]:[BK_Reject]])</f>
        <v>0</v>
      </c>
      <c r="Q471">
        <f>Table1[[#This Row],[Before Borma (kg''s)]]-Table1[[#This Row],[After Borma (kg''s)]]</f>
        <v>0</v>
      </c>
      <c r="R471" s="6" t="str">
        <f>IFERROR(Q471/K471%,"")</f>
        <v/>
      </c>
    </row>
    <row r="472" spans="2:18" x14ac:dyDescent="0.3">
      <c r="B472" s="1"/>
      <c r="C472" s="11">
        <f>WEEKNUM(Table1[[#This Row],[Date]])</f>
        <v>0</v>
      </c>
      <c r="D472" s="1" t="str">
        <f>TEXT(Table1[[#This Row],[Date]],"mmm-yy")</f>
        <v>Jan-00</v>
      </c>
      <c r="E472" s="1"/>
      <c r="K472">
        <f>SUM(Table1[[#This Row],[Wholes (kg''s)]:[Rejection (kg''s)]])</f>
        <v>0</v>
      </c>
      <c r="P472">
        <f>SUM(Table1[[#This Row],[BK_Wholes]:[BK_Reject]])</f>
        <v>0</v>
      </c>
      <c r="Q472">
        <f>Table1[[#This Row],[Before Borma (kg''s)]]-Table1[[#This Row],[After Borma (kg''s)]]</f>
        <v>0</v>
      </c>
      <c r="R472" s="6" t="str">
        <f>IFERROR(Q472/K472%,"")</f>
        <v/>
      </c>
    </row>
    <row r="473" spans="2:18" x14ac:dyDescent="0.3">
      <c r="B473" s="1"/>
      <c r="C473" s="11">
        <f>WEEKNUM(Table1[[#This Row],[Date]])</f>
        <v>0</v>
      </c>
      <c r="D473" s="1" t="str">
        <f>TEXT(Table1[[#This Row],[Date]],"mmm-yy")</f>
        <v>Jan-00</v>
      </c>
      <c r="E473" s="1"/>
      <c r="K473">
        <f>SUM(Table1[[#This Row],[Wholes (kg''s)]:[Rejection (kg''s)]])</f>
        <v>0</v>
      </c>
      <c r="P473">
        <f>SUM(Table1[[#This Row],[BK_Wholes]:[BK_Reject]])</f>
        <v>0</v>
      </c>
      <c r="Q473">
        <f>Table1[[#This Row],[Before Borma (kg''s)]]-Table1[[#This Row],[After Borma (kg''s)]]</f>
        <v>0</v>
      </c>
      <c r="R473" s="6" t="str">
        <f>IFERROR(Q473/K473%,"")</f>
        <v/>
      </c>
    </row>
    <row r="474" spans="2:18" x14ac:dyDescent="0.3">
      <c r="B474" s="1"/>
      <c r="C474" s="11">
        <f>WEEKNUM(Table1[[#This Row],[Date]])</f>
        <v>0</v>
      </c>
      <c r="D474" s="1" t="str">
        <f>TEXT(Table1[[#This Row],[Date]],"mmm-yy")</f>
        <v>Jan-00</v>
      </c>
      <c r="E474" s="1"/>
      <c r="K474">
        <f>SUM(Table1[[#This Row],[Wholes (kg''s)]:[Rejection (kg''s)]])</f>
        <v>0</v>
      </c>
      <c r="P474">
        <f>SUM(Table1[[#This Row],[BK_Wholes]:[BK_Reject]])</f>
        <v>0</v>
      </c>
      <c r="Q474">
        <f>Table1[[#This Row],[Before Borma (kg''s)]]-Table1[[#This Row],[After Borma (kg''s)]]</f>
        <v>0</v>
      </c>
      <c r="R474" s="6" t="str">
        <f>IFERROR(Q474/K474%,"")</f>
        <v/>
      </c>
    </row>
    <row r="475" spans="2:18" x14ac:dyDescent="0.3">
      <c r="B475" s="1"/>
      <c r="C475" s="11">
        <f>WEEKNUM(Table1[[#This Row],[Date]])</f>
        <v>0</v>
      </c>
      <c r="D475" s="1" t="str">
        <f>TEXT(Table1[[#This Row],[Date]],"mmm-yy")</f>
        <v>Jan-00</v>
      </c>
      <c r="E475" s="1"/>
      <c r="K475">
        <f>SUM(Table1[[#This Row],[Wholes (kg''s)]:[Rejection (kg''s)]])</f>
        <v>0</v>
      </c>
      <c r="P475">
        <f>SUM(Table1[[#This Row],[BK_Wholes]:[BK_Reject]])</f>
        <v>0</v>
      </c>
      <c r="Q475">
        <f>Table1[[#This Row],[Before Borma (kg''s)]]-Table1[[#This Row],[After Borma (kg''s)]]</f>
        <v>0</v>
      </c>
      <c r="R475" s="6" t="str">
        <f>IFERROR(Q475/K475%,"")</f>
        <v/>
      </c>
    </row>
    <row r="476" spans="2:18" x14ac:dyDescent="0.3">
      <c r="B476" s="1"/>
      <c r="C476" s="11">
        <f>WEEKNUM(Table1[[#This Row],[Date]])</f>
        <v>0</v>
      </c>
      <c r="D476" s="1" t="str">
        <f>TEXT(Table1[[#This Row],[Date]],"mmm-yy")</f>
        <v>Jan-00</v>
      </c>
      <c r="E476" s="1"/>
      <c r="K476">
        <f>SUM(Table1[[#This Row],[Wholes (kg''s)]:[Rejection (kg''s)]])</f>
        <v>0</v>
      </c>
      <c r="P476">
        <f>SUM(Table1[[#This Row],[BK_Wholes]:[BK_Reject]])</f>
        <v>0</v>
      </c>
      <c r="Q476">
        <f>Table1[[#This Row],[Before Borma (kg''s)]]-Table1[[#This Row],[After Borma (kg''s)]]</f>
        <v>0</v>
      </c>
      <c r="R476" s="6" t="str">
        <f>IFERROR(Q476/K476%,"")</f>
        <v/>
      </c>
    </row>
    <row r="477" spans="2:18" x14ac:dyDescent="0.3">
      <c r="B477" s="1"/>
      <c r="C477" s="11">
        <f>WEEKNUM(Table1[[#This Row],[Date]])</f>
        <v>0</v>
      </c>
      <c r="D477" s="1" t="str">
        <f>TEXT(Table1[[#This Row],[Date]],"mmm-yy")</f>
        <v>Jan-00</v>
      </c>
      <c r="E477" s="1"/>
      <c r="K477">
        <f>SUM(Table1[[#This Row],[Wholes (kg''s)]:[Rejection (kg''s)]])</f>
        <v>0</v>
      </c>
      <c r="P477">
        <f>SUM(Table1[[#This Row],[BK_Wholes]:[BK_Reject]])</f>
        <v>0</v>
      </c>
      <c r="Q477">
        <f>Table1[[#This Row],[Before Borma (kg''s)]]-Table1[[#This Row],[After Borma (kg''s)]]</f>
        <v>0</v>
      </c>
      <c r="R477" s="6" t="str">
        <f>IFERROR(Q477/K477%,"")</f>
        <v/>
      </c>
    </row>
    <row r="478" spans="2:18" x14ac:dyDescent="0.3">
      <c r="B478" s="1"/>
      <c r="C478" s="11">
        <f>WEEKNUM(Table1[[#This Row],[Date]])</f>
        <v>0</v>
      </c>
      <c r="D478" s="1" t="str">
        <f>TEXT(Table1[[#This Row],[Date]],"mmm-yy")</f>
        <v>Jan-00</v>
      </c>
      <c r="E478" s="1"/>
      <c r="K478">
        <f>SUM(Table1[[#This Row],[Wholes (kg''s)]:[Rejection (kg''s)]])</f>
        <v>0</v>
      </c>
      <c r="P478">
        <f>SUM(Table1[[#This Row],[BK_Wholes]:[BK_Reject]])</f>
        <v>0</v>
      </c>
      <c r="Q478">
        <f>Table1[[#This Row],[Before Borma (kg''s)]]-Table1[[#This Row],[After Borma (kg''s)]]</f>
        <v>0</v>
      </c>
      <c r="R478" s="6" t="str">
        <f>IFERROR(Q478/K478%,"")</f>
        <v/>
      </c>
    </row>
    <row r="479" spans="2:18" x14ac:dyDescent="0.3">
      <c r="B479" s="1"/>
      <c r="C479" s="11">
        <f>WEEKNUM(Table1[[#This Row],[Date]])</f>
        <v>0</v>
      </c>
      <c r="D479" s="1" t="str">
        <f>TEXT(Table1[[#This Row],[Date]],"mmm-yy")</f>
        <v>Jan-00</v>
      </c>
      <c r="E479" s="1"/>
      <c r="K479">
        <f>SUM(Table1[[#This Row],[Wholes (kg''s)]:[Rejection (kg''s)]])</f>
        <v>0</v>
      </c>
      <c r="P479">
        <f>SUM(Table1[[#This Row],[BK_Wholes]:[BK_Reject]])</f>
        <v>0</v>
      </c>
      <c r="Q479">
        <f>Table1[[#This Row],[Before Borma (kg''s)]]-Table1[[#This Row],[After Borma (kg''s)]]</f>
        <v>0</v>
      </c>
      <c r="R479" s="6" t="str">
        <f>IFERROR(Q479/K479%,"")</f>
        <v/>
      </c>
    </row>
    <row r="480" spans="2:18" x14ac:dyDescent="0.3">
      <c r="B480" s="1"/>
      <c r="C480" s="11">
        <f>WEEKNUM(Table1[[#This Row],[Date]])</f>
        <v>0</v>
      </c>
      <c r="D480" s="1" t="str">
        <f>TEXT(Table1[[#This Row],[Date]],"mmm-yy")</f>
        <v>Jan-00</v>
      </c>
      <c r="E480" s="1"/>
      <c r="K480">
        <f>SUM(Table1[[#This Row],[Wholes (kg''s)]:[Rejection (kg''s)]])</f>
        <v>0</v>
      </c>
      <c r="P480">
        <f>SUM(Table1[[#This Row],[BK_Wholes]:[BK_Reject]])</f>
        <v>0</v>
      </c>
      <c r="Q480">
        <f>Table1[[#This Row],[Before Borma (kg''s)]]-Table1[[#This Row],[After Borma (kg''s)]]</f>
        <v>0</v>
      </c>
      <c r="R480" s="6" t="str">
        <f>IFERROR(Q480/K480%,"")</f>
        <v/>
      </c>
    </row>
    <row r="481" spans="2:18" x14ac:dyDescent="0.3">
      <c r="B481" s="1"/>
      <c r="C481" s="11">
        <f>WEEKNUM(Table1[[#This Row],[Date]])</f>
        <v>0</v>
      </c>
      <c r="D481" s="1" t="str">
        <f>TEXT(Table1[[#This Row],[Date]],"mmm-yy")</f>
        <v>Jan-00</v>
      </c>
      <c r="E481" s="1"/>
      <c r="K481">
        <f>SUM(Table1[[#This Row],[Wholes (kg''s)]:[Rejection (kg''s)]])</f>
        <v>0</v>
      </c>
      <c r="P481">
        <f>SUM(Table1[[#This Row],[BK_Wholes]:[BK_Reject]])</f>
        <v>0</v>
      </c>
      <c r="Q481">
        <f>Table1[[#This Row],[Before Borma (kg''s)]]-Table1[[#This Row],[After Borma (kg''s)]]</f>
        <v>0</v>
      </c>
      <c r="R481" s="6" t="str">
        <f>IFERROR(Q481/K481%,"")</f>
        <v/>
      </c>
    </row>
    <row r="482" spans="2:18" x14ac:dyDescent="0.3">
      <c r="B482" s="1"/>
      <c r="C482" s="11">
        <f>WEEKNUM(Table1[[#This Row],[Date]])</f>
        <v>0</v>
      </c>
      <c r="D482" s="1" t="str">
        <f>TEXT(Table1[[#This Row],[Date]],"mmm-yy")</f>
        <v>Jan-00</v>
      </c>
      <c r="E482" s="1"/>
      <c r="K482">
        <f>SUM(Table1[[#This Row],[Wholes (kg''s)]:[Rejection (kg''s)]])</f>
        <v>0</v>
      </c>
      <c r="P482">
        <f>SUM(Table1[[#This Row],[BK_Wholes]:[BK_Reject]])</f>
        <v>0</v>
      </c>
      <c r="Q482">
        <f>Table1[[#This Row],[Before Borma (kg''s)]]-Table1[[#This Row],[After Borma (kg''s)]]</f>
        <v>0</v>
      </c>
      <c r="R482" s="6" t="str">
        <f>IFERROR(Q482/K482%,"")</f>
        <v/>
      </c>
    </row>
    <row r="483" spans="2:18" x14ac:dyDescent="0.3">
      <c r="B483" s="1"/>
      <c r="C483" s="11">
        <f>WEEKNUM(Table1[[#This Row],[Date]])</f>
        <v>0</v>
      </c>
      <c r="D483" s="1" t="str">
        <f>TEXT(Table1[[#This Row],[Date]],"mmm-yy")</f>
        <v>Jan-00</v>
      </c>
      <c r="E483" s="1"/>
      <c r="K483">
        <f>SUM(Table1[[#This Row],[Wholes (kg''s)]:[Rejection (kg''s)]])</f>
        <v>0</v>
      </c>
      <c r="P483">
        <f>SUM(Table1[[#This Row],[BK_Wholes]:[BK_Reject]])</f>
        <v>0</v>
      </c>
      <c r="Q483">
        <f>Table1[[#This Row],[Before Borma (kg''s)]]-Table1[[#This Row],[After Borma (kg''s)]]</f>
        <v>0</v>
      </c>
      <c r="R483" s="6" t="str">
        <f>IFERROR(Q483/K483%,"")</f>
        <v/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2026-05-21T00:30:50Z</dcterms:created>
  <dcterms:modified xsi:type="dcterms:W3CDTF">2026-09-16T19:45:32Z</dcterms:modified>
</cp:coreProperties>
</file>