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8_{63A11A37-1745-4782-AD99-1858108F1B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2" r:id="rId1"/>
    <sheet name="Sheet1" sheetId="1" r:id="rId2"/>
  </sheets>
  <calcPr calcId="191029"/>
  <pivotCaches>
    <pivotCache cacheId="50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" i="1" l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7" i="1"/>
  <c r="AG246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7" i="1"/>
  <c r="AF246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7" i="1"/>
  <c r="AE246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7" i="1"/>
  <c r="AD246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7" i="1"/>
  <c r="AC246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7" i="1"/>
  <c r="AB246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7" i="1"/>
  <c r="AA246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7" i="1"/>
  <c r="Z246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C243" i="1" l="1"/>
  <c r="C244" i="1"/>
  <c r="C245" i="1"/>
  <c r="Y243" i="1"/>
  <c r="Y244" i="1"/>
  <c r="Y245" i="1"/>
  <c r="AH243" i="1"/>
  <c r="AH244" i="1"/>
  <c r="AH245" i="1"/>
  <c r="C238" i="1"/>
  <c r="Y238" i="1"/>
  <c r="AH238" i="1"/>
  <c r="C236" i="1"/>
  <c r="Y236" i="1"/>
  <c r="AH236" i="1"/>
  <c r="AA4" i="1"/>
  <c r="AF4" i="1"/>
  <c r="AE4" i="1"/>
  <c r="AD4" i="1"/>
  <c r="C144" i="1"/>
  <c r="Y144" i="1"/>
  <c r="AH144" i="1"/>
  <c r="C57" i="1"/>
  <c r="C58" i="1"/>
  <c r="Y57" i="1"/>
  <c r="Y58" i="1"/>
  <c r="AH57" i="1"/>
  <c r="AH58" i="1"/>
  <c r="AH55" i="1"/>
  <c r="AH56" i="1"/>
  <c r="C56" i="1"/>
  <c r="Y56" i="1"/>
  <c r="C55" i="1"/>
  <c r="Y55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7" i="1"/>
  <c r="AH239" i="1"/>
  <c r="AH240" i="1"/>
  <c r="AH241" i="1"/>
  <c r="AH242" i="1"/>
  <c r="AH247" i="1"/>
  <c r="AH246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9" i="1"/>
  <c r="AH60" i="1"/>
  <c r="AH61" i="1"/>
  <c r="AH62" i="1"/>
  <c r="AH63" i="1"/>
  <c r="AH64" i="1"/>
  <c r="AH65" i="1"/>
  <c r="AH66" i="1"/>
  <c r="AH67" i="1"/>
  <c r="Y44" i="1"/>
  <c r="Y45" i="1"/>
  <c r="Y46" i="1"/>
  <c r="Y47" i="1"/>
  <c r="Y48" i="1"/>
  <c r="Y49" i="1"/>
  <c r="Y50" i="1"/>
  <c r="Y51" i="1"/>
  <c r="Y52" i="1"/>
  <c r="Y53" i="1"/>
  <c r="Y54" i="1"/>
  <c r="Y59" i="1"/>
  <c r="Y60" i="1"/>
  <c r="Y61" i="1"/>
  <c r="Y43" i="1"/>
  <c r="C43" i="1"/>
  <c r="C44" i="1"/>
  <c r="C45" i="1"/>
  <c r="C46" i="1"/>
  <c r="C47" i="1"/>
  <c r="C48" i="1"/>
  <c r="C49" i="1"/>
  <c r="C50" i="1"/>
  <c r="C51" i="1"/>
  <c r="C52" i="1"/>
  <c r="C53" i="1"/>
  <c r="C54" i="1"/>
  <c r="C59" i="1"/>
  <c r="C60" i="1"/>
  <c r="C61" i="1"/>
  <c r="AH4" i="1" l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G4" i="1"/>
  <c r="AC4" i="1"/>
  <c r="AB4" i="1"/>
  <c r="Z4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7" i="1"/>
  <c r="Y239" i="1"/>
  <c r="Y240" i="1"/>
  <c r="Y241" i="1"/>
  <c r="Y242" i="1"/>
  <c r="Y247" i="1"/>
  <c r="Y246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7" i="1"/>
  <c r="C239" i="1"/>
  <c r="C240" i="1"/>
  <c r="C241" i="1"/>
  <c r="C242" i="1"/>
  <c r="C247" i="1"/>
  <c r="C246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</calcChain>
</file>

<file path=xl/sharedStrings.xml><?xml version="1.0" encoding="utf-8"?>
<sst xmlns="http://schemas.openxmlformats.org/spreadsheetml/2006/main" count="873" uniqueCount="123">
  <si>
    <t>Date</t>
  </si>
  <si>
    <t>Week</t>
  </si>
  <si>
    <t>Lot No</t>
  </si>
  <si>
    <t>Sampling Point</t>
  </si>
  <si>
    <t>Sample Qty  (g)</t>
  </si>
  <si>
    <t>Nut Count</t>
  </si>
  <si>
    <t>Moisture</t>
  </si>
  <si>
    <t>Good Kernels  (g)</t>
  </si>
  <si>
    <t>Pieces  (g)</t>
  </si>
  <si>
    <t>Spotted  (g)</t>
  </si>
  <si>
    <t>PUK3  (g)</t>
  </si>
  <si>
    <t>Husk  (g)</t>
  </si>
  <si>
    <t>Rejection  (g)</t>
  </si>
  <si>
    <t>Oil  (g)</t>
  </si>
  <si>
    <t>Dirty  (g)</t>
  </si>
  <si>
    <t>Total</t>
  </si>
  <si>
    <t>Good Kernels  (%)</t>
  </si>
  <si>
    <t>Pieces  (%)</t>
  </si>
  <si>
    <t>Rejection  (%)</t>
  </si>
  <si>
    <t>Husk  (%)</t>
  </si>
  <si>
    <t>BORMA ANALYSIS QUALITY REPORT 2026</t>
  </si>
  <si>
    <t>After Borma</t>
  </si>
  <si>
    <t>ANG26E06</t>
  </si>
  <si>
    <t>ANG26E07</t>
  </si>
  <si>
    <t>ANG26E08</t>
  </si>
  <si>
    <t>ANG26E09</t>
  </si>
  <si>
    <t>ANG26E10</t>
  </si>
  <si>
    <t>ANG26E11</t>
  </si>
  <si>
    <t>ANG26E12</t>
  </si>
  <si>
    <t>ANG26E13</t>
  </si>
  <si>
    <t>ANG26E05</t>
  </si>
  <si>
    <t>ANG26E03,E04</t>
  </si>
  <si>
    <t>ANG26E01,E02</t>
  </si>
  <si>
    <t>Dessert (%)</t>
  </si>
  <si>
    <t>Adheting Dirt/Oil (%)</t>
  </si>
  <si>
    <t>ANG26E14</t>
  </si>
  <si>
    <t>ANG26E15</t>
  </si>
  <si>
    <t>ANG26E16</t>
  </si>
  <si>
    <t>ANG26E17</t>
  </si>
  <si>
    <t>ANG26E18</t>
  </si>
  <si>
    <t>ANG26F01</t>
  </si>
  <si>
    <t>ANG26F02</t>
  </si>
  <si>
    <t>ANG26F03</t>
  </si>
  <si>
    <t>ANG26F04</t>
  </si>
  <si>
    <t>ANG26F05</t>
  </si>
  <si>
    <t>ANG26F06</t>
  </si>
  <si>
    <t>ANG26F07</t>
  </si>
  <si>
    <t>ANG26F08</t>
  </si>
  <si>
    <t>ANG26F09</t>
  </si>
  <si>
    <t>ANG26F10</t>
  </si>
  <si>
    <t>ANG26F11</t>
  </si>
  <si>
    <t>ANG26F12</t>
  </si>
  <si>
    <t>ANG26F13</t>
  </si>
  <si>
    <t>Scorched (g)</t>
  </si>
  <si>
    <t>Scorched %</t>
  </si>
  <si>
    <t>Shrivilled/ Blemished  (%)</t>
  </si>
  <si>
    <t>Spotted %</t>
  </si>
  <si>
    <t>BIN No</t>
  </si>
  <si>
    <t>ANA-01</t>
  </si>
  <si>
    <t>ANA-02</t>
  </si>
  <si>
    <t>ANA-05A</t>
  </si>
  <si>
    <t>ANG26F14</t>
  </si>
  <si>
    <t>ANG26F15</t>
  </si>
  <si>
    <t>ANG26F16</t>
  </si>
  <si>
    <t>ANG26F17</t>
  </si>
  <si>
    <t>ANG26F18</t>
  </si>
  <si>
    <t>ANG26F19</t>
  </si>
  <si>
    <t>ANG26F20</t>
  </si>
  <si>
    <t>ANG26F21</t>
  </si>
  <si>
    <t>ANG26F22</t>
  </si>
  <si>
    <t>ANG26F23</t>
  </si>
  <si>
    <t>ANA-02A</t>
  </si>
  <si>
    <t>ANG26F24</t>
  </si>
  <si>
    <t>ANG26F25</t>
  </si>
  <si>
    <t>ANG26G01</t>
  </si>
  <si>
    <t>ANG26G02</t>
  </si>
  <si>
    <t>ANG26G03</t>
  </si>
  <si>
    <t>ANG26G04</t>
  </si>
  <si>
    <t>ANG26G05</t>
  </si>
  <si>
    <t>ANG26G06</t>
  </si>
  <si>
    <t>ANG26G08</t>
  </si>
  <si>
    <t>ANG26G09</t>
  </si>
  <si>
    <t>ANG26G10</t>
  </si>
  <si>
    <t>ANG26G11</t>
  </si>
  <si>
    <t>ANG26G12</t>
  </si>
  <si>
    <t>ANG26G13</t>
  </si>
  <si>
    <t>ANG26G14</t>
  </si>
  <si>
    <t>ANG26G15</t>
  </si>
  <si>
    <t>Butts (g)</t>
  </si>
  <si>
    <t>Shrivilled (g)</t>
  </si>
  <si>
    <t>Blemish (g)</t>
  </si>
  <si>
    <t>Dessert/NW  (g)</t>
  </si>
  <si>
    <t>ANG26G16</t>
  </si>
  <si>
    <t>ANG26G22</t>
  </si>
  <si>
    <t>ANG26G23</t>
  </si>
  <si>
    <t>ANG26G24</t>
  </si>
  <si>
    <t>ANG26G25</t>
  </si>
  <si>
    <t>ANG26G26</t>
  </si>
  <si>
    <t>ANG26H01</t>
  </si>
  <si>
    <t>ANG26H02</t>
  </si>
  <si>
    <t>ANG26H03</t>
  </si>
  <si>
    <t>ANA-03B</t>
  </si>
  <si>
    <t>ANG26H04</t>
  </si>
  <si>
    <t>ANG26H05</t>
  </si>
  <si>
    <t>ANG26H06</t>
  </si>
  <si>
    <t>Mechanical Damage</t>
  </si>
  <si>
    <t>ANG26H07</t>
  </si>
  <si>
    <t>ANG26H08</t>
  </si>
  <si>
    <t>ANA-10</t>
  </si>
  <si>
    <t>Shift</t>
  </si>
  <si>
    <t>A</t>
  </si>
  <si>
    <t>B</t>
  </si>
  <si>
    <t>ANG26H09</t>
  </si>
  <si>
    <t>ANG26H10</t>
  </si>
  <si>
    <t>ANG26H11</t>
  </si>
  <si>
    <t>ANG26H12</t>
  </si>
  <si>
    <t>(Multiple Items)</t>
  </si>
  <si>
    <t>Avg.  Scorched %</t>
  </si>
  <si>
    <t>Avg.  Spotted %</t>
  </si>
  <si>
    <t>Avg.  Shrivilled/ Blemished  (%)</t>
  </si>
  <si>
    <t>Avg.  Rejection  (%)</t>
  </si>
  <si>
    <t>Avg.  Dessert (%)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</si>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</sst>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2" fillId="0" borderId="0" xfId="0" applyFont="1"/>
    <xf numFmtId="16" fontId="2" fillId="0" borderId="0" xfId="0" applyNumberFormat="1" applyFont="1"/>
    <xf numFmtId="10" fontId="4" fillId="0" borderId="0" xfId="0" applyNumberFormat="1" applyFont="1"/>
    <xf numFmtId="0" fontId="2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 wrapText="1"/>
    </xf>
  </cellXfs>
  <cellStyles count="1">
    <cellStyle name="Normal" xfId="0" builtinId="0"/>
  </cellStyles>
  <dxfs count="86">
    <dxf>
      <numFmt numFmtId="14" formatCode="0.00%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4" formatCode="0.00%"/>
    </dxf>
    <dxf>
      <font>
        <b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4" formatCode="0.00%"/>
    </dxf>
    <dxf>
      <font>
        <b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4" formatCode="0.00%"/>
    </dxf>
    <dxf>
      <font>
        <b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4" formatCode="0.00%"/>
    </dxf>
    <dxf>
      <font>
        <b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4" formatCode="0.00%"/>
    </dxf>
    <dxf>
      <font>
        <b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4" formatCode="0.00%"/>
    </dxf>
    <dxf>
      <font>
        <b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54.938891435188" createdVersion="8" refreshedVersion="8" minRefreshableVersion="3" recordCount="408" xr:uid="{F36F2EE3-B327-4D98-BF0E-AAF079B935EB}">
  <cacheSource type="worksheet">
    <worksheetSource name="Table1"/>
  </cacheSource>
  <cacheFields count="33">
    <cacheField name="Date" numFmtId="16">
      <sharedItems containsNonDate="0" containsDate="1" containsString="0" containsBlank="1" minDate="2026-05-18T00:00:00" maxDate="2026-08-20T00:00:00"/>
    </cacheField>
    <cacheField name="Week" numFmtId="0">
      <sharedItems containsSemiMixedTypes="0" containsString="0" containsNumber="1" containsInteger="1" minValue="0" maxValue="34"/>
    </cacheField>
    <cacheField name="Lot No" numFmtId="0">
      <sharedItems containsBlank="1" count="74">
        <s v="ANG26E01,E02"/>
        <s v="ANG26E03,E04"/>
        <s v="ANG26E05"/>
        <s v="ANG26E06"/>
        <s v="ANG26E07"/>
        <s v="ANG26E08"/>
        <s v="ANG26E09"/>
        <s v="ANG26E10"/>
        <s v="ANG26E11"/>
        <s v="ANG26E12"/>
        <s v="ANG26E13"/>
        <s v="ANG26E14"/>
        <s v="ANG26E15"/>
        <s v="ANG26E16"/>
        <s v="ANG26E17"/>
        <s v="ANG26E18"/>
        <s v="ANG26F01"/>
        <s v="ANG26F02"/>
        <s v="ANG26F03"/>
        <s v="ANG26F04"/>
        <s v="ANG26F05"/>
        <s v="ANG26F06"/>
        <s v="ANG26F07"/>
        <s v="ANG26F08"/>
        <s v="ANG26F09"/>
        <s v="ANG26F10"/>
        <s v="ANG26F11"/>
        <s v="ANG26F12"/>
        <s v="ANG26F13"/>
        <s v="ANG26F14"/>
        <s v="ANG26F15"/>
        <s v="ANG26F16"/>
        <s v="ANG26F17"/>
        <s v="ANG26F18"/>
        <s v="ANG26F19"/>
        <s v="ANG26F20"/>
        <s v="ANG26F21"/>
        <s v="ANG26F22"/>
        <s v="ANG26F23"/>
        <s v="ANG26F24"/>
        <s v="ANG26F25"/>
        <s v="ANG26G01"/>
        <s v="ANG26G02"/>
        <s v="ANG26G03"/>
        <s v="ANG26G04"/>
        <s v="ANG26G05"/>
        <s v="ANG26G06"/>
        <s v="ANG26G08"/>
        <s v="ANG26G09"/>
        <s v="ANG26G10"/>
        <s v="ANG26G11"/>
        <s v="ANG26G12"/>
        <s v="ANG26G13"/>
        <s v="ANG26G14"/>
        <s v="ANG26G15"/>
        <s v="ANG26G16"/>
        <s v="ANG26G22"/>
        <s v="ANG26G23"/>
        <s v="ANG26G24"/>
        <s v="ANG26G25"/>
        <s v="ANG26G26"/>
        <s v="ANG26H01"/>
        <s v="ANG26H02"/>
        <s v="ANG26H03"/>
        <s v="ANG26H04"/>
        <s v="ANG26H05"/>
        <s v="ANG26H06"/>
        <s v="ANG26H07"/>
        <s v="ANG26H08"/>
        <s v="ANG26H09"/>
        <s v="ANG26H10"/>
        <s v="ANG26H11"/>
        <s v="ANG26H12"/>
        <m/>
      </sharedItems>
    </cacheField>
    <cacheField name="BIN No" numFmtId="0">
      <sharedItems containsBlank="1" count="7">
        <s v="ANA-01"/>
        <s v="ANA-02"/>
        <s v="ANA-05A"/>
        <s v="ANA-02A"/>
        <s v="ANA-03B"/>
        <s v="ANA-10"/>
        <m/>
      </sharedItems>
    </cacheField>
    <cacheField name="Sampling Point" numFmtId="0">
      <sharedItems containsBlank="1"/>
    </cacheField>
    <cacheField name="Shift" numFmtId="0">
      <sharedItems containsBlank="1"/>
    </cacheField>
    <cacheField name="Sample Qty  (g)" numFmtId="0">
      <sharedItems containsString="0" containsBlank="1" containsNumber="1" containsInteger="1" minValue="1000" maxValue="1000"/>
    </cacheField>
    <cacheField name="Nut Count" numFmtId="0">
      <sharedItems containsString="0" containsBlank="1" containsNumber="1" containsInteger="1" minValue="220" maxValue="360"/>
    </cacheField>
    <cacheField name="Moisture" numFmtId="0">
      <sharedItems containsString="0" containsBlank="1" containsNumber="1" minValue="2.4" maxValue="4"/>
    </cacheField>
    <cacheField name="Good Kernels  (g)" numFmtId="0">
      <sharedItems containsString="0" containsBlank="1" containsNumber="1" containsInteger="1" minValue="360" maxValue="860"/>
    </cacheField>
    <cacheField name="Pieces  (g)" numFmtId="0">
      <sharedItems containsString="0" containsBlank="1" containsNumber="1" containsInteger="1" minValue="4" maxValue="182"/>
    </cacheField>
    <cacheField name="Butts (g)" numFmtId="0">
      <sharedItems containsString="0" containsBlank="1" containsNumber="1" containsInteger="1" minValue="4" maxValue="68"/>
    </cacheField>
    <cacheField name="Scorched (g)" numFmtId="0">
      <sharedItems containsString="0" containsBlank="1" containsNumber="1" containsInteger="1" minValue="0" maxValue="124"/>
    </cacheField>
    <cacheField name="Spotted  (g)" numFmtId="0">
      <sharedItems containsString="0" containsBlank="1" containsNumber="1" containsInteger="1" minValue="8" maxValue="164"/>
    </cacheField>
    <cacheField name="PUK3  (g)" numFmtId="0">
      <sharedItems containsString="0" containsBlank="1" containsNumber="1" containsInteger="1" minValue="0" maxValue="40"/>
    </cacheField>
    <cacheField name="Shrivilled (g)" numFmtId="0">
      <sharedItems containsString="0" containsBlank="1" containsNumber="1" containsInteger="1" minValue="0" maxValue="86"/>
    </cacheField>
    <cacheField name="Blemish (g)" numFmtId="0">
      <sharedItems containsString="0" containsBlank="1" containsNumber="1" containsInteger="1" minValue="0" maxValue="84"/>
    </cacheField>
    <cacheField name="Dessert/NW  (g)" numFmtId="0">
      <sharedItems containsString="0" containsBlank="1" containsNumber="1" containsInteger="1" minValue="0" maxValue="76"/>
    </cacheField>
    <cacheField name="Oil  (g)" numFmtId="0">
      <sharedItems containsString="0" containsBlank="1" containsNumber="1" containsInteger="1" minValue="0" maxValue="120"/>
    </cacheField>
    <cacheField name="Dirty  (g)" numFmtId="0">
      <sharedItems containsString="0" containsBlank="1" containsNumber="1" containsInteger="1" minValue="0" maxValue="136"/>
    </cacheField>
    <cacheField name="Mechanical Damage" numFmtId="0">
      <sharedItems containsString="0" containsBlank="1" containsNumber="1" containsInteger="1" minValue="0" maxValue="48"/>
    </cacheField>
    <cacheField name="Rejection  (g)" numFmtId="0">
      <sharedItems containsString="0" containsBlank="1" containsNumber="1" containsInteger="1" minValue="2" maxValue="64"/>
    </cacheField>
    <cacheField name="Husk  (g)" numFmtId="0">
      <sharedItems containsString="0" containsBlank="1" containsNumber="1" containsInteger="1" minValue="0" maxValue="124"/>
    </cacheField>
    <cacheField name="Total" numFmtId="0">
      <sharedItems containsSemiMixedTypes="0" containsString="0" containsNumber="1" containsInteger="1" minValue="0" maxValue="1000"/>
    </cacheField>
    <cacheField name="Good Kernels  (%)" numFmtId="10">
      <sharedItems containsMixedTypes="1" containsNumber="1" minValue="0.36" maxValue="0.86"/>
    </cacheField>
    <cacheField name="Pieces  (%)" numFmtId="10">
      <sharedItems containsMixedTypes="1" containsNumber="1" minValue="4.0000000000000001E-3" maxValue="0.182"/>
    </cacheField>
    <cacheField name="Scorched %" numFmtId="10">
      <sharedItems containsMixedTypes="1" containsNumber="1" minValue="0" maxValue="0.124"/>
    </cacheField>
    <cacheField name="Spotted %" numFmtId="10">
      <sharedItems containsMixedTypes="1" containsNumber="1" minValue="8.0000000000000002E-3" maxValue="0.16400000000000001"/>
    </cacheField>
    <cacheField name="Shrivilled/ Blemished  (%)" numFmtId="10">
      <sharedItems containsMixedTypes="1" containsNumber="1" minValue="0" maxValue="0.11"/>
    </cacheField>
    <cacheField name="Dessert (%)" numFmtId="10">
      <sharedItems containsMixedTypes="1" containsNumber="1" minValue="0" maxValue="7.5999999999999998E-2"/>
    </cacheField>
    <cacheField name="Adheting Dirt/Oil (%)" numFmtId="10">
      <sharedItems containsMixedTypes="1" containsNumber="1" minValue="3.0000000000000001E-3" maxValue="0.188"/>
    </cacheField>
    <cacheField name="Rejection  (%)" numFmtId="10">
      <sharedItems containsMixedTypes="1" containsNumber="1" minValue="2E-3" maxValue="6.4000000000000001E-2"/>
    </cacheField>
    <cacheField name="Husk  (%)" numFmtId="10">
      <sharedItems containsMixedTypes="1" containsNumber="1" minValue="0" maxValue="0.1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8">
  <r>
    <d v="2026-05-22T00:00:00"/>
    <n v="21"/>
    <x v="0"/>
    <x v="0"/>
    <s v="After Borma"/>
    <m/>
    <n v="1000"/>
    <n v="270"/>
    <n v="3.3"/>
    <n v="680"/>
    <n v="11"/>
    <m/>
    <n v="9"/>
    <n v="76"/>
    <n v="22"/>
    <n v="53"/>
    <m/>
    <n v="17"/>
    <n v="11"/>
    <n v="9"/>
    <m/>
    <n v="9"/>
    <n v="103"/>
    <n v="1000"/>
    <n v="0.68"/>
    <n v="1.0999999999999999E-2"/>
    <n v="8.9999999999999993E-3"/>
    <n v="9.8000000000000004E-2"/>
    <n v="5.2999999999999999E-2"/>
    <n v="1.7000000000000001E-2"/>
    <n v="0.02"/>
    <n v="8.9999999999999993E-3"/>
    <n v="0.10299999999999999"/>
  </r>
  <r>
    <d v="2026-05-18T00:00:00"/>
    <n v="21"/>
    <x v="1"/>
    <x v="0"/>
    <s v="After Borma"/>
    <m/>
    <n v="1000"/>
    <n v="265"/>
    <n v="3.2"/>
    <n v="670"/>
    <n v="25"/>
    <m/>
    <n v="14"/>
    <n v="77"/>
    <n v="13"/>
    <n v="51"/>
    <m/>
    <n v="20"/>
    <n v="4"/>
    <n v="7"/>
    <m/>
    <n v="10"/>
    <n v="109"/>
    <n v="1000"/>
    <n v="0.67"/>
    <n v="2.5000000000000001E-2"/>
    <n v="1.4E-2"/>
    <n v="0.09"/>
    <n v="5.0999999999999997E-2"/>
    <n v="0.02"/>
    <n v="1.0999999999999999E-2"/>
    <n v="0.01"/>
    <n v="0.109"/>
  </r>
  <r>
    <d v="2026-05-19T00:00:00"/>
    <n v="21"/>
    <x v="2"/>
    <x v="0"/>
    <s v="After Borma"/>
    <m/>
    <n v="1000"/>
    <n v="271"/>
    <n v="3.3"/>
    <n v="645"/>
    <n v="41"/>
    <m/>
    <n v="5"/>
    <n v="65"/>
    <n v="17"/>
    <n v="55"/>
    <m/>
    <n v="30"/>
    <n v="4"/>
    <n v="4"/>
    <m/>
    <n v="26"/>
    <n v="108"/>
    <n v="1000"/>
    <n v="0.64500000000000002"/>
    <n v="4.1000000000000002E-2"/>
    <n v="5.0000000000000001E-3"/>
    <n v="8.2000000000000003E-2"/>
    <n v="5.5E-2"/>
    <n v="0.03"/>
    <n v="8.0000000000000002E-3"/>
    <n v="2.5999999999999999E-2"/>
    <n v="0.108"/>
  </r>
  <r>
    <d v="2026-05-20T00:00:00"/>
    <n v="21"/>
    <x v="3"/>
    <x v="0"/>
    <s v="After Borma"/>
    <m/>
    <n v="1000"/>
    <n v="259"/>
    <n v="3.1"/>
    <n v="673"/>
    <n v="31"/>
    <m/>
    <n v="12"/>
    <n v="65"/>
    <n v="7"/>
    <n v="55"/>
    <m/>
    <n v="24"/>
    <n v="5"/>
    <n v="9"/>
    <m/>
    <n v="24"/>
    <n v="95"/>
    <n v="1000"/>
    <n v="0.67300000000000004"/>
    <n v="3.1E-2"/>
    <n v="1.2E-2"/>
    <n v="7.1999999999999995E-2"/>
    <n v="5.5E-2"/>
    <n v="2.4E-2"/>
    <n v="1.4E-2"/>
    <n v="2.4E-2"/>
    <n v="9.5000000000000001E-2"/>
  </r>
  <r>
    <d v="2026-05-21T00:00:00"/>
    <n v="21"/>
    <x v="4"/>
    <x v="0"/>
    <s v="After Borma"/>
    <m/>
    <n v="1000"/>
    <n v="265"/>
    <n v="3.3"/>
    <n v="648"/>
    <n v="45"/>
    <m/>
    <n v="22"/>
    <n v="85"/>
    <n v="4"/>
    <n v="50"/>
    <m/>
    <n v="18"/>
    <n v="6"/>
    <n v="10"/>
    <m/>
    <n v="15"/>
    <n v="97"/>
    <n v="1000"/>
    <n v="0.64800000000000002"/>
    <n v="4.4999999999999998E-2"/>
    <n v="2.1999999999999999E-2"/>
    <n v="8.8999999999999996E-2"/>
    <n v="0.05"/>
    <n v="1.7999999999999999E-2"/>
    <n v="1.6E-2"/>
    <n v="1.4999999999999999E-2"/>
    <n v="9.7000000000000003E-2"/>
  </r>
  <r>
    <d v="2026-05-22T00:00:00"/>
    <n v="21"/>
    <x v="5"/>
    <x v="0"/>
    <s v="After Borma"/>
    <m/>
    <n v="1000"/>
    <n v="272"/>
    <n v="3.5"/>
    <n v="688"/>
    <n v="26"/>
    <m/>
    <n v="8"/>
    <n v="73"/>
    <n v="10"/>
    <n v="53"/>
    <m/>
    <n v="20"/>
    <n v="7"/>
    <n v="4"/>
    <m/>
    <n v="10"/>
    <n v="101"/>
    <n v="1000"/>
    <n v="0.68799999999999994"/>
    <n v="2.5999999999999999E-2"/>
    <n v="8.0000000000000002E-3"/>
    <n v="8.3000000000000004E-2"/>
    <n v="5.2999999999999999E-2"/>
    <n v="0.02"/>
    <n v="1.0999999999999999E-2"/>
    <n v="0.01"/>
    <n v="0.10100000000000001"/>
  </r>
  <r>
    <d v="2026-05-23T00:00:00"/>
    <n v="21"/>
    <x v="6"/>
    <x v="0"/>
    <s v="After Borma"/>
    <m/>
    <n v="1000"/>
    <n v="279"/>
    <n v="3.7"/>
    <n v="703"/>
    <n v="11"/>
    <m/>
    <n v="14"/>
    <n v="64"/>
    <n v="9"/>
    <n v="58"/>
    <m/>
    <n v="22"/>
    <n v="3"/>
    <n v="0"/>
    <m/>
    <n v="12"/>
    <n v="104"/>
    <n v="1000"/>
    <n v="0.70299999999999996"/>
    <n v="1.0999999999999999E-2"/>
    <n v="1.4E-2"/>
    <n v="7.2999999999999995E-2"/>
    <n v="5.8000000000000003E-2"/>
    <n v="2.1999999999999999E-2"/>
    <n v="3.0000000000000001E-3"/>
    <n v="1.2E-2"/>
    <n v="0.104"/>
  </r>
  <r>
    <d v="2026-05-26T00:00:00"/>
    <n v="22"/>
    <x v="7"/>
    <x v="0"/>
    <s v="After Borma"/>
    <m/>
    <n v="1000"/>
    <n v="249"/>
    <n v="3.9"/>
    <n v="684"/>
    <n v="33"/>
    <m/>
    <n v="2"/>
    <n v="81"/>
    <n v="11"/>
    <n v="47"/>
    <m/>
    <n v="9"/>
    <n v="6"/>
    <n v="6"/>
    <m/>
    <n v="16"/>
    <n v="105"/>
    <n v="1000"/>
    <n v="0.68400000000000005"/>
    <n v="3.3000000000000002E-2"/>
    <n v="2E-3"/>
    <n v="9.1999999999999998E-2"/>
    <n v="4.7E-2"/>
    <n v="8.9999999999999993E-3"/>
    <n v="1.2E-2"/>
    <n v="1.6E-2"/>
    <n v="0.105"/>
  </r>
  <r>
    <d v="2026-05-27T00:00:00"/>
    <n v="22"/>
    <x v="8"/>
    <x v="0"/>
    <s v="After Borma"/>
    <m/>
    <n v="1000"/>
    <n v="260"/>
    <n v="4"/>
    <n v="678"/>
    <n v="25"/>
    <m/>
    <n v="8"/>
    <n v="76"/>
    <n v="22"/>
    <n v="55"/>
    <m/>
    <n v="13"/>
    <n v="4"/>
    <n v="3"/>
    <m/>
    <n v="20"/>
    <n v="96"/>
    <n v="1000"/>
    <n v="0.67800000000000005"/>
    <n v="2.5000000000000001E-2"/>
    <n v="8.0000000000000002E-3"/>
    <n v="9.8000000000000004E-2"/>
    <n v="5.5E-2"/>
    <n v="1.2999999999999999E-2"/>
    <n v="7.0000000000000001E-3"/>
    <n v="0.02"/>
    <n v="9.6000000000000002E-2"/>
  </r>
  <r>
    <d v="2026-05-28T00:00:00"/>
    <n v="22"/>
    <x v="9"/>
    <x v="0"/>
    <s v="After Borma"/>
    <m/>
    <n v="1000"/>
    <n v="254"/>
    <n v="3.5"/>
    <n v="618"/>
    <n v="35"/>
    <m/>
    <n v="12"/>
    <n v="115"/>
    <n v="38"/>
    <n v="58"/>
    <m/>
    <n v="12"/>
    <n v="4"/>
    <n v="8"/>
    <m/>
    <n v="5"/>
    <n v="95"/>
    <n v="1000"/>
    <n v="0.61799999999999999"/>
    <n v="3.5000000000000003E-2"/>
    <n v="1.2E-2"/>
    <n v="0.153"/>
    <n v="5.8000000000000003E-2"/>
    <n v="1.2E-2"/>
    <n v="1.2E-2"/>
    <n v="5.0000000000000001E-3"/>
    <n v="9.5000000000000001E-2"/>
  </r>
  <r>
    <d v="2026-05-29T00:00:00"/>
    <n v="22"/>
    <x v="10"/>
    <x v="0"/>
    <s v="After Borma"/>
    <m/>
    <n v="1000"/>
    <n v="263"/>
    <n v="3.4"/>
    <n v="719"/>
    <n v="13"/>
    <m/>
    <n v="1"/>
    <n v="68"/>
    <n v="28"/>
    <n v="46"/>
    <m/>
    <n v="14"/>
    <n v="3"/>
    <n v="6"/>
    <m/>
    <n v="3"/>
    <n v="99"/>
    <n v="1000"/>
    <n v="0.71899999999999997"/>
    <n v="1.2999999999999999E-2"/>
    <n v="1E-3"/>
    <n v="9.6000000000000002E-2"/>
    <n v="4.5999999999999999E-2"/>
    <n v="1.4E-2"/>
    <n v="8.9999999999999993E-3"/>
    <n v="3.0000000000000001E-3"/>
    <n v="9.9000000000000005E-2"/>
  </r>
  <r>
    <d v="2026-05-30T00:00:00"/>
    <n v="22"/>
    <x v="11"/>
    <x v="0"/>
    <s v="After Borma"/>
    <m/>
    <n v="1000"/>
    <n v="262"/>
    <n v="3.5"/>
    <n v="678"/>
    <n v="35"/>
    <m/>
    <n v="16"/>
    <n v="62"/>
    <n v="13"/>
    <n v="57"/>
    <m/>
    <n v="23"/>
    <n v="5"/>
    <n v="2"/>
    <m/>
    <n v="19"/>
    <n v="90"/>
    <n v="1000"/>
    <n v="0.67800000000000005"/>
    <n v="3.5000000000000003E-2"/>
    <n v="1.6E-2"/>
    <n v="7.4999999999999997E-2"/>
    <n v="5.7000000000000002E-2"/>
    <n v="2.3E-2"/>
    <n v="7.0000000000000001E-3"/>
    <n v="1.9E-2"/>
    <n v="0.09"/>
  </r>
  <r>
    <d v="2026-06-01T00:00:00"/>
    <n v="23"/>
    <x v="12"/>
    <x v="0"/>
    <s v="After Borma"/>
    <m/>
    <n v="1000"/>
    <n v="268"/>
    <n v="3.3"/>
    <n v="666"/>
    <n v="32"/>
    <m/>
    <n v="12"/>
    <n v="90"/>
    <n v="12"/>
    <n v="53"/>
    <m/>
    <n v="20"/>
    <n v="2"/>
    <n v="8"/>
    <m/>
    <n v="6"/>
    <n v="99"/>
    <n v="1000"/>
    <n v="0.66600000000000004"/>
    <n v="3.2000000000000001E-2"/>
    <n v="1.2E-2"/>
    <n v="0.10199999999999999"/>
    <n v="5.2999999999999999E-2"/>
    <n v="0.02"/>
    <n v="0.01"/>
    <n v="6.0000000000000001E-3"/>
    <n v="9.9000000000000005E-2"/>
  </r>
  <r>
    <d v="2026-06-02T00:00:00"/>
    <n v="23"/>
    <x v="13"/>
    <x v="0"/>
    <s v="After Borma"/>
    <m/>
    <n v="1000"/>
    <n v="220"/>
    <n v="3.8"/>
    <n v="669"/>
    <n v="33"/>
    <m/>
    <n v="0"/>
    <n v="80"/>
    <n v="25"/>
    <n v="53"/>
    <m/>
    <n v="15"/>
    <n v="6"/>
    <n v="4"/>
    <m/>
    <n v="9"/>
    <n v="106"/>
    <n v="1000"/>
    <n v="0.66900000000000004"/>
    <n v="3.3000000000000002E-2"/>
    <n v="0"/>
    <n v="0.105"/>
    <n v="5.2999999999999999E-2"/>
    <n v="1.4999999999999999E-2"/>
    <n v="0.01"/>
    <n v="8.9999999999999993E-3"/>
    <n v="0.106"/>
  </r>
  <r>
    <d v="2026-06-03T00:00:00"/>
    <n v="23"/>
    <x v="14"/>
    <x v="0"/>
    <s v="After Borma"/>
    <m/>
    <n v="1000"/>
    <n v="256"/>
    <n v="3.5"/>
    <n v="663"/>
    <n v="12"/>
    <m/>
    <n v="10"/>
    <n v="89"/>
    <n v="26"/>
    <n v="63"/>
    <m/>
    <n v="15"/>
    <n v="8"/>
    <n v="12"/>
    <m/>
    <n v="7"/>
    <n v="95"/>
    <n v="1000"/>
    <n v="0.66300000000000003"/>
    <n v="1.2E-2"/>
    <n v="0.01"/>
    <n v="0.115"/>
    <n v="6.3E-2"/>
    <n v="1.4999999999999999E-2"/>
    <n v="0.02"/>
    <n v="7.0000000000000001E-3"/>
    <n v="9.5000000000000001E-2"/>
  </r>
  <r>
    <d v="2026-06-04T00:00:00"/>
    <n v="23"/>
    <x v="15"/>
    <x v="0"/>
    <s v="After Borma"/>
    <m/>
    <n v="1000"/>
    <n v="302"/>
    <n v="3.2"/>
    <n v="650"/>
    <n v="38"/>
    <m/>
    <n v="12"/>
    <n v="85"/>
    <n v="15"/>
    <n v="51"/>
    <m/>
    <n v="11"/>
    <n v="5"/>
    <n v="9"/>
    <m/>
    <n v="13"/>
    <n v="111"/>
    <n v="1000"/>
    <n v="0.65"/>
    <n v="3.7999999999999999E-2"/>
    <n v="1.2E-2"/>
    <n v="0.1"/>
    <n v="5.0999999999999997E-2"/>
    <n v="1.0999999999999999E-2"/>
    <n v="1.4E-2"/>
    <n v="1.2999999999999999E-2"/>
    <n v="0.111"/>
  </r>
  <r>
    <d v="2026-06-05T00:00:00"/>
    <n v="23"/>
    <x v="16"/>
    <x v="0"/>
    <s v="After Borma"/>
    <m/>
    <n v="1000"/>
    <n v="316"/>
    <n v="3.2"/>
    <n v="634"/>
    <n v="54"/>
    <m/>
    <n v="6"/>
    <n v="94"/>
    <n v="26"/>
    <n v="46"/>
    <m/>
    <n v="19"/>
    <n v="7"/>
    <n v="11"/>
    <m/>
    <n v="8"/>
    <n v="95"/>
    <n v="1000"/>
    <n v="0.63400000000000001"/>
    <n v="5.3999999999999999E-2"/>
    <n v="6.0000000000000001E-3"/>
    <n v="0.12"/>
    <n v="4.5999999999999999E-2"/>
    <n v="1.9E-2"/>
    <n v="1.7999999999999999E-2"/>
    <n v="8.0000000000000002E-3"/>
    <n v="9.5000000000000001E-2"/>
  </r>
  <r>
    <d v="2026-06-06T00:00:00"/>
    <n v="23"/>
    <x v="17"/>
    <x v="0"/>
    <s v="After Borma"/>
    <m/>
    <n v="1000"/>
    <n v="313"/>
    <n v="3.3"/>
    <n v="636"/>
    <n v="23"/>
    <m/>
    <n v="32"/>
    <n v="84"/>
    <n v="28"/>
    <n v="56"/>
    <m/>
    <n v="9"/>
    <n v="6"/>
    <n v="5"/>
    <m/>
    <n v="15"/>
    <n v="106"/>
    <n v="1000"/>
    <n v="0.63600000000000001"/>
    <n v="2.3E-2"/>
    <n v="3.2000000000000001E-2"/>
    <n v="0.112"/>
    <n v="5.6000000000000001E-2"/>
    <n v="8.9999999999999993E-3"/>
    <n v="1.0999999999999999E-2"/>
    <n v="1.4999999999999999E-2"/>
    <n v="0.106"/>
  </r>
  <r>
    <d v="2026-06-08T00:00:00"/>
    <n v="24"/>
    <x v="18"/>
    <x v="0"/>
    <s v="After Borma"/>
    <m/>
    <n v="1000"/>
    <n v="272"/>
    <n v="3.9"/>
    <n v="655"/>
    <n v="35"/>
    <m/>
    <n v="24"/>
    <n v="68"/>
    <n v="34"/>
    <n v="55"/>
    <m/>
    <n v="13"/>
    <n v="3"/>
    <n v="8"/>
    <m/>
    <n v="11"/>
    <n v="94"/>
    <n v="1000"/>
    <n v="0.65500000000000003"/>
    <n v="3.5000000000000003E-2"/>
    <n v="2.4E-2"/>
    <n v="0.10199999999999999"/>
    <n v="5.5E-2"/>
    <n v="1.2999999999999999E-2"/>
    <n v="1.0999999999999999E-2"/>
    <n v="1.0999999999999999E-2"/>
    <n v="9.4E-2"/>
  </r>
  <r>
    <d v="2026-06-08T00:00:00"/>
    <n v="24"/>
    <x v="19"/>
    <x v="0"/>
    <s v="After Borma"/>
    <m/>
    <n v="1000"/>
    <n v="275"/>
    <n v="3.8"/>
    <n v="609"/>
    <n v="39"/>
    <m/>
    <n v="31"/>
    <n v="95"/>
    <n v="33"/>
    <n v="61"/>
    <m/>
    <n v="17"/>
    <n v="5"/>
    <n v="10"/>
    <m/>
    <n v="10"/>
    <n v="90"/>
    <n v="1000"/>
    <n v="0.60899999999999999"/>
    <n v="3.9E-2"/>
    <n v="3.1E-2"/>
    <n v="0.128"/>
    <n v="6.0999999999999999E-2"/>
    <n v="1.7000000000000001E-2"/>
    <n v="1.4999999999999999E-2"/>
    <n v="0.01"/>
    <n v="0.09"/>
  </r>
  <r>
    <d v="2026-06-10T00:00:00"/>
    <n v="24"/>
    <x v="20"/>
    <x v="1"/>
    <s v="After Borma"/>
    <m/>
    <n v="1000"/>
    <n v="256"/>
    <n v="3.4"/>
    <n v="698"/>
    <n v="38"/>
    <m/>
    <n v="10"/>
    <n v="59"/>
    <n v="14"/>
    <n v="50"/>
    <m/>
    <n v="8"/>
    <n v="12"/>
    <n v="5"/>
    <m/>
    <n v="14"/>
    <n v="92"/>
    <n v="1000"/>
    <n v="0.69799999999999995"/>
    <n v="3.7999999999999999E-2"/>
    <n v="0.01"/>
    <n v="7.2999999999999995E-2"/>
    <n v="0.05"/>
    <n v="8.0000000000000002E-3"/>
    <n v="1.7000000000000001E-2"/>
    <n v="1.4E-2"/>
    <n v="9.1999999999999998E-2"/>
  </r>
  <r>
    <d v="2026-06-11T00:00:00"/>
    <n v="24"/>
    <x v="21"/>
    <x v="1"/>
    <s v="After Borma"/>
    <m/>
    <n v="1000"/>
    <n v="276"/>
    <n v="3.6"/>
    <n v="607"/>
    <n v="43"/>
    <m/>
    <n v="28"/>
    <n v="114"/>
    <n v="16"/>
    <n v="56"/>
    <m/>
    <n v="10"/>
    <n v="7"/>
    <n v="10"/>
    <m/>
    <n v="12"/>
    <n v="97"/>
    <n v="1000"/>
    <n v="0.60699999999999998"/>
    <n v="4.2999999999999997E-2"/>
    <n v="2.8000000000000001E-2"/>
    <n v="0.13"/>
    <n v="5.6000000000000001E-2"/>
    <n v="0.01"/>
    <n v="1.7000000000000001E-2"/>
    <n v="1.2E-2"/>
    <n v="9.7000000000000003E-2"/>
  </r>
  <r>
    <d v="2026-06-12T00:00:00"/>
    <n v="24"/>
    <x v="22"/>
    <x v="1"/>
    <s v="After Borma"/>
    <m/>
    <n v="1000"/>
    <n v="280"/>
    <n v="3.4"/>
    <n v="650"/>
    <n v="50"/>
    <m/>
    <n v="22"/>
    <n v="74"/>
    <n v="32"/>
    <n v="50"/>
    <m/>
    <n v="22"/>
    <n v="3"/>
    <n v="2"/>
    <m/>
    <n v="2"/>
    <n v="93"/>
    <n v="1000"/>
    <n v="0.65"/>
    <n v="0.05"/>
    <n v="2.1999999999999999E-2"/>
    <n v="0.106"/>
    <n v="0.05"/>
    <n v="2.1999999999999999E-2"/>
    <n v="5.0000000000000001E-3"/>
    <n v="2E-3"/>
    <n v="9.2999999999999999E-2"/>
  </r>
  <r>
    <d v="2026-06-13T00:00:00"/>
    <n v="24"/>
    <x v="23"/>
    <x v="1"/>
    <s v="After Borma"/>
    <m/>
    <n v="1000"/>
    <n v="284"/>
    <n v="3.4"/>
    <n v="657"/>
    <n v="49"/>
    <m/>
    <n v="7"/>
    <n v="74"/>
    <n v="26"/>
    <n v="56"/>
    <m/>
    <n v="10"/>
    <n v="12"/>
    <n v="4"/>
    <m/>
    <n v="5"/>
    <n v="100"/>
    <n v="1000"/>
    <n v="0.65700000000000003"/>
    <n v="4.9000000000000002E-2"/>
    <n v="7.0000000000000001E-3"/>
    <n v="0.1"/>
    <n v="5.6000000000000001E-2"/>
    <n v="0.01"/>
    <n v="1.6E-2"/>
    <n v="5.0000000000000001E-3"/>
    <n v="0.1"/>
  </r>
  <r>
    <d v="2026-06-15T00:00:00"/>
    <n v="25"/>
    <x v="24"/>
    <x v="1"/>
    <s v="After Borma"/>
    <m/>
    <n v="1000"/>
    <n v="272"/>
    <n v="3.2"/>
    <n v="712"/>
    <n v="16"/>
    <m/>
    <n v="29"/>
    <n v="48"/>
    <n v="10"/>
    <n v="62"/>
    <m/>
    <n v="8"/>
    <n v="3"/>
    <n v="4"/>
    <m/>
    <n v="8"/>
    <n v="100"/>
    <n v="1000"/>
    <n v="0.71199999999999997"/>
    <n v="1.6E-2"/>
    <n v="2.9000000000000001E-2"/>
    <n v="5.8000000000000003E-2"/>
    <n v="6.2E-2"/>
    <n v="8.0000000000000002E-3"/>
    <n v="7.0000000000000001E-3"/>
    <n v="8.0000000000000002E-3"/>
    <n v="0.1"/>
  </r>
  <r>
    <d v="2026-06-16T00:00:00"/>
    <n v="25"/>
    <x v="25"/>
    <x v="1"/>
    <s v="After Borma"/>
    <m/>
    <n v="1000"/>
    <n v="263"/>
    <n v="3.2"/>
    <n v="676"/>
    <n v="56"/>
    <m/>
    <n v="16"/>
    <n v="59"/>
    <n v="20"/>
    <n v="55"/>
    <m/>
    <n v="18"/>
    <n v="2"/>
    <n v="2"/>
    <m/>
    <n v="2"/>
    <n v="94"/>
    <n v="1000"/>
    <n v="0.67600000000000005"/>
    <n v="5.6000000000000001E-2"/>
    <n v="1.6E-2"/>
    <n v="7.9000000000000001E-2"/>
    <n v="5.5E-2"/>
    <n v="1.7999999999999999E-2"/>
    <n v="4.0000000000000001E-3"/>
    <n v="2E-3"/>
    <n v="9.4E-2"/>
  </r>
  <r>
    <d v="2026-06-17T00:00:00"/>
    <n v="25"/>
    <x v="26"/>
    <x v="2"/>
    <s v="After Borma"/>
    <m/>
    <n v="1000"/>
    <n v="277"/>
    <n v="3.4"/>
    <n v="671"/>
    <n v="54"/>
    <m/>
    <n v="25"/>
    <n v="56"/>
    <n v="26"/>
    <n v="47"/>
    <m/>
    <n v="9"/>
    <n v="8"/>
    <n v="2"/>
    <m/>
    <n v="5"/>
    <n v="97"/>
    <n v="1000"/>
    <n v="0.67100000000000004"/>
    <n v="5.3999999999999999E-2"/>
    <n v="2.5000000000000001E-2"/>
    <n v="8.2000000000000003E-2"/>
    <n v="4.7E-2"/>
    <n v="8.9999999999999993E-3"/>
    <n v="0.01"/>
    <n v="5.0000000000000001E-3"/>
    <n v="9.7000000000000003E-2"/>
  </r>
  <r>
    <d v="2026-06-18T00:00:00"/>
    <n v="25"/>
    <x v="27"/>
    <x v="2"/>
    <s v="After Borma"/>
    <m/>
    <n v="1000"/>
    <n v="263"/>
    <n v="3.3"/>
    <n v="657"/>
    <n v="53"/>
    <m/>
    <n v="12"/>
    <n v="77"/>
    <n v="18"/>
    <n v="47"/>
    <m/>
    <n v="16"/>
    <n v="7"/>
    <n v="15"/>
    <m/>
    <n v="7"/>
    <n v="91"/>
    <n v="1000"/>
    <n v="0.65700000000000003"/>
    <n v="5.2999999999999999E-2"/>
    <n v="1.2E-2"/>
    <n v="9.5000000000000001E-2"/>
    <n v="4.7E-2"/>
    <n v="1.6E-2"/>
    <n v="2.1999999999999999E-2"/>
    <n v="7.0000000000000001E-3"/>
    <n v="9.0999999999999998E-2"/>
  </r>
  <r>
    <d v="2026-06-19T00:00:00"/>
    <n v="25"/>
    <x v="28"/>
    <x v="2"/>
    <s v="After Borma"/>
    <m/>
    <n v="1000"/>
    <n v="265"/>
    <n v="3.4"/>
    <n v="684"/>
    <n v="37"/>
    <m/>
    <n v="15"/>
    <n v="71"/>
    <n v="20"/>
    <n v="49"/>
    <m/>
    <n v="8"/>
    <n v="8"/>
    <n v="8"/>
    <m/>
    <n v="10"/>
    <n v="90"/>
    <n v="1000"/>
    <n v="0.68400000000000005"/>
    <n v="3.6999999999999998E-2"/>
    <n v="1.4999999999999999E-2"/>
    <n v="9.0999999999999998E-2"/>
    <n v="4.9000000000000002E-2"/>
    <n v="8.0000000000000002E-3"/>
    <n v="1.6E-2"/>
    <n v="0.01"/>
    <n v="0.09"/>
  </r>
  <r>
    <d v="2026-06-22T00:00:00"/>
    <n v="26"/>
    <x v="29"/>
    <x v="2"/>
    <s v="After Borma"/>
    <m/>
    <n v="1000"/>
    <n v="279"/>
    <n v="3.4"/>
    <n v="727"/>
    <n v="36"/>
    <m/>
    <n v="12"/>
    <n v="65"/>
    <n v="16"/>
    <n v="6"/>
    <m/>
    <n v="8"/>
    <n v="8"/>
    <n v="12"/>
    <m/>
    <n v="9"/>
    <n v="101"/>
    <n v="1000"/>
    <n v="0.72699999999999998"/>
    <n v="3.5999999999999997E-2"/>
    <n v="1.2E-2"/>
    <n v="8.1000000000000003E-2"/>
    <n v="6.0000000000000001E-3"/>
    <n v="8.0000000000000002E-3"/>
    <n v="0.02"/>
    <n v="8.9999999999999993E-3"/>
    <n v="0.10100000000000001"/>
  </r>
  <r>
    <d v="2026-06-22T00:00:00"/>
    <n v="26"/>
    <x v="30"/>
    <x v="2"/>
    <s v="After Borma"/>
    <m/>
    <n v="1000"/>
    <n v="282"/>
    <n v="3.3"/>
    <n v="732"/>
    <n v="42"/>
    <m/>
    <n v="18"/>
    <n v="56"/>
    <n v="13"/>
    <n v="11"/>
    <m/>
    <n v="8"/>
    <n v="6"/>
    <n v="8"/>
    <m/>
    <n v="9"/>
    <n v="97"/>
    <n v="1000"/>
    <n v="0.73199999999999998"/>
    <n v="4.2000000000000003E-2"/>
    <n v="1.7999999999999999E-2"/>
    <n v="6.9000000000000006E-2"/>
    <n v="1.0999999999999999E-2"/>
    <n v="8.0000000000000002E-3"/>
    <n v="1.4E-2"/>
    <n v="8.9999999999999993E-3"/>
    <n v="9.7000000000000003E-2"/>
  </r>
  <r>
    <d v="2026-06-24T00:00:00"/>
    <n v="26"/>
    <x v="31"/>
    <x v="2"/>
    <s v="After Borma"/>
    <m/>
    <n v="1000"/>
    <n v="273"/>
    <n v="3.4"/>
    <n v="664"/>
    <n v="66"/>
    <m/>
    <n v="8"/>
    <n v="72"/>
    <n v="19"/>
    <n v="10"/>
    <m/>
    <n v="11"/>
    <n v="21"/>
    <n v="32"/>
    <m/>
    <n v="4"/>
    <n v="93"/>
    <n v="1000"/>
    <n v="0.66400000000000003"/>
    <n v="6.6000000000000003E-2"/>
    <n v="8.0000000000000002E-3"/>
    <n v="9.0999999999999998E-2"/>
    <n v="0.01"/>
    <n v="1.0999999999999999E-2"/>
    <n v="5.2999999999999999E-2"/>
    <n v="4.0000000000000001E-3"/>
    <n v="9.2999999999999999E-2"/>
  </r>
  <r>
    <d v="2026-06-25T00:00:00"/>
    <n v="26"/>
    <x v="32"/>
    <x v="2"/>
    <s v="After Borma"/>
    <m/>
    <n v="1000"/>
    <n v="273"/>
    <n v="3.1"/>
    <n v="747"/>
    <n v="33"/>
    <m/>
    <n v="7"/>
    <n v="61"/>
    <n v="12"/>
    <n v="5"/>
    <m/>
    <n v="4"/>
    <n v="20"/>
    <n v="10"/>
    <m/>
    <n v="5"/>
    <n v="96"/>
    <n v="1000"/>
    <n v="0.747"/>
    <n v="3.3000000000000002E-2"/>
    <n v="7.0000000000000001E-3"/>
    <n v="7.2999999999999995E-2"/>
    <n v="5.0000000000000001E-3"/>
    <n v="4.0000000000000001E-3"/>
    <n v="0.03"/>
    <n v="5.0000000000000001E-3"/>
    <n v="9.6000000000000002E-2"/>
  </r>
  <r>
    <d v="2026-06-26T00:00:00"/>
    <n v="26"/>
    <x v="33"/>
    <x v="2"/>
    <s v="After Borma"/>
    <m/>
    <n v="1000"/>
    <n v="290"/>
    <n v="3.3"/>
    <n v="716"/>
    <n v="43"/>
    <m/>
    <n v="9"/>
    <n v="59"/>
    <n v="30"/>
    <n v="16"/>
    <m/>
    <n v="14"/>
    <n v="4"/>
    <n v="11"/>
    <m/>
    <n v="4"/>
    <n v="94"/>
    <n v="1000"/>
    <n v="0.71599999999999997"/>
    <n v="4.2999999999999997E-2"/>
    <n v="8.9999999999999993E-3"/>
    <n v="8.8999999999999996E-2"/>
    <n v="1.6E-2"/>
    <n v="1.4E-2"/>
    <n v="1.4999999999999999E-2"/>
    <n v="4.0000000000000001E-3"/>
    <n v="9.4E-2"/>
  </r>
  <r>
    <d v="2026-06-27T00:00:00"/>
    <n v="26"/>
    <x v="34"/>
    <x v="2"/>
    <s v="After Borma"/>
    <m/>
    <n v="1000"/>
    <n v="272"/>
    <n v="3.1"/>
    <n v="724"/>
    <n v="31"/>
    <m/>
    <n v="12"/>
    <n v="82"/>
    <n v="10"/>
    <n v="8"/>
    <m/>
    <n v="16"/>
    <n v="9"/>
    <n v="10"/>
    <m/>
    <n v="8"/>
    <n v="90"/>
    <n v="1000"/>
    <n v="0.72399999999999998"/>
    <n v="3.1E-2"/>
    <n v="1.2E-2"/>
    <n v="9.1999999999999998E-2"/>
    <n v="8.0000000000000002E-3"/>
    <n v="1.6E-2"/>
    <n v="1.9E-2"/>
    <n v="8.0000000000000002E-3"/>
    <n v="0.09"/>
  </r>
  <r>
    <d v="2026-06-29T00:00:00"/>
    <n v="27"/>
    <x v="35"/>
    <x v="2"/>
    <s v="After Borma"/>
    <m/>
    <n v="1000"/>
    <n v="290"/>
    <n v="3.1"/>
    <n v="684"/>
    <n v="29"/>
    <m/>
    <n v="12"/>
    <n v="70"/>
    <n v="27"/>
    <n v="29"/>
    <m/>
    <n v="18"/>
    <n v="10"/>
    <n v="13"/>
    <m/>
    <n v="20"/>
    <n v="88"/>
    <n v="1000"/>
    <n v="0.68400000000000005"/>
    <n v="2.9000000000000001E-2"/>
    <n v="1.2E-2"/>
    <n v="9.7000000000000003E-2"/>
    <n v="2.9000000000000001E-2"/>
    <n v="1.7999999999999999E-2"/>
    <n v="2.3E-2"/>
    <n v="0.02"/>
    <n v="8.7999999999999995E-2"/>
  </r>
  <r>
    <d v="2026-06-30T00:00:00"/>
    <n v="27"/>
    <x v="36"/>
    <x v="3"/>
    <s v="After Borma"/>
    <m/>
    <n v="1000"/>
    <n v="270"/>
    <n v="3.1"/>
    <n v="675"/>
    <n v="47"/>
    <m/>
    <n v="19"/>
    <n v="51"/>
    <n v="29"/>
    <n v="47"/>
    <m/>
    <n v="6"/>
    <n v="6"/>
    <n v="17"/>
    <m/>
    <n v="11"/>
    <n v="92"/>
    <n v="1000"/>
    <n v="0.67500000000000004"/>
    <n v="4.7E-2"/>
    <n v="1.9E-2"/>
    <n v="0.08"/>
    <n v="4.7E-2"/>
    <n v="6.0000000000000001E-3"/>
    <n v="2.3E-2"/>
    <n v="1.0999999999999999E-2"/>
    <n v="9.1999999999999998E-2"/>
  </r>
  <r>
    <d v="2026-07-01T00:00:00"/>
    <n v="27"/>
    <x v="37"/>
    <x v="3"/>
    <s v="After Borma"/>
    <m/>
    <n v="1000"/>
    <n v="280"/>
    <n v="3.1"/>
    <n v="761"/>
    <n v="29"/>
    <m/>
    <n v="6"/>
    <n v="55"/>
    <n v="17"/>
    <n v="14"/>
    <m/>
    <n v="5"/>
    <n v="8"/>
    <n v="9"/>
    <m/>
    <n v="4"/>
    <n v="92"/>
    <n v="1000"/>
    <n v="0.76100000000000001"/>
    <n v="2.9000000000000001E-2"/>
    <n v="6.0000000000000001E-3"/>
    <n v="7.1999999999999995E-2"/>
    <n v="1.4E-2"/>
    <n v="5.0000000000000001E-3"/>
    <n v="1.7000000000000001E-2"/>
    <n v="4.0000000000000001E-3"/>
    <n v="9.1999999999999998E-2"/>
  </r>
  <r>
    <d v="2026-07-02T00:00:00"/>
    <n v="27"/>
    <x v="38"/>
    <x v="3"/>
    <s v="After Borma"/>
    <m/>
    <n v="1000"/>
    <n v="276"/>
    <n v="3"/>
    <n v="706"/>
    <n v="46"/>
    <m/>
    <n v="6"/>
    <n v="105"/>
    <n v="0"/>
    <n v="4"/>
    <m/>
    <n v="16"/>
    <n v="9"/>
    <n v="11"/>
    <m/>
    <n v="3"/>
    <n v="94"/>
    <n v="1000"/>
    <n v="0.70599999999999996"/>
    <n v="4.5999999999999999E-2"/>
    <n v="6.0000000000000001E-3"/>
    <n v="0.105"/>
    <n v="4.0000000000000001E-3"/>
    <n v="1.6E-2"/>
    <n v="0.02"/>
    <n v="3.0000000000000001E-3"/>
    <n v="9.4E-2"/>
  </r>
  <r>
    <d v="2026-07-03T00:00:00"/>
    <n v="27"/>
    <x v="39"/>
    <x v="3"/>
    <s v="After Borma"/>
    <m/>
    <n v="1000"/>
    <n v="264"/>
    <n v="3.2"/>
    <n v="655"/>
    <n v="40"/>
    <m/>
    <n v="35"/>
    <n v="110"/>
    <n v="0"/>
    <n v="4"/>
    <m/>
    <n v="28"/>
    <n v="6"/>
    <n v="11"/>
    <m/>
    <n v="18"/>
    <n v="93"/>
    <n v="1000"/>
    <n v="0.65500000000000003"/>
    <n v="0.04"/>
    <n v="3.5000000000000003E-2"/>
    <n v="0.11"/>
    <n v="4.0000000000000001E-3"/>
    <n v="2.8000000000000001E-2"/>
    <n v="1.7000000000000001E-2"/>
    <n v="1.7999999999999999E-2"/>
    <n v="9.2999999999999999E-2"/>
  </r>
  <r>
    <d v="2026-07-04T00:00:00"/>
    <n v="27"/>
    <x v="40"/>
    <x v="3"/>
    <s v="After Borma"/>
    <m/>
    <n v="1000"/>
    <n v="350"/>
    <n v="3.1"/>
    <n v="640"/>
    <n v="46"/>
    <m/>
    <n v="60"/>
    <n v="98"/>
    <n v="0"/>
    <n v="24"/>
    <m/>
    <n v="12"/>
    <n v="6"/>
    <n v="12"/>
    <m/>
    <n v="2"/>
    <n v="100"/>
    <n v="1000"/>
    <n v="0.64"/>
    <n v="4.5999999999999999E-2"/>
    <n v="0.06"/>
    <n v="9.8000000000000004E-2"/>
    <n v="2.4E-2"/>
    <n v="1.2E-2"/>
    <n v="1.7999999999999999E-2"/>
    <n v="2E-3"/>
    <n v="0.1"/>
  </r>
  <r>
    <d v="2026-07-06T00:00:00"/>
    <n v="28"/>
    <x v="41"/>
    <x v="3"/>
    <s v="After Borma"/>
    <m/>
    <n v="1000"/>
    <n v="302"/>
    <n v="3.1"/>
    <n v="682"/>
    <n v="18"/>
    <m/>
    <n v="54"/>
    <n v="86"/>
    <n v="0"/>
    <n v="6"/>
    <m/>
    <n v="26"/>
    <n v="8"/>
    <n v="6"/>
    <m/>
    <n v="20"/>
    <n v="94"/>
    <n v="1000"/>
    <n v="0.68200000000000005"/>
    <n v="1.7999999999999999E-2"/>
    <n v="5.3999999999999999E-2"/>
    <n v="8.5999999999999993E-2"/>
    <n v="6.0000000000000001E-3"/>
    <n v="2.5999999999999999E-2"/>
    <n v="1.4E-2"/>
    <n v="0.02"/>
    <n v="9.4E-2"/>
  </r>
  <r>
    <d v="2026-07-06T00:00:00"/>
    <n v="28"/>
    <x v="41"/>
    <x v="3"/>
    <s v="After Borma"/>
    <m/>
    <n v="1000"/>
    <n v="275"/>
    <n v="3.2"/>
    <n v="678"/>
    <n v="30"/>
    <m/>
    <n v="68"/>
    <n v="76"/>
    <n v="0"/>
    <n v="4"/>
    <m/>
    <n v="10"/>
    <n v="14"/>
    <n v="16"/>
    <m/>
    <n v="8"/>
    <n v="96"/>
    <n v="1000"/>
    <n v="0.67800000000000005"/>
    <n v="0.03"/>
    <n v="6.8000000000000005E-2"/>
    <n v="7.5999999999999998E-2"/>
    <n v="4.0000000000000001E-3"/>
    <n v="0.01"/>
    <n v="0.03"/>
    <n v="8.0000000000000002E-3"/>
    <n v="9.6000000000000002E-2"/>
  </r>
  <r>
    <d v="2026-07-06T00:00:00"/>
    <n v="28"/>
    <x v="41"/>
    <x v="3"/>
    <s v="After Borma"/>
    <m/>
    <n v="1000"/>
    <n v="260"/>
    <n v="3.1"/>
    <n v="626"/>
    <n v="38"/>
    <m/>
    <n v="90"/>
    <n v="86"/>
    <n v="0"/>
    <n v="20"/>
    <m/>
    <n v="10"/>
    <n v="12"/>
    <n v="4"/>
    <m/>
    <n v="18"/>
    <n v="96"/>
    <n v="1000"/>
    <n v="0.626"/>
    <n v="3.7999999999999999E-2"/>
    <n v="0.09"/>
    <n v="8.5999999999999993E-2"/>
    <n v="0.02"/>
    <n v="0.01"/>
    <n v="1.6E-2"/>
    <n v="1.7999999999999999E-2"/>
    <n v="9.6000000000000002E-2"/>
  </r>
  <r>
    <d v="2026-07-06T00:00:00"/>
    <n v="28"/>
    <x v="41"/>
    <x v="3"/>
    <s v="After Borma"/>
    <m/>
    <n v="1000"/>
    <n v="314"/>
    <n v="3.1"/>
    <n v="696"/>
    <n v="22"/>
    <m/>
    <n v="60"/>
    <n v="88"/>
    <n v="0"/>
    <n v="12"/>
    <m/>
    <n v="6"/>
    <n v="4"/>
    <n v="6"/>
    <m/>
    <n v="10"/>
    <n v="96"/>
    <n v="1000"/>
    <n v="0.69599999999999995"/>
    <n v="2.1999999999999999E-2"/>
    <n v="0.06"/>
    <n v="8.7999999999999995E-2"/>
    <n v="1.2E-2"/>
    <n v="6.0000000000000001E-3"/>
    <n v="0.01"/>
    <n v="0.01"/>
    <n v="9.6000000000000002E-2"/>
  </r>
  <r>
    <d v="2026-07-06T00:00:00"/>
    <n v="28"/>
    <x v="41"/>
    <x v="3"/>
    <s v="After Borma"/>
    <m/>
    <n v="1000"/>
    <n v="240"/>
    <n v="3.2"/>
    <n v="618"/>
    <n v="54"/>
    <m/>
    <n v="54"/>
    <n v="96"/>
    <n v="0"/>
    <n v="10"/>
    <m/>
    <n v="18"/>
    <n v="22"/>
    <n v="16"/>
    <m/>
    <n v="14"/>
    <n v="98"/>
    <n v="1000"/>
    <n v="0.61799999999999999"/>
    <n v="5.3999999999999999E-2"/>
    <n v="5.3999999999999999E-2"/>
    <n v="9.6000000000000002E-2"/>
    <n v="0.01"/>
    <n v="1.7999999999999999E-2"/>
    <n v="3.7999999999999999E-2"/>
    <n v="1.4E-2"/>
    <n v="9.8000000000000004E-2"/>
  </r>
  <r>
    <d v="2026-07-06T00:00:00"/>
    <n v="28"/>
    <x v="41"/>
    <x v="3"/>
    <s v="After Borma"/>
    <m/>
    <n v="1000"/>
    <n v="266"/>
    <n v="3"/>
    <n v="696"/>
    <n v="34"/>
    <m/>
    <n v="9"/>
    <n v="103"/>
    <n v="0"/>
    <n v="18"/>
    <m/>
    <n v="10"/>
    <n v="4"/>
    <n v="2"/>
    <m/>
    <n v="24"/>
    <n v="100"/>
    <n v="1000"/>
    <n v="0.69599999999999995"/>
    <n v="3.4000000000000002E-2"/>
    <n v="8.9999999999999993E-3"/>
    <n v="0.10299999999999999"/>
    <n v="1.7999999999999999E-2"/>
    <n v="0.01"/>
    <n v="6.0000000000000001E-3"/>
    <n v="2.4E-2"/>
    <n v="0.1"/>
  </r>
  <r>
    <d v="2026-07-06T00:00:00"/>
    <n v="28"/>
    <x v="41"/>
    <x v="3"/>
    <s v="After Borma"/>
    <m/>
    <n v="1000"/>
    <n v="258"/>
    <n v="3"/>
    <n v="703"/>
    <n v="46"/>
    <m/>
    <n v="1"/>
    <n v="84"/>
    <n v="0"/>
    <n v="22"/>
    <m/>
    <n v="15"/>
    <n v="12"/>
    <n v="5"/>
    <m/>
    <n v="14"/>
    <n v="98"/>
    <n v="1000"/>
    <n v="0.70299999999999996"/>
    <n v="4.5999999999999999E-2"/>
    <n v="1E-3"/>
    <n v="8.4000000000000005E-2"/>
    <n v="2.1999999999999999E-2"/>
    <n v="1.4999999999999999E-2"/>
    <n v="1.7000000000000001E-2"/>
    <n v="1.4E-2"/>
    <n v="9.8000000000000004E-2"/>
  </r>
  <r>
    <d v="2026-07-06T00:00:00"/>
    <n v="28"/>
    <x v="41"/>
    <x v="3"/>
    <s v="After Borma"/>
    <m/>
    <n v="1000"/>
    <n v="308"/>
    <n v="3.1"/>
    <n v="713"/>
    <n v="30"/>
    <m/>
    <n v="10"/>
    <n v="80"/>
    <n v="0"/>
    <n v="28"/>
    <m/>
    <n v="10"/>
    <n v="9"/>
    <n v="8"/>
    <m/>
    <n v="12"/>
    <n v="100"/>
    <n v="1000"/>
    <n v="0.71299999999999997"/>
    <n v="0.03"/>
    <n v="0.01"/>
    <n v="0.08"/>
    <n v="2.8000000000000001E-2"/>
    <n v="0.01"/>
    <n v="1.7000000000000001E-2"/>
    <n v="1.2E-2"/>
    <n v="0.1"/>
  </r>
  <r>
    <d v="2026-07-06T00:00:00"/>
    <n v="28"/>
    <x v="41"/>
    <x v="3"/>
    <s v="After Borma"/>
    <m/>
    <n v="1000"/>
    <n v="296"/>
    <n v="3.7"/>
    <n v="690"/>
    <n v="49"/>
    <m/>
    <n v="7"/>
    <n v="73"/>
    <n v="0"/>
    <n v="19"/>
    <m/>
    <n v="18"/>
    <n v="20"/>
    <n v="8"/>
    <m/>
    <n v="16"/>
    <n v="100"/>
    <n v="1000"/>
    <n v="0.69"/>
    <n v="4.9000000000000002E-2"/>
    <n v="7.0000000000000001E-3"/>
    <n v="7.2999999999999995E-2"/>
    <n v="1.9E-2"/>
    <n v="1.7999999999999999E-2"/>
    <n v="2.8000000000000001E-2"/>
    <n v="1.6E-2"/>
    <n v="0.1"/>
  </r>
  <r>
    <d v="2026-07-06T00:00:00"/>
    <n v="28"/>
    <x v="41"/>
    <x v="3"/>
    <s v="After Borma"/>
    <m/>
    <n v="1000"/>
    <n v="286"/>
    <n v="3.7"/>
    <n v="715"/>
    <n v="38"/>
    <m/>
    <n v="3"/>
    <n v="67"/>
    <n v="0"/>
    <n v="24"/>
    <m/>
    <n v="15"/>
    <n v="12"/>
    <n v="6"/>
    <m/>
    <n v="15"/>
    <n v="105"/>
    <n v="1000"/>
    <n v="0.71499999999999997"/>
    <n v="3.7999999999999999E-2"/>
    <n v="3.0000000000000001E-3"/>
    <n v="6.7000000000000004E-2"/>
    <n v="2.4E-2"/>
    <n v="1.4999999999999999E-2"/>
    <n v="1.7999999999999999E-2"/>
    <n v="1.4999999999999999E-2"/>
    <n v="0.105"/>
  </r>
  <r>
    <d v="2026-07-06T00:00:00"/>
    <n v="28"/>
    <x v="41"/>
    <x v="3"/>
    <s v="After Borma"/>
    <m/>
    <n v="1000"/>
    <n v="296"/>
    <n v="3.6"/>
    <n v="669"/>
    <n v="28"/>
    <m/>
    <n v="64"/>
    <n v="87"/>
    <n v="0"/>
    <n v="10"/>
    <m/>
    <n v="22"/>
    <n v="10"/>
    <n v="8"/>
    <m/>
    <n v="6"/>
    <n v="96"/>
    <n v="1000"/>
    <n v="0.66900000000000004"/>
    <n v="2.8000000000000001E-2"/>
    <n v="6.4000000000000001E-2"/>
    <n v="8.6999999999999994E-2"/>
    <n v="0.01"/>
    <n v="2.1999999999999999E-2"/>
    <n v="1.7999999999999999E-2"/>
    <n v="6.0000000000000001E-3"/>
    <n v="9.6000000000000002E-2"/>
  </r>
  <r>
    <d v="2026-07-06T00:00:00"/>
    <n v="28"/>
    <x v="41"/>
    <x v="3"/>
    <s v="After Borma"/>
    <m/>
    <n v="1000"/>
    <n v="292"/>
    <n v="3"/>
    <n v="682"/>
    <n v="36"/>
    <m/>
    <n v="52"/>
    <n v="94"/>
    <n v="0"/>
    <n v="8"/>
    <m/>
    <n v="10"/>
    <n v="4"/>
    <n v="6"/>
    <m/>
    <n v="10"/>
    <n v="98"/>
    <n v="1000"/>
    <n v="0.68200000000000005"/>
    <n v="3.5999999999999997E-2"/>
    <n v="5.1999999999999998E-2"/>
    <n v="9.4E-2"/>
    <n v="8.0000000000000002E-3"/>
    <n v="0.01"/>
    <n v="0.01"/>
    <n v="0.01"/>
    <n v="9.8000000000000004E-2"/>
  </r>
  <r>
    <d v="2026-07-06T00:00:00"/>
    <n v="28"/>
    <x v="41"/>
    <x v="3"/>
    <s v="After Borma"/>
    <m/>
    <n v="1000"/>
    <n v="256"/>
    <n v="3.5"/>
    <n v="466"/>
    <n v="128"/>
    <m/>
    <n v="64"/>
    <n v="72"/>
    <n v="0"/>
    <n v="14"/>
    <m/>
    <n v="24"/>
    <n v="44"/>
    <n v="92"/>
    <m/>
    <n v="12"/>
    <n v="84"/>
    <n v="1000"/>
    <n v="0.46600000000000003"/>
    <n v="0.128"/>
    <n v="6.4000000000000001E-2"/>
    <n v="7.1999999999999995E-2"/>
    <n v="1.4E-2"/>
    <n v="2.4E-2"/>
    <n v="0.13600000000000001"/>
    <n v="1.2E-2"/>
    <n v="8.4000000000000005E-2"/>
  </r>
  <r>
    <d v="2026-07-06T00:00:00"/>
    <n v="28"/>
    <x v="41"/>
    <x v="3"/>
    <s v="After Borma"/>
    <m/>
    <n v="1000"/>
    <n v="260"/>
    <n v="3.1"/>
    <n v="641"/>
    <n v="34"/>
    <m/>
    <n v="68"/>
    <n v="100"/>
    <n v="0"/>
    <n v="13"/>
    <m/>
    <n v="20"/>
    <n v="12"/>
    <n v="10"/>
    <m/>
    <n v="8"/>
    <n v="94"/>
    <n v="1000"/>
    <n v="0.64100000000000001"/>
    <n v="3.4000000000000002E-2"/>
    <n v="6.8000000000000005E-2"/>
    <n v="0.1"/>
    <n v="1.2999999999999999E-2"/>
    <n v="0.02"/>
    <n v="2.1999999999999999E-2"/>
    <n v="8.0000000000000002E-3"/>
    <n v="9.4E-2"/>
  </r>
  <r>
    <d v="2026-07-07T00:00:00"/>
    <n v="28"/>
    <x v="42"/>
    <x v="3"/>
    <s v="After Borma"/>
    <m/>
    <n v="1000"/>
    <n v="308"/>
    <n v="3.3"/>
    <n v="532"/>
    <n v="72"/>
    <m/>
    <n v="68"/>
    <n v="96"/>
    <n v="40"/>
    <n v="10"/>
    <m/>
    <n v="6"/>
    <n v="20"/>
    <n v="40"/>
    <m/>
    <n v="24"/>
    <n v="92"/>
    <n v="1000"/>
    <n v="0.53200000000000003"/>
    <n v="7.1999999999999995E-2"/>
    <n v="6.8000000000000005E-2"/>
    <n v="0.13600000000000001"/>
    <n v="0.01"/>
    <n v="6.0000000000000001E-3"/>
    <n v="0.06"/>
    <n v="2.4E-2"/>
    <n v="9.1999999999999998E-2"/>
  </r>
  <r>
    <d v="2026-07-07T00:00:00"/>
    <n v="28"/>
    <x v="42"/>
    <x v="3"/>
    <s v="After Borma"/>
    <m/>
    <n v="1000"/>
    <n v="262"/>
    <n v="3.2"/>
    <n v="670"/>
    <n v="72"/>
    <m/>
    <n v="20"/>
    <n v="48"/>
    <n v="0"/>
    <n v="8"/>
    <m/>
    <n v="4"/>
    <n v="44"/>
    <n v="40"/>
    <m/>
    <n v="6"/>
    <n v="88"/>
    <n v="1000"/>
    <n v="0.67"/>
    <n v="7.1999999999999995E-2"/>
    <n v="0.02"/>
    <n v="4.8000000000000001E-2"/>
    <n v="8.0000000000000002E-3"/>
    <n v="4.0000000000000001E-3"/>
    <n v="8.4000000000000005E-2"/>
    <n v="6.0000000000000001E-3"/>
    <n v="8.7999999999999995E-2"/>
  </r>
  <r>
    <d v="2026-07-07T00:00:00"/>
    <n v="28"/>
    <x v="42"/>
    <x v="3"/>
    <s v="After Borma"/>
    <m/>
    <n v="1000"/>
    <n v="296"/>
    <n v="3.2"/>
    <n v="651"/>
    <n v="32"/>
    <m/>
    <n v="76"/>
    <n v="88"/>
    <n v="0"/>
    <n v="16"/>
    <m/>
    <n v="34"/>
    <n v="3"/>
    <n v="2"/>
    <m/>
    <n v="2"/>
    <n v="96"/>
    <n v="1000"/>
    <n v="0.65100000000000002"/>
    <n v="3.2000000000000001E-2"/>
    <n v="7.5999999999999998E-2"/>
    <n v="8.7999999999999995E-2"/>
    <n v="1.6E-2"/>
    <n v="3.4000000000000002E-2"/>
    <n v="5.0000000000000001E-3"/>
    <n v="2E-3"/>
    <n v="9.6000000000000002E-2"/>
  </r>
  <r>
    <d v="2026-07-07T00:00:00"/>
    <n v="28"/>
    <x v="42"/>
    <x v="3"/>
    <s v="After Borma"/>
    <m/>
    <n v="1000"/>
    <n v="296"/>
    <n v="3.1"/>
    <n v="659"/>
    <n v="40"/>
    <m/>
    <n v="44"/>
    <n v="108"/>
    <n v="0"/>
    <n v="10"/>
    <m/>
    <n v="20"/>
    <n v="3"/>
    <n v="2"/>
    <m/>
    <n v="16"/>
    <n v="98"/>
    <n v="1000"/>
    <n v="0.65900000000000003"/>
    <n v="0.04"/>
    <n v="4.3999999999999997E-2"/>
    <n v="0.108"/>
    <n v="0.01"/>
    <n v="0.02"/>
    <n v="5.0000000000000001E-3"/>
    <n v="1.6E-2"/>
    <n v="9.8000000000000004E-2"/>
  </r>
  <r>
    <d v="2026-07-07T00:00:00"/>
    <n v="28"/>
    <x v="42"/>
    <x v="3"/>
    <s v="After Borma"/>
    <m/>
    <n v="1000"/>
    <n v="284"/>
    <n v="3.2"/>
    <n v="573"/>
    <n v="38"/>
    <m/>
    <n v="44"/>
    <n v="156"/>
    <n v="0"/>
    <n v="40"/>
    <m/>
    <n v="38"/>
    <n v="3"/>
    <n v="2"/>
    <m/>
    <n v="8"/>
    <n v="98"/>
    <n v="1000"/>
    <n v="0.57299999999999995"/>
    <n v="3.7999999999999999E-2"/>
    <n v="4.3999999999999997E-2"/>
    <n v="0.156"/>
    <n v="0.04"/>
    <n v="3.7999999999999999E-2"/>
    <n v="5.0000000000000001E-3"/>
    <n v="8.0000000000000002E-3"/>
    <n v="9.8000000000000004E-2"/>
  </r>
  <r>
    <d v="2026-07-07T00:00:00"/>
    <n v="28"/>
    <x v="42"/>
    <x v="3"/>
    <s v="After Borma"/>
    <m/>
    <n v="1000"/>
    <n v="256"/>
    <n v="3.2"/>
    <n v="676"/>
    <n v="76"/>
    <m/>
    <n v="16"/>
    <n v="44"/>
    <n v="0"/>
    <n v="20"/>
    <m/>
    <n v="8"/>
    <n v="10"/>
    <n v="54"/>
    <m/>
    <n v="8"/>
    <n v="88"/>
    <n v="1000"/>
    <n v="0.67600000000000005"/>
    <n v="7.5999999999999998E-2"/>
    <n v="1.6E-2"/>
    <n v="4.3999999999999997E-2"/>
    <n v="0.02"/>
    <n v="8.0000000000000002E-3"/>
    <n v="6.4000000000000001E-2"/>
    <n v="8.0000000000000002E-3"/>
    <n v="8.7999999999999995E-2"/>
  </r>
  <r>
    <d v="2026-07-07T00:00:00"/>
    <n v="28"/>
    <x v="42"/>
    <x v="3"/>
    <s v="After Borma"/>
    <m/>
    <n v="1000"/>
    <n v="266"/>
    <n v="3.2"/>
    <n v="737"/>
    <n v="28"/>
    <m/>
    <n v="30"/>
    <n v="88"/>
    <n v="0"/>
    <n v="0"/>
    <m/>
    <n v="4"/>
    <n v="8"/>
    <n v="3"/>
    <m/>
    <n v="4"/>
    <n v="98"/>
    <n v="1000"/>
    <n v="0.73699999999999999"/>
    <n v="2.8000000000000001E-2"/>
    <n v="0.03"/>
    <n v="8.7999999999999995E-2"/>
    <n v="0"/>
    <n v="4.0000000000000001E-3"/>
    <n v="1.0999999999999999E-2"/>
    <n v="4.0000000000000001E-3"/>
    <n v="9.8000000000000004E-2"/>
  </r>
  <r>
    <d v="2026-07-07T00:00:00"/>
    <n v="28"/>
    <x v="42"/>
    <x v="3"/>
    <s v="After Borma"/>
    <m/>
    <n v="1000"/>
    <n v="240"/>
    <n v="3.1"/>
    <n v="677"/>
    <n v="34"/>
    <m/>
    <n v="44"/>
    <n v="60"/>
    <n v="0"/>
    <n v="20"/>
    <m/>
    <n v="15"/>
    <n v="18"/>
    <n v="15"/>
    <m/>
    <n v="19"/>
    <n v="98"/>
    <n v="1000"/>
    <n v="0.67700000000000005"/>
    <n v="3.4000000000000002E-2"/>
    <n v="4.3999999999999997E-2"/>
    <n v="0.06"/>
    <n v="0.02"/>
    <n v="1.4999999999999999E-2"/>
    <n v="3.3000000000000002E-2"/>
    <n v="1.9E-2"/>
    <n v="9.8000000000000004E-2"/>
  </r>
  <r>
    <d v="2026-07-07T00:00:00"/>
    <n v="28"/>
    <x v="42"/>
    <x v="3"/>
    <s v="After Borma"/>
    <m/>
    <n v="1000"/>
    <n v="298"/>
    <n v="3.1"/>
    <n v="702"/>
    <n v="36"/>
    <m/>
    <n v="56"/>
    <n v="40"/>
    <n v="0"/>
    <n v="20"/>
    <m/>
    <n v="12"/>
    <n v="16"/>
    <n v="20"/>
    <m/>
    <n v="12"/>
    <n v="86"/>
    <n v="1000"/>
    <n v="0.70199999999999996"/>
    <n v="3.5999999999999997E-2"/>
    <n v="5.6000000000000001E-2"/>
    <n v="0.04"/>
    <n v="0.02"/>
    <n v="1.2E-2"/>
    <n v="3.5999999999999997E-2"/>
    <n v="1.2E-2"/>
    <n v="8.5999999999999993E-2"/>
  </r>
  <r>
    <d v="2026-07-08T00:00:00"/>
    <n v="28"/>
    <x v="43"/>
    <x v="3"/>
    <s v="After Borma"/>
    <m/>
    <n v="1000"/>
    <n v="240"/>
    <n v="3.2"/>
    <n v="668"/>
    <n v="40"/>
    <m/>
    <n v="69"/>
    <n v="96"/>
    <n v="0"/>
    <n v="2"/>
    <m/>
    <n v="3"/>
    <n v="4"/>
    <n v="12"/>
    <m/>
    <n v="8"/>
    <n v="98"/>
    <n v="1000"/>
    <n v="0.66800000000000004"/>
    <n v="0.04"/>
    <n v="6.9000000000000006E-2"/>
    <n v="9.6000000000000002E-2"/>
    <n v="2E-3"/>
    <n v="3.0000000000000001E-3"/>
    <n v="1.6E-2"/>
    <n v="8.0000000000000002E-3"/>
    <n v="9.8000000000000004E-2"/>
  </r>
  <r>
    <d v="2026-07-08T00:00:00"/>
    <n v="28"/>
    <x v="43"/>
    <x v="3"/>
    <s v="After Borma"/>
    <m/>
    <n v="1000"/>
    <n v="270"/>
    <n v="3.2"/>
    <n v="688"/>
    <n v="16"/>
    <m/>
    <n v="68"/>
    <n v="80"/>
    <n v="0"/>
    <n v="2"/>
    <m/>
    <n v="12"/>
    <n v="8"/>
    <n v="8"/>
    <m/>
    <n v="20"/>
    <n v="98"/>
    <n v="1000"/>
    <n v="0.68799999999999994"/>
    <n v="1.6E-2"/>
    <n v="6.8000000000000005E-2"/>
    <n v="0.08"/>
    <n v="2E-3"/>
    <n v="1.2E-2"/>
    <n v="1.6E-2"/>
    <n v="0.02"/>
    <n v="9.8000000000000004E-2"/>
  </r>
  <r>
    <d v="2026-07-08T00:00:00"/>
    <n v="28"/>
    <x v="43"/>
    <x v="3"/>
    <s v="After Borma"/>
    <m/>
    <n v="1000"/>
    <n v="262"/>
    <n v="3.3"/>
    <n v="628"/>
    <n v="68"/>
    <m/>
    <n v="40"/>
    <n v="120"/>
    <n v="0"/>
    <n v="6"/>
    <m/>
    <n v="12"/>
    <n v="14"/>
    <n v="12"/>
    <m/>
    <n v="8"/>
    <n v="92"/>
    <n v="1000"/>
    <n v="0.628"/>
    <n v="6.8000000000000005E-2"/>
    <n v="0.04"/>
    <n v="0.12"/>
    <n v="6.0000000000000001E-3"/>
    <n v="1.2E-2"/>
    <n v="2.5999999999999999E-2"/>
    <n v="8.0000000000000002E-3"/>
    <n v="9.1999999999999998E-2"/>
  </r>
  <r>
    <d v="2026-07-08T00:00:00"/>
    <n v="28"/>
    <x v="43"/>
    <x v="3"/>
    <s v="After Borma"/>
    <m/>
    <n v="1000"/>
    <n v="252"/>
    <n v="3.2"/>
    <n v="550"/>
    <n v="76"/>
    <m/>
    <n v="56"/>
    <n v="108"/>
    <n v="0"/>
    <n v="2"/>
    <m/>
    <n v="20"/>
    <n v="8"/>
    <n v="20"/>
    <m/>
    <n v="64"/>
    <n v="96"/>
    <n v="1000"/>
    <n v="0.55000000000000004"/>
    <n v="7.5999999999999998E-2"/>
    <n v="5.6000000000000001E-2"/>
    <n v="0.108"/>
    <n v="2E-3"/>
    <n v="0.02"/>
    <n v="2.8000000000000001E-2"/>
    <n v="6.4000000000000001E-2"/>
    <n v="9.6000000000000002E-2"/>
  </r>
  <r>
    <d v="2026-07-08T00:00:00"/>
    <n v="28"/>
    <x v="43"/>
    <x v="3"/>
    <s v="After Borma"/>
    <m/>
    <n v="1000"/>
    <n v="240"/>
    <n v="3.2"/>
    <n v="655"/>
    <n v="60"/>
    <m/>
    <n v="80"/>
    <n v="80"/>
    <n v="0"/>
    <n v="16"/>
    <m/>
    <n v="4"/>
    <n v="4"/>
    <n v="3"/>
    <m/>
    <n v="10"/>
    <n v="88"/>
    <n v="1000"/>
    <n v="0.65500000000000003"/>
    <n v="0.06"/>
    <n v="0.08"/>
    <n v="0.08"/>
    <n v="1.6E-2"/>
    <n v="4.0000000000000001E-3"/>
    <n v="7.0000000000000001E-3"/>
    <n v="0.01"/>
    <n v="8.7999999999999995E-2"/>
  </r>
  <r>
    <d v="2026-07-08T00:00:00"/>
    <n v="28"/>
    <x v="43"/>
    <x v="3"/>
    <s v="After Borma"/>
    <m/>
    <n v="1000"/>
    <n v="254"/>
    <n v="3.3"/>
    <n v="667"/>
    <n v="48"/>
    <m/>
    <n v="54"/>
    <n v="76"/>
    <n v="0"/>
    <n v="32"/>
    <m/>
    <n v="12"/>
    <n v="4"/>
    <n v="3"/>
    <m/>
    <n v="12"/>
    <n v="92"/>
    <n v="1000"/>
    <n v="0.66700000000000004"/>
    <n v="4.8000000000000001E-2"/>
    <n v="5.3999999999999999E-2"/>
    <n v="7.5999999999999998E-2"/>
    <n v="3.2000000000000001E-2"/>
    <n v="1.2E-2"/>
    <n v="7.0000000000000001E-3"/>
    <n v="1.2E-2"/>
    <n v="9.1999999999999998E-2"/>
  </r>
  <r>
    <d v="2026-07-08T00:00:00"/>
    <n v="28"/>
    <x v="43"/>
    <x v="3"/>
    <s v="After Borma"/>
    <m/>
    <n v="1000"/>
    <n v="260"/>
    <n v="3.3"/>
    <n v="681"/>
    <n v="28"/>
    <m/>
    <n v="60"/>
    <n v="72"/>
    <n v="0"/>
    <n v="2"/>
    <m/>
    <n v="44"/>
    <n v="4"/>
    <n v="3"/>
    <m/>
    <n v="8"/>
    <n v="98"/>
    <n v="1000"/>
    <n v="0.68100000000000005"/>
    <n v="2.8000000000000001E-2"/>
    <n v="0.06"/>
    <n v="7.1999999999999995E-2"/>
    <n v="2E-3"/>
    <n v="4.3999999999999997E-2"/>
    <n v="7.0000000000000001E-3"/>
    <n v="8.0000000000000002E-3"/>
    <n v="9.8000000000000004E-2"/>
  </r>
  <r>
    <d v="2026-07-08T00:00:00"/>
    <n v="28"/>
    <x v="43"/>
    <x v="3"/>
    <s v="After Borma"/>
    <m/>
    <n v="1000"/>
    <n v="286"/>
    <n v="3.3"/>
    <n v="654"/>
    <n v="20"/>
    <m/>
    <n v="56"/>
    <n v="108"/>
    <n v="0"/>
    <n v="28"/>
    <m/>
    <n v="4"/>
    <n v="8"/>
    <n v="12"/>
    <m/>
    <n v="12"/>
    <n v="98"/>
    <n v="1000"/>
    <n v="0.65400000000000003"/>
    <n v="0.02"/>
    <n v="5.6000000000000001E-2"/>
    <n v="0.108"/>
    <n v="2.8000000000000001E-2"/>
    <n v="4.0000000000000001E-3"/>
    <n v="0.02"/>
    <n v="1.2E-2"/>
    <n v="9.8000000000000004E-2"/>
  </r>
  <r>
    <d v="2026-07-08T00:00:00"/>
    <n v="28"/>
    <x v="43"/>
    <x v="3"/>
    <s v="After Borma"/>
    <m/>
    <n v="1000"/>
    <n v="296"/>
    <n v="3.2"/>
    <n v="576"/>
    <n v="108"/>
    <m/>
    <n v="40"/>
    <n v="76"/>
    <n v="0"/>
    <n v="4"/>
    <m/>
    <n v="24"/>
    <n v="40"/>
    <n v="28"/>
    <m/>
    <n v="6"/>
    <n v="98"/>
    <n v="1000"/>
    <n v="0.57599999999999996"/>
    <n v="0.108"/>
    <n v="0.04"/>
    <n v="7.5999999999999998E-2"/>
    <n v="4.0000000000000001E-3"/>
    <n v="2.4E-2"/>
    <n v="6.8000000000000005E-2"/>
    <n v="6.0000000000000001E-3"/>
    <n v="9.8000000000000004E-2"/>
  </r>
  <r>
    <d v="2026-07-08T00:00:00"/>
    <n v="28"/>
    <x v="43"/>
    <x v="3"/>
    <s v="After Borma"/>
    <m/>
    <n v="1000"/>
    <n v="288"/>
    <n v="3.6"/>
    <n v="502"/>
    <n v="76"/>
    <m/>
    <n v="96"/>
    <n v="108"/>
    <n v="0"/>
    <n v="4"/>
    <m/>
    <n v="28"/>
    <n v="40"/>
    <n v="20"/>
    <m/>
    <n v="28"/>
    <n v="98"/>
    <n v="1000"/>
    <n v="0.502"/>
    <n v="7.5999999999999998E-2"/>
    <n v="9.6000000000000002E-2"/>
    <n v="0.108"/>
    <n v="4.0000000000000001E-3"/>
    <n v="2.8000000000000001E-2"/>
    <n v="0.06"/>
    <n v="2.8000000000000001E-2"/>
    <n v="9.8000000000000004E-2"/>
  </r>
  <r>
    <d v="2026-07-08T00:00:00"/>
    <n v="28"/>
    <x v="43"/>
    <x v="3"/>
    <s v="After Borma"/>
    <m/>
    <n v="1000"/>
    <n v="306"/>
    <n v="3.8"/>
    <n v="669"/>
    <n v="36"/>
    <m/>
    <n v="68"/>
    <n v="96"/>
    <n v="0"/>
    <n v="2"/>
    <m/>
    <n v="12"/>
    <n v="12"/>
    <n v="3"/>
    <m/>
    <n v="6"/>
    <n v="96"/>
    <n v="1000"/>
    <n v="0.66900000000000004"/>
    <n v="3.5999999999999997E-2"/>
    <n v="6.8000000000000005E-2"/>
    <n v="9.6000000000000002E-2"/>
    <n v="2E-3"/>
    <n v="1.2E-2"/>
    <n v="1.4999999999999999E-2"/>
    <n v="6.0000000000000001E-3"/>
    <n v="9.6000000000000002E-2"/>
  </r>
  <r>
    <d v="2026-07-08T00:00:00"/>
    <n v="28"/>
    <x v="43"/>
    <x v="3"/>
    <s v="After Borma"/>
    <m/>
    <n v="1000"/>
    <n v="274"/>
    <n v="3.7"/>
    <n v="695"/>
    <n v="36"/>
    <m/>
    <n v="68"/>
    <n v="64"/>
    <n v="0"/>
    <n v="16"/>
    <m/>
    <n v="4"/>
    <n v="3"/>
    <n v="4"/>
    <m/>
    <n v="16"/>
    <n v="94"/>
    <n v="1000"/>
    <n v="0.69499999999999995"/>
    <n v="3.5999999999999997E-2"/>
    <n v="6.8000000000000005E-2"/>
    <n v="6.4000000000000001E-2"/>
    <n v="1.6E-2"/>
    <n v="4.0000000000000001E-3"/>
    <n v="7.0000000000000001E-3"/>
    <n v="1.6E-2"/>
    <n v="9.4E-2"/>
  </r>
  <r>
    <d v="2026-07-08T00:00:00"/>
    <n v="28"/>
    <x v="43"/>
    <x v="3"/>
    <s v="After Borma"/>
    <m/>
    <n v="1000"/>
    <n v="250"/>
    <n v="3.3"/>
    <n v="693"/>
    <n v="12"/>
    <m/>
    <n v="56"/>
    <n v="60"/>
    <n v="0"/>
    <n v="6"/>
    <m/>
    <n v="12"/>
    <n v="28"/>
    <n v="19"/>
    <m/>
    <n v="16"/>
    <n v="98"/>
    <n v="1000"/>
    <n v="0.69299999999999995"/>
    <n v="1.2E-2"/>
    <n v="5.6000000000000001E-2"/>
    <n v="0.06"/>
    <n v="6.0000000000000001E-3"/>
    <n v="1.2E-2"/>
    <n v="4.7E-2"/>
    <n v="1.6E-2"/>
    <n v="9.8000000000000004E-2"/>
  </r>
  <r>
    <d v="2026-07-08T00:00:00"/>
    <n v="28"/>
    <x v="43"/>
    <x v="3"/>
    <s v="After Borma"/>
    <m/>
    <n v="1000"/>
    <n v="276"/>
    <n v="3.4"/>
    <n v="521"/>
    <n v="67"/>
    <m/>
    <n v="90"/>
    <n v="102"/>
    <n v="0"/>
    <n v="8"/>
    <m/>
    <n v="29"/>
    <n v="38"/>
    <n v="20"/>
    <m/>
    <n v="25"/>
    <n v="100"/>
    <n v="1000"/>
    <n v="0.52100000000000002"/>
    <n v="6.7000000000000004E-2"/>
    <n v="0.09"/>
    <n v="0.10199999999999999"/>
    <n v="8.0000000000000002E-3"/>
    <n v="2.9000000000000001E-2"/>
    <n v="5.8000000000000003E-2"/>
    <n v="2.5000000000000001E-2"/>
    <n v="0.1"/>
  </r>
  <r>
    <d v="2026-07-09T00:00:00"/>
    <n v="28"/>
    <x v="44"/>
    <x v="3"/>
    <s v="After Borma"/>
    <m/>
    <n v="1000"/>
    <n v="262"/>
    <n v="3.6"/>
    <n v="664"/>
    <n v="20"/>
    <m/>
    <n v="80"/>
    <n v="64"/>
    <n v="0"/>
    <n v="16"/>
    <m/>
    <n v="32"/>
    <n v="4"/>
    <n v="14"/>
    <m/>
    <n v="8"/>
    <n v="98"/>
    <n v="1000"/>
    <n v="0.66400000000000003"/>
    <n v="0.02"/>
    <n v="0.08"/>
    <n v="6.4000000000000001E-2"/>
    <n v="1.6E-2"/>
    <n v="3.2000000000000001E-2"/>
    <n v="1.7999999999999999E-2"/>
    <n v="8.0000000000000002E-3"/>
    <n v="9.8000000000000004E-2"/>
  </r>
  <r>
    <d v="2026-07-09T00:00:00"/>
    <n v="28"/>
    <x v="44"/>
    <x v="3"/>
    <s v="After Borma"/>
    <m/>
    <n v="1000"/>
    <n v="264"/>
    <n v="3.6"/>
    <n v="674"/>
    <n v="32"/>
    <m/>
    <n v="74"/>
    <n v="78"/>
    <n v="0"/>
    <n v="12"/>
    <m/>
    <n v="12"/>
    <n v="6"/>
    <n v="10"/>
    <m/>
    <n v="6"/>
    <n v="96"/>
    <n v="1000"/>
    <n v="0.67400000000000004"/>
    <n v="3.2000000000000001E-2"/>
    <n v="7.3999999999999996E-2"/>
    <n v="7.8E-2"/>
    <n v="1.2E-2"/>
    <n v="1.2E-2"/>
    <n v="1.6E-2"/>
    <n v="6.0000000000000001E-3"/>
    <n v="9.6000000000000002E-2"/>
  </r>
  <r>
    <d v="2026-07-09T00:00:00"/>
    <n v="28"/>
    <x v="44"/>
    <x v="3"/>
    <s v="After Borma"/>
    <m/>
    <n v="1000"/>
    <n v="264"/>
    <n v="3.6"/>
    <n v="679"/>
    <n v="27"/>
    <m/>
    <n v="68"/>
    <n v="74"/>
    <n v="0"/>
    <n v="18"/>
    <m/>
    <n v="14"/>
    <n v="8"/>
    <n v="7"/>
    <m/>
    <n v="7"/>
    <n v="98"/>
    <n v="1000"/>
    <n v="0.67900000000000005"/>
    <n v="2.7E-2"/>
    <n v="6.8000000000000005E-2"/>
    <n v="7.3999999999999996E-2"/>
    <n v="1.7999999999999999E-2"/>
    <n v="1.4E-2"/>
    <n v="1.4999999999999999E-2"/>
    <n v="7.0000000000000001E-3"/>
    <n v="9.8000000000000004E-2"/>
  </r>
  <r>
    <d v="2026-07-09T00:00:00"/>
    <n v="28"/>
    <x v="44"/>
    <x v="3"/>
    <s v="After Borma"/>
    <m/>
    <n v="1000"/>
    <n v="282"/>
    <n v="3.6"/>
    <n v="678"/>
    <n v="30"/>
    <m/>
    <n v="72"/>
    <n v="78"/>
    <n v="0"/>
    <n v="10"/>
    <m/>
    <n v="16"/>
    <n v="7"/>
    <n v="2"/>
    <m/>
    <n v="8"/>
    <n v="99"/>
    <n v="1000"/>
    <n v="0.67800000000000005"/>
    <n v="0.03"/>
    <n v="7.1999999999999995E-2"/>
    <n v="7.8E-2"/>
    <n v="0.01"/>
    <n v="1.6E-2"/>
    <n v="8.9999999999999993E-3"/>
    <n v="8.0000000000000002E-3"/>
    <n v="9.9000000000000005E-2"/>
  </r>
  <r>
    <d v="2026-07-09T00:00:00"/>
    <n v="28"/>
    <x v="44"/>
    <x v="3"/>
    <s v="After Borma"/>
    <m/>
    <n v="1000"/>
    <n v="278"/>
    <n v="3.6"/>
    <n v="710"/>
    <n v="36"/>
    <m/>
    <n v="64"/>
    <n v="80"/>
    <n v="0"/>
    <n v="5"/>
    <m/>
    <n v="4"/>
    <n v="4"/>
    <n v="3"/>
    <m/>
    <n v="6"/>
    <n v="88"/>
    <n v="1000"/>
    <n v="0.71"/>
    <n v="3.5999999999999997E-2"/>
    <n v="6.4000000000000001E-2"/>
    <n v="0.08"/>
    <n v="5.0000000000000001E-3"/>
    <n v="4.0000000000000001E-3"/>
    <n v="7.0000000000000001E-3"/>
    <n v="6.0000000000000001E-3"/>
    <n v="8.7999999999999995E-2"/>
  </r>
  <r>
    <d v="2026-07-09T00:00:00"/>
    <n v="28"/>
    <x v="44"/>
    <x v="3"/>
    <s v="After Borma"/>
    <m/>
    <n v="1000"/>
    <n v="262"/>
    <n v="3.5"/>
    <n v="698"/>
    <n v="29"/>
    <m/>
    <n v="68"/>
    <n v="79"/>
    <n v="0"/>
    <n v="10"/>
    <m/>
    <n v="7"/>
    <n v="4"/>
    <n v="3"/>
    <m/>
    <n v="8"/>
    <n v="94"/>
    <n v="1000"/>
    <n v="0.69799999999999995"/>
    <n v="2.9000000000000001E-2"/>
    <n v="6.8000000000000005E-2"/>
    <n v="7.9000000000000001E-2"/>
    <n v="0.01"/>
    <n v="7.0000000000000001E-3"/>
    <n v="7.0000000000000001E-3"/>
    <n v="8.0000000000000002E-3"/>
    <n v="9.4E-2"/>
  </r>
  <r>
    <d v="2026-07-09T00:00:00"/>
    <n v="28"/>
    <x v="44"/>
    <x v="3"/>
    <s v="After Borma"/>
    <m/>
    <n v="1000"/>
    <n v="286"/>
    <n v="3.6"/>
    <n v="733"/>
    <n v="44"/>
    <m/>
    <n v="20"/>
    <n v="84"/>
    <n v="0"/>
    <n v="3"/>
    <m/>
    <n v="6"/>
    <n v="4"/>
    <n v="2"/>
    <m/>
    <n v="6"/>
    <n v="98"/>
    <n v="1000"/>
    <n v="0.73299999999999998"/>
    <n v="4.3999999999999997E-2"/>
    <n v="0.02"/>
    <n v="8.4000000000000005E-2"/>
    <n v="3.0000000000000001E-3"/>
    <n v="6.0000000000000001E-3"/>
    <n v="6.0000000000000001E-3"/>
    <n v="6.0000000000000001E-3"/>
    <n v="9.8000000000000004E-2"/>
  </r>
  <r>
    <d v="2026-07-09T00:00:00"/>
    <n v="28"/>
    <x v="44"/>
    <x v="3"/>
    <s v="After Borma"/>
    <m/>
    <n v="1000"/>
    <n v="276"/>
    <n v="3.6"/>
    <n v="662"/>
    <n v="30"/>
    <m/>
    <n v="77"/>
    <n v="90"/>
    <n v="0"/>
    <n v="10"/>
    <m/>
    <n v="18"/>
    <n v="5"/>
    <n v="3"/>
    <m/>
    <n v="19"/>
    <n v="86"/>
    <n v="1000"/>
    <n v="0.66200000000000003"/>
    <n v="0.03"/>
    <n v="7.6999999999999999E-2"/>
    <n v="0.09"/>
    <n v="0.01"/>
    <n v="1.7999999999999999E-2"/>
    <n v="8.0000000000000002E-3"/>
    <n v="1.9E-2"/>
    <n v="8.5999999999999993E-2"/>
  </r>
  <r>
    <d v="2026-07-09T00:00:00"/>
    <n v="28"/>
    <x v="44"/>
    <x v="3"/>
    <s v="After Borma"/>
    <m/>
    <n v="1000"/>
    <n v="304"/>
    <n v="3.3"/>
    <n v="629"/>
    <n v="52"/>
    <m/>
    <n v="82"/>
    <n v="88"/>
    <n v="0"/>
    <n v="12"/>
    <m/>
    <n v="20"/>
    <n v="6"/>
    <n v="3"/>
    <m/>
    <n v="20"/>
    <n v="88"/>
    <n v="1000"/>
    <n v="0.629"/>
    <n v="5.1999999999999998E-2"/>
    <n v="8.2000000000000003E-2"/>
    <n v="8.7999999999999995E-2"/>
    <n v="1.2E-2"/>
    <n v="0.02"/>
    <n v="8.9999999999999993E-3"/>
    <n v="0.02"/>
    <n v="8.7999999999999995E-2"/>
  </r>
  <r>
    <d v="2026-07-09T00:00:00"/>
    <n v="28"/>
    <x v="44"/>
    <x v="3"/>
    <s v="After Borma"/>
    <m/>
    <n v="1000"/>
    <n v="254"/>
    <n v="3.4"/>
    <n v="628"/>
    <n v="36"/>
    <m/>
    <n v="72"/>
    <n v="108"/>
    <n v="0"/>
    <n v="16"/>
    <m/>
    <n v="16"/>
    <n v="12"/>
    <n v="8"/>
    <m/>
    <n v="6"/>
    <n v="98"/>
    <n v="1000"/>
    <n v="0.628"/>
    <n v="3.5999999999999997E-2"/>
    <n v="7.1999999999999995E-2"/>
    <n v="0.108"/>
    <n v="1.6E-2"/>
    <n v="1.6E-2"/>
    <n v="0.02"/>
    <n v="6.0000000000000001E-3"/>
    <n v="9.8000000000000004E-2"/>
  </r>
  <r>
    <d v="2026-07-09T00:00:00"/>
    <n v="28"/>
    <x v="44"/>
    <x v="3"/>
    <s v="After Borma"/>
    <m/>
    <n v="1000"/>
    <n v="262"/>
    <n v="3.4"/>
    <n v="653"/>
    <n v="30"/>
    <m/>
    <n v="76"/>
    <n v="94"/>
    <n v="0"/>
    <n v="14"/>
    <m/>
    <n v="10"/>
    <n v="10"/>
    <n v="7"/>
    <m/>
    <n v="10"/>
    <n v="96"/>
    <n v="1000"/>
    <n v="0.65300000000000002"/>
    <n v="0.03"/>
    <n v="7.5999999999999998E-2"/>
    <n v="9.4E-2"/>
    <n v="1.4E-2"/>
    <n v="0.01"/>
    <n v="1.7000000000000001E-2"/>
    <n v="0.01"/>
    <n v="9.6000000000000002E-2"/>
  </r>
  <r>
    <d v="2026-07-09T00:00:00"/>
    <n v="28"/>
    <x v="44"/>
    <x v="3"/>
    <s v="After Borma"/>
    <m/>
    <n v="1000"/>
    <n v="273"/>
    <n v="3.4"/>
    <n v="690"/>
    <n v="40"/>
    <m/>
    <n v="124"/>
    <n v="18"/>
    <n v="0"/>
    <n v="4"/>
    <m/>
    <n v="6"/>
    <n v="4"/>
    <n v="2"/>
    <m/>
    <n v="20"/>
    <n v="92"/>
    <n v="1000"/>
    <n v="0.69"/>
    <n v="0.04"/>
    <n v="0.124"/>
    <n v="1.7999999999999999E-2"/>
    <n v="4.0000000000000001E-3"/>
    <n v="6.0000000000000001E-3"/>
    <n v="6.0000000000000001E-3"/>
    <n v="0.02"/>
    <n v="9.1999999999999998E-2"/>
  </r>
  <r>
    <d v="2026-07-09T00:00:00"/>
    <n v="28"/>
    <x v="45"/>
    <x v="3"/>
    <s v="After Borma"/>
    <m/>
    <n v="1000"/>
    <n v="280"/>
    <n v="3.6"/>
    <n v="520"/>
    <n v="64"/>
    <m/>
    <n v="52"/>
    <n v="64"/>
    <n v="0"/>
    <n v="24"/>
    <m/>
    <n v="28"/>
    <n v="52"/>
    <n v="40"/>
    <m/>
    <n v="56"/>
    <n v="100"/>
    <n v="1000"/>
    <n v="0.52"/>
    <n v="6.4000000000000001E-2"/>
    <n v="5.1999999999999998E-2"/>
    <n v="6.4000000000000001E-2"/>
    <n v="2.4E-2"/>
    <n v="2.8000000000000001E-2"/>
    <n v="9.1999999999999998E-2"/>
    <n v="5.6000000000000001E-2"/>
    <n v="0.1"/>
  </r>
  <r>
    <d v="2026-07-09T00:00:00"/>
    <n v="28"/>
    <x v="45"/>
    <x v="3"/>
    <s v="After Borma"/>
    <m/>
    <n v="1000"/>
    <n v="258"/>
    <n v="3.6"/>
    <n v="650"/>
    <n v="6"/>
    <m/>
    <n v="36"/>
    <n v="124"/>
    <n v="0"/>
    <n v="25"/>
    <m/>
    <n v="20"/>
    <n v="9"/>
    <n v="10"/>
    <m/>
    <n v="28"/>
    <n v="92"/>
    <n v="1000"/>
    <n v="0.65"/>
    <n v="6.0000000000000001E-3"/>
    <n v="3.5999999999999997E-2"/>
    <n v="0.124"/>
    <n v="2.5000000000000001E-2"/>
    <n v="0.02"/>
    <n v="1.9E-2"/>
    <n v="2.8000000000000001E-2"/>
    <n v="9.1999999999999998E-2"/>
  </r>
  <r>
    <d v="2026-07-09T00:00:00"/>
    <n v="28"/>
    <x v="45"/>
    <x v="3"/>
    <s v="After Borma"/>
    <m/>
    <n v="1000"/>
    <n v="264"/>
    <n v="3.6"/>
    <n v="603"/>
    <n v="68"/>
    <m/>
    <n v="50"/>
    <n v="98"/>
    <n v="0"/>
    <n v="20"/>
    <m/>
    <n v="18"/>
    <n v="8"/>
    <n v="8"/>
    <m/>
    <n v="29"/>
    <n v="98"/>
    <n v="1000"/>
    <n v="0.60299999999999998"/>
    <n v="6.8000000000000005E-2"/>
    <n v="0.05"/>
    <n v="9.8000000000000004E-2"/>
    <n v="0.02"/>
    <n v="1.7999999999999999E-2"/>
    <n v="1.6E-2"/>
    <n v="2.9000000000000001E-2"/>
    <n v="9.8000000000000004E-2"/>
  </r>
  <r>
    <d v="2026-07-10T00:00:00"/>
    <n v="28"/>
    <x v="45"/>
    <x v="3"/>
    <s v="After Borma"/>
    <m/>
    <n v="1000"/>
    <n v="270"/>
    <n v="3.2"/>
    <n v="566"/>
    <n v="60"/>
    <m/>
    <n v="48"/>
    <n v="104"/>
    <n v="0"/>
    <n v="4"/>
    <m/>
    <n v="12"/>
    <n v="40"/>
    <n v="50"/>
    <m/>
    <n v="36"/>
    <n v="80"/>
    <n v="1000"/>
    <n v="0.56599999999999995"/>
    <n v="0.06"/>
    <n v="4.8000000000000001E-2"/>
    <n v="0.104"/>
    <n v="4.0000000000000001E-3"/>
    <n v="1.2E-2"/>
    <n v="0.09"/>
    <n v="3.5999999999999997E-2"/>
    <n v="0.08"/>
  </r>
  <r>
    <d v="2026-07-10T00:00:00"/>
    <n v="28"/>
    <x v="45"/>
    <x v="3"/>
    <s v="After Borma"/>
    <m/>
    <n v="1000"/>
    <n v="262"/>
    <n v="3.3"/>
    <n v="662"/>
    <n v="80"/>
    <m/>
    <n v="30"/>
    <n v="64"/>
    <n v="0"/>
    <n v="2"/>
    <m/>
    <n v="12"/>
    <n v="20"/>
    <n v="36"/>
    <m/>
    <n v="6"/>
    <n v="88"/>
    <n v="1000"/>
    <n v="0.66200000000000003"/>
    <n v="0.08"/>
    <n v="0.03"/>
    <n v="6.4000000000000001E-2"/>
    <n v="2E-3"/>
    <n v="1.2E-2"/>
    <n v="5.6000000000000001E-2"/>
    <n v="6.0000000000000001E-3"/>
    <n v="8.7999999999999995E-2"/>
  </r>
  <r>
    <d v="2026-07-10T00:00:00"/>
    <n v="28"/>
    <x v="45"/>
    <x v="3"/>
    <s v="After Borma"/>
    <m/>
    <n v="1000"/>
    <n v="310"/>
    <n v="3.2"/>
    <n v="618"/>
    <n v="80"/>
    <m/>
    <n v="80"/>
    <n v="72"/>
    <n v="0"/>
    <n v="2"/>
    <m/>
    <n v="4"/>
    <n v="12"/>
    <n v="28"/>
    <m/>
    <n v="6"/>
    <n v="98"/>
    <n v="1000"/>
    <n v="0.61799999999999999"/>
    <n v="0.08"/>
    <n v="0.08"/>
    <n v="7.1999999999999995E-2"/>
    <n v="2E-3"/>
    <n v="4.0000000000000001E-3"/>
    <n v="0.04"/>
    <n v="6.0000000000000001E-3"/>
    <n v="9.8000000000000004E-2"/>
  </r>
  <r>
    <d v="2026-07-10T00:00:00"/>
    <n v="28"/>
    <x v="45"/>
    <x v="3"/>
    <s v="After Borma"/>
    <m/>
    <n v="1000"/>
    <n v="278"/>
    <n v="3.2"/>
    <n v="613"/>
    <n v="68"/>
    <m/>
    <n v="52"/>
    <n v="80"/>
    <n v="0"/>
    <n v="3"/>
    <m/>
    <n v="16"/>
    <n v="28"/>
    <n v="36"/>
    <m/>
    <n v="16"/>
    <n v="88"/>
    <n v="1000"/>
    <n v="0.61299999999999999"/>
    <n v="6.8000000000000005E-2"/>
    <n v="5.1999999999999998E-2"/>
    <n v="0.08"/>
    <n v="3.0000000000000001E-3"/>
    <n v="1.6E-2"/>
    <n v="6.4000000000000001E-2"/>
    <n v="1.6E-2"/>
    <n v="8.7999999999999995E-2"/>
  </r>
  <r>
    <d v="2026-07-10T00:00:00"/>
    <n v="28"/>
    <x v="45"/>
    <x v="3"/>
    <s v="After Borma"/>
    <m/>
    <n v="1000"/>
    <n v="298"/>
    <n v="3.2"/>
    <n v="671"/>
    <n v="64"/>
    <m/>
    <n v="48"/>
    <n v="67"/>
    <n v="0"/>
    <n v="12"/>
    <m/>
    <n v="10"/>
    <n v="12"/>
    <n v="16"/>
    <m/>
    <n v="16"/>
    <n v="84"/>
    <n v="1000"/>
    <n v="0.67100000000000004"/>
    <n v="6.4000000000000001E-2"/>
    <n v="4.8000000000000001E-2"/>
    <n v="6.7000000000000004E-2"/>
    <n v="1.2E-2"/>
    <n v="0.01"/>
    <n v="2.8000000000000001E-2"/>
    <n v="1.6E-2"/>
    <n v="8.4000000000000005E-2"/>
  </r>
  <r>
    <d v="2026-07-10T00:00:00"/>
    <n v="28"/>
    <x v="45"/>
    <x v="3"/>
    <s v="After Borma"/>
    <m/>
    <n v="1000"/>
    <n v="278"/>
    <n v="3.2"/>
    <n v="707"/>
    <n v="60"/>
    <m/>
    <n v="56"/>
    <n v="50"/>
    <n v="0"/>
    <n v="24"/>
    <m/>
    <n v="6"/>
    <n v="4"/>
    <n v="3"/>
    <m/>
    <n v="6"/>
    <n v="84"/>
    <n v="1000"/>
    <n v="0.70699999999999996"/>
    <n v="0.06"/>
    <n v="5.6000000000000001E-2"/>
    <n v="0.05"/>
    <n v="2.4E-2"/>
    <n v="6.0000000000000001E-3"/>
    <n v="7.0000000000000001E-3"/>
    <n v="6.0000000000000001E-3"/>
    <n v="8.4000000000000005E-2"/>
  </r>
  <r>
    <d v="2026-07-10T00:00:00"/>
    <n v="28"/>
    <x v="45"/>
    <x v="3"/>
    <s v="After Borma"/>
    <m/>
    <n v="1000"/>
    <n v="256"/>
    <n v="3.3"/>
    <n v="703"/>
    <n v="28"/>
    <m/>
    <n v="36"/>
    <n v="108"/>
    <n v="0"/>
    <n v="12"/>
    <m/>
    <n v="12"/>
    <n v="4"/>
    <n v="3"/>
    <m/>
    <n v="6"/>
    <n v="88"/>
    <n v="1000"/>
    <n v="0.70299999999999996"/>
    <n v="2.8000000000000001E-2"/>
    <n v="3.5999999999999997E-2"/>
    <n v="0.108"/>
    <n v="1.2E-2"/>
    <n v="1.2E-2"/>
    <n v="7.0000000000000001E-3"/>
    <n v="6.0000000000000001E-3"/>
    <n v="8.7999999999999995E-2"/>
  </r>
  <r>
    <d v="2026-07-10T00:00:00"/>
    <n v="28"/>
    <x v="45"/>
    <x v="3"/>
    <s v="After Borma"/>
    <m/>
    <n v="1000"/>
    <n v="284"/>
    <n v="3.3"/>
    <n v="620"/>
    <n v="76"/>
    <m/>
    <n v="64"/>
    <n v="76"/>
    <n v="0"/>
    <n v="12"/>
    <m/>
    <n v="8"/>
    <n v="4"/>
    <n v="12"/>
    <m/>
    <n v="36"/>
    <n v="92"/>
    <n v="1000"/>
    <n v="0.62"/>
    <n v="7.5999999999999998E-2"/>
    <n v="6.4000000000000001E-2"/>
    <n v="7.5999999999999998E-2"/>
    <n v="1.2E-2"/>
    <n v="8.0000000000000002E-3"/>
    <n v="1.6E-2"/>
    <n v="3.5999999999999997E-2"/>
    <n v="9.1999999999999998E-2"/>
  </r>
  <r>
    <d v="2026-07-10T00:00:00"/>
    <n v="28"/>
    <x v="46"/>
    <x v="3"/>
    <s v="After Borma"/>
    <m/>
    <n v="1000"/>
    <n v="252"/>
    <n v="3.2"/>
    <n v="615"/>
    <n v="32"/>
    <m/>
    <n v="60"/>
    <n v="112"/>
    <n v="0"/>
    <n v="44"/>
    <m/>
    <n v="12"/>
    <n v="6"/>
    <n v="3"/>
    <m/>
    <n v="12"/>
    <n v="104"/>
    <n v="1000"/>
    <n v="0.61499999999999999"/>
    <n v="3.2000000000000001E-2"/>
    <n v="0.06"/>
    <n v="0.112"/>
    <n v="4.3999999999999997E-2"/>
    <n v="1.2E-2"/>
    <n v="8.9999999999999993E-3"/>
    <n v="1.2E-2"/>
    <n v="0.104"/>
  </r>
  <r>
    <d v="2026-07-10T00:00:00"/>
    <n v="28"/>
    <x v="46"/>
    <x v="3"/>
    <s v="After Borma"/>
    <m/>
    <n v="1000"/>
    <n v="278"/>
    <n v="3.2"/>
    <n v="648"/>
    <n v="36"/>
    <m/>
    <n v="48"/>
    <n v="92"/>
    <n v="0"/>
    <n v="40"/>
    <m/>
    <n v="12"/>
    <n v="12"/>
    <n v="6"/>
    <m/>
    <n v="10"/>
    <n v="96"/>
    <n v="1000"/>
    <n v="0.64800000000000002"/>
    <n v="3.5999999999999997E-2"/>
    <n v="4.8000000000000001E-2"/>
    <n v="9.1999999999999998E-2"/>
    <n v="0.04"/>
    <n v="1.2E-2"/>
    <n v="1.7999999999999999E-2"/>
    <n v="0.01"/>
    <n v="9.6000000000000002E-2"/>
  </r>
  <r>
    <d v="2026-07-10T00:00:00"/>
    <n v="28"/>
    <x v="46"/>
    <x v="3"/>
    <s v="After Borma"/>
    <m/>
    <n v="1000"/>
    <n v="232"/>
    <n v="3.3"/>
    <n v="616"/>
    <n v="34"/>
    <m/>
    <n v="80"/>
    <n v="88"/>
    <n v="0"/>
    <n v="28"/>
    <m/>
    <n v="10"/>
    <n v="12"/>
    <n v="12"/>
    <m/>
    <n v="20"/>
    <n v="100"/>
    <n v="1000"/>
    <n v="0.61599999999999999"/>
    <n v="3.4000000000000002E-2"/>
    <n v="0.08"/>
    <n v="8.7999999999999995E-2"/>
    <n v="2.8000000000000001E-2"/>
    <n v="0.01"/>
    <n v="2.4E-2"/>
    <n v="0.02"/>
    <n v="0.1"/>
  </r>
  <r>
    <d v="2026-07-11T00:00:00"/>
    <n v="28"/>
    <x v="46"/>
    <x v="3"/>
    <s v="After Borma"/>
    <m/>
    <n v="1000"/>
    <n v="270"/>
    <n v="3.2"/>
    <n v="661"/>
    <n v="44"/>
    <m/>
    <n v="80"/>
    <n v="72"/>
    <n v="0"/>
    <n v="20"/>
    <m/>
    <n v="24"/>
    <n v="4"/>
    <n v="3"/>
    <m/>
    <n v="4"/>
    <n v="88"/>
    <n v="1000"/>
    <n v="0.66100000000000003"/>
    <n v="4.3999999999999997E-2"/>
    <n v="0.08"/>
    <n v="7.1999999999999995E-2"/>
    <n v="0.02"/>
    <n v="2.4E-2"/>
    <n v="7.0000000000000001E-3"/>
    <n v="4.0000000000000001E-3"/>
    <n v="8.7999999999999995E-2"/>
  </r>
  <r>
    <d v="2026-07-11T00:00:00"/>
    <n v="28"/>
    <x v="46"/>
    <x v="3"/>
    <s v="After Borma"/>
    <m/>
    <n v="1000"/>
    <n v="262"/>
    <n v="3.1"/>
    <n v="637"/>
    <n v="30"/>
    <m/>
    <n v="72"/>
    <n v="104"/>
    <n v="0"/>
    <n v="32"/>
    <m/>
    <n v="4"/>
    <n v="4"/>
    <n v="3"/>
    <m/>
    <n v="16"/>
    <n v="98"/>
    <n v="1000"/>
    <n v="0.63700000000000001"/>
    <n v="0.03"/>
    <n v="7.1999999999999995E-2"/>
    <n v="0.104"/>
    <n v="3.2000000000000001E-2"/>
    <n v="4.0000000000000001E-3"/>
    <n v="7.0000000000000001E-3"/>
    <n v="1.6E-2"/>
    <n v="9.8000000000000004E-2"/>
  </r>
  <r>
    <d v="2026-07-11T00:00:00"/>
    <n v="28"/>
    <x v="46"/>
    <x v="3"/>
    <s v="After Borma"/>
    <m/>
    <n v="1000"/>
    <n v="254"/>
    <n v="3.1"/>
    <n v="657"/>
    <n v="28"/>
    <m/>
    <n v="76"/>
    <n v="100"/>
    <n v="0"/>
    <n v="20"/>
    <m/>
    <n v="8"/>
    <n v="10"/>
    <n v="4"/>
    <m/>
    <n v="7"/>
    <n v="90"/>
    <n v="1000"/>
    <n v="0.65700000000000003"/>
    <n v="2.8000000000000001E-2"/>
    <n v="7.5999999999999998E-2"/>
    <n v="0.1"/>
    <n v="0.02"/>
    <n v="8.0000000000000002E-3"/>
    <n v="1.4E-2"/>
    <n v="7.0000000000000001E-3"/>
    <n v="0.09"/>
  </r>
  <r>
    <d v="2026-07-11T00:00:00"/>
    <n v="28"/>
    <x v="46"/>
    <x v="3"/>
    <s v="After Borma"/>
    <m/>
    <n v="1000"/>
    <n v="262"/>
    <n v="3"/>
    <n v="686"/>
    <n v="48"/>
    <m/>
    <n v="28"/>
    <n v="100"/>
    <n v="0"/>
    <n v="10"/>
    <m/>
    <n v="12"/>
    <n v="4"/>
    <n v="2"/>
    <m/>
    <n v="12"/>
    <n v="98"/>
    <n v="1000"/>
    <n v="0.68600000000000005"/>
    <n v="4.8000000000000001E-2"/>
    <n v="2.8000000000000001E-2"/>
    <n v="0.1"/>
    <n v="0.01"/>
    <n v="1.2E-2"/>
    <n v="6.0000000000000001E-3"/>
    <n v="1.2E-2"/>
    <n v="9.8000000000000004E-2"/>
  </r>
  <r>
    <d v="2026-07-11T00:00:00"/>
    <n v="28"/>
    <x v="46"/>
    <x v="3"/>
    <s v="After Borma"/>
    <m/>
    <n v="1000"/>
    <n v="232"/>
    <n v="3.1"/>
    <n v="676"/>
    <n v="28"/>
    <m/>
    <n v="60"/>
    <n v="92"/>
    <n v="0"/>
    <n v="7"/>
    <m/>
    <n v="36"/>
    <n v="3"/>
    <n v="2"/>
    <m/>
    <n v="8"/>
    <n v="88"/>
    <n v="1000"/>
    <n v="0.67600000000000005"/>
    <n v="2.8000000000000001E-2"/>
    <n v="0.06"/>
    <n v="9.1999999999999998E-2"/>
    <n v="7.0000000000000001E-3"/>
    <n v="3.5999999999999997E-2"/>
    <n v="5.0000000000000001E-3"/>
    <n v="8.0000000000000002E-3"/>
    <n v="8.7999999999999995E-2"/>
  </r>
  <r>
    <d v="2026-07-11T00:00:00"/>
    <n v="28"/>
    <x v="46"/>
    <x v="3"/>
    <s v="After Borma"/>
    <m/>
    <n v="1000"/>
    <n v="258"/>
    <n v="3.2"/>
    <n v="666"/>
    <n v="60"/>
    <m/>
    <n v="56"/>
    <n v="84"/>
    <n v="0"/>
    <n v="8"/>
    <m/>
    <n v="6"/>
    <n v="10"/>
    <n v="12"/>
    <m/>
    <n v="6"/>
    <n v="92"/>
    <n v="1000"/>
    <n v="0.66600000000000004"/>
    <n v="0.06"/>
    <n v="5.6000000000000001E-2"/>
    <n v="8.4000000000000005E-2"/>
    <n v="8.0000000000000002E-3"/>
    <n v="6.0000000000000001E-3"/>
    <n v="2.1999999999999999E-2"/>
    <n v="6.0000000000000001E-3"/>
    <n v="9.1999999999999998E-2"/>
  </r>
  <r>
    <d v="2026-07-11T00:00:00"/>
    <n v="28"/>
    <x v="46"/>
    <x v="3"/>
    <s v="After Borma"/>
    <m/>
    <n v="1000"/>
    <n v="270"/>
    <n v="3.7"/>
    <n v="592"/>
    <n v="96"/>
    <m/>
    <n v="67"/>
    <n v="80"/>
    <n v="0"/>
    <n v="8"/>
    <m/>
    <n v="20"/>
    <n v="12"/>
    <n v="13"/>
    <m/>
    <n v="14"/>
    <n v="98"/>
    <n v="1000"/>
    <n v="0.59199999999999997"/>
    <n v="9.6000000000000002E-2"/>
    <n v="6.7000000000000004E-2"/>
    <n v="0.08"/>
    <n v="8.0000000000000002E-3"/>
    <n v="0.02"/>
    <n v="2.5000000000000001E-2"/>
    <n v="1.4E-2"/>
    <n v="9.8000000000000004E-2"/>
  </r>
  <r>
    <d v="2026-07-11T00:00:00"/>
    <n v="28"/>
    <x v="46"/>
    <x v="3"/>
    <s v="After Borma"/>
    <m/>
    <n v="1000"/>
    <n v="262"/>
    <n v="3"/>
    <n v="605"/>
    <n v="96"/>
    <m/>
    <n v="66"/>
    <n v="96"/>
    <n v="0"/>
    <n v="6"/>
    <m/>
    <n v="7"/>
    <n v="10"/>
    <n v="18"/>
    <m/>
    <n v="8"/>
    <n v="88"/>
    <n v="1000"/>
    <n v="0.60499999999999998"/>
    <n v="9.6000000000000002E-2"/>
    <n v="6.6000000000000003E-2"/>
    <n v="9.6000000000000002E-2"/>
    <n v="6.0000000000000001E-3"/>
    <n v="7.0000000000000001E-3"/>
    <n v="2.8000000000000001E-2"/>
    <n v="8.0000000000000002E-3"/>
    <n v="8.7999999999999995E-2"/>
  </r>
  <r>
    <d v="2026-07-11T00:00:00"/>
    <n v="28"/>
    <x v="46"/>
    <x v="3"/>
    <s v="After Borma"/>
    <m/>
    <n v="1000"/>
    <n v="264"/>
    <n v="3.1"/>
    <n v="652"/>
    <n v="56"/>
    <m/>
    <n v="56"/>
    <n v="52"/>
    <n v="0"/>
    <n v="6"/>
    <m/>
    <n v="8"/>
    <n v="24"/>
    <n v="44"/>
    <m/>
    <n v="10"/>
    <n v="92"/>
    <n v="1000"/>
    <n v="0.65200000000000002"/>
    <n v="5.6000000000000001E-2"/>
    <n v="5.6000000000000001E-2"/>
    <n v="5.1999999999999998E-2"/>
    <n v="6.0000000000000001E-3"/>
    <n v="8.0000000000000002E-3"/>
    <n v="6.8000000000000005E-2"/>
    <n v="0.01"/>
    <n v="9.1999999999999998E-2"/>
  </r>
  <r>
    <d v="2026-07-11T00:00:00"/>
    <n v="28"/>
    <x v="46"/>
    <x v="3"/>
    <s v="After Borma"/>
    <m/>
    <n v="1000"/>
    <n v="263"/>
    <n v="3.1"/>
    <n v="636"/>
    <n v="56"/>
    <m/>
    <n v="84"/>
    <n v="60"/>
    <n v="0"/>
    <n v="12"/>
    <m/>
    <n v="12"/>
    <n v="12"/>
    <n v="14"/>
    <m/>
    <n v="16"/>
    <n v="98"/>
    <n v="1000"/>
    <n v="0.63600000000000001"/>
    <n v="5.6000000000000001E-2"/>
    <n v="8.4000000000000005E-2"/>
    <n v="0.06"/>
    <n v="1.2E-2"/>
    <n v="1.2E-2"/>
    <n v="2.5999999999999999E-2"/>
    <n v="1.6E-2"/>
    <n v="9.8000000000000004E-2"/>
  </r>
  <r>
    <d v="2026-07-11T00:00:00"/>
    <n v="28"/>
    <x v="46"/>
    <x v="3"/>
    <s v="After Borma"/>
    <m/>
    <n v="1000"/>
    <n v="318"/>
    <n v="3"/>
    <n v="626"/>
    <n v="56"/>
    <m/>
    <n v="70"/>
    <n v="62"/>
    <n v="0"/>
    <n v="10"/>
    <m/>
    <n v="16"/>
    <n v="44"/>
    <n v="12"/>
    <m/>
    <n v="8"/>
    <n v="96"/>
    <n v="1000"/>
    <n v="0.626"/>
    <n v="5.6000000000000001E-2"/>
    <n v="7.0000000000000007E-2"/>
    <n v="6.2E-2"/>
    <n v="0.01"/>
    <n v="1.6E-2"/>
    <n v="5.6000000000000001E-2"/>
    <n v="8.0000000000000002E-3"/>
    <n v="9.6000000000000002E-2"/>
  </r>
  <r>
    <d v="2026-07-13T00:00:00"/>
    <n v="29"/>
    <x v="47"/>
    <x v="3"/>
    <s v="After Borma"/>
    <m/>
    <n v="1000"/>
    <n v="282"/>
    <n v="3.1"/>
    <n v="534"/>
    <n v="52"/>
    <m/>
    <n v="68"/>
    <n v="140"/>
    <n v="0"/>
    <n v="32"/>
    <m/>
    <n v="16"/>
    <n v="8"/>
    <n v="32"/>
    <m/>
    <n v="10"/>
    <n v="108"/>
    <n v="1000"/>
    <n v="0.53400000000000003"/>
    <n v="5.1999999999999998E-2"/>
    <n v="6.8000000000000005E-2"/>
    <n v="0.14000000000000001"/>
    <n v="3.2000000000000001E-2"/>
    <n v="1.6E-2"/>
    <n v="0.04"/>
    <n v="0.01"/>
    <n v="0.108"/>
  </r>
  <r>
    <d v="2026-07-13T00:00:00"/>
    <n v="29"/>
    <x v="47"/>
    <x v="3"/>
    <s v="After Borma"/>
    <m/>
    <n v="1000"/>
    <n v="292"/>
    <n v="3.1"/>
    <n v="563"/>
    <n v="32"/>
    <m/>
    <n v="96"/>
    <n v="124"/>
    <n v="0"/>
    <n v="20"/>
    <m/>
    <n v="24"/>
    <n v="9"/>
    <n v="24"/>
    <m/>
    <n v="8"/>
    <n v="100"/>
    <n v="1000"/>
    <n v="0.56299999999999994"/>
    <n v="3.2000000000000001E-2"/>
    <n v="9.6000000000000002E-2"/>
    <n v="0.124"/>
    <n v="0.02"/>
    <n v="2.4E-2"/>
    <n v="3.3000000000000002E-2"/>
    <n v="8.0000000000000002E-3"/>
    <n v="0.1"/>
  </r>
  <r>
    <d v="2026-07-13T00:00:00"/>
    <n v="29"/>
    <x v="47"/>
    <x v="3"/>
    <s v="After Borma"/>
    <m/>
    <n v="1000"/>
    <n v="266"/>
    <n v="3.2"/>
    <n v="572"/>
    <n v="36"/>
    <m/>
    <n v="68"/>
    <n v="132"/>
    <n v="0"/>
    <n v="16"/>
    <m/>
    <n v="8"/>
    <n v="24"/>
    <n v="28"/>
    <m/>
    <n v="20"/>
    <n v="96"/>
    <n v="1000"/>
    <n v="0.57199999999999995"/>
    <n v="3.5999999999999997E-2"/>
    <n v="6.8000000000000005E-2"/>
    <n v="0.13200000000000001"/>
    <n v="1.6E-2"/>
    <n v="8.0000000000000002E-3"/>
    <n v="5.1999999999999998E-2"/>
    <n v="0.02"/>
    <n v="9.6000000000000002E-2"/>
  </r>
  <r>
    <d v="2026-07-13T00:00:00"/>
    <n v="29"/>
    <x v="47"/>
    <x v="3"/>
    <s v="After Borma"/>
    <m/>
    <n v="1000"/>
    <n v="280"/>
    <n v="3.1"/>
    <n v="530"/>
    <n v="40"/>
    <m/>
    <n v="108"/>
    <n v="110"/>
    <n v="0"/>
    <n v="32"/>
    <m/>
    <n v="8"/>
    <n v="8"/>
    <n v="24"/>
    <m/>
    <n v="28"/>
    <n v="112"/>
    <n v="1000"/>
    <n v="0.53"/>
    <n v="0.04"/>
    <n v="0.108"/>
    <n v="0.11"/>
    <n v="3.2000000000000001E-2"/>
    <n v="8.0000000000000002E-3"/>
    <n v="3.2000000000000001E-2"/>
    <n v="2.8000000000000001E-2"/>
    <n v="0.112"/>
  </r>
  <r>
    <d v="2026-07-13T00:00:00"/>
    <n v="29"/>
    <x v="47"/>
    <x v="3"/>
    <s v="After Borma"/>
    <m/>
    <n v="1000"/>
    <n v="268"/>
    <n v="3.1"/>
    <n v="558"/>
    <n v="32"/>
    <m/>
    <n v="36"/>
    <n v="152"/>
    <n v="0"/>
    <n v="48"/>
    <m/>
    <n v="16"/>
    <n v="8"/>
    <n v="2"/>
    <m/>
    <n v="40"/>
    <n v="108"/>
    <n v="1000"/>
    <n v="0.55800000000000005"/>
    <n v="3.2000000000000001E-2"/>
    <n v="3.5999999999999997E-2"/>
    <n v="0.152"/>
    <n v="4.8000000000000001E-2"/>
    <n v="1.6E-2"/>
    <n v="0.01"/>
    <n v="0.04"/>
    <n v="0.108"/>
  </r>
  <r>
    <d v="2026-07-13T00:00:00"/>
    <n v="29"/>
    <x v="47"/>
    <x v="3"/>
    <s v="After Borma"/>
    <m/>
    <n v="1000"/>
    <n v="280"/>
    <n v="3.1"/>
    <n v="592"/>
    <n v="50"/>
    <m/>
    <n v="40"/>
    <n v="105"/>
    <n v="0"/>
    <n v="39"/>
    <m/>
    <n v="20"/>
    <n v="8"/>
    <n v="1"/>
    <m/>
    <n v="35"/>
    <n v="110"/>
    <n v="1000"/>
    <n v="0.59199999999999997"/>
    <n v="0.05"/>
    <n v="0.04"/>
    <n v="0.105"/>
    <n v="3.9E-2"/>
    <n v="0.02"/>
    <n v="8.9999999999999993E-3"/>
    <n v="3.5000000000000003E-2"/>
    <n v="0.11"/>
  </r>
  <r>
    <d v="2026-07-13T00:00:00"/>
    <n v="29"/>
    <x v="47"/>
    <x v="3"/>
    <s v="After Borma"/>
    <m/>
    <n v="1000"/>
    <n v="254"/>
    <n v="3.1"/>
    <n v="691"/>
    <n v="36"/>
    <m/>
    <n v="68"/>
    <n v="128"/>
    <n v="0"/>
    <n v="28"/>
    <m/>
    <n v="8"/>
    <n v="3"/>
    <n v="2"/>
    <m/>
    <n v="10"/>
    <n v="26"/>
    <n v="1000"/>
    <n v="0.69099999999999995"/>
    <n v="3.5999999999999997E-2"/>
    <n v="6.8000000000000005E-2"/>
    <n v="0.128"/>
    <n v="2.8000000000000001E-2"/>
    <n v="8.0000000000000002E-3"/>
    <n v="5.0000000000000001E-3"/>
    <n v="0.01"/>
    <n v="2.5999999999999999E-2"/>
  </r>
  <r>
    <d v="2026-07-13T00:00:00"/>
    <n v="29"/>
    <x v="47"/>
    <x v="3"/>
    <s v="After Borma"/>
    <m/>
    <n v="1000"/>
    <n v="278"/>
    <n v="3.1"/>
    <n v="660"/>
    <n v="32"/>
    <m/>
    <n v="64"/>
    <n v="80"/>
    <n v="0"/>
    <n v="8"/>
    <m/>
    <n v="20"/>
    <n v="12"/>
    <n v="20"/>
    <m/>
    <n v="12"/>
    <n v="92"/>
    <n v="1000"/>
    <n v="0.66"/>
    <n v="3.2000000000000001E-2"/>
    <n v="6.4000000000000001E-2"/>
    <n v="0.08"/>
    <n v="8.0000000000000002E-3"/>
    <n v="0.02"/>
    <n v="3.2000000000000001E-2"/>
    <n v="1.2E-2"/>
    <n v="9.1999999999999998E-2"/>
  </r>
  <r>
    <d v="2026-07-13T00:00:00"/>
    <n v="29"/>
    <x v="47"/>
    <x v="3"/>
    <s v="After Borma"/>
    <m/>
    <n v="1000"/>
    <n v="248"/>
    <n v="3.1"/>
    <n v="679"/>
    <n v="40"/>
    <m/>
    <n v="60"/>
    <n v="70"/>
    <n v="0"/>
    <n v="5"/>
    <m/>
    <n v="15"/>
    <n v="10"/>
    <n v="13"/>
    <m/>
    <n v="14"/>
    <n v="94"/>
    <n v="1000"/>
    <n v="0.67900000000000005"/>
    <n v="0.04"/>
    <n v="0.06"/>
    <n v="7.0000000000000007E-2"/>
    <n v="5.0000000000000001E-3"/>
    <n v="1.4999999999999999E-2"/>
    <n v="2.3E-2"/>
    <n v="1.4E-2"/>
    <n v="9.4E-2"/>
  </r>
  <r>
    <d v="2026-07-13T00:00:00"/>
    <n v="29"/>
    <x v="47"/>
    <x v="3"/>
    <s v="After Borma"/>
    <m/>
    <n v="1000"/>
    <n v="264"/>
    <n v="3.4"/>
    <n v="642"/>
    <n v="49"/>
    <m/>
    <n v="57"/>
    <n v="74"/>
    <n v="0"/>
    <n v="10"/>
    <m/>
    <n v="10"/>
    <n v="20"/>
    <n v="32"/>
    <m/>
    <n v="12"/>
    <n v="94"/>
    <n v="1000"/>
    <n v="0.64200000000000002"/>
    <n v="4.9000000000000002E-2"/>
    <n v="5.7000000000000002E-2"/>
    <n v="7.3999999999999996E-2"/>
    <n v="0.01"/>
    <n v="0.01"/>
    <n v="5.1999999999999998E-2"/>
    <n v="1.2E-2"/>
    <n v="9.4E-2"/>
  </r>
  <r>
    <d v="2026-07-13T00:00:00"/>
    <n v="29"/>
    <x v="47"/>
    <x v="3"/>
    <s v="After Borma"/>
    <m/>
    <n v="1000"/>
    <n v="268"/>
    <n v="3.4"/>
    <n v="651"/>
    <n v="34"/>
    <m/>
    <n v="68"/>
    <n v="64"/>
    <n v="0"/>
    <n v="10"/>
    <m/>
    <n v="8"/>
    <n v="18"/>
    <n v="37"/>
    <m/>
    <n v="14"/>
    <n v="96"/>
    <n v="1000"/>
    <n v="0.65100000000000002"/>
    <n v="3.4000000000000002E-2"/>
    <n v="6.8000000000000005E-2"/>
    <n v="6.4000000000000001E-2"/>
    <n v="0.01"/>
    <n v="8.0000000000000002E-3"/>
    <n v="5.5E-2"/>
    <n v="1.4E-2"/>
    <n v="9.6000000000000002E-2"/>
  </r>
  <r>
    <d v="2026-07-13T00:00:00"/>
    <n v="29"/>
    <x v="47"/>
    <x v="3"/>
    <s v="After Borma"/>
    <m/>
    <n v="1000"/>
    <n v="278"/>
    <n v="3.3"/>
    <n v="654"/>
    <n v="32"/>
    <m/>
    <n v="68"/>
    <n v="88"/>
    <n v="0"/>
    <n v="12"/>
    <m/>
    <n v="12"/>
    <n v="10"/>
    <n v="20"/>
    <m/>
    <n v="6"/>
    <n v="98"/>
    <n v="1000"/>
    <n v="0.65400000000000003"/>
    <n v="3.2000000000000001E-2"/>
    <n v="6.8000000000000005E-2"/>
    <n v="8.7999999999999995E-2"/>
    <n v="1.2E-2"/>
    <n v="1.2E-2"/>
    <n v="0.03"/>
    <n v="6.0000000000000001E-3"/>
    <n v="9.8000000000000004E-2"/>
  </r>
  <r>
    <d v="2026-07-14T00:00:00"/>
    <n v="29"/>
    <x v="48"/>
    <x v="3"/>
    <s v="After Borma"/>
    <m/>
    <n v="1000"/>
    <n v="292"/>
    <n v="3.1"/>
    <n v="440"/>
    <n v="176"/>
    <m/>
    <n v="68"/>
    <n v="92"/>
    <n v="0"/>
    <n v="20"/>
    <m/>
    <n v="8"/>
    <n v="48"/>
    <n v="44"/>
    <m/>
    <n v="8"/>
    <n v="96"/>
    <n v="1000"/>
    <n v="0.44"/>
    <n v="0.17599999999999999"/>
    <n v="6.8000000000000005E-2"/>
    <n v="9.1999999999999998E-2"/>
    <n v="0.02"/>
    <n v="8.0000000000000002E-3"/>
    <n v="9.1999999999999998E-2"/>
    <n v="8.0000000000000002E-3"/>
    <n v="9.6000000000000002E-2"/>
  </r>
  <r>
    <d v="2026-07-14T00:00:00"/>
    <n v="29"/>
    <x v="48"/>
    <x v="3"/>
    <s v="After Borma"/>
    <m/>
    <n v="1000"/>
    <n v="260"/>
    <n v="3.1"/>
    <n v="649"/>
    <n v="16"/>
    <m/>
    <n v="52"/>
    <n v="124"/>
    <n v="0"/>
    <n v="40"/>
    <m/>
    <n v="8"/>
    <n v="16"/>
    <n v="9"/>
    <m/>
    <n v="2"/>
    <n v="84"/>
    <n v="1000"/>
    <n v="0.64900000000000002"/>
    <n v="1.6E-2"/>
    <n v="5.1999999999999998E-2"/>
    <n v="0.124"/>
    <n v="0.04"/>
    <n v="8.0000000000000002E-3"/>
    <n v="2.5000000000000001E-2"/>
    <n v="2E-3"/>
    <n v="8.4000000000000005E-2"/>
  </r>
  <r>
    <d v="2026-07-14T00:00:00"/>
    <n v="29"/>
    <x v="48"/>
    <x v="3"/>
    <s v="After Borma"/>
    <m/>
    <n v="1000"/>
    <n v="278"/>
    <n v="3.1"/>
    <n v="656"/>
    <n v="36"/>
    <m/>
    <n v="52"/>
    <n v="96"/>
    <n v="0"/>
    <n v="32"/>
    <m/>
    <n v="0"/>
    <n v="12"/>
    <n v="28"/>
    <m/>
    <n v="4"/>
    <n v="84"/>
    <n v="1000"/>
    <n v="0.65600000000000003"/>
    <n v="3.5999999999999997E-2"/>
    <n v="5.1999999999999998E-2"/>
    <n v="9.6000000000000002E-2"/>
    <n v="3.2000000000000001E-2"/>
    <n v="0"/>
    <n v="0.04"/>
    <n v="4.0000000000000001E-3"/>
    <n v="8.4000000000000005E-2"/>
  </r>
  <r>
    <d v="2026-07-14T00:00:00"/>
    <n v="29"/>
    <x v="48"/>
    <x v="3"/>
    <s v="After Borma"/>
    <m/>
    <n v="1000"/>
    <n v="270"/>
    <n v="3.4"/>
    <n v="670"/>
    <n v="38"/>
    <m/>
    <n v="48"/>
    <n v="76"/>
    <n v="0"/>
    <n v="24"/>
    <m/>
    <n v="12"/>
    <n v="12"/>
    <n v="8"/>
    <m/>
    <n v="12"/>
    <n v="100"/>
    <n v="1000"/>
    <n v="0.67"/>
    <n v="3.7999999999999999E-2"/>
    <n v="4.8000000000000001E-2"/>
    <n v="7.5999999999999998E-2"/>
    <n v="2.4E-2"/>
    <n v="1.2E-2"/>
    <n v="0.02"/>
    <n v="1.2E-2"/>
    <n v="0.1"/>
  </r>
  <r>
    <d v="2026-07-14T00:00:00"/>
    <n v="29"/>
    <x v="48"/>
    <x v="3"/>
    <s v="After Borma"/>
    <m/>
    <n v="1000"/>
    <n v="266"/>
    <n v="4"/>
    <n v="691"/>
    <n v="37"/>
    <m/>
    <n v="40"/>
    <n v="68"/>
    <n v="0"/>
    <n v="32"/>
    <m/>
    <n v="0"/>
    <n v="8"/>
    <n v="4"/>
    <m/>
    <n v="24"/>
    <n v="96"/>
    <n v="1000"/>
    <n v="0.69099999999999995"/>
    <n v="3.6999999999999998E-2"/>
    <n v="0.04"/>
    <n v="6.8000000000000005E-2"/>
    <n v="3.2000000000000001E-2"/>
    <n v="0"/>
    <n v="1.2E-2"/>
    <n v="2.4E-2"/>
    <n v="9.6000000000000002E-2"/>
  </r>
  <r>
    <d v="2026-07-14T00:00:00"/>
    <n v="29"/>
    <x v="48"/>
    <x v="3"/>
    <s v="After Borma"/>
    <m/>
    <n v="1000"/>
    <n v="282"/>
    <n v="3.3"/>
    <n v="608"/>
    <n v="20"/>
    <m/>
    <n v="48"/>
    <n v="140"/>
    <n v="0"/>
    <n v="28"/>
    <m/>
    <n v="4"/>
    <n v="20"/>
    <n v="36"/>
    <m/>
    <n v="12"/>
    <n v="84"/>
    <n v="1000"/>
    <n v="0.60799999999999998"/>
    <n v="0.02"/>
    <n v="4.8000000000000001E-2"/>
    <n v="0.14000000000000001"/>
    <n v="2.8000000000000001E-2"/>
    <n v="4.0000000000000001E-3"/>
    <n v="5.6000000000000001E-2"/>
    <n v="1.2E-2"/>
    <n v="8.4000000000000005E-2"/>
  </r>
  <r>
    <d v="2026-07-14T00:00:00"/>
    <n v="29"/>
    <x v="48"/>
    <x v="3"/>
    <s v="After Borma"/>
    <m/>
    <n v="1000"/>
    <n v="282"/>
    <n v="3.2"/>
    <n v="688"/>
    <n v="38"/>
    <m/>
    <n v="38"/>
    <n v="70"/>
    <n v="0"/>
    <n v="28"/>
    <m/>
    <n v="3"/>
    <n v="5"/>
    <n v="8"/>
    <m/>
    <n v="27"/>
    <n v="95"/>
    <n v="1000"/>
    <n v="0.68799999999999994"/>
    <n v="3.7999999999999999E-2"/>
    <n v="3.7999999999999999E-2"/>
    <n v="7.0000000000000007E-2"/>
    <n v="2.8000000000000001E-2"/>
    <n v="3.0000000000000001E-3"/>
    <n v="1.2999999999999999E-2"/>
    <n v="2.7E-2"/>
    <n v="9.5000000000000001E-2"/>
  </r>
  <r>
    <d v="2026-07-14T00:00:00"/>
    <n v="29"/>
    <x v="48"/>
    <x v="3"/>
    <s v="After Borma"/>
    <m/>
    <n v="1000"/>
    <n v="260"/>
    <n v="3.1"/>
    <n v="624"/>
    <n v="36"/>
    <m/>
    <n v="60"/>
    <n v="92"/>
    <n v="0"/>
    <n v="36"/>
    <m/>
    <n v="8"/>
    <n v="12"/>
    <n v="8"/>
    <m/>
    <n v="24"/>
    <n v="100"/>
    <n v="1000"/>
    <n v="0.624"/>
    <n v="3.5999999999999997E-2"/>
    <n v="0.06"/>
    <n v="9.1999999999999998E-2"/>
    <n v="3.5999999999999997E-2"/>
    <n v="8.0000000000000002E-3"/>
    <n v="0.02"/>
    <n v="2.4E-2"/>
    <n v="0.1"/>
  </r>
  <r>
    <d v="2026-07-14T00:00:00"/>
    <n v="29"/>
    <x v="48"/>
    <x v="3"/>
    <s v="After Borma"/>
    <m/>
    <n v="1000"/>
    <n v="286"/>
    <n v="3.1"/>
    <n v="649"/>
    <n v="40"/>
    <m/>
    <n v="60"/>
    <n v="104"/>
    <n v="0"/>
    <n v="6"/>
    <m/>
    <n v="12"/>
    <n v="8"/>
    <n v="5"/>
    <m/>
    <n v="16"/>
    <n v="100"/>
    <n v="1000"/>
    <n v="0.64900000000000002"/>
    <n v="0.04"/>
    <n v="0.06"/>
    <n v="0.104"/>
    <n v="6.0000000000000001E-3"/>
    <n v="1.2E-2"/>
    <n v="1.2999999999999999E-2"/>
    <n v="1.6E-2"/>
    <n v="0.1"/>
  </r>
  <r>
    <d v="2026-07-14T00:00:00"/>
    <n v="29"/>
    <x v="48"/>
    <x v="3"/>
    <s v="After Borma"/>
    <m/>
    <n v="1000"/>
    <n v="246"/>
    <n v="3"/>
    <n v="572"/>
    <n v="36"/>
    <m/>
    <n v="80"/>
    <n v="128"/>
    <n v="0"/>
    <n v="44"/>
    <m/>
    <n v="2"/>
    <n v="20"/>
    <n v="8"/>
    <m/>
    <n v="2"/>
    <n v="108"/>
    <n v="1000"/>
    <n v="0.57199999999999995"/>
    <n v="3.5999999999999997E-2"/>
    <n v="0.08"/>
    <n v="0.128"/>
    <n v="4.3999999999999997E-2"/>
    <n v="2E-3"/>
    <n v="2.8000000000000001E-2"/>
    <n v="2E-3"/>
    <n v="0.108"/>
  </r>
  <r>
    <d v="2026-07-14T00:00:00"/>
    <n v="29"/>
    <x v="48"/>
    <x v="3"/>
    <s v="After Borma"/>
    <m/>
    <n v="1000"/>
    <n v="262"/>
    <n v="3.1"/>
    <n v="608"/>
    <n v="12"/>
    <m/>
    <n v="40"/>
    <n v="112"/>
    <n v="0"/>
    <n v="52"/>
    <m/>
    <n v="8"/>
    <n v="22"/>
    <n v="22"/>
    <m/>
    <n v="24"/>
    <n v="100"/>
    <n v="1000"/>
    <n v="0.60799999999999998"/>
    <n v="1.2E-2"/>
    <n v="0.04"/>
    <n v="0.112"/>
    <n v="5.1999999999999998E-2"/>
    <n v="8.0000000000000002E-3"/>
    <n v="4.3999999999999997E-2"/>
    <n v="2.4E-2"/>
    <n v="0.1"/>
  </r>
  <r>
    <d v="2026-07-14T00:00:00"/>
    <n v="29"/>
    <x v="48"/>
    <x v="3"/>
    <s v="After Borma"/>
    <m/>
    <n v="1000"/>
    <n v="262"/>
    <n v="3.1"/>
    <n v="475"/>
    <n v="132"/>
    <m/>
    <n v="78"/>
    <n v="88"/>
    <n v="0"/>
    <n v="5"/>
    <m/>
    <n v="6"/>
    <n v="68"/>
    <n v="30"/>
    <m/>
    <n v="26"/>
    <n v="92"/>
    <n v="1000"/>
    <n v="0.47499999999999998"/>
    <n v="0.13200000000000001"/>
    <n v="7.8E-2"/>
    <n v="8.7999999999999995E-2"/>
    <n v="5.0000000000000001E-3"/>
    <n v="6.0000000000000001E-3"/>
    <n v="9.8000000000000004E-2"/>
    <n v="2.5999999999999999E-2"/>
    <n v="9.1999999999999998E-2"/>
  </r>
  <r>
    <d v="2026-07-14T00:00:00"/>
    <n v="29"/>
    <x v="48"/>
    <x v="3"/>
    <s v="After Borma"/>
    <m/>
    <n v="1000"/>
    <n v="252"/>
    <n v="3.3"/>
    <n v="645"/>
    <n v="48"/>
    <m/>
    <n v="68"/>
    <n v="108"/>
    <n v="0"/>
    <n v="5"/>
    <m/>
    <n v="4"/>
    <n v="6"/>
    <n v="12"/>
    <m/>
    <n v="8"/>
    <n v="96"/>
    <n v="1000"/>
    <n v="0.64500000000000002"/>
    <n v="4.8000000000000001E-2"/>
    <n v="6.8000000000000005E-2"/>
    <n v="0.108"/>
    <n v="5.0000000000000001E-3"/>
    <n v="4.0000000000000001E-3"/>
    <n v="1.7999999999999999E-2"/>
    <n v="8.0000000000000002E-3"/>
    <n v="9.6000000000000002E-2"/>
  </r>
  <r>
    <d v="2026-07-14T00:00:00"/>
    <n v="29"/>
    <x v="48"/>
    <x v="3"/>
    <s v="After Borma"/>
    <m/>
    <n v="1000"/>
    <n v="262"/>
    <n v="3.1"/>
    <n v="704"/>
    <n v="36"/>
    <m/>
    <n v="68"/>
    <n v="70"/>
    <n v="0"/>
    <n v="8"/>
    <m/>
    <n v="10"/>
    <n v="4"/>
    <n v="3"/>
    <m/>
    <n v="7"/>
    <n v="90"/>
    <n v="1000"/>
    <n v="0.70399999999999996"/>
    <n v="3.5999999999999997E-2"/>
    <n v="6.8000000000000005E-2"/>
    <n v="7.0000000000000007E-2"/>
    <n v="8.0000000000000002E-3"/>
    <n v="0.01"/>
    <n v="7.0000000000000001E-3"/>
    <n v="7.0000000000000001E-3"/>
    <n v="0.09"/>
  </r>
  <r>
    <d v="2026-07-14T00:00:00"/>
    <n v="29"/>
    <x v="48"/>
    <x v="3"/>
    <s v="After Borma"/>
    <m/>
    <n v="1000"/>
    <n v="280"/>
    <n v="3.4"/>
    <n v="470"/>
    <n v="88"/>
    <m/>
    <n v="76"/>
    <n v="60"/>
    <n v="0"/>
    <n v="10"/>
    <m/>
    <n v="8"/>
    <n v="52"/>
    <n v="136"/>
    <m/>
    <n v="12"/>
    <n v="88"/>
    <n v="1000"/>
    <n v="0.47"/>
    <n v="8.7999999999999995E-2"/>
    <n v="7.5999999999999998E-2"/>
    <n v="0.06"/>
    <n v="0.01"/>
    <n v="8.0000000000000002E-3"/>
    <n v="0.188"/>
    <n v="1.2E-2"/>
    <n v="8.7999999999999995E-2"/>
  </r>
  <r>
    <d v="2026-07-15T00:00:00"/>
    <n v="29"/>
    <x v="49"/>
    <x v="3"/>
    <s v="After Borma"/>
    <m/>
    <n v="1000"/>
    <n v="264"/>
    <n v="3"/>
    <n v="616"/>
    <n v="32"/>
    <m/>
    <n v="68"/>
    <n v="92"/>
    <n v="0"/>
    <n v="52"/>
    <m/>
    <n v="4"/>
    <n v="8"/>
    <n v="16"/>
    <m/>
    <n v="12"/>
    <n v="100"/>
    <n v="1000"/>
    <n v="0.61599999999999999"/>
    <n v="3.2000000000000001E-2"/>
    <n v="6.8000000000000005E-2"/>
    <n v="9.1999999999999998E-2"/>
    <n v="5.1999999999999998E-2"/>
    <n v="4.0000000000000001E-3"/>
    <n v="2.4E-2"/>
    <n v="1.2E-2"/>
    <n v="0.1"/>
  </r>
  <r>
    <d v="2026-07-15T00:00:00"/>
    <n v="29"/>
    <x v="49"/>
    <x v="3"/>
    <s v="After Borma"/>
    <m/>
    <n v="1000"/>
    <n v="288"/>
    <n v="3.2"/>
    <n v="634"/>
    <n v="32"/>
    <m/>
    <n v="44"/>
    <n v="140"/>
    <n v="0"/>
    <n v="20"/>
    <m/>
    <n v="0"/>
    <n v="6"/>
    <n v="16"/>
    <m/>
    <n v="8"/>
    <n v="100"/>
    <n v="1000"/>
    <n v="0.63400000000000001"/>
    <n v="3.2000000000000001E-2"/>
    <n v="4.3999999999999997E-2"/>
    <n v="0.14000000000000001"/>
    <n v="0.02"/>
    <n v="0"/>
    <n v="2.1999999999999999E-2"/>
    <n v="8.0000000000000002E-3"/>
    <n v="0.1"/>
  </r>
  <r>
    <d v="2026-07-15T00:00:00"/>
    <n v="29"/>
    <x v="49"/>
    <x v="3"/>
    <s v="After Borma"/>
    <m/>
    <n v="1000"/>
    <n v="312"/>
    <n v="3.2"/>
    <n v="560"/>
    <n v="35"/>
    <m/>
    <n v="96"/>
    <n v="84"/>
    <n v="0"/>
    <n v="44"/>
    <m/>
    <n v="5"/>
    <n v="12"/>
    <n v="28"/>
    <m/>
    <n v="28"/>
    <n v="108"/>
    <n v="1000"/>
    <n v="0.56000000000000005"/>
    <n v="3.5000000000000003E-2"/>
    <n v="9.6000000000000002E-2"/>
    <n v="8.4000000000000005E-2"/>
    <n v="4.3999999999999997E-2"/>
    <n v="5.0000000000000001E-3"/>
    <n v="0.04"/>
    <n v="2.8000000000000001E-2"/>
    <n v="0.108"/>
  </r>
  <r>
    <d v="2026-07-15T00:00:00"/>
    <n v="29"/>
    <x v="49"/>
    <x v="3"/>
    <s v="After Borma"/>
    <m/>
    <n v="1000"/>
    <n v="262"/>
    <n v="3"/>
    <n v="636"/>
    <n v="32"/>
    <m/>
    <n v="60"/>
    <n v="80"/>
    <n v="0"/>
    <n v="36"/>
    <m/>
    <n v="4"/>
    <n v="12"/>
    <n v="24"/>
    <m/>
    <n v="20"/>
    <n v="96"/>
    <n v="1000"/>
    <n v="0.63600000000000001"/>
    <n v="3.2000000000000001E-2"/>
    <n v="0.06"/>
    <n v="0.08"/>
    <n v="3.5999999999999997E-2"/>
    <n v="4.0000000000000001E-3"/>
    <n v="3.5999999999999997E-2"/>
    <n v="0.02"/>
    <n v="9.6000000000000002E-2"/>
  </r>
  <r>
    <d v="2026-07-15T00:00:00"/>
    <n v="29"/>
    <x v="49"/>
    <x v="3"/>
    <s v="After Borma"/>
    <m/>
    <n v="1000"/>
    <n v="240"/>
    <n v="3.1"/>
    <n v="654"/>
    <n v="38"/>
    <m/>
    <n v="52"/>
    <n v="90"/>
    <n v="0"/>
    <n v="21"/>
    <m/>
    <n v="4"/>
    <n v="10"/>
    <n v="18"/>
    <m/>
    <n v="15"/>
    <n v="98"/>
    <n v="1000"/>
    <n v="0.65400000000000003"/>
    <n v="3.7999999999999999E-2"/>
    <n v="5.1999999999999998E-2"/>
    <n v="0.09"/>
    <n v="2.1000000000000001E-2"/>
    <n v="4.0000000000000001E-3"/>
    <n v="2.8000000000000001E-2"/>
    <n v="1.4999999999999999E-2"/>
    <n v="9.8000000000000004E-2"/>
  </r>
  <r>
    <d v="2026-07-15T00:00:00"/>
    <n v="29"/>
    <x v="49"/>
    <x v="3"/>
    <s v="After Borma"/>
    <m/>
    <n v="1000"/>
    <n v="252"/>
    <n v="3.1"/>
    <n v="650"/>
    <n v="39"/>
    <m/>
    <n v="72"/>
    <n v="82"/>
    <n v="0"/>
    <n v="10"/>
    <m/>
    <n v="21"/>
    <n v="5"/>
    <n v="3"/>
    <m/>
    <n v="22"/>
    <n v="96"/>
    <n v="1000"/>
    <n v="0.65"/>
    <n v="3.9E-2"/>
    <n v="7.1999999999999995E-2"/>
    <n v="8.2000000000000003E-2"/>
    <n v="0.01"/>
    <n v="2.1000000000000001E-2"/>
    <n v="8.0000000000000002E-3"/>
    <n v="2.1999999999999999E-2"/>
    <n v="9.6000000000000002E-2"/>
  </r>
  <r>
    <d v="2026-07-15T00:00:00"/>
    <n v="29"/>
    <x v="49"/>
    <x v="3"/>
    <s v="After Borma"/>
    <m/>
    <n v="1000"/>
    <n v="252"/>
    <n v="3"/>
    <n v="635"/>
    <n v="64"/>
    <m/>
    <n v="80"/>
    <n v="68"/>
    <n v="0"/>
    <n v="24"/>
    <m/>
    <n v="8"/>
    <n v="2"/>
    <n v="3"/>
    <m/>
    <n v="28"/>
    <n v="88"/>
    <n v="1000"/>
    <n v="0.63500000000000001"/>
    <n v="6.4000000000000001E-2"/>
    <n v="0.08"/>
    <n v="6.8000000000000005E-2"/>
    <n v="2.4E-2"/>
    <n v="8.0000000000000002E-3"/>
    <n v="5.0000000000000001E-3"/>
    <n v="2.8000000000000001E-2"/>
    <n v="8.7999999999999995E-2"/>
  </r>
  <r>
    <d v="2026-07-15T00:00:00"/>
    <n v="29"/>
    <x v="49"/>
    <x v="3"/>
    <s v="After Borma"/>
    <m/>
    <n v="1000"/>
    <n v="284"/>
    <n v="3.1"/>
    <n v="636"/>
    <n v="20"/>
    <m/>
    <n v="96"/>
    <n v="80"/>
    <n v="0"/>
    <n v="6"/>
    <m/>
    <n v="12"/>
    <n v="10"/>
    <n v="12"/>
    <m/>
    <n v="32"/>
    <n v="96"/>
    <n v="1000"/>
    <n v="0.63600000000000001"/>
    <n v="0.02"/>
    <n v="9.6000000000000002E-2"/>
    <n v="0.08"/>
    <n v="6.0000000000000001E-3"/>
    <n v="1.2E-2"/>
    <n v="2.1999999999999999E-2"/>
    <n v="3.2000000000000001E-2"/>
    <n v="9.6000000000000002E-2"/>
  </r>
  <r>
    <d v="2026-07-15T00:00:00"/>
    <n v="29"/>
    <x v="49"/>
    <x v="3"/>
    <s v="After Borma"/>
    <m/>
    <n v="1000"/>
    <n v="266"/>
    <n v="3.1"/>
    <n v="695"/>
    <n v="24"/>
    <m/>
    <n v="44"/>
    <n v="84"/>
    <n v="0"/>
    <n v="20"/>
    <m/>
    <n v="5"/>
    <n v="12"/>
    <n v="4"/>
    <m/>
    <n v="24"/>
    <n v="88"/>
    <n v="1000"/>
    <n v="0.69499999999999995"/>
    <n v="2.4E-2"/>
    <n v="4.3999999999999997E-2"/>
    <n v="8.4000000000000005E-2"/>
    <n v="0.02"/>
    <n v="5.0000000000000001E-3"/>
    <n v="1.6E-2"/>
    <n v="2.4E-2"/>
    <n v="8.7999999999999995E-2"/>
  </r>
  <r>
    <d v="2026-07-15T00:00:00"/>
    <n v="29"/>
    <x v="49"/>
    <x v="3"/>
    <s v="After Borma"/>
    <m/>
    <n v="1000"/>
    <n v="256"/>
    <n v="3.1"/>
    <n v="682"/>
    <n v="40"/>
    <m/>
    <n v="60"/>
    <n v="36"/>
    <n v="0"/>
    <n v="52"/>
    <m/>
    <n v="8"/>
    <n v="4"/>
    <n v="3"/>
    <m/>
    <n v="16"/>
    <n v="99"/>
    <n v="1000"/>
    <n v="0.68200000000000005"/>
    <n v="0.04"/>
    <n v="0.06"/>
    <n v="3.5999999999999997E-2"/>
    <n v="5.1999999999999998E-2"/>
    <n v="8.0000000000000002E-3"/>
    <n v="7.0000000000000001E-3"/>
    <n v="1.6E-2"/>
    <n v="9.9000000000000005E-2"/>
  </r>
  <r>
    <d v="2026-07-15T00:00:00"/>
    <n v="29"/>
    <x v="49"/>
    <x v="3"/>
    <s v="After Borma"/>
    <m/>
    <n v="1000"/>
    <n v="240"/>
    <n v="3.1"/>
    <n v="639"/>
    <n v="16"/>
    <m/>
    <n v="84"/>
    <n v="116"/>
    <n v="0"/>
    <n v="28"/>
    <m/>
    <n v="5"/>
    <n v="6"/>
    <n v="3"/>
    <m/>
    <n v="15"/>
    <n v="88"/>
    <n v="1000"/>
    <n v="0.63900000000000001"/>
    <n v="1.6E-2"/>
    <n v="8.4000000000000005E-2"/>
    <n v="0.11600000000000001"/>
    <n v="2.8000000000000001E-2"/>
    <n v="5.0000000000000001E-3"/>
    <n v="8.9999999999999993E-3"/>
    <n v="1.4999999999999999E-2"/>
    <n v="8.7999999999999995E-2"/>
  </r>
  <r>
    <d v="2026-07-15T00:00:00"/>
    <n v="29"/>
    <x v="49"/>
    <x v="3"/>
    <s v="After Borma"/>
    <m/>
    <n v="1000"/>
    <n v="264"/>
    <n v="3.1"/>
    <n v="762"/>
    <n v="16"/>
    <m/>
    <n v="56"/>
    <n v="8"/>
    <n v="0"/>
    <n v="6"/>
    <m/>
    <n v="16"/>
    <n v="4"/>
    <n v="12"/>
    <m/>
    <n v="20"/>
    <n v="100"/>
    <n v="1000"/>
    <n v="0.76200000000000001"/>
    <n v="1.6E-2"/>
    <n v="5.6000000000000001E-2"/>
    <n v="8.0000000000000002E-3"/>
    <n v="6.0000000000000001E-3"/>
    <n v="1.6E-2"/>
    <n v="1.6E-2"/>
    <n v="0.02"/>
    <n v="0.1"/>
  </r>
  <r>
    <d v="2026-07-15T00:00:00"/>
    <n v="29"/>
    <x v="49"/>
    <x v="3"/>
    <s v="After Borma"/>
    <m/>
    <n v="1000"/>
    <n v="286"/>
    <n v="3.1"/>
    <n v="598"/>
    <n v="68"/>
    <m/>
    <n v="44"/>
    <n v="128"/>
    <n v="0"/>
    <n v="8"/>
    <m/>
    <n v="16"/>
    <n v="12"/>
    <n v="20"/>
    <m/>
    <n v="10"/>
    <n v="96"/>
    <n v="1000"/>
    <n v="0.59799999999999998"/>
    <n v="6.8000000000000005E-2"/>
    <n v="4.3999999999999997E-2"/>
    <n v="0.128"/>
    <n v="8.0000000000000002E-3"/>
    <n v="1.6E-2"/>
    <n v="3.2000000000000001E-2"/>
    <n v="0.01"/>
    <n v="9.6000000000000002E-2"/>
  </r>
  <r>
    <d v="2026-07-15T00:00:00"/>
    <n v="29"/>
    <x v="49"/>
    <x v="3"/>
    <s v="After Borma"/>
    <m/>
    <n v="1000"/>
    <n v="284"/>
    <n v="3.1"/>
    <n v="691"/>
    <n v="32"/>
    <m/>
    <n v="54"/>
    <n v="68"/>
    <n v="0"/>
    <n v="7"/>
    <m/>
    <n v="6"/>
    <n v="12"/>
    <n v="20"/>
    <m/>
    <n v="12"/>
    <n v="98"/>
    <n v="1000"/>
    <n v="0.69099999999999995"/>
    <n v="3.2000000000000001E-2"/>
    <n v="5.3999999999999999E-2"/>
    <n v="6.8000000000000005E-2"/>
    <n v="7.0000000000000001E-3"/>
    <n v="6.0000000000000001E-3"/>
    <n v="3.2000000000000001E-2"/>
    <n v="1.2E-2"/>
    <n v="9.8000000000000004E-2"/>
  </r>
  <r>
    <d v="2026-07-15T00:00:00"/>
    <n v="29"/>
    <x v="49"/>
    <x v="3"/>
    <s v="After Borma"/>
    <m/>
    <n v="1000"/>
    <n v="284"/>
    <n v="2.9"/>
    <n v="629"/>
    <n v="54"/>
    <m/>
    <n v="67"/>
    <n v="74"/>
    <n v="0"/>
    <n v="7"/>
    <m/>
    <n v="6"/>
    <n v="26"/>
    <n v="22"/>
    <m/>
    <n v="19"/>
    <n v="96"/>
    <n v="1000"/>
    <n v="0.629"/>
    <n v="5.3999999999999999E-2"/>
    <n v="6.7000000000000004E-2"/>
    <n v="7.3999999999999996E-2"/>
    <n v="7.0000000000000001E-3"/>
    <n v="6.0000000000000001E-3"/>
    <n v="4.8000000000000001E-2"/>
    <n v="1.9E-2"/>
    <n v="9.6000000000000002E-2"/>
  </r>
  <r>
    <d v="2026-07-15T00:00:00"/>
    <n v="29"/>
    <x v="49"/>
    <x v="3"/>
    <s v="After Borma"/>
    <m/>
    <n v="1000"/>
    <n v="304"/>
    <n v="3.3"/>
    <n v="604"/>
    <n v="60"/>
    <m/>
    <n v="68"/>
    <n v="80"/>
    <n v="0"/>
    <n v="20"/>
    <m/>
    <n v="8"/>
    <n v="20"/>
    <n v="24"/>
    <m/>
    <n v="32"/>
    <n v="84"/>
    <n v="1000"/>
    <n v="0.60399999999999998"/>
    <n v="0.06"/>
    <n v="6.8000000000000005E-2"/>
    <n v="0.08"/>
    <n v="0.02"/>
    <n v="8.0000000000000002E-3"/>
    <n v="4.3999999999999997E-2"/>
    <n v="3.2000000000000001E-2"/>
    <n v="8.4000000000000005E-2"/>
  </r>
  <r>
    <d v="2026-07-15T00:00:00"/>
    <n v="29"/>
    <x v="49"/>
    <x v="3"/>
    <s v="After Borma"/>
    <m/>
    <n v="1000"/>
    <n v="262"/>
    <n v="3.3"/>
    <n v="596"/>
    <n v="64"/>
    <m/>
    <n v="52"/>
    <n v="68"/>
    <n v="0"/>
    <n v="28"/>
    <m/>
    <n v="8"/>
    <n v="24"/>
    <n v="32"/>
    <m/>
    <n v="36"/>
    <n v="92"/>
    <n v="1000"/>
    <n v="0.59599999999999997"/>
    <n v="6.4000000000000001E-2"/>
    <n v="5.1999999999999998E-2"/>
    <n v="6.8000000000000005E-2"/>
    <n v="2.8000000000000001E-2"/>
    <n v="8.0000000000000002E-3"/>
    <n v="5.6000000000000001E-2"/>
    <n v="3.5999999999999997E-2"/>
    <n v="9.1999999999999998E-2"/>
  </r>
  <r>
    <d v="2026-07-16T00:00:00"/>
    <n v="29"/>
    <x v="50"/>
    <x v="3"/>
    <s v="After Borma"/>
    <m/>
    <n v="1000"/>
    <n v="312"/>
    <n v="3.3"/>
    <n v="629"/>
    <n v="39"/>
    <m/>
    <n v="76"/>
    <n v="92"/>
    <n v="0"/>
    <n v="32"/>
    <m/>
    <n v="8"/>
    <n v="16"/>
    <n v="4"/>
    <m/>
    <n v="4"/>
    <n v="100"/>
    <n v="1000"/>
    <n v="0.629"/>
    <n v="3.9E-2"/>
    <n v="7.5999999999999998E-2"/>
    <n v="9.1999999999999998E-2"/>
    <n v="3.2000000000000001E-2"/>
    <n v="8.0000000000000002E-3"/>
    <n v="0.02"/>
    <n v="4.0000000000000001E-3"/>
    <n v="0.1"/>
  </r>
  <r>
    <d v="2026-07-16T00:00:00"/>
    <n v="29"/>
    <x v="50"/>
    <x v="3"/>
    <s v="After Borma"/>
    <m/>
    <n v="1000"/>
    <n v="240"/>
    <n v="3.1"/>
    <n v="601"/>
    <n v="60"/>
    <m/>
    <n v="20"/>
    <n v="164"/>
    <n v="0"/>
    <n v="24"/>
    <m/>
    <n v="8"/>
    <n v="20"/>
    <n v="15"/>
    <m/>
    <n v="8"/>
    <n v="80"/>
    <n v="1000"/>
    <n v="0.60099999999999998"/>
    <n v="0.06"/>
    <n v="0.02"/>
    <n v="0.16400000000000001"/>
    <n v="2.4E-2"/>
    <n v="8.0000000000000002E-3"/>
    <n v="3.5000000000000003E-2"/>
    <n v="8.0000000000000002E-3"/>
    <n v="0.08"/>
  </r>
  <r>
    <d v="2026-07-16T00:00:00"/>
    <n v="29"/>
    <x v="50"/>
    <x v="3"/>
    <s v="After Borma"/>
    <m/>
    <n v="1000"/>
    <n v="284"/>
    <n v="3.3"/>
    <n v="650"/>
    <n v="28"/>
    <m/>
    <n v="44"/>
    <n v="120"/>
    <n v="0"/>
    <n v="16"/>
    <m/>
    <n v="4"/>
    <n v="12"/>
    <n v="10"/>
    <m/>
    <n v="16"/>
    <n v="100"/>
    <n v="1000"/>
    <n v="0.65"/>
    <n v="2.8000000000000001E-2"/>
    <n v="4.3999999999999997E-2"/>
    <n v="0.12"/>
    <n v="1.6E-2"/>
    <n v="4.0000000000000001E-3"/>
    <n v="2.1999999999999999E-2"/>
    <n v="1.6E-2"/>
    <n v="0.1"/>
  </r>
  <r>
    <d v="2026-07-16T00:00:00"/>
    <n v="29"/>
    <x v="50"/>
    <x v="3"/>
    <s v="After Borma"/>
    <m/>
    <n v="1000"/>
    <n v="258"/>
    <n v="3.3"/>
    <n v="782"/>
    <n v="16"/>
    <m/>
    <n v="32"/>
    <n v="92"/>
    <n v="0"/>
    <n v="16"/>
    <m/>
    <n v="20"/>
    <n v="8"/>
    <n v="8"/>
    <m/>
    <n v="16"/>
    <n v="10"/>
    <n v="1000"/>
    <n v="0.78200000000000003"/>
    <n v="1.6E-2"/>
    <n v="3.2000000000000001E-2"/>
    <n v="9.1999999999999998E-2"/>
    <n v="1.6E-2"/>
    <n v="0.02"/>
    <n v="1.6E-2"/>
    <n v="1.6E-2"/>
    <n v="0.01"/>
  </r>
  <r>
    <d v="2026-07-16T00:00:00"/>
    <n v="29"/>
    <x v="50"/>
    <x v="3"/>
    <s v="After Borma"/>
    <m/>
    <n v="1000"/>
    <n v="284"/>
    <n v="3.1"/>
    <n v="567"/>
    <n v="54"/>
    <m/>
    <n v="76"/>
    <n v="124"/>
    <n v="0"/>
    <n v="10"/>
    <m/>
    <n v="6"/>
    <n v="28"/>
    <n v="15"/>
    <m/>
    <n v="24"/>
    <n v="96"/>
    <n v="1000"/>
    <n v="0.56699999999999995"/>
    <n v="5.3999999999999999E-2"/>
    <n v="7.5999999999999998E-2"/>
    <n v="0.124"/>
    <n v="0.01"/>
    <n v="6.0000000000000001E-3"/>
    <n v="4.2999999999999997E-2"/>
    <n v="2.4E-2"/>
    <n v="9.6000000000000002E-2"/>
  </r>
  <r>
    <d v="2026-07-16T00:00:00"/>
    <n v="29"/>
    <x v="50"/>
    <x v="3"/>
    <s v="After Borma"/>
    <m/>
    <n v="1000"/>
    <n v="298"/>
    <n v="3.1"/>
    <n v="701"/>
    <n v="52"/>
    <m/>
    <n v="28"/>
    <n v="84"/>
    <n v="0"/>
    <n v="4"/>
    <m/>
    <n v="8"/>
    <n v="12"/>
    <n v="3"/>
    <m/>
    <n v="16"/>
    <n v="92"/>
    <n v="1000"/>
    <n v="0.70099999999999996"/>
    <n v="5.1999999999999998E-2"/>
    <n v="2.8000000000000001E-2"/>
    <n v="8.4000000000000005E-2"/>
    <n v="4.0000000000000001E-3"/>
    <n v="8.0000000000000002E-3"/>
    <n v="1.4999999999999999E-2"/>
    <n v="1.6E-2"/>
    <n v="9.1999999999999998E-2"/>
  </r>
  <r>
    <d v="2026-07-16T00:00:00"/>
    <n v="29"/>
    <x v="50"/>
    <x v="3"/>
    <s v="After Borma"/>
    <m/>
    <n v="1000"/>
    <n v="318"/>
    <n v="3.1"/>
    <n v="614"/>
    <n v="60"/>
    <m/>
    <n v="67"/>
    <n v="84"/>
    <n v="0"/>
    <n v="14"/>
    <m/>
    <n v="13"/>
    <n v="15"/>
    <n v="20"/>
    <m/>
    <n v="17"/>
    <n v="96"/>
    <n v="1000"/>
    <n v="0.61399999999999999"/>
    <n v="0.06"/>
    <n v="6.7000000000000004E-2"/>
    <n v="8.4000000000000005E-2"/>
    <n v="1.4E-2"/>
    <n v="1.2999999999999999E-2"/>
    <n v="3.5000000000000003E-2"/>
    <n v="1.7000000000000001E-2"/>
    <n v="9.6000000000000002E-2"/>
  </r>
  <r>
    <d v="2026-07-16T00:00:00"/>
    <n v="29"/>
    <x v="50"/>
    <x v="3"/>
    <s v="After Borma"/>
    <m/>
    <n v="1000"/>
    <n v="284"/>
    <n v="3.1"/>
    <n v="703"/>
    <n v="40"/>
    <m/>
    <n v="84"/>
    <n v="42"/>
    <n v="0"/>
    <n v="4"/>
    <m/>
    <n v="3"/>
    <n v="20"/>
    <n v="2"/>
    <m/>
    <n v="18"/>
    <n v="84"/>
    <n v="1000"/>
    <n v="0.70299999999999996"/>
    <n v="0.04"/>
    <n v="8.4000000000000005E-2"/>
    <n v="4.2000000000000003E-2"/>
    <n v="4.0000000000000001E-3"/>
    <n v="3.0000000000000001E-3"/>
    <n v="2.1999999999999999E-2"/>
    <n v="1.7999999999999999E-2"/>
    <n v="8.4000000000000005E-2"/>
  </r>
  <r>
    <d v="2026-07-16T00:00:00"/>
    <n v="29"/>
    <x v="50"/>
    <x v="3"/>
    <s v="After Borma"/>
    <m/>
    <n v="1000"/>
    <n v="260"/>
    <n v="3.1"/>
    <n v="610"/>
    <n v="48"/>
    <m/>
    <n v="90"/>
    <n v="100"/>
    <n v="0"/>
    <n v="10"/>
    <m/>
    <n v="5"/>
    <n v="10"/>
    <n v="5"/>
    <m/>
    <n v="26"/>
    <n v="96"/>
    <n v="1000"/>
    <n v="0.61"/>
    <n v="4.8000000000000001E-2"/>
    <n v="0.09"/>
    <n v="0.1"/>
    <n v="0.01"/>
    <n v="5.0000000000000001E-3"/>
    <n v="1.4999999999999999E-2"/>
    <n v="2.5999999999999999E-2"/>
    <n v="9.6000000000000002E-2"/>
  </r>
  <r>
    <d v="2026-07-16T00:00:00"/>
    <n v="29"/>
    <x v="50"/>
    <x v="3"/>
    <s v="After Borma"/>
    <m/>
    <n v="1000"/>
    <n v="262"/>
    <n v="3.1"/>
    <n v="612"/>
    <n v="52"/>
    <m/>
    <n v="80"/>
    <n v="100"/>
    <n v="0"/>
    <n v="10"/>
    <m/>
    <n v="8"/>
    <n v="18"/>
    <n v="4"/>
    <m/>
    <n v="20"/>
    <n v="96"/>
    <n v="1000"/>
    <n v="0.61199999999999999"/>
    <n v="5.1999999999999998E-2"/>
    <n v="0.08"/>
    <n v="0.1"/>
    <n v="0.01"/>
    <n v="8.0000000000000002E-3"/>
    <n v="2.1999999999999999E-2"/>
    <n v="0.02"/>
    <n v="9.6000000000000002E-2"/>
  </r>
  <r>
    <d v="2026-07-16T00:00:00"/>
    <n v="29"/>
    <x v="50"/>
    <x v="3"/>
    <s v="After Borma"/>
    <m/>
    <n v="1000"/>
    <n v="262"/>
    <n v="3.1"/>
    <n v="650"/>
    <n v="84"/>
    <m/>
    <n v="40"/>
    <n v="40"/>
    <n v="0"/>
    <n v="12"/>
    <m/>
    <n v="4"/>
    <n v="20"/>
    <n v="44"/>
    <m/>
    <n v="14"/>
    <n v="92"/>
    <n v="1000"/>
    <n v="0.65"/>
    <n v="8.4000000000000005E-2"/>
    <n v="0.04"/>
    <n v="0.04"/>
    <n v="1.2E-2"/>
    <n v="4.0000000000000001E-3"/>
    <n v="6.4000000000000001E-2"/>
    <n v="1.4E-2"/>
    <n v="9.1999999999999998E-2"/>
  </r>
  <r>
    <d v="2026-07-16T00:00:00"/>
    <n v="29"/>
    <x v="50"/>
    <x v="3"/>
    <s v="After Borma"/>
    <m/>
    <n v="1000"/>
    <n v="274"/>
    <n v="3"/>
    <n v="584"/>
    <n v="89"/>
    <m/>
    <n v="68"/>
    <n v="64"/>
    <n v="0"/>
    <n v="8"/>
    <m/>
    <n v="6"/>
    <n v="22"/>
    <n v="59"/>
    <m/>
    <n v="10"/>
    <n v="90"/>
    <n v="1000"/>
    <n v="0.58399999999999996"/>
    <n v="8.8999999999999996E-2"/>
    <n v="6.8000000000000005E-2"/>
    <n v="6.4000000000000001E-2"/>
    <n v="8.0000000000000002E-3"/>
    <n v="6.0000000000000001E-3"/>
    <n v="8.1000000000000003E-2"/>
    <n v="0.01"/>
    <n v="0.09"/>
  </r>
  <r>
    <d v="2026-07-16T00:00:00"/>
    <n v="29"/>
    <x v="51"/>
    <x v="3"/>
    <s v="After Borma"/>
    <m/>
    <n v="1000"/>
    <n v="266"/>
    <n v="3.3"/>
    <n v="700"/>
    <n v="40"/>
    <m/>
    <n v="60"/>
    <n v="80"/>
    <n v="0"/>
    <n v="8"/>
    <m/>
    <n v="4"/>
    <n v="3"/>
    <n v="4"/>
    <m/>
    <n v="20"/>
    <n v="81"/>
    <n v="1000"/>
    <n v="0.7"/>
    <n v="0.04"/>
    <n v="0.06"/>
    <n v="0.08"/>
    <n v="8.0000000000000002E-3"/>
    <n v="4.0000000000000001E-3"/>
    <n v="7.0000000000000001E-3"/>
    <n v="0.02"/>
    <n v="8.1000000000000003E-2"/>
  </r>
  <r>
    <d v="2026-07-16T00:00:00"/>
    <n v="29"/>
    <x v="51"/>
    <x v="3"/>
    <s v="After Borma"/>
    <m/>
    <n v="1000"/>
    <n v="276"/>
    <n v="3.2"/>
    <n v="679"/>
    <n v="28"/>
    <m/>
    <n v="60"/>
    <n v="88"/>
    <n v="0"/>
    <n v="8"/>
    <m/>
    <n v="7"/>
    <n v="4"/>
    <n v="10"/>
    <m/>
    <n v="36"/>
    <n v="80"/>
    <n v="1000"/>
    <n v="0.67900000000000005"/>
    <n v="2.8000000000000001E-2"/>
    <n v="0.06"/>
    <n v="8.7999999999999995E-2"/>
    <n v="8.0000000000000002E-3"/>
    <n v="7.0000000000000001E-3"/>
    <n v="1.4E-2"/>
    <n v="3.5999999999999997E-2"/>
    <n v="0.08"/>
  </r>
  <r>
    <d v="2026-07-16T00:00:00"/>
    <n v="29"/>
    <x v="51"/>
    <x v="3"/>
    <s v="After Borma"/>
    <m/>
    <n v="1000"/>
    <n v="264"/>
    <n v="3.2"/>
    <n v="715"/>
    <n v="44"/>
    <m/>
    <n v="36"/>
    <n v="88"/>
    <n v="0"/>
    <n v="6"/>
    <m/>
    <n v="4"/>
    <n v="3"/>
    <n v="4"/>
    <m/>
    <n v="10"/>
    <n v="90"/>
    <n v="1000"/>
    <n v="0.71499999999999997"/>
    <n v="4.3999999999999997E-2"/>
    <n v="3.5999999999999997E-2"/>
    <n v="8.7999999999999995E-2"/>
    <n v="6.0000000000000001E-3"/>
    <n v="4.0000000000000001E-3"/>
    <n v="7.0000000000000001E-3"/>
    <n v="0.01"/>
    <n v="0.09"/>
  </r>
  <r>
    <d v="2026-07-17T00:00:00"/>
    <n v="29"/>
    <x v="51"/>
    <x v="3"/>
    <s v="After Borma"/>
    <m/>
    <n v="1000"/>
    <n v="248"/>
    <n v="3.2"/>
    <n v="632"/>
    <n v="56"/>
    <m/>
    <n v="92"/>
    <n v="68"/>
    <n v="0"/>
    <n v="10"/>
    <m/>
    <n v="8"/>
    <n v="24"/>
    <n v="6"/>
    <m/>
    <n v="4"/>
    <n v="100"/>
    <n v="1000"/>
    <n v="0.63200000000000001"/>
    <n v="5.6000000000000001E-2"/>
    <n v="9.1999999999999998E-2"/>
    <n v="6.8000000000000005E-2"/>
    <n v="0.01"/>
    <n v="8.0000000000000002E-3"/>
    <n v="0.03"/>
    <n v="4.0000000000000001E-3"/>
    <n v="0.1"/>
  </r>
  <r>
    <d v="2026-07-17T00:00:00"/>
    <n v="29"/>
    <x v="51"/>
    <x v="3"/>
    <s v="After Borma"/>
    <m/>
    <n v="1000"/>
    <n v="250"/>
    <n v="3.1"/>
    <n v="685"/>
    <n v="44"/>
    <m/>
    <n v="56"/>
    <n v="96"/>
    <n v="0"/>
    <n v="11"/>
    <m/>
    <n v="2"/>
    <n v="4"/>
    <n v="1"/>
    <m/>
    <n v="5"/>
    <n v="96"/>
    <n v="1000"/>
    <n v="0.68500000000000005"/>
    <n v="4.3999999999999997E-2"/>
    <n v="5.6000000000000001E-2"/>
    <n v="9.6000000000000002E-2"/>
    <n v="1.0999999999999999E-2"/>
    <n v="2E-3"/>
    <n v="5.0000000000000001E-3"/>
    <n v="5.0000000000000001E-3"/>
    <n v="9.6000000000000002E-2"/>
  </r>
  <r>
    <d v="2026-07-17T00:00:00"/>
    <n v="29"/>
    <x v="51"/>
    <x v="3"/>
    <s v="After Borma"/>
    <m/>
    <n v="1000"/>
    <n v="320"/>
    <n v="3.2"/>
    <n v="631"/>
    <n v="48"/>
    <m/>
    <n v="68"/>
    <n v="88"/>
    <n v="0"/>
    <n v="11"/>
    <m/>
    <n v="6"/>
    <n v="16"/>
    <n v="20"/>
    <m/>
    <n v="12"/>
    <n v="100"/>
    <n v="1000"/>
    <n v="0.63100000000000001"/>
    <n v="4.8000000000000001E-2"/>
    <n v="6.8000000000000005E-2"/>
    <n v="8.7999999999999995E-2"/>
    <n v="1.0999999999999999E-2"/>
    <n v="6.0000000000000001E-3"/>
    <n v="3.5999999999999997E-2"/>
    <n v="1.2E-2"/>
    <n v="0.1"/>
  </r>
  <r>
    <d v="2026-07-17T00:00:00"/>
    <n v="29"/>
    <x v="51"/>
    <x v="3"/>
    <s v="After Borma"/>
    <m/>
    <n v="1000"/>
    <n v="320"/>
    <n v="3.1"/>
    <n v="633"/>
    <n v="68"/>
    <m/>
    <n v="64"/>
    <n v="72"/>
    <n v="0"/>
    <n v="32"/>
    <m/>
    <n v="4"/>
    <n v="7"/>
    <n v="16"/>
    <m/>
    <n v="4"/>
    <n v="100"/>
    <n v="1000"/>
    <n v="0.63300000000000001"/>
    <n v="6.8000000000000005E-2"/>
    <n v="6.4000000000000001E-2"/>
    <n v="7.1999999999999995E-2"/>
    <n v="3.2000000000000001E-2"/>
    <n v="4.0000000000000001E-3"/>
    <n v="2.3E-2"/>
    <n v="4.0000000000000001E-3"/>
    <n v="0.1"/>
  </r>
  <r>
    <d v="2026-07-17T00:00:00"/>
    <n v="29"/>
    <x v="51"/>
    <x v="3"/>
    <s v="After Borma"/>
    <m/>
    <n v="1000"/>
    <n v="320"/>
    <n v="3.2"/>
    <n v="544"/>
    <n v="36"/>
    <m/>
    <n v="64"/>
    <n v="116"/>
    <n v="0"/>
    <n v="28"/>
    <m/>
    <n v="4"/>
    <n v="36"/>
    <n v="64"/>
    <m/>
    <n v="4"/>
    <n v="104"/>
    <n v="1000"/>
    <n v="0.54400000000000004"/>
    <n v="3.5999999999999997E-2"/>
    <n v="6.4000000000000001E-2"/>
    <n v="0.11600000000000001"/>
    <n v="2.8000000000000001E-2"/>
    <n v="4.0000000000000001E-3"/>
    <n v="0.1"/>
    <n v="4.0000000000000001E-3"/>
    <n v="0.104"/>
  </r>
  <r>
    <d v="2026-07-17T00:00:00"/>
    <n v="29"/>
    <x v="51"/>
    <x v="3"/>
    <s v="After Borma"/>
    <m/>
    <n v="1000"/>
    <n v="320"/>
    <n v="3.3"/>
    <n v="698"/>
    <n v="4"/>
    <m/>
    <n v="44"/>
    <n v="112"/>
    <n v="0"/>
    <n v="24"/>
    <m/>
    <n v="8"/>
    <n v="4"/>
    <n v="2"/>
    <m/>
    <n v="8"/>
    <n v="96"/>
    <n v="1000"/>
    <n v="0.69799999999999995"/>
    <n v="4.0000000000000001E-3"/>
    <n v="4.3999999999999997E-2"/>
    <n v="0.112"/>
    <n v="2.4E-2"/>
    <n v="8.0000000000000002E-3"/>
    <n v="6.0000000000000001E-3"/>
    <n v="8.0000000000000002E-3"/>
    <n v="9.6000000000000002E-2"/>
  </r>
  <r>
    <d v="2026-07-17T00:00:00"/>
    <n v="29"/>
    <x v="51"/>
    <x v="3"/>
    <s v="After Borma"/>
    <m/>
    <n v="1000"/>
    <n v="220"/>
    <n v="3.1"/>
    <n v="641"/>
    <n v="40"/>
    <m/>
    <n v="84"/>
    <n v="84"/>
    <n v="0"/>
    <n v="36"/>
    <m/>
    <n v="4"/>
    <n v="2"/>
    <n v="4"/>
    <m/>
    <n v="5"/>
    <n v="100"/>
    <n v="1000"/>
    <n v="0.64100000000000001"/>
    <n v="0.04"/>
    <n v="8.4000000000000005E-2"/>
    <n v="8.4000000000000005E-2"/>
    <n v="3.5999999999999997E-2"/>
    <n v="4.0000000000000001E-3"/>
    <n v="6.0000000000000001E-3"/>
    <n v="5.0000000000000001E-3"/>
    <n v="0.1"/>
  </r>
  <r>
    <d v="2026-07-17T00:00:00"/>
    <n v="29"/>
    <x v="51"/>
    <x v="3"/>
    <s v="After Borma"/>
    <m/>
    <n v="1000"/>
    <n v="320"/>
    <n v="3.1"/>
    <n v="711"/>
    <n v="28"/>
    <m/>
    <n v="44"/>
    <n v="84"/>
    <n v="0"/>
    <n v="12"/>
    <m/>
    <n v="8"/>
    <n v="1"/>
    <n v="4"/>
    <m/>
    <n v="8"/>
    <n v="100"/>
    <n v="1000"/>
    <n v="0.71099999999999997"/>
    <n v="2.8000000000000001E-2"/>
    <n v="4.3999999999999997E-2"/>
    <n v="8.4000000000000005E-2"/>
    <n v="1.2E-2"/>
    <n v="8.0000000000000002E-3"/>
    <n v="5.0000000000000001E-3"/>
    <n v="8.0000000000000002E-3"/>
    <n v="0.1"/>
  </r>
  <r>
    <d v="2026-07-17T00:00:00"/>
    <n v="29"/>
    <x v="51"/>
    <x v="3"/>
    <s v="After Borma"/>
    <m/>
    <n v="1000"/>
    <n v="340"/>
    <n v="3.2"/>
    <n v="704"/>
    <n v="32"/>
    <m/>
    <n v="56"/>
    <n v="48"/>
    <n v="0"/>
    <n v="24"/>
    <m/>
    <n v="4"/>
    <n v="2"/>
    <n v="20"/>
    <m/>
    <n v="6"/>
    <n v="104"/>
    <n v="1000"/>
    <n v="0.70399999999999996"/>
    <n v="3.2000000000000001E-2"/>
    <n v="5.6000000000000001E-2"/>
    <n v="4.8000000000000001E-2"/>
    <n v="2.4E-2"/>
    <n v="4.0000000000000001E-3"/>
    <n v="2.1999999999999999E-2"/>
    <n v="6.0000000000000001E-3"/>
    <n v="0.104"/>
  </r>
  <r>
    <d v="2026-07-17T00:00:00"/>
    <n v="29"/>
    <x v="51"/>
    <x v="3"/>
    <s v="After Borma"/>
    <m/>
    <n v="1000"/>
    <n v="320"/>
    <n v="3.1"/>
    <n v="712"/>
    <n v="20"/>
    <m/>
    <n v="48"/>
    <n v="76"/>
    <n v="0"/>
    <n v="24"/>
    <m/>
    <n v="4"/>
    <n v="0"/>
    <n v="20"/>
    <m/>
    <n v="8"/>
    <n v="88"/>
    <n v="1000"/>
    <n v="0.71199999999999997"/>
    <n v="0.02"/>
    <n v="4.8000000000000001E-2"/>
    <n v="7.5999999999999998E-2"/>
    <n v="2.4E-2"/>
    <n v="4.0000000000000001E-3"/>
    <n v="0.02"/>
    <n v="8.0000000000000002E-3"/>
    <n v="8.7999999999999995E-2"/>
  </r>
  <r>
    <d v="2026-07-17T00:00:00"/>
    <n v="29"/>
    <x v="51"/>
    <x v="3"/>
    <s v="After Borma"/>
    <m/>
    <n v="1000"/>
    <n v="320"/>
    <n v="3.2"/>
    <n v="677"/>
    <n v="40"/>
    <m/>
    <n v="76"/>
    <n v="77"/>
    <n v="0"/>
    <n v="12"/>
    <m/>
    <n v="2"/>
    <n v="2"/>
    <n v="5"/>
    <m/>
    <n v="5"/>
    <n v="104"/>
    <n v="1000"/>
    <n v="0.67700000000000005"/>
    <n v="0.04"/>
    <n v="7.5999999999999998E-2"/>
    <n v="7.6999999999999999E-2"/>
    <n v="1.2E-2"/>
    <n v="2E-3"/>
    <n v="7.0000000000000001E-3"/>
    <n v="5.0000000000000001E-3"/>
    <n v="0.104"/>
  </r>
  <r>
    <d v="2026-07-17T00:00:00"/>
    <n v="29"/>
    <x v="51"/>
    <x v="3"/>
    <s v="After Borma"/>
    <m/>
    <n v="1000"/>
    <n v="288"/>
    <n v="3.4"/>
    <n v="523"/>
    <n v="150"/>
    <m/>
    <n v="48"/>
    <n v="64"/>
    <n v="0"/>
    <n v="8"/>
    <m/>
    <n v="10"/>
    <n v="40"/>
    <n v="62"/>
    <m/>
    <n v="11"/>
    <n v="84"/>
    <n v="1000"/>
    <n v="0.52300000000000002"/>
    <n v="0.15"/>
    <n v="4.8000000000000001E-2"/>
    <n v="6.4000000000000001E-2"/>
    <n v="8.0000000000000002E-3"/>
    <n v="0.01"/>
    <n v="0.10199999999999999"/>
    <n v="1.0999999999999999E-2"/>
    <n v="8.4000000000000005E-2"/>
  </r>
  <r>
    <d v="2026-07-17T00:00:00"/>
    <n v="29"/>
    <x v="52"/>
    <x v="3"/>
    <s v="After Borma"/>
    <m/>
    <n v="1000"/>
    <n v="272"/>
    <n v="3.3"/>
    <n v="719"/>
    <n v="28"/>
    <m/>
    <n v="52"/>
    <n v="82"/>
    <n v="0"/>
    <n v="6"/>
    <m/>
    <n v="4"/>
    <n v="2"/>
    <n v="3"/>
    <m/>
    <n v="6"/>
    <n v="98"/>
    <n v="1000"/>
    <n v="0.71899999999999997"/>
    <n v="2.8000000000000001E-2"/>
    <n v="5.1999999999999998E-2"/>
    <n v="8.2000000000000003E-2"/>
    <n v="6.0000000000000001E-3"/>
    <n v="4.0000000000000001E-3"/>
    <n v="5.0000000000000001E-3"/>
    <n v="6.0000000000000001E-3"/>
    <n v="9.8000000000000004E-2"/>
  </r>
  <r>
    <d v="2026-07-17T00:00:00"/>
    <n v="29"/>
    <x v="52"/>
    <x v="3"/>
    <s v="After Borma"/>
    <m/>
    <n v="1000"/>
    <n v="246"/>
    <n v="3.1"/>
    <n v="712"/>
    <n v="32"/>
    <m/>
    <n v="52"/>
    <n v="84"/>
    <n v="0"/>
    <n v="10"/>
    <m/>
    <n v="6"/>
    <n v="8"/>
    <n v="4"/>
    <m/>
    <n v="10"/>
    <n v="82"/>
    <n v="1000"/>
    <n v="0.71199999999999997"/>
    <n v="3.2000000000000001E-2"/>
    <n v="5.1999999999999998E-2"/>
    <n v="8.4000000000000005E-2"/>
    <n v="0.01"/>
    <n v="6.0000000000000001E-3"/>
    <n v="1.2E-2"/>
    <n v="0.01"/>
    <n v="8.2000000000000003E-2"/>
  </r>
  <r>
    <d v="2026-07-17T00:00:00"/>
    <n v="29"/>
    <x v="52"/>
    <x v="3"/>
    <s v="After Borma"/>
    <m/>
    <n v="1000"/>
    <n v="256"/>
    <n v="3.3"/>
    <n v="720"/>
    <n v="14"/>
    <m/>
    <n v="54"/>
    <n v="74"/>
    <n v="0"/>
    <n v="16"/>
    <m/>
    <n v="10"/>
    <n v="6"/>
    <n v="10"/>
    <m/>
    <n v="16"/>
    <n v="80"/>
    <n v="1000"/>
    <n v="0.72"/>
    <n v="1.4E-2"/>
    <n v="5.3999999999999999E-2"/>
    <n v="7.3999999999999996E-2"/>
    <n v="1.6E-2"/>
    <n v="0.01"/>
    <n v="1.6E-2"/>
    <n v="1.6E-2"/>
    <n v="0.08"/>
  </r>
  <r>
    <d v="2026-07-17T00:00:00"/>
    <n v="29"/>
    <x v="52"/>
    <x v="3"/>
    <s v="After Borma"/>
    <m/>
    <n v="1000"/>
    <n v="266"/>
    <n v="3.4"/>
    <n v="719"/>
    <n v="52"/>
    <m/>
    <n v="38"/>
    <n v="40"/>
    <n v="0"/>
    <n v="6"/>
    <m/>
    <n v="12"/>
    <n v="10"/>
    <n v="16"/>
    <m/>
    <n v="11"/>
    <n v="96"/>
    <n v="1000"/>
    <n v="0.71899999999999997"/>
    <n v="5.1999999999999998E-2"/>
    <n v="3.7999999999999999E-2"/>
    <n v="0.04"/>
    <n v="6.0000000000000001E-3"/>
    <n v="1.2E-2"/>
    <n v="2.5999999999999999E-2"/>
    <n v="1.0999999999999999E-2"/>
    <n v="9.6000000000000002E-2"/>
  </r>
  <r>
    <d v="2026-07-18T00:00:00"/>
    <n v="29"/>
    <x v="52"/>
    <x v="3"/>
    <s v="After Borma"/>
    <m/>
    <n v="1000"/>
    <n v="240"/>
    <n v="3"/>
    <n v="692"/>
    <n v="22"/>
    <m/>
    <n v="58"/>
    <n v="76"/>
    <n v="0"/>
    <n v="16"/>
    <m/>
    <n v="4"/>
    <n v="6"/>
    <n v="16"/>
    <m/>
    <n v="14"/>
    <n v="96"/>
    <n v="1000"/>
    <n v="0.69199999999999995"/>
    <n v="2.1999999999999999E-2"/>
    <n v="5.8000000000000003E-2"/>
    <n v="7.5999999999999998E-2"/>
    <n v="1.6E-2"/>
    <n v="4.0000000000000001E-3"/>
    <n v="2.1999999999999999E-2"/>
    <n v="1.4E-2"/>
    <n v="9.6000000000000002E-2"/>
  </r>
  <r>
    <d v="2026-07-18T00:00:00"/>
    <n v="29"/>
    <x v="52"/>
    <x v="3"/>
    <s v="After Borma"/>
    <m/>
    <n v="1000"/>
    <n v="240"/>
    <n v="3.1"/>
    <n v="746"/>
    <n v="16"/>
    <m/>
    <n v="30"/>
    <n v="74"/>
    <n v="0"/>
    <n v="6"/>
    <m/>
    <n v="4"/>
    <n v="8"/>
    <n v="12"/>
    <m/>
    <n v="8"/>
    <n v="96"/>
    <n v="1000"/>
    <n v="0.746"/>
    <n v="1.6E-2"/>
    <n v="0.03"/>
    <n v="7.3999999999999996E-2"/>
    <n v="6.0000000000000001E-3"/>
    <n v="4.0000000000000001E-3"/>
    <n v="0.02"/>
    <n v="8.0000000000000002E-3"/>
    <n v="9.6000000000000002E-2"/>
  </r>
  <r>
    <d v="2026-07-18T00:00:00"/>
    <n v="29"/>
    <x v="52"/>
    <x v="3"/>
    <s v="After Borma"/>
    <m/>
    <n v="1000"/>
    <n v="320"/>
    <n v="3"/>
    <n v="738"/>
    <n v="22"/>
    <m/>
    <n v="20"/>
    <n v="68"/>
    <n v="0"/>
    <n v="10"/>
    <m/>
    <n v="18"/>
    <n v="4"/>
    <n v="6"/>
    <m/>
    <n v="16"/>
    <n v="98"/>
    <n v="1000"/>
    <n v="0.73799999999999999"/>
    <n v="2.1999999999999999E-2"/>
    <n v="0.02"/>
    <n v="6.8000000000000005E-2"/>
    <n v="0.01"/>
    <n v="1.7999999999999999E-2"/>
    <n v="0.01"/>
    <n v="1.6E-2"/>
    <n v="9.8000000000000004E-2"/>
  </r>
  <r>
    <d v="2026-07-18T00:00:00"/>
    <n v="29"/>
    <x v="52"/>
    <x v="3"/>
    <s v="After Borma"/>
    <m/>
    <n v="1000"/>
    <n v="258"/>
    <n v="3.3"/>
    <n v="686"/>
    <n v="26"/>
    <m/>
    <n v="50"/>
    <n v="66"/>
    <n v="0"/>
    <n v="10"/>
    <m/>
    <n v="6"/>
    <n v="22"/>
    <n v="10"/>
    <m/>
    <n v="26"/>
    <n v="98"/>
    <n v="1000"/>
    <n v="0.68600000000000005"/>
    <n v="2.5999999999999999E-2"/>
    <n v="0.05"/>
    <n v="6.6000000000000003E-2"/>
    <n v="0.01"/>
    <n v="6.0000000000000001E-3"/>
    <n v="3.2000000000000001E-2"/>
    <n v="2.5999999999999999E-2"/>
    <n v="9.8000000000000004E-2"/>
  </r>
  <r>
    <d v="2026-07-18T00:00:00"/>
    <n v="29"/>
    <x v="52"/>
    <x v="3"/>
    <s v="After Borma"/>
    <m/>
    <n v="1000"/>
    <n v="240"/>
    <n v="3.1"/>
    <n v="696"/>
    <n v="40"/>
    <m/>
    <n v="44"/>
    <n v="80"/>
    <n v="0"/>
    <n v="10"/>
    <m/>
    <n v="7"/>
    <n v="8"/>
    <n v="5"/>
    <m/>
    <n v="20"/>
    <n v="90"/>
    <n v="1000"/>
    <n v="0.69599999999999995"/>
    <n v="0.04"/>
    <n v="4.3999999999999997E-2"/>
    <n v="0.08"/>
    <n v="0.01"/>
    <n v="7.0000000000000001E-3"/>
    <n v="1.2999999999999999E-2"/>
    <n v="0.02"/>
    <n v="0.09"/>
  </r>
  <r>
    <d v="2026-07-18T00:00:00"/>
    <n v="29"/>
    <x v="52"/>
    <x v="3"/>
    <s v="After Borma"/>
    <m/>
    <n v="1000"/>
    <n v="320"/>
    <n v="3.2"/>
    <n v="693"/>
    <n v="22"/>
    <m/>
    <n v="56"/>
    <n v="58"/>
    <n v="0"/>
    <n v="12"/>
    <m/>
    <n v="3"/>
    <n v="8"/>
    <n v="36"/>
    <m/>
    <n v="12"/>
    <n v="100"/>
    <n v="1000"/>
    <n v="0.69299999999999995"/>
    <n v="2.1999999999999999E-2"/>
    <n v="5.6000000000000001E-2"/>
    <n v="5.8000000000000003E-2"/>
    <n v="1.2E-2"/>
    <n v="3.0000000000000001E-3"/>
    <n v="4.3999999999999997E-2"/>
    <n v="1.2E-2"/>
    <n v="0.1"/>
  </r>
  <r>
    <d v="2026-07-18T00:00:00"/>
    <n v="29"/>
    <x v="52"/>
    <x v="3"/>
    <s v="After Borma"/>
    <m/>
    <n v="1000"/>
    <n v="276"/>
    <n v="3.1"/>
    <n v="773"/>
    <n v="26"/>
    <m/>
    <n v="32"/>
    <n v="46"/>
    <n v="0"/>
    <n v="10"/>
    <m/>
    <n v="5"/>
    <n v="5"/>
    <n v="3"/>
    <m/>
    <n v="12"/>
    <n v="88"/>
    <n v="1000"/>
    <n v="0.77300000000000002"/>
    <n v="2.5999999999999999E-2"/>
    <n v="3.2000000000000001E-2"/>
    <n v="4.5999999999999999E-2"/>
    <n v="0.01"/>
    <n v="5.0000000000000001E-3"/>
    <n v="8.0000000000000002E-3"/>
    <n v="1.2E-2"/>
    <n v="8.7999999999999995E-2"/>
  </r>
  <r>
    <d v="2026-07-18T00:00:00"/>
    <n v="29"/>
    <x v="52"/>
    <x v="3"/>
    <s v="After Borma"/>
    <m/>
    <n v="1000"/>
    <n v="262"/>
    <n v="3.2"/>
    <n v="702"/>
    <n v="20"/>
    <m/>
    <n v="36"/>
    <n v="72"/>
    <n v="0"/>
    <n v="12"/>
    <m/>
    <n v="4"/>
    <n v="28"/>
    <n v="24"/>
    <m/>
    <n v="8"/>
    <n v="94"/>
    <n v="1000"/>
    <n v="0.70199999999999996"/>
    <n v="0.02"/>
    <n v="3.5999999999999997E-2"/>
    <n v="7.1999999999999995E-2"/>
    <n v="1.2E-2"/>
    <n v="4.0000000000000001E-3"/>
    <n v="5.1999999999999998E-2"/>
    <n v="8.0000000000000002E-3"/>
    <n v="9.4E-2"/>
  </r>
  <r>
    <d v="2026-07-18T00:00:00"/>
    <n v="29"/>
    <x v="52"/>
    <x v="3"/>
    <s v="After Borma"/>
    <m/>
    <n v="1000"/>
    <n v="240"/>
    <n v="3"/>
    <n v="623"/>
    <n v="78"/>
    <m/>
    <n v="38"/>
    <n v="78"/>
    <n v="0"/>
    <n v="14"/>
    <m/>
    <n v="15"/>
    <n v="14"/>
    <n v="28"/>
    <m/>
    <n v="16"/>
    <n v="96"/>
    <n v="1000"/>
    <n v="0.623"/>
    <n v="7.8E-2"/>
    <n v="3.7999999999999999E-2"/>
    <n v="7.8E-2"/>
    <n v="1.4E-2"/>
    <n v="1.4999999999999999E-2"/>
    <n v="4.2000000000000003E-2"/>
    <n v="1.6E-2"/>
    <n v="9.6000000000000002E-2"/>
  </r>
  <r>
    <d v="2026-07-18T00:00:00"/>
    <n v="29"/>
    <x v="52"/>
    <x v="3"/>
    <s v="After Borma"/>
    <m/>
    <n v="1000"/>
    <n v="310"/>
    <n v="3"/>
    <n v="658"/>
    <n v="66"/>
    <m/>
    <n v="14"/>
    <n v="74"/>
    <n v="0"/>
    <n v="19"/>
    <m/>
    <n v="10"/>
    <n v="25"/>
    <n v="20"/>
    <m/>
    <n v="18"/>
    <n v="96"/>
    <n v="1000"/>
    <n v="0.65800000000000003"/>
    <n v="6.6000000000000003E-2"/>
    <n v="1.4E-2"/>
    <n v="7.3999999999999996E-2"/>
    <n v="1.9E-2"/>
    <n v="0.01"/>
    <n v="4.4999999999999998E-2"/>
    <n v="1.7999999999999999E-2"/>
    <n v="9.6000000000000002E-2"/>
  </r>
  <r>
    <d v="2026-07-18T00:00:00"/>
    <n v="29"/>
    <x v="52"/>
    <x v="3"/>
    <s v="After Borma"/>
    <m/>
    <n v="1000"/>
    <n v="266"/>
    <n v="3.4"/>
    <n v="482"/>
    <n v="150"/>
    <m/>
    <n v="20"/>
    <n v="94"/>
    <n v="0"/>
    <n v="10"/>
    <m/>
    <n v="8"/>
    <n v="46"/>
    <n v="86"/>
    <m/>
    <n v="22"/>
    <n v="82"/>
    <n v="1000"/>
    <n v="0.48199999999999998"/>
    <n v="0.15"/>
    <n v="0.02"/>
    <n v="9.4E-2"/>
    <n v="0.01"/>
    <n v="8.0000000000000002E-3"/>
    <n v="0.13200000000000001"/>
    <n v="2.1999999999999999E-2"/>
    <n v="8.2000000000000003E-2"/>
  </r>
  <r>
    <d v="2026-07-18T00:00:00"/>
    <n v="29"/>
    <x v="52"/>
    <x v="3"/>
    <s v="After Borma"/>
    <m/>
    <n v="1000"/>
    <n v="308"/>
    <n v="3.2"/>
    <n v="505"/>
    <n v="182"/>
    <m/>
    <n v="20"/>
    <n v="74"/>
    <n v="0"/>
    <n v="22"/>
    <m/>
    <n v="8"/>
    <n v="14"/>
    <n v="82"/>
    <m/>
    <n v="9"/>
    <n v="84"/>
    <n v="1000"/>
    <n v="0.505"/>
    <n v="0.182"/>
    <n v="0.02"/>
    <n v="7.3999999999999996E-2"/>
    <n v="2.1999999999999999E-2"/>
    <n v="8.0000000000000002E-3"/>
    <n v="9.6000000000000002E-2"/>
    <n v="8.9999999999999993E-3"/>
    <n v="8.4000000000000005E-2"/>
  </r>
  <r>
    <d v="2026-07-20T00:00:00"/>
    <n v="30"/>
    <x v="53"/>
    <x v="3"/>
    <s v="After Borma"/>
    <m/>
    <n v="1000"/>
    <n v="240"/>
    <n v="3"/>
    <n v="739"/>
    <n v="20"/>
    <m/>
    <n v="32"/>
    <n v="92"/>
    <n v="0"/>
    <n v="6"/>
    <m/>
    <n v="4"/>
    <n v="8"/>
    <n v="3"/>
    <m/>
    <n v="4"/>
    <n v="92"/>
    <n v="1000"/>
    <n v="0.73899999999999999"/>
    <n v="0.02"/>
    <n v="3.2000000000000001E-2"/>
    <n v="9.1999999999999998E-2"/>
    <n v="6.0000000000000001E-3"/>
    <n v="4.0000000000000001E-3"/>
    <n v="1.0999999999999999E-2"/>
    <n v="4.0000000000000001E-3"/>
    <n v="9.1999999999999998E-2"/>
  </r>
  <r>
    <d v="2026-07-20T00:00:00"/>
    <n v="30"/>
    <x v="53"/>
    <x v="3"/>
    <s v="After Borma"/>
    <m/>
    <n v="1000"/>
    <n v="266"/>
    <n v="3.1"/>
    <n v="709"/>
    <n v="24"/>
    <m/>
    <n v="70"/>
    <n v="66"/>
    <n v="0"/>
    <n v="8"/>
    <m/>
    <n v="4"/>
    <n v="10"/>
    <n v="3"/>
    <m/>
    <n v="12"/>
    <n v="94"/>
    <n v="1000"/>
    <n v="0.70899999999999996"/>
    <n v="2.4E-2"/>
    <n v="7.0000000000000007E-2"/>
    <n v="6.6000000000000003E-2"/>
    <n v="8.0000000000000002E-3"/>
    <n v="4.0000000000000001E-3"/>
    <n v="1.2999999999999999E-2"/>
    <n v="1.2E-2"/>
    <n v="9.4E-2"/>
  </r>
  <r>
    <d v="2026-07-20T00:00:00"/>
    <n v="30"/>
    <x v="53"/>
    <x v="3"/>
    <s v="After Borma"/>
    <m/>
    <n v="1000"/>
    <n v="258"/>
    <n v="3.1"/>
    <n v="703"/>
    <n v="28"/>
    <m/>
    <n v="58"/>
    <n v="70"/>
    <n v="0"/>
    <n v="10"/>
    <m/>
    <n v="3"/>
    <n v="10"/>
    <n v="8"/>
    <m/>
    <n v="16"/>
    <n v="94"/>
    <n v="1000"/>
    <n v="0.70299999999999996"/>
    <n v="2.8000000000000001E-2"/>
    <n v="5.8000000000000003E-2"/>
    <n v="7.0000000000000007E-2"/>
    <n v="0.01"/>
    <n v="3.0000000000000001E-3"/>
    <n v="1.7999999999999999E-2"/>
    <n v="1.6E-2"/>
    <n v="9.4E-2"/>
  </r>
  <r>
    <d v="2026-07-20T00:00:00"/>
    <n v="30"/>
    <x v="53"/>
    <x v="3"/>
    <s v="After Borma"/>
    <m/>
    <n v="1000"/>
    <n v="240"/>
    <n v="3"/>
    <n v="740"/>
    <n v="24"/>
    <m/>
    <n v="24"/>
    <n v="74"/>
    <n v="0"/>
    <n v="10"/>
    <m/>
    <n v="4"/>
    <n v="4"/>
    <n v="10"/>
    <m/>
    <n v="14"/>
    <n v="96"/>
    <n v="1000"/>
    <n v="0.74"/>
    <n v="2.4E-2"/>
    <n v="2.4E-2"/>
    <n v="7.3999999999999996E-2"/>
    <n v="0.01"/>
    <n v="4.0000000000000001E-3"/>
    <n v="1.4E-2"/>
    <n v="1.4E-2"/>
    <n v="9.6000000000000002E-2"/>
  </r>
  <r>
    <d v="2026-07-20T00:00:00"/>
    <n v="30"/>
    <x v="53"/>
    <x v="3"/>
    <s v="After Borma"/>
    <m/>
    <n v="1000"/>
    <n v="250"/>
    <n v="3"/>
    <n v="670"/>
    <n v="32"/>
    <m/>
    <n v="58"/>
    <n v="88"/>
    <n v="0"/>
    <n v="5"/>
    <m/>
    <n v="5"/>
    <n v="16"/>
    <n v="8"/>
    <m/>
    <n v="20"/>
    <n v="98"/>
    <n v="1000"/>
    <n v="0.67"/>
    <n v="3.2000000000000001E-2"/>
    <n v="5.8000000000000003E-2"/>
    <n v="8.7999999999999995E-2"/>
    <n v="5.0000000000000001E-3"/>
    <n v="5.0000000000000001E-3"/>
    <n v="2.4E-2"/>
    <n v="0.02"/>
    <n v="9.8000000000000004E-2"/>
  </r>
  <r>
    <d v="2026-07-20T00:00:00"/>
    <n v="30"/>
    <x v="53"/>
    <x v="3"/>
    <s v="After Borma"/>
    <m/>
    <n v="1000"/>
    <n v="256"/>
    <n v="3.2"/>
    <n v="729"/>
    <n v="52"/>
    <m/>
    <n v="54"/>
    <n v="36"/>
    <n v="0"/>
    <n v="3"/>
    <m/>
    <n v="4"/>
    <n v="8"/>
    <n v="6"/>
    <m/>
    <n v="12"/>
    <n v="96"/>
    <n v="1000"/>
    <n v="0.72899999999999998"/>
    <n v="5.1999999999999998E-2"/>
    <n v="5.3999999999999999E-2"/>
    <n v="3.5999999999999997E-2"/>
    <n v="3.0000000000000001E-3"/>
    <n v="4.0000000000000001E-3"/>
    <n v="1.4E-2"/>
    <n v="1.2E-2"/>
    <n v="9.6000000000000002E-2"/>
  </r>
  <r>
    <d v="2026-07-20T00:00:00"/>
    <n v="30"/>
    <x v="53"/>
    <x v="3"/>
    <s v="After Borma"/>
    <m/>
    <n v="1000"/>
    <n v="244"/>
    <n v="3.1"/>
    <n v="742"/>
    <n v="26"/>
    <m/>
    <n v="30"/>
    <n v="66"/>
    <n v="0"/>
    <n v="10"/>
    <m/>
    <n v="4"/>
    <n v="10"/>
    <n v="10"/>
    <m/>
    <n v="14"/>
    <n v="88"/>
    <n v="1000"/>
    <n v="0.74199999999999999"/>
    <n v="2.5999999999999999E-2"/>
    <n v="0.03"/>
    <n v="6.6000000000000003E-2"/>
    <n v="0.01"/>
    <n v="4.0000000000000001E-3"/>
    <n v="0.02"/>
    <n v="1.4E-2"/>
    <n v="8.7999999999999995E-2"/>
  </r>
  <r>
    <d v="2026-07-20T00:00:00"/>
    <n v="30"/>
    <x v="53"/>
    <x v="3"/>
    <s v="After Borma"/>
    <m/>
    <n v="1000"/>
    <n v="232"/>
    <n v="3.1"/>
    <n v="735"/>
    <n v="36"/>
    <m/>
    <n v="32"/>
    <n v="68"/>
    <n v="0"/>
    <n v="6"/>
    <m/>
    <n v="4"/>
    <n v="6"/>
    <n v="3"/>
    <m/>
    <n v="12"/>
    <n v="98"/>
    <n v="1000"/>
    <n v="0.73499999999999999"/>
    <n v="3.5999999999999997E-2"/>
    <n v="3.2000000000000001E-2"/>
    <n v="6.8000000000000005E-2"/>
    <n v="6.0000000000000001E-3"/>
    <n v="4.0000000000000001E-3"/>
    <n v="8.9999999999999993E-3"/>
    <n v="1.2E-2"/>
    <n v="9.8000000000000004E-2"/>
  </r>
  <r>
    <d v="2026-07-20T00:00:00"/>
    <n v="30"/>
    <x v="53"/>
    <x v="3"/>
    <s v="After Borma"/>
    <m/>
    <n v="1000"/>
    <n v="240"/>
    <n v="3.1"/>
    <n v="681"/>
    <n v="24"/>
    <m/>
    <n v="56"/>
    <n v="114"/>
    <n v="0"/>
    <n v="14"/>
    <m/>
    <n v="6"/>
    <n v="6"/>
    <n v="3"/>
    <m/>
    <n v="4"/>
    <n v="92"/>
    <n v="1000"/>
    <n v="0.68100000000000005"/>
    <n v="2.4E-2"/>
    <n v="5.6000000000000001E-2"/>
    <n v="0.114"/>
    <n v="1.4E-2"/>
    <n v="6.0000000000000001E-3"/>
    <n v="8.9999999999999993E-3"/>
    <n v="4.0000000000000001E-3"/>
    <n v="9.1999999999999998E-2"/>
  </r>
  <r>
    <d v="2026-07-20T00:00:00"/>
    <n v="30"/>
    <x v="53"/>
    <x v="3"/>
    <s v="After Borma"/>
    <m/>
    <n v="1000"/>
    <n v="240"/>
    <n v="3.1"/>
    <n v="602"/>
    <n v="70"/>
    <m/>
    <n v="34"/>
    <n v="58"/>
    <n v="0"/>
    <n v="8"/>
    <m/>
    <n v="4"/>
    <n v="38"/>
    <n v="80"/>
    <m/>
    <n v="10"/>
    <n v="96"/>
    <n v="1000"/>
    <n v="0.60199999999999998"/>
    <n v="7.0000000000000007E-2"/>
    <n v="3.4000000000000002E-2"/>
    <n v="5.8000000000000003E-2"/>
    <n v="8.0000000000000002E-3"/>
    <n v="4.0000000000000001E-3"/>
    <n v="0.11799999999999999"/>
    <n v="0.01"/>
    <n v="9.6000000000000002E-2"/>
  </r>
  <r>
    <d v="2026-07-20T00:00:00"/>
    <n v="30"/>
    <x v="53"/>
    <x v="3"/>
    <s v="After Borma"/>
    <m/>
    <n v="1000"/>
    <n v="242"/>
    <n v="3.3"/>
    <n v="598"/>
    <n v="32"/>
    <m/>
    <n v="44"/>
    <n v="132"/>
    <n v="0"/>
    <n v="26"/>
    <m/>
    <n v="8"/>
    <n v="20"/>
    <n v="4"/>
    <m/>
    <n v="20"/>
    <n v="116"/>
    <n v="1000"/>
    <n v="0.59799999999999998"/>
    <n v="3.2000000000000001E-2"/>
    <n v="4.3999999999999997E-2"/>
    <n v="0.13200000000000001"/>
    <n v="2.5999999999999999E-2"/>
    <n v="8.0000000000000002E-3"/>
    <n v="2.4E-2"/>
    <n v="0.02"/>
    <n v="0.11600000000000001"/>
  </r>
  <r>
    <d v="2026-07-20T00:00:00"/>
    <n v="30"/>
    <x v="53"/>
    <x v="3"/>
    <s v="After Borma"/>
    <m/>
    <n v="1000"/>
    <n v="276"/>
    <n v="3.3"/>
    <n v="734"/>
    <n v="15"/>
    <m/>
    <n v="15"/>
    <n v="80"/>
    <n v="0"/>
    <n v="20"/>
    <m/>
    <n v="20"/>
    <n v="4"/>
    <n v="8"/>
    <m/>
    <n v="12"/>
    <n v="92"/>
    <n v="1000"/>
    <n v="0.73399999999999999"/>
    <n v="1.4999999999999999E-2"/>
    <n v="1.4999999999999999E-2"/>
    <n v="0.08"/>
    <n v="0.02"/>
    <n v="0.02"/>
    <n v="1.2E-2"/>
    <n v="1.2E-2"/>
    <n v="9.1999999999999998E-2"/>
  </r>
  <r>
    <d v="2026-07-21T00:00:00"/>
    <n v="30"/>
    <x v="54"/>
    <x v="3"/>
    <s v="After Borma"/>
    <m/>
    <n v="1000"/>
    <n v="240"/>
    <n v="2.9"/>
    <n v="671"/>
    <n v="30"/>
    <m/>
    <n v="44"/>
    <n v="56"/>
    <n v="0"/>
    <n v="8"/>
    <m/>
    <n v="16"/>
    <n v="74"/>
    <n v="3"/>
    <m/>
    <n v="8"/>
    <n v="90"/>
    <n v="1000"/>
    <n v="0.67100000000000004"/>
    <n v="0.03"/>
    <n v="4.3999999999999997E-2"/>
    <n v="5.6000000000000001E-2"/>
    <n v="8.0000000000000002E-3"/>
    <n v="1.6E-2"/>
    <n v="7.6999999999999999E-2"/>
    <n v="8.0000000000000002E-3"/>
    <n v="0.09"/>
  </r>
  <r>
    <d v="2026-07-21T00:00:00"/>
    <n v="30"/>
    <x v="54"/>
    <x v="3"/>
    <s v="After Borma"/>
    <m/>
    <n v="1000"/>
    <n v="220"/>
    <n v="3.1"/>
    <n v="726"/>
    <n v="6"/>
    <m/>
    <n v="32"/>
    <n v="52"/>
    <n v="0"/>
    <n v="28"/>
    <m/>
    <n v="14"/>
    <n v="32"/>
    <n v="0"/>
    <m/>
    <n v="20"/>
    <n v="90"/>
    <n v="1000"/>
    <n v="0.72599999999999998"/>
    <n v="6.0000000000000001E-3"/>
    <n v="3.2000000000000001E-2"/>
    <n v="5.1999999999999998E-2"/>
    <n v="2.8000000000000001E-2"/>
    <n v="1.4E-2"/>
    <n v="3.2000000000000001E-2"/>
    <n v="0.02"/>
    <n v="0.09"/>
  </r>
  <r>
    <d v="2026-07-21T00:00:00"/>
    <n v="30"/>
    <x v="54"/>
    <x v="3"/>
    <s v="After Borma"/>
    <m/>
    <n v="1000"/>
    <n v="220"/>
    <n v="3.1"/>
    <n v="713"/>
    <n v="18"/>
    <m/>
    <n v="40"/>
    <n v="32"/>
    <n v="0"/>
    <n v="43"/>
    <m/>
    <n v="26"/>
    <n v="12"/>
    <n v="4"/>
    <m/>
    <n v="14"/>
    <n v="98"/>
    <n v="1000"/>
    <n v="0.71299999999999997"/>
    <n v="1.7999999999999999E-2"/>
    <n v="0.04"/>
    <n v="3.2000000000000001E-2"/>
    <n v="4.2999999999999997E-2"/>
    <n v="2.5999999999999999E-2"/>
    <n v="1.6E-2"/>
    <n v="1.4E-2"/>
    <n v="9.8000000000000004E-2"/>
  </r>
  <r>
    <d v="2026-07-21T00:00:00"/>
    <n v="30"/>
    <x v="54"/>
    <x v="3"/>
    <s v="After Borma"/>
    <m/>
    <n v="1000"/>
    <n v="240"/>
    <n v="2.9"/>
    <n v="620"/>
    <n v="92"/>
    <m/>
    <n v="32"/>
    <n v="34"/>
    <n v="0"/>
    <n v="78"/>
    <m/>
    <n v="28"/>
    <n v="8"/>
    <n v="22"/>
    <m/>
    <n v="8"/>
    <n v="78"/>
    <n v="1000"/>
    <n v="0.62"/>
    <n v="9.1999999999999998E-2"/>
    <n v="3.2000000000000001E-2"/>
    <n v="3.4000000000000002E-2"/>
    <n v="7.8E-2"/>
    <n v="2.8000000000000001E-2"/>
    <n v="0.03"/>
    <n v="8.0000000000000002E-3"/>
    <n v="7.8E-2"/>
  </r>
  <r>
    <d v="2026-07-21T00:00:00"/>
    <n v="30"/>
    <x v="54"/>
    <x v="3"/>
    <s v="After Borma"/>
    <m/>
    <n v="1000"/>
    <n v="240"/>
    <n v="2.9"/>
    <n v="605"/>
    <n v="49"/>
    <m/>
    <n v="82"/>
    <n v="44"/>
    <n v="0"/>
    <n v="82"/>
    <m/>
    <n v="6"/>
    <n v="12"/>
    <n v="26"/>
    <m/>
    <n v="12"/>
    <n v="82"/>
    <n v="1000"/>
    <n v="0.60499999999999998"/>
    <n v="4.9000000000000002E-2"/>
    <n v="8.2000000000000003E-2"/>
    <n v="4.3999999999999997E-2"/>
    <n v="8.2000000000000003E-2"/>
    <n v="6.0000000000000001E-3"/>
    <n v="3.7999999999999999E-2"/>
    <n v="1.2E-2"/>
    <n v="8.2000000000000003E-2"/>
  </r>
  <r>
    <d v="2026-07-21T00:00:00"/>
    <n v="30"/>
    <x v="54"/>
    <x v="3"/>
    <s v="After Borma"/>
    <m/>
    <n v="1000"/>
    <n v="240"/>
    <n v="2.9"/>
    <n v="567"/>
    <n v="95"/>
    <m/>
    <n v="44"/>
    <n v="42"/>
    <n v="0"/>
    <n v="86"/>
    <m/>
    <n v="10"/>
    <n v="14"/>
    <n v="16"/>
    <m/>
    <n v="36"/>
    <n v="90"/>
    <n v="1000"/>
    <n v="0.56699999999999995"/>
    <n v="9.5000000000000001E-2"/>
    <n v="4.3999999999999997E-2"/>
    <n v="4.2000000000000003E-2"/>
    <n v="8.5999999999999993E-2"/>
    <n v="0.01"/>
    <n v="0.03"/>
    <n v="3.5999999999999997E-2"/>
    <n v="0.09"/>
  </r>
  <r>
    <d v="2026-07-21T00:00:00"/>
    <n v="30"/>
    <x v="54"/>
    <x v="3"/>
    <s v="After Borma"/>
    <m/>
    <n v="1000"/>
    <n v="240"/>
    <n v="2.9"/>
    <n v="474"/>
    <n v="120"/>
    <m/>
    <n v="22"/>
    <n v="46"/>
    <n v="0"/>
    <n v="52"/>
    <m/>
    <n v="8"/>
    <n v="52"/>
    <n v="72"/>
    <m/>
    <n v="58"/>
    <n v="96"/>
    <n v="1000"/>
    <n v="0.47399999999999998"/>
    <n v="0.12"/>
    <n v="2.1999999999999999E-2"/>
    <n v="4.5999999999999999E-2"/>
    <n v="5.1999999999999998E-2"/>
    <n v="8.0000000000000002E-3"/>
    <n v="0.124"/>
    <n v="5.8000000000000003E-2"/>
    <n v="9.6000000000000002E-2"/>
  </r>
  <r>
    <d v="2026-07-22T00:00:00"/>
    <n v="30"/>
    <x v="55"/>
    <x v="4"/>
    <s v="After Borma"/>
    <m/>
    <n v="1000"/>
    <n v="262"/>
    <n v="3.2"/>
    <n v="607"/>
    <n v="8"/>
    <n v="20"/>
    <n v="68"/>
    <n v="58"/>
    <n v="0"/>
    <n v="10"/>
    <n v="80"/>
    <n v="28"/>
    <n v="2"/>
    <n v="3"/>
    <m/>
    <n v="20"/>
    <n v="96"/>
    <n v="1000"/>
    <n v="0.60699999999999998"/>
    <n v="2.8000000000000001E-2"/>
    <n v="6.8000000000000005E-2"/>
    <n v="5.8000000000000003E-2"/>
    <n v="0.09"/>
    <n v="2.8000000000000001E-2"/>
    <n v="5.0000000000000001E-3"/>
    <n v="0.02"/>
    <n v="9.6000000000000002E-2"/>
  </r>
  <r>
    <d v="2026-07-28T00:00:00"/>
    <n v="31"/>
    <x v="56"/>
    <x v="4"/>
    <s v="After Borma"/>
    <m/>
    <n v="1000"/>
    <n v="260"/>
    <n v="3.4"/>
    <n v="561"/>
    <n v="40"/>
    <n v="32"/>
    <n v="70"/>
    <n v="20"/>
    <n v="20"/>
    <n v="44"/>
    <n v="20"/>
    <n v="40"/>
    <n v="6"/>
    <n v="15"/>
    <m/>
    <n v="34"/>
    <n v="98"/>
    <n v="1000"/>
    <n v="0.56100000000000005"/>
    <n v="7.1999999999999995E-2"/>
    <n v="7.0000000000000007E-2"/>
    <n v="0.04"/>
    <n v="6.4000000000000001E-2"/>
    <n v="0.04"/>
    <n v="2.1000000000000001E-2"/>
    <n v="3.4000000000000002E-2"/>
    <n v="9.8000000000000004E-2"/>
  </r>
  <r>
    <d v="2026-07-29T00:00:00"/>
    <n v="31"/>
    <x v="57"/>
    <x v="4"/>
    <s v="After Borma"/>
    <m/>
    <n v="1000"/>
    <n v="268"/>
    <n v="3.3"/>
    <n v="587"/>
    <n v="28"/>
    <n v="16"/>
    <n v="54"/>
    <n v="37"/>
    <n v="25"/>
    <n v="43"/>
    <n v="32"/>
    <n v="37"/>
    <n v="7"/>
    <n v="7"/>
    <m/>
    <n v="26"/>
    <n v="101"/>
    <n v="1000"/>
    <n v="0.58699999999999997"/>
    <n v="4.3999999999999997E-2"/>
    <n v="5.3999999999999999E-2"/>
    <n v="6.2E-2"/>
    <n v="7.4999999999999997E-2"/>
    <n v="3.6999999999999998E-2"/>
    <n v="1.4E-2"/>
    <n v="2.5999999999999999E-2"/>
    <n v="0.10100000000000001"/>
  </r>
  <r>
    <d v="2026-07-30T00:00:00"/>
    <n v="31"/>
    <x v="58"/>
    <x v="4"/>
    <s v="After Borma"/>
    <m/>
    <n v="1000"/>
    <n v="258"/>
    <n v="3.1"/>
    <n v="534"/>
    <n v="34"/>
    <n v="26"/>
    <n v="58"/>
    <n v="60"/>
    <n v="26"/>
    <n v="16"/>
    <n v="60"/>
    <n v="34"/>
    <n v="18"/>
    <n v="16"/>
    <m/>
    <n v="18"/>
    <n v="100"/>
    <n v="1000"/>
    <n v="0.53400000000000003"/>
    <n v="0.06"/>
    <n v="5.8000000000000003E-2"/>
    <n v="8.5999999999999993E-2"/>
    <n v="7.5999999999999998E-2"/>
    <n v="3.4000000000000002E-2"/>
    <n v="3.4000000000000002E-2"/>
    <n v="1.7999999999999999E-2"/>
    <n v="0.1"/>
  </r>
  <r>
    <d v="2026-07-31T00:00:00"/>
    <n v="31"/>
    <x v="59"/>
    <x v="4"/>
    <s v="After Borma"/>
    <m/>
    <n v="1000"/>
    <n v="276"/>
    <n v="3.2"/>
    <n v="538"/>
    <n v="12"/>
    <n v="24"/>
    <n v="26"/>
    <n v="84"/>
    <n v="26"/>
    <n v="26"/>
    <n v="84"/>
    <n v="38"/>
    <n v="16"/>
    <n v="2"/>
    <m/>
    <n v="24"/>
    <n v="100"/>
    <n v="1000"/>
    <n v="0.53800000000000003"/>
    <n v="3.5999999999999997E-2"/>
    <n v="2.5999999999999999E-2"/>
    <n v="0.11"/>
    <n v="0.11"/>
    <n v="3.7999999999999999E-2"/>
    <n v="1.7999999999999999E-2"/>
    <n v="2.4E-2"/>
    <n v="0.1"/>
  </r>
  <r>
    <d v="2026-07-31T00:00:00"/>
    <n v="31"/>
    <x v="59"/>
    <x v="4"/>
    <s v="After Borma"/>
    <m/>
    <n v="1000"/>
    <n v="253"/>
    <n v="3.3"/>
    <n v="711"/>
    <n v="13"/>
    <n v="4"/>
    <n v="29"/>
    <n v="31"/>
    <n v="23"/>
    <n v="25"/>
    <n v="4"/>
    <n v="32"/>
    <n v="4"/>
    <n v="9"/>
    <m/>
    <n v="17"/>
    <n v="98"/>
    <n v="1000"/>
    <n v="0.71099999999999997"/>
    <n v="1.7000000000000001E-2"/>
    <n v="2.9000000000000001E-2"/>
    <n v="5.3999999999999999E-2"/>
    <n v="2.9000000000000001E-2"/>
    <n v="3.2000000000000001E-2"/>
    <n v="1.2999999999999999E-2"/>
    <n v="1.7000000000000001E-2"/>
    <n v="9.8000000000000004E-2"/>
  </r>
  <r>
    <d v="2026-08-01T00:00:00"/>
    <n v="31"/>
    <x v="60"/>
    <x v="4"/>
    <s v="After Borma"/>
    <m/>
    <n v="1000"/>
    <n v="244"/>
    <n v="3.1"/>
    <n v="860"/>
    <n v="19"/>
    <n v="13"/>
    <n v="64"/>
    <n v="15"/>
    <n v="0"/>
    <n v="0"/>
    <n v="0"/>
    <n v="0"/>
    <n v="12"/>
    <n v="0"/>
    <m/>
    <n v="17"/>
    <n v="0"/>
    <n v="1000"/>
    <n v="0.86"/>
    <n v="3.2000000000000001E-2"/>
    <n v="6.4000000000000001E-2"/>
    <n v="1.4999999999999999E-2"/>
    <n v="0"/>
    <n v="0"/>
    <n v="1.2E-2"/>
    <n v="1.7000000000000001E-2"/>
    <n v="0"/>
  </r>
  <r>
    <d v="2026-08-03T00:00:00"/>
    <n v="32"/>
    <x v="60"/>
    <x v="4"/>
    <s v="After Borma"/>
    <m/>
    <n v="1000"/>
    <n v="264"/>
    <n v="3.1"/>
    <n v="600"/>
    <n v="27"/>
    <n v="18"/>
    <n v="89"/>
    <n v="26"/>
    <n v="0"/>
    <n v="33"/>
    <n v="10"/>
    <n v="37"/>
    <n v="9"/>
    <n v="14"/>
    <m/>
    <n v="39"/>
    <n v="98"/>
    <n v="1000"/>
    <n v="0.6"/>
    <n v="4.4999999999999998E-2"/>
    <n v="8.8999999999999996E-2"/>
    <n v="2.5999999999999999E-2"/>
    <n v="4.2999999999999997E-2"/>
    <n v="3.6999999999999998E-2"/>
    <n v="2.3E-2"/>
    <n v="3.9E-2"/>
    <n v="9.8000000000000004E-2"/>
  </r>
  <r>
    <d v="2026-08-04T00:00:00"/>
    <n v="32"/>
    <x v="61"/>
    <x v="4"/>
    <s v="After Borma"/>
    <m/>
    <n v="1000"/>
    <n v="230"/>
    <n v="3.4"/>
    <n v="638"/>
    <n v="16"/>
    <n v="14"/>
    <n v="53"/>
    <n v="27"/>
    <n v="24"/>
    <n v="36"/>
    <n v="4"/>
    <n v="42"/>
    <n v="8"/>
    <n v="11"/>
    <m/>
    <n v="32"/>
    <n v="95"/>
    <n v="1000"/>
    <n v="0.63800000000000001"/>
    <n v="0.03"/>
    <n v="5.2999999999999999E-2"/>
    <n v="5.0999999999999997E-2"/>
    <n v="0.04"/>
    <n v="4.2000000000000003E-2"/>
    <n v="1.9E-2"/>
    <n v="3.2000000000000001E-2"/>
    <n v="9.5000000000000001E-2"/>
  </r>
  <r>
    <d v="2026-08-05T00:00:00"/>
    <n v="32"/>
    <x v="62"/>
    <x v="4"/>
    <s v="After Borma"/>
    <m/>
    <n v="1000"/>
    <n v="254"/>
    <n v="3.6"/>
    <n v="593"/>
    <n v="25"/>
    <n v="18"/>
    <n v="51"/>
    <n v="36"/>
    <n v="26"/>
    <n v="43"/>
    <n v="20"/>
    <n v="47"/>
    <n v="5"/>
    <n v="4"/>
    <m/>
    <n v="34"/>
    <n v="98"/>
    <n v="1000"/>
    <n v="0.59299999999999997"/>
    <n v="4.2999999999999997E-2"/>
    <n v="5.0999999999999997E-2"/>
    <n v="6.2E-2"/>
    <n v="6.3E-2"/>
    <n v="4.7E-2"/>
    <n v="8.9999999999999993E-3"/>
    <n v="3.4000000000000002E-2"/>
    <n v="9.8000000000000004E-2"/>
  </r>
  <r>
    <d v="2026-08-06T00:00:00"/>
    <n v="32"/>
    <x v="63"/>
    <x v="4"/>
    <s v="After Borma"/>
    <m/>
    <n v="1000"/>
    <n v="250"/>
    <n v="3.2"/>
    <n v="586"/>
    <n v="26"/>
    <n v="19"/>
    <n v="51"/>
    <n v="37"/>
    <n v="27"/>
    <n v="44"/>
    <n v="21"/>
    <n v="47"/>
    <n v="6"/>
    <n v="5"/>
    <m/>
    <n v="35"/>
    <n v="96"/>
    <n v="1000"/>
    <n v="0.58599999999999997"/>
    <n v="4.4999999999999998E-2"/>
    <n v="5.0999999999999997E-2"/>
    <n v="6.4000000000000001E-2"/>
    <n v="6.5000000000000002E-2"/>
    <n v="4.7E-2"/>
    <n v="1.0999999999999999E-2"/>
    <n v="3.5000000000000003E-2"/>
    <n v="9.6000000000000002E-2"/>
  </r>
  <r>
    <d v="2026-08-06T00:00:00"/>
    <n v="32"/>
    <x v="64"/>
    <x v="4"/>
    <s v="After Borma"/>
    <m/>
    <n v="1000"/>
    <n v="242"/>
    <n v="3.3"/>
    <n v="601"/>
    <n v="20"/>
    <n v="12"/>
    <n v="80"/>
    <n v="66"/>
    <n v="18"/>
    <n v="20"/>
    <n v="28"/>
    <n v="15"/>
    <n v="8"/>
    <n v="10"/>
    <m/>
    <n v="24"/>
    <n v="98"/>
    <n v="1000"/>
    <n v="0.60099999999999998"/>
    <n v="3.2000000000000001E-2"/>
    <n v="0.08"/>
    <n v="8.4000000000000005E-2"/>
    <n v="4.8000000000000001E-2"/>
    <n v="1.4999999999999999E-2"/>
    <n v="1.7999999999999999E-2"/>
    <n v="2.4E-2"/>
    <n v="9.8000000000000004E-2"/>
  </r>
  <r>
    <d v="2026-08-10T00:00:00"/>
    <n v="33"/>
    <x v="65"/>
    <x v="4"/>
    <s v="After Borma"/>
    <m/>
    <n v="1000"/>
    <n v="312"/>
    <n v="3.1"/>
    <n v="584"/>
    <n v="32"/>
    <n v="14"/>
    <n v="28"/>
    <n v="126"/>
    <n v="0"/>
    <n v="8"/>
    <n v="10"/>
    <n v="32"/>
    <n v="14"/>
    <n v="0"/>
    <n v="12"/>
    <n v="42"/>
    <n v="98"/>
    <n v="1000"/>
    <n v="0.58399999999999996"/>
    <n v="4.5999999999999999E-2"/>
    <n v="2.8000000000000001E-2"/>
    <n v="0.126"/>
    <n v="1.7999999999999999E-2"/>
    <n v="3.2000000000000001E-2"/>
    <n v="1.4E-2"/>
    <n v="4.2000000000000003E-2"/>
    <n v="9.8000000000000004E-2"/>
  </r>
  <r>
    <d v="2026-08-10T00:00:00"/>
    <n v="33"/>
    <x v="65"/>
    <x v="4"/>
    <s v="After Borma"/>
    <m/>
    <n v="1000"/>
    <n v="278"/>
    <n v="2.4"/>
    <n v="538"/>
    <n v="42"/>
    <n v="24"/>
    <n v="30"/>
    <n v="80"/>
    <n v="0"/>
    <n v="44"/>
    <n v="22"/>
    <n v="32"/>
    <n v="28"/>
    <n v="0"/>
    <n v="0"/>
    <n v="64"/>
    <n v="96"/>
    <n v="1000"/>
    <n v="0.53800000000000003"/>
    <n v="6.6000000000000003E-2"/>
    <n v="0.03"/>
    <n v="0.08"/>
    <n v="6.6000000000000003E-2"/>
    <n v="3.2000000000000001E-2"/>
    <n v="2.8000000000000001E-2"/>
    <n v="6.4000000000000001E-2"/>
    <n v="9.6000000000000002E-2"/>
  </r>
  <r>
    <d v="2026-08-10T00:00:00"/>
    <n v="33"/>
    <x v="65"/>
    <x v="4"/>
    <s v="After Borma"/>
    <m/>
    <n v="1000"/>
    <n v="360"/>
    <n v="3.4"/>
    <n v="360"/>
    <n v="66"/>
    <n v="68"/>
    <n v="50"/>
    <n v="96"/>
    <n v="0"/>
    <n v="34"/>
    <n v="12"/>
    <n v="44"/>
    <n v="120"/>
    <n v="0"/>
    <n v="2"/>
    <n v="50"/>
    <n v="98"/>
    <n v="1000"/>
    <n v="0.36"/>
    <n v="0.13400000000000001"/>
    <n v="0.05"/>
    <n v="9.6000000000000002E-2"/>
    <n v="4.5999999999999999E-2"/>
    <n v="4.3999999999999997E-2"/>
    <n v="0.12"/>
    <n v="0.05"/>
    <n v="9.8000000000000004E-2"/>
  </r>
  <r>
    <d v="2026-08-11T00:00:00"/>
    <n v="33"/>
    <x v="66"/>
    <x v="4"/>
    <s v="After Borma"/>
    <s v="A"/>
    <n v="1000"/>
    <n v="236"/>
    <n v="2.8"/>
    <n v="478"/>
    <n v="32"/>
    <n v="20"/>
    <n v="76"/>
    <n v="116"/>
    <n v="0"/>
    <n v="20"/>
    <n v="32"/>
    <n v="40"/>
    <n v="28"/>
    <n v="0"/>
    <n v="24"/>
    <n v="24"/>
    <n v="110"/>
    <n v="1000"/>
    <n v="0.47799999999999998"/>
    <n v="5.1999999999999998E-2"/>
    <n v="7.5999999999999998E-2"/>
    <n v="0.11600000000000001"/>
    <n v="5.1999999999999998E-2"/>
    <n v="0.04"/>
    <n v="2.8000000000000001E-2"/>
    <n v="2.4E-2"/>
    <n v="0.11"/>
  </r>
  <r>
    <d v="2026-08-11T00:00:00"/>
    <n v="33"/>
    <x v="66"/>
    <x v="4"/>
    <s v="After Borma"/>
    <s v="A"/>
    <n v="1000"/>
    <n v="250"/>
    <n v="2.9"/>
    <n v="450"/>
    <n v="24"/>
    <n v="28"/>
    <n v="44"/>
    <n v="132"/>
    <n v="0"/>
    <n v="36"/>
    <n v="30"/>
    <n v="40"/>
    <n v="24"/>
    <n v="0"/>
    <n v="36"/>
    <n v="52"/>
    <n v="104"/>
    <n v="1000"/>
    <n v="0.45"/>
    <n v="5.1999999999999998E-2"/>
    <n v="4.3999999999999997E-2"/>
    <n v="0.13200000000000001"/>
    <n v="6.6000000000000003E-2"/>
    <n v="0.04"/>
    <n v="2.4E-2"/>
    <n v="5.1999999999999998E-2"/>
    <n v="0.104"/>
  </r>
  <r>
    <d v="2026-08-11T00:00:00"/>
    <n v="33"/>
    <x v="66"/>
    <x v="4"/>
    <s v="After Borma"/>
    <s v="A"/>
    <n v="1000"/>
    <n v="246"/>
    <n v="2.6"/>
    <n v="524"/>
    <n v="24"/>
    <n v="32"/>
    <n v="68"/>
    <n v="80"/>
    <n v="0"/>
    <n v="16"/>
    <n v="12"/>
    <n v="52"/>
    <n v="36"/>
    <n v="0"/>
    <n v="40"/>
    <n v="8"/>
    <n v="108"/>
    <n v="1000"/>
    <n v="0.52400000000000002"/>
    <n v="5.6000000000000001E-2"/>
    <n v="6.8000000000000005E-2"/>
    <n v="0.08"/>
    <n v="2.8000000000000001E-2"/>
    <n v="5.1999999999999998E-2"/>
    <n v="3.5999999999999997E-2"/>
    <n v="8.0000000000000002E-3"/>
    <n v="0.108"/>
  </r>
  <r>
    <d v="2026-08-11T00:00:00"/>
    <n v="33"/>
    <x v="67"/>
    <x v="5"/>
    <s v="After Borma"/>
    <s v="B"/>
    <n v="1000"/>
    <n v="266"/>
    <n v="3.2"/>
    <n v="534"/>
    <n v="38"/>
    <n v="40"/>
    <n v="58"/>
    <n v="104"/>
    <n v="0"/>
    <n v="40"/>
    <n v="2"/>
    <n v="41"/>
    <n v="5"/>
    <n v="0"/>
    <n v="0"/>
    <n v="44"/>
    <n v="94"/>
    <n v="1000"/>
    <n v="0.53400000000000003"/>
    <n v="7.8E-2"/>
    <n v="5.8000000000000003E-2"/>
    <n v="0.104"/>
    <n v="4.2000000000000003E-2"/>
    <n v="4.1000000000000002E-2"/>
    <n v="5.0000000000000001E-3"/>
    <n v="4.3999999999999997E-2"/>
    <n v="9.4E-2"/>
  </r>
  <r>
    <d v="2026-08-12T00:00:00"/>
    <n v="33"/>
    <x v="68"/>
    <x v="5"/>
    <s v="After Borma"/>
    <s v="A"/>
    <n v="1000"/>
    <n v="272"/>
    <n v="2.7"/>
    <n v="496"/>
    <n v="40"/>
    <n v="64"/>
    <n v="48"/>
    <n v="120"/>
    <n v="0"/>
    <n v="24"/>
    <n v="20"/>
    <n v="20"/>
    <n v="28"/>
    <n v="0"/>
    <n v="0"/>
    <n v="16"/>
    <n v="124"/>
    <n v="1000"/>
    <n v="0.496"/>
    <n v="0.104"/>
    <n v="4.8000000000000001E-2"/>
    <n v="0.12"/>
    <n v="4.3999999999999997E-2"/>
    <n v="0.02"/>
    <n v="2.8000000000000001E-2"/>
    <n v="1.6E-2"/>
    <n v="0.124"/>
  </r>
  <r>
    <d v="2026-08-12T00:00:00"/>
    <n v="33"/>
    <x v="68"/>
    <x v="5"/>
    <s v="After Borma"/>
    <s v="A"/>
    <n v="1000"/>
    <n v="256"/>
    <n v="2.7"/>
    <n v="484"/>
    <n v="56"/>
    <n v="48"/>
    <n v="52"/>
    <n v="116"/>
    <n v="0"/>
    <n v="32"/>
    <n v="32"/>
    <n v="24"/>
    <n v="20"/>
    <n v="0"/>
    <n v="0"/>
    <n v="20"/>
    <n v="116"/>
    <n v="1000"/>
    <n v="0.48399999999999999"/>
    <n v="0.104"/>
    <n v="5.1999999999999998E-2"/>
    <n v="0.11600000000000001"/>
    <n v="6.4000000000000001E-2"/>
    <n v="2.4E-2"/>
    <n v="0.02"/>
    <n v="0.02"/>
    <n v="0.11600000000000001"/>
  </r>
  <r>
    <d v="2026-08-12T00:00:00"/>
    <n v="33"/>
    <x v="67"/>
    <x v="5"/>
    <s v="After Borma"/>
    <s v="A"/>
    <n v="1000"/>
    <n v="250"/>
    <n v="2.9"/>
    <n v="528"/>
    <n v="20"/>
    <n v="24"/>
    <n v="56"/>
    <n v="124"/>
    <n v="0"/>
    <n v="20"/>
    <n v="36"/>
    <n v="28"/>
    <n v="24"/>
    <n v="0"/>
    <n v="0"/>
    <n v="20"/>
    <n v="120"/>
    <n v="1000"/>
    <n v="0.52800000000000002"/>
    <n v="4.3999999999999997E-2"/>
    <n v="5.6000000000000001E-2"/>
    <n v="0.124"/>
    <n v="5.6000000000000001E-2"/>
    <n v="2.8000000000000001E-2"/>
    <n v="2.4E-2"/>
    <n v="0.02"/>
    <n v="0.12"/>
  </r>
  <r>
    <d v="2026-08-12T00:00:00"/>
    <n v="33"/>
    <x v="67"/>
    <x v="5"/>
    <s v="After Borma"/>
    <s v="B"/>
    <n v="1000"/>
    <n v="242"/>
    <n v="3.6"/>
    <n v="569"/>
    <n v="26"/>
    <n v="44"/>
    <n v="12"/>
    <n v="84"/>
    <n v="0"/>
    <n v="28"/>
    <n v="62"/>
    <n v="36"/>
    <n v="14"/>
    <n v="0"/>
    <n v="17"/>
    <n v="12"/>
    <n v="96"/>
    <n v="1000"/>
    <n v="0.56899999999999995"/>
    <n v="7.0000000000000007E-2"/>
    <n v="1.2E-2"/>
    <n v="8.4000000000000005E-2"/>
    <n v="0.09"/>
    <n v="3.5999999999999997E-2"/>
    <n v="1.4E-2"/>
    <n v="1.2E-2"/>
    <n v="9.6000000000000002E-2"/>
  </r>
  <r>
    <d v="2026-08-13T00:00:00"/>
    <n v="33"/>
    <x v="68"/>
    <x v="5"/>
    <s v="After Borma"/>
    <s v="A"/>
    <n v="1000"/>
    <n v="248"/>
    <n v="3.1"/>
    <n v="472"/>
    <n v="44"/>
    <n v="40"/>
    <n v="88"/>
    <n v="80"/>
    <n v="0"/>
    <n v="28"/>
    <n v="16"/>
    <n v="24"/>
    <n v="28"/>
    <n v="0"/>
    <n v="48"/>
    <n v="24"/>
    <n v="108"/>
    <n v="1000"/>
    <n v="0.47199999999999998"/>
    <n v="8.4000000000000005E-2"/>
    <n v="8.7999999999999995E-2"/>
    <n v="0.08"/>
    <n v="4.3999999999999997E-2"/>
    <n v="2.4E-2"/>
    <n v="2.8000000000000001E-2"/>
    <n v="2.4E-2"/>
    <n v="0.108"/>
  </r>
  <r>
    <d v="2026-08-13T00:00:00"/>
    <n v="33"/>
    <x v="68"/>
    <x v="5"/>
    <s v="After Borma"/>
    <s v="A"/>
    <n v="1000"/>
    <n v="250"/>
    <n v="3.4"/>
    <n v="422"/>
    <n v="20"/>
    <n v="36"/>
    <n v="95"/>
    <n v="96"/>
    <n v="0"/>
    <n v="36"/>
    <n v="44"/>
    <n v="48"/>
    <n v="14"/>
    <n v="0"/>
    <n v="48"/>
    <n v="36"/>
    <n v="105"/>
    <n v="1000"/>
    <n v="0.42199999999999999"/>
    <n v="5.6000000000000001E-2"/>
    <n v="9.5000000000000001E-2"/>
    <n v="9.6000000000000002E-2"/>
    <n v="0.08"/>
    <n v="4.8000000000000001E-2"/>
    <n v="1.4E-2"/>
    <n v="3.5999999999999997E-2"/>
    <n v="0.105"/>
  </r>
  <r>
    <d v="2026-08-13T00:00:00"/>
    <n v="33"/>
    <x v="68"/>
    <x v="5"/>
    <s v="After Borma"/>
    <s v="A"/>
    <n v="1000"/>
    <n v="260"/>
    <n v="3.4"/>
    <n v="542"/>
    <n v="36"/>
    <n v="30"/>
    <n v="60"/>
    <n v="74"/>
    <n v="0"/>
    <n v="61"/>
    <n v="20"/>
    <n v="24"/>
    <n v="17"/>
    <n v="0"/>
    <n v="0"/>
    <n v="38"/>
    <n v="98"/>
    <n v="1000"/>
    <n v="0.54200000000000004"/>
    <n v="6.6000000000000003E-2"/>
    <n v="0.06"/>
    <n v="7.3999999999999996E-2"/>
    <n v="8.1000000000000003E-2"/>
    <n v="2.4E-2"/>
    <n v="1.7000000000000001E-2"/>
    <n v="3.7999999999999999E-2"/>
    <n v="9.8000000000000004E-2"/>
  </r>
  <r>
    <d v="2026-08-13T00:00:00"/>
    <n v="33"/>
    <x v="68"/>
    <x v="5"/>
    <s v="After Borma"/>
    <s v="B"/>
    <n v="1000"/>
    <n v="262"/>
    <n v="3.4"/>
    <n v="528"/>
    <n v="34"/>
    <n v="20"/>
    <n v="66"/>
    <n v="70"/>
    <n v="0"/>
    <n v="64"/>
    <n v="16"/>
    <n v="20"/>
    <n v="36"/>
    <n v="0"/>
    <n v="0"/>
    <n v="48"/>
    <n v="98"/>
    <n v="1000"/>
    <n v="0.52800000000000002"/>
    <n v="5.3999999999999999E-2"/>
    <n v="6.6000000000000003E-2"/>
    <n v="7.0000000000000007E-2"/>
    <n v="0.08"/>
    <n v="0.02"/>
    <n v="3.5999999999999997E-2"/>
    <n v="4.8000000000000001E-2"/>
    <n v="9.8000000000000004E-2"/>
  </r>
  <r>
    <d v="2026-08-13T00:00:00"/>
    <n v="33"/>
    <x v="68"/>
    <x v="5"/>
    <s v="After Borma"/>
    <s v="B"/>
    <n v="1000"/>
    <n v="278"/>
    <n v="3.4"/>
    <n v="602"/>
    <n v="28"/>
    <n v="27"/>
    <n v="43"/>
    <n v="69"/>
    <n v="0"/>
    <n v="47"/>
    <n v="15"/>
    <n v="29"/>
    <n v="7"/>
    <n v="0"/>
    <n v="0"/>
    <n v="34"/>
    <n v="99"/>
    <n v="1000"/>
    <n v="0.60199999999999998"/>
    <n v="5.5E-2"/>
    <n v="4.2999999999999997E-2"/>
    <n v="6.9000000000000006E-2"/>
    <n v="6.2E-2"/>
    <n v="2.9000000000000001E-2"/>
    <n v="7.0000000000000001E-3"/>
    <n v="3.4000000000000002E-2"/>
    <n v="9.9000000000000005E-2"/>
  </r>
  <r>
    <d v="2026-08-14T00:00:00"/>
    <n v="33"/>
    <x v="69"/>
    <x v="5"/>
    <s v="After Borma"/>
    <s v="A"/>
    <n v="1000"/>
    <n v="264"/>
    <n v="3"/>
    <n v="410"/>
    <n v="36"/>
    <n v="36"/>
    <n v="72"/>
    <n v="112"/>
    <n v="0"/>
    <n v="20"/>
    <n v="48"/>
    <n v="76"/>
    <n v="18"/>
    <n v="0"/>
    <n v="24"/>
    <n v="48"/>
    <n v="100"/>
    <n v="1000"/>
    <n v="0.41"/>
    <n v="7.1999999999999995E-2"/>
    <n v="7.1999999999999995E-2"/>
    <n v="0.112"/>
    <n v="6.8000000000000005E-2"/>
    <n v="7.5999999999999998E-2"/>
    <n v="1.7999999999999999E-2"/>
    <n v="4.8000000000000001E-2"/>
    <n v="0.1"/>
  </r>
  <r>
    <d v="2026-08-14T00:00:00"/>
    <n v="33"/>
    <x v="69"/>
    <x v="5"/>
    <s v="After Borma"/>
    <s v="A"/>
    <n v="1000"/>
    <n v="284"/>
    <n v="3"/>
    <n v="482"/>
    <n v="60"/>
    <n v="52"/>
    <n v="88"/>
    <n v="68"/>
    <n v="0"/>
    <n v="20"/>
    <n v="16"/>
    <n v="40"/>
    <n v="28"/>
    <n v="0"/>
    <n v="16"/>
    <n v="32"/>
    <n v="98"/>
    <n v="1000"/>
    <n v="0.48199999999999998"/>
    <n v="0.112"/>
    <n v="8.7999999999999995E-2"/>
    <n v="6.8000000000000005E-2"/>
    <n v="3.5999999999999997E-2"/>
    <n v="0.04"/>
    <n v="2.8000000000000001E-2"/>
    <n v="3.2000000000000001E-2"/>
    <n v="9.8000000000000004E-2"/>
  </r>
  <r>
    <d v="2026-08-14T00:00:00"/>
    <n v="33"/>
    <x v="69"/>
    <x v="5"/>
    <s v="After Borma"/>
    <s v="A"/>
    <n v="1000"/>
    <n v="254"/>
    <n v="3.1"/>
    <n v="490"/>
    <n v="40"/>
    <n v="38"/>
    <n v="69"/>
    <n v="100"/>
    <n v="0"/>
    <n v="21"/>
    <n v="33"/>
    <n v="52"/>
    <n v="13"/>
    <n v="0"/>
    <n v="20"/>
    <n v="24"/>
    <n v="100"/>
    <n v="1000"/>
    <n v="0.49"/>
    <n v="7.8E-2"/>
    <n v="6.9000000000000006E-2"/>
    <n v="0.1"/>
    <n v="5.3999999999999999E-2"/>
    <n v="5.1999999999999998E-2"/>
    <n v="1.2999999999999999E-2"/>
    <n v="2.4E-2"/>
    <n v="0.1"/>
  </r>
  <r>
    <d v="2026-08-17T00:00:00"/>
    <n v="34"/>
    <x v="70"/>
    <x v="5"/>
    <s v="After Borma"/>
    <s v="A"/>
    <n v="1000"/>
    <n v="286"/>
    <n v="3.8"/>
    <n v="613"/>
    <n v="20"/>
    <n v="27"/>
    <n v="61"/>
    <n v="60"/>
    <n v="0"/>
    <n v="32"/>
    <n v="15"/>
    <n v="39"/>
    <n v="23"/>
    <n v="0"/>
    <n v="0"/>
    <n v="26"/>
    <n v="84"/>
    <n v="1000"/>
    <n v="0.61299999999999999"/>
    <n v="4.7E-2"/>
    <n v="6.0999999999999999E-2"/>
    <n v="0.06"/>
    <n v="4.7E-2"/>
    <n v="3.9E-2"/>
    <n v="2.3E-2"/>
    <n v="2.5999999999999999E-2"/>
    <n v="8.4000000000000005E-2"/>
  </r>
  <r>
    <d v="2026-08-17T00:00:00"/>
    <n v="34"/>
    <x v="70"/>
    <x v="5"/>
    <s v="After Borma"/>
    <s v="A"/>
    <n v="1000"/>
    <n v="296"/>
    <n v="3.6"/>
    <n v="570"/>
    <n v="22"/>
    <n v="18"/>
    <n v="54"/>
    <n v="77"/>
    <n v="0"/>
    <n v="41"/>
    <n v="19"/>
    <n v="36"/>
    <n v="23"/>
    <n v="0"/>
    <n v="0"/>
    <n v="35"/>
    <n v="105"/>
    <n v="1000"/>
    <n v="0.56999999999999995"/>
    <n v="0.04"/>
    <n v="5.3999999999999999E-2"/>
    <n v="7.6999999999999999E-2"/>
    <n v="0.06"/>
    <n v="3.5999999999999997E-2"/>
    <n v="2.3E-2"/>
    <n v="3.5000000000000003E-2"/>
    <n v="0.105"/>
  </r>
  <r>
    <d v="2026-08-17T00:00:00"/>
    <n v="34"/>
    <x v="70"/>
    <x v="5"/>
    <s v="After Borma"/>
    <s v="A"/>
    <n v="1000"/>
    <n v="290"/>
    <n v="3.8"/>
    <n v="526"/>
    <n v="54"/>
    <n v="22"/>
    <n v="56"/>
    <n v="60"/>
    <n v="0"/>
    <n v="34"/>
    <n v="16"/>
    <n v="34"/>
    <n v="48"/>
    <n v="0"/>
    <n v="0"/>
    <n v="48"/>
    <n v="102"/>
    <n v="1000"/>
    <n v="0.52600000000000002"/>
    <n v="7.5999999999999998E-2"/>
    <n v="5.6000000000000001E-2"/>
    <n v="0.06"/>
    <n v="0.05"/>
    <n v="3.4000000000000002E-2"/>
    <n v="4.8000000000000001E-2"/>
    <n v="4.8000000000000001E-2"/>
    <n v="0.10199999999999999"/>
  </r>
  <r>
    <d v="2026-08-18T00:00:00"/>
    <n v="34"/>
    <x v="71"/>
    <x v="5"/>
    <s v="After Borma"/>
    <s v="A"/>
    <n v="1000"/>
    <n v="272"/>
    <n v="3.6"/>
    <n v="530"/>
    <n v="16"/>
    <n v="16"/>
    <n v="66"/>
    <n v="74"/>
    <n v="0"/>
    <n v="64"/>
    <n v="30"/>
    <n v="56"/>
    <n v="24"/>
    <n v="0"/>
    <n v="0"/>
    <n v="34"/>
    <n v="90"/>
    <n v="1000"/>
    <n v="0.53"/>
    <n v="3.2000000000000001E-2"/>
    <n v="6.6000000000000003E-2"/>
    <n v="7.3999999999999996E-2"/>
    <n v="9.4E-2"/>
    <n v="5.6000000000000001E-2"/>
    <n v="2.4E-2"/>
    <n v="3.4000000000000002E-2"/>
    <n v="0.09"/>
  </r>
  <r>
    <d v="2026-08-18T00:00:00"/>
    <n v="34"/>
    <x v="71"/>
    <x v="5"/>
    <s v="After Borma"/>
    <s v="A"/>
    <n v="1000"/>
    <n v="280"/>
    <n v="3.9"/>
    <n v="490"/>
    <n v="64"/>
    <n v="44"/>
    <n v="54"/>
    <n v="68"/>
    <n v="0"/>
    <n v="40"/>
    <n v="16"/>
    <n v="42"/>
    <n v="62"/>
    <n v="0"/>
    <n v="0"/>
    <n v="36"/>
    <n v="84"/>
    <n v="1000"/>
    <n v="0.49"/>
    <n v="0.108"/>
    <n v="5.3999999999999999E-2"/>
    <n v="6.8000000000000005E-2"/>
    <n v="5.6000000000000001E-2"/>
    <n v="4.2000000000000003E-2"/>
    <n v="6.2E-2"/>
    <n v="3.5999999999999997E-2"/>
    <n v="8.4000000000000005E-2"/>
  </r>
  <r>
    <d v="2026-08-18T00:00:00"/>
    <n v="34"/>
    <x v="71"/>
    <x v="5"/>
    <s v="After Borma"/>
    <s v="A"/>
    <n v="1000"/>
    <n v="268"/>
    <n v="3.8"/>
    <n v="550"/>
    <n v="40"/>
    <n v="26"/>
    <n v="50"/>
    <n v="64"/>
    <n v="0"/>
    <n v="54"/>
    <n v="26"/>
    <n v="28"/>
    <n v="22"/>
    <n v="0"/>
    <n v="0"/>
    <n v="48"/>
    <n v="92"/>
    <n v="1000"/>
    <n v="0.55000000000000004"/>
    <n v="6.6000000000000003E-2"/>
    <n v="0.05"/>
    <n v="6.4000000000000001E-2"/>
    <n v="0.08"/>
    <n v="2.8000000000000001E-2"/>
    <n v="2.1999999999999999E-2"/>
    <n v="4.8000000000000001E-2"/>
    <n v="9.1999999999999998E-2"/>
  </r>
  <r>
    <d v="2026-08-19T00:00:00"/>
    <n v="34"/>
    <x v="72"/>
    <x v="5"/>
    <s v="After Borma"/>
    <s v="A"/>
    <n v="1000"/>
    <n v="292"/>
    <n v="3"/>
    <n v="600"/>
    <n v="40"/>
    <n v="12"/>
    <n v="44"/>
    <n v="56"/>
    <n v="0"/>
    <n v="54"/>
    <n v="20"/>
    <n v="26"/>
    <n v="18"/>
    <n v="0"/>
    <n v="0"/>
    <n v="30"/>
    <n v="100"/>
    <n v="1000"/>
    <n v="0.6"/>
    <n v="5.1999999999999998E-2"/>
    <n v="4.3999999999999997E-2"/>
    <n v="5.6000000000000001E-2"/>
    <n v="7.3999999999999996E-2"/>
    <n v="2.5999999999999999E-2"/>
    <n v="1.7999999999999999E-2"/>
    <n v="0.03"/>
    <n v="0.1"/>
  </r>
  <r>
    <d v="2026-08-19T00:00:00"/>
    <n v="34"/>
    <x v="72"/>
    <x v="5"/>
    <s v="After Borma"/>
    <s v="A"/>
    <n v="1000"/>
    <n v="270"/>
    <n v="3"/>
    <n v="488"/>
    <n v="66"/>
    <n v="38"/>
    <n v="44"/>
    <n v="86"/>
    <n v="0"/>
    <n v="30"/>
    <n v="10"/>
    <n v="36"/>
    <n v="84"/>
    <n v="0"/>
    <n v="0"/>
    <n v="34"/>
    <n v="84"/>
    <n v="1000"/>
    <n v="0.48799999999999999"/>
    <n v="0.104"/>
    <n v="4.3999999999999997E-2"/>
    <n v="8.5999999999999993E-2"/>
    <n v="0.04"/>
    <n v="3.5999999999999997E-2"/>
    <n v="8.4000000000000005E-2"/>
    <n v="3.4000000000000002E-2"/>
    <n v="8.4000000000000005E-2"/>
  </r>
  <r>
    <d v="2026-08-19T00:00:00"/>
    <n v="34"/>
    <x v="72"/>
    <x v="5"/>
    <s v="After Borma"/>
    <s v="A"/>
    <n v="1000"/>
    <n v="278"/>
    <n v="3.2"/>
    <n v="631"/>
    <n v="30"/>
    <n v="16"/>
    <n v="46"/>
    <n v="50"/>
    <n v="0"/>
    <n v="28"/>
    <n v="22"/>
    <n v="20"/>
    <n v="13"/>
    <n v="0"/>
    <n v="0"/>
    <n v="40"/>
    <n v="104"/>
    <n v="1000"/>
    <n v="0.63100000000000001"/>
    <n v="4.5999999999999999E-2"/>
    <n v="4.5999999999999999E-2"/>
    <n v="0.05"/>
    <n v="0.05"/>
    <n v="0.02"/>
    <n v="1.2999999999999999E-2"/>
    <n v="0.04"/>
    <n v="0.104"/>
  </r>
  <r>
    <d v="2026-08-19T00:00:00"/>
    <n v="34"/>
    <x v="72"/>
    <x v="5"/>
    <s v="After Borma"/>
    <s v="A"/>
    <n v="1000"/>
    <n v="304"/>
    <n v="3"/>
    <n v="596"/>
    <n v="34"/>
    <n v="24"/>
    <n v="52"/>
    <n v="62"/>
    <n v="0"/>
    <n v="32"/>
    <n v="14"/>
    <n v="50"/>
    <n v="22"/>
    <n v="0"/>
    <n v="0"/>
    <n v="16"/>
    <n v="98"/>
    <n v="1000"/>
    <n v="0.59599999999999997"/>
    <n v="5.8000000000000003E-2"/>
    <n v="5.1999999999999998E-2"/>
    <n v="6.2E-2"/>
    <n v="4.5999999999999999E-2"/>
    <n v="0.05"/>
    <n v="2.1999999999999999E-2"/>
    <n v="1.6E-2"/>
    <n v="9.8000000000000004E-2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  <r>
    <m/>
    <n v="0"/>
    <x v="73"/>
    <x v="6"/>
    <m/>
    <m/>
    <m/>
    <m/>
    <m/>
    <m/>
    <m/>
    <m/>
    <m/>
    <m/>
    <m/>
    <m/>
    <m/>
    <m/>
    <m/>
    <m/>
    <m/>
    <m/>
    <m/>
    <n v="0"/>
    <s v=""/>
    <s v=""/>
    <s v=""/>
    <s v=""/>
    <s v=""/>
    <s v="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12D94-A3A2-478A-B3B6-4DF32EA2BDBD}" name="PivotTable6" cacheId="504" applyNumberFormats="0" applyBorderFormats="0" applyFontFormats="0" applyPatternFormats="0" applyAlignmentFormats="0" applyWidthHeightFormats="1" dataCaption="Values" grandTotalCaption="Average" updatedVersion="8" minRefreshableVersion="3" useAutoFormatting="1" itemPrintTitles="1" createdVersion="8" indent="0" outline="1" outlineData="1" multipleFieldFilters="0" rowHeaderCaption="Lot No">
  <location ref="A3:F22" firstHeaderRow="0" firstDataRow="1" firstDataCol="1" rowPageCount="1" colPageCount="1"/>
  <pivotFields count="33">
    <pivotField showAll="0"/>
    <pivotField showAll="0"/>
    <pivotField axis="axisRow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axis="axisPage" multipleItemSelectionAllowed="1" showAll="0">
      <items count="8">
        <item h="1" x="0"/>
        <item h="1" x="1"/>
        <item h="1" x="3"/>
        <item x="4"/>
        <item h="1" x="2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</pivotFields>
  <rowFields count="1">
    <field x="2"/>
  </rowFields>
  <rowItems count="19"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3" hier="-1"/>
  </pageFields>
  <dataFields count="5">
    <dataField name="Avg.  Scorched %" fld="26" subtotal="average" baseField="0" baseItem="0"/>
    <dataField name="Avg.  Spotted %" fld="27" subtotal="average" baseField="0" baseItem="0"/>
    <dataField name="Avg.  Shrivilled/ Blemished  (%)" fld="28" subtotal="average" baseField="0" baseItem="0"/>
    <dataField name="Avg.  Rejection  (%)" fld="31" subtotal="average" baseField="0" baseItem="0"/>
    <dataField name="Avg.  Dessert (%)" fld="29" subtotal="average" baseField="0" baseItem="0"/>
  </dataFields>
  <formats count="12">
    <format dxfId="50">
      <pivotArea outline="0" collapsedLevelsAreSubtotals="1" fieldPosition="0"/>
    </format>
    <format dxfId="42">
      <pivotArea outline="0" collapsedLevelsAreSubtotals="1" fieldPosition="0"/>
    </format>
    <format dxfId="41">
      <pivotArea dataOnly="0" labelOnly="1" outline="0" fieldPosition="0">
        <references count="1">
          <reference field="3" count="0"/>
        </references>
      </pivotArea>
    </format>
    <format dxfId="4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9">
      <pivotArea field="2" type="button" dataOnly="0" labelOnly="1" outline="0" axis="axisRow" fieldPosition="0"/>
    </format>
    <format dxfId="3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3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18"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237869-663C-4CCF-992A-B4012C0E586F}" name="Table1" displayName="Table1" ref="B3:AH411" totalsRowShown="0" headerRowDxfId="85" dataDxfId="84">
  <autoFilter ref="B3:AH411" xr:uid="{59237869-663C-4CCF-992A-B4012C0E586F}"/>
  <tableColumns count="33">
    <tableColumn id="1" xr3:uid="{032FA27A-527B-41CF-8096-F3ADBFF31D65}" name="Date" dataDxfId="83"/>
    <tableColumn id="2" xr3:uid="{A3C8561F-01D5-4016-8260-D1EBF4DCA6AA}" name="Week" dataDxfId="82">
      <calculatedColumnFormula>WEEKNUM(Table1[[#This Row],[Date]])</calculatedColumnFormula>
    </tableColumn>
    <tableColumn id="3" xr3:uid="{3380791C-7EDC-49FD-AEA7-6EE197AB5D78}" name="Lot No" dataDxfId="81"/>
    <tableColumn id="30" xr3:uid="{98E8A066-FC28-428C-8FE1-55B63355269C}" name="BIN No" dataDxfId="80"/>
    <tableColumn id="4" xr3:uid="{F7467834-245D-45D2-91D0-49D1DBC13740}" name="Sampling Point" dataDxfId="79"/>
    <tableColumn id="33" xr3:uid="{992CDBDD-32D7-4097-A006-766C00447A35}" name="Shift" dataDxfId="78"/>
    <tableColumn id="5" xr3:uid="{DB2C564D-DD46-4A01-B2CF-1D15DB6993DD}" name="Sample Qty  (g)" dataDxfId="77"/>
    <tableColumn id="6" xr3:uid="{C335452A-7263-49C5-A0A7-9193E7FB1336}" name="Nut Count" dataDxfId="76"/>
    <tableColumn id="7" xr3:uid="{764AAEE9-DA0A-4201-B62C-05E741A65CC0}" name="Moisture" dataDxfId="75"/>
    <tableColumn id="8" xr3:uid="{6B0EF634-7BE0-41B1-8E78-84C127FF7AAE}" name="Good Kernels  (g)" dataDxfId="74"/>
    <tableColumn id="9" xr3:uid="{E533FEF5-6426-4B29-A56A-61AEF5519079}" name="Pieces  (g)" dataDxfId="73"/>
    <tableColumn id="22" xr3:uid="{74F6AB7C-B757-46BE-BDFF-D48B263B0F2D}" name="Butts (g)" dataDxfId="72"/>
    <tableColumn id="26" xr3:uid="{E99A6520-6F81-46C3-9CB5-BDAB376040B4}" name="Scorched (g)" dataDxfId="71"/>
    <tableColumn id="10" xr3:uid="{24B55E4D-2530-4526-AE25-30544528691D}" name="Spotted  (g)" dataDxfId="70"/>
    <tableColumn id="11" xr3:uid="{9B55C51E-FD53-4E8A-833D-9BCEEF4EBF27}" name="PUK3  (g)" dataDxfId="69"/>
    <tableColumn id="12" xr3:uid="{853AE91C-5FE9-4BFC-B3BA-5C225F467800}" name="Shrivilled (g)" dataDxfId="68"/>
    <tableColumn id="31" xr3:uid="{C7E33CD1-4804-4978-A8E5-1846134EF159}" name="Blemish (g)" dataDxfId="67"/>
    <tableColumn id="13" xr3:uid="{9B9F68D0-73AD-4EFA-8CE3-ED8A6DE946D4}" name="Dessert/NW  (g)" dataDxfId="66"/>
    <tableColumn id="14" xr3:uid="{86D1861B-D98E-420D-A75E-4132F7E7F875}" name="Oil  (g)" dataDxfId="65"/>
    <tableColumn id="15" xr3:uid="{9B404CED-B7A8-40B0-917F-E56AE1278B22}" name="Dirty  (g)" dataDxfId="64"/>
    <tableColumn id="32" xr3:uid="{54A9C27A-6E79-439A-9670-19F54B810AB7}" name="Mechanical Damage" dataDxfId="63"/>
    <tableColumn id="16" xr3:uid="{E06502B6-4C41-41F4-ADA1-8310552FF21F}" name="Rejection  (g)" dataDxfId="62"/>
    <tableColumn id="17" xr3:uid="{7F611A31-37E8-450F-8D00-A773B797DC62}" name="Husk  (g)" dataDxfId="61"/>
    <tableColumn id="18" xr3:uid="{DD671856-B598-4645-9BCD-933891DDE09A}" name="Total" dataDxfId="60">
      <calculatedColumnFormula>SUM(Table1[[#This Row],[Good Kernels  (g)]:[Husk  (g)]])</calculatedColumnFormula>
    </tableColumn>
    <tableColumn id="19" xr3:uid="{166095C0-2D6D-4685-B5D6-5A27D9110789}" name="Good Kernels  (%)" dataDxfId="59">
      <calculatedColumnFormula>IFERROR(Table1[[#This Row],[Good Kernels  (g)]]/Table1[[#This Row],[Sample Qty  (g)]],"")</calculatedColumnFormula>
    </tableColumn>
    <tableColumn id="20" xr3:uid="{12211852-EEE8-4AE9-B199-669283925BEB}" name="Pieces  (%)" dataDxfId="58">
      <calculatedColumnFormula>IFERROR(SUM(Table1[[#This Row],[Pieces  (g)]:[Butts (g)]])/Table1[[#This Row],[Sample Qty  (g)]],"")</calculatedColumnFormula>
    </tableColumn>
    <tableColumn id="21" xr3:uid="{72992348-5D67-4540-9B0A-D7F5F1A4A22C}" name="Scorched %" dataDxfId="57">
      <calculatedColumnFormula>IFERROR(Table1[[#This Row],[Scorched (g)]]/Table1[[#This Row],[Sample Qty  (g)]],"")</calculatedColumnFormula>
    </tableColumn>
    <tableColumn id="29" xr3:uid="{53E7EE51-C28C-41CD-9BA1-B39B21A4A1B6}" name="Spotted %" dataDxfId="56">
      <calculatedColumnFormula>IFERROR(SUM(Table1[[#This Row],[Spotted  (g)]:[PUK3  (g)]])/Table1[[#This Row],[Sample Qty  (g)]],"")</calculatedColumnFormula>
    </tableColumn>
    <tableColumn id="23" xr3:uid="{74A7F454-32FE-486F-A9C5-B6B6FE9050DE}" name="Shrivilled/ Blemished  (%)" dataDxfId="55">
      <calculatedColumnFormula>IFERROR(SUM(R4,Q4)/Table1[[#This Row],[Sample Qty  (g)]],"")</calculatedColumnFormula>
    </tableColumn>
    <tableColumn id="24" xr3:uid="{63757195-4261-4B79-A526-98728D0573E2}" name="Dessert (%)" dataDxfId="54">
      <calculatedColumnFormula>IFERROR(Table1[[#This Row],[Dessert/NW  (g)]]/Table1[[#This Row],[Sample Qty  (g)]],"")</calculatedColumnFormula>
    </tableColumn>
    <tableColumn id="25" xr3:uid="{19B01F9C-5C9D-4BC7-BE12-8C5DAA9C83D8}" name="Adheting Dirt/Oil (%)" dataDxfId="53">
      <calculatedColumnFormula>IFERROR(SUM(Table1[[#This Row],[Oil  (g)]:[Dirty  (g)]])/Table1[[#This Row],[Sample Qty  (g)]],"")</calculatedColumnFormula>
    </tableColumn>
    <tableColumn id="27" xr3:uid="{53A766AC-E2E0-4A52-8DBD-2205E8C681E1}" name="Rejection  (%)" dataDxfId="52">
      <calculatedColumnFormula>IFERROR(Table1[[#This Row],[Rejection  (g)]]/Table1[[#This Row],[Sample Qty  (g)]],"")</calculatedColumnFormula>
    </tableColumn>
    <tableColumn id="28" xr3:uid="{658B040B-0B3D-4312-B653-96D1B83DE5A3}" name="Husk  (%)" dataDxfId="51">
      <calculatedColumnFormula>IFERROR(Table1[[#This Row],[Husk  (g)]]/Table1[[#This Row],[Sample Qty  (g)]],"")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79CB9-56C2-4FB7-9173-6504D58C4C7B}">
  <dimension ref="A1:G22"/>
  <sheetViews>
    <sheetView tabSelected="1" workbookViewId="0">
      <selection activeCell="A3" sqref="A3:F22"/>
    </sheetView>
  </sheetViews>
  <sheetFormatPr defaultRowHeight="14.4" x14ac:dyDescent="0.3"/>
  <cols>
    <col min="1" max="1" width="11" bestFit="1" customWidth="1"/>
    <col min="2" max="2" width="10.6640625" style="15" bestFit="1" customWidth="1"/>
    <col min="3" max="3" width="12.33203125" style="15" customWidth="1"/>
    <col min="4" max="4" width="14" style="15" customWidth="1"/>
    <col min="5" max="5" width="13.6640625" style="15" bestFit="1" customWidth="1"/>
    <col min="6" max="6" width="11.77734375" style="15" bestFit="1" customWidth="1"/>
    <col min="7" max="7" width="12.33203125" style="15" customWidth="1"/>
  </cols>
  <sheetData>
    <row r="1" spans="1:7" ht="28.8" x14ac:dyDescent="0.3">
      <c r="A1" s="14" t="s">
        <v>57</v>
      </c>
      <c r="B1" s="15" t="s">
        <v>116</v>
      </c>
    </row>
    <row r="3" spans="1:7" s="16" customFormat="1" ht="57.6" x14ac:dyDescent="0.3">
      <c r="A3" s="17" t="s">
        <v>2</v>
      </c>
      <c r="B3" s="18" t="s">
        <v>117</v>
      </c>
      <c r="C3" s="18" t="s">
        <v>118</v>
      </c>
      <c r="D3" s="18" t="s">
        <v>119</v>
      </c>
      <c r="E3" s="18" t="s">
        <v>120</v>
      </c>
      <c r="F3" s="18" t="s">
        <v>121</v>
      </c>
      <c r="G3"/>
    </row>
    <row r="4" spans="1:7" x14ac:dyDescent="0.3">
      <c r="A4" s="19" t="s">
        <v>92</v>
      </c>
      <c r="B4" s="20">
        <v>6.8000000000000005E-2</v>
      </c>
      <c r="C4" s="20">
        <v>5.8000000000000003E-2</v>
      </c>
      <c r="D4" s="20">
        <v>0.09</v>
      </c>
      <c r="E4" s="20">
        <v>0.02</v>
      </c>
      <c r="F4" s="20">
        <v>2.8000000000000001E-2</v>
      </c>
      <c r="G4"/>
    </row>
    <row r="5" spans="1:7" x14ac:dyDescent="0.3">
      <c r="A5" s="19" t="s">
        <v>93</v>
      </c>
      <c r="B5" s="20">
        <v>7.0000000000000007E-2</v>
      </c>
      <c r="C5" s="20">
        <v>0.04</v>
      </c>
      <c r="D5" s="20">
        <v>6.4000000000000001E-2</v>
      </c>
      <c r="E5" s="20">
        <v>3.4000000000000002E-2</v>
      </c>
      <c r="F5" s="20">
        <v>0.04</v>
      </c>
      <c r="G5"/>
    </row>
    <row r="6" spans="1:7" x14ac:dyDescent="0.3">
      <c r="A6" s="19" t="s">
        <v>94</v>
      </c>
      <c r="B6" s="20">
        <v>5.3999999999999999E-2</v>
      </c>
      <c r="C6" s="20">
        <v>6.2E-2</v>
      </c>
      <c r="D6" s="20">
        <v>7.4999999999999997E-2</v>
      </c>
      <c r="E6" s="20">
        <v>2.5999999999999999E-2</v>
      </c>
      <c r="F6" s="20">
        <v>3.6999999999999998E-2</v>
      </c>
      <c r="G6"/>
    </row>
    <row r="7" spans="1:7" x14ac:dyDescent="0.3">
      <c r="A7" s="19" t="s">
        <v>95</v>
      </c>
      <c r="B7" s="20">
        <v>5.8000000000000003E-2</v>
      </c>
      <c r="C7" s="20">
        <v>8.5999999999999993E-2</v>
      </c>
      <c r="D7" s="20">
        <v>7.5999999999999998E-2</v>
      </c>
      <c r="E7" s="20">
        <v>1.7999999999999999E-2</v>
      </c>
      <c r="F7" s="20">
        <v>3.4000000000000002E-2</v>
      </c>
      <c r="G7"/>
    </row>
    <row r="8" spans="1:7" x14ac:dyDescent="0.3">
      <c r="A8" s="19" t="s">
        <v>96</v>
      </c>
      <c r="B8" s="20">
        <v>2.75E-2</v>
      </c>
      <c r="C8" s="20">
        <v>8.2000000000000003E-2</v>
      </c>
      <c r="D8" s="20">
        <v>6.9500000000000006E-2</v>
      </c>
      <c r="E8" s="20">
        <v>2.0500000000000001E-2</v>
      </c>
      <c r="F8" s="20">
        <v>3.5000000000000003E-2</v>
      </c>
      <c r="G8"/>
    </row>
    <row r="9" spans="1:7" x14ac:dyDescent="0.3">
      <c r="A9" s="19" t="s">
        <v>97</v>
      </c>
      <c r="B9" s="20">
        <v>7.6499999999999999E-2</v>
      </c>
      <c r="C9" s="20">
        <v>2.0499999999999997E-2</v>
      </c>
      <c r="D9" s="20">
        <v>2.1499999999999998E-2</v>
      </c>
      <c r="E9" s="20">
        <v>2.8000000000000001E-2</v>
      </c>
      <c r="F9" s="20">
        <v>1.8499999999999999E-2</v>
      </c>
      <c r="G9"/>
    </row>
    <row r="10" spans="1:7" x14ac:dyDescent="0.3">
      <c r="A10" s="19" t="s">
        <v>98</v>
      </c>
      <c r="B10" s="20">
        <v>5.2999999999999999E-2</v>
      </c>
      <c r="C10" s="20">
        <v>5.0999999999999997E-2</v>
      </c>
      <c r="D10" s="20">
        <v>0.04</v>
      </c>
      <c r="E10" s="20">
        <v>3.2000000000000001E-2</v>
      </c>
      <c r="F10" s="20">
        <v>4.2000000000000003E-2</v>
      </c>
      <c r="G10"/>
    </row>
    <row r="11" spans="1:7" x14ac:dyDescent="0.3">
      <c r="A11" s="19" t="s">
        <v>99</v>
      </c>
      <c r="B11" s="20">
        <v>5.0999999999999997E-2</v>
      </c>
      <c r="C11" s="20">
        <v>6.2E-2</v>
      </c>
      <c r="D11" s="20">
        <v>6.3E-2</v>
      </c>
      <c r="E11" s="20">
        <v>3.4000000000000002E-2</v>
      </c>
      <c r="F11" s="20">
        <v>4.7E-2</v>
      </c>
      <c r="G11"/>
    </row>
    <row r="12" spans="1:7" x14ac:dyDescent="0.3">
      <c r="A12" s="19" t="s">
        <v>100</v>
      </c>
      <c r="B12" s="20">
        <v>5.0999999999999997E-2</v>
      </c>
      <c r="C12" s="20">
        <v>6.4000000000000001E-2</v>
      </c>
      <c r="D12" s="20">
        <v>6.5000000000000002E-2</v>
      </c>
      <c r="E12" s="20">
        <v>3.5000000000000003E-2</v>
      </c>
      <c r="F12" s="20">
        <v>4.7E-2</v>
      </c>
      <c r="G12"/>
    </row>
    <row r="13" spans="1:7" x14ac:dyDescent="0.3">
      <c r="A13" s="19" t="s">
        <v>102</v>
      </c>
      <c r="B13" s="20">
        <v>0.08</v>
      </c>
      <c r="C13" s="20">
        <v>8.4000000000000005E-2</v>
      </c>
      <c r="D13" s="20">
        <v>4.8000000000000001E-2</v>
      </c>
      <c r="E13" s="20">
        <v>2.4E-2</v>
      </c>
      <c r="F13" s="20">
        <v>1.4999999999999999E-2</v>
      </c>
      <c r="G13"/>
    </row>
    <row r="14" spans="1:7" x14ac:dyDescent="0.3">
      <c r="A14" s="19" t="s">
        <v>103</v>
      </c>
      <c r="B14" s="20">
        <v>3.5999999999999997E-2</v>
      </c>
      <c r="C14" s="20">
        <v>0.10066666666666667</v>
      </c>
      <c r="D14" s="20">
        <v>4.3333333333333335E-2</v>
      </c>
      <c r="E14" s="20">
        <v>5.1999999999999998E-2</v>
      </c>
      <c r="F14" s="20">
        <v>3.5999999999999997E-2</v>
      </c>
      <c r="G14"/>
    </row>
    <row r="15" spans="1:7" x14ac:dyDescent="0.3">
      <c r="A15" s="19" t="s">
        <v>104</v>
      </c>
      <c r="B15" s="20">
        <v>6.2666666666666662E-2</v>
      </c>
      <c r="C15" s="20">
        <v>0.10933333333333334</v>
      </c>
      <c r="D15" s="20">
        <v>4.8666666666666664E-2</v>
      </c>
      <c r="E15" s="20">
        <v>2.7999999999999997E-2</v>
      </c>
      <c r="F15" s="20">
        <v>4.4000000000000004E-2</v>
      </c>
      <c r="G15"/>
    </row>
    <row r="16" spans="1:7" x14ac:dyDescent="0.3">
      <c r="A16" s="19" t="s">
        <v>106</v>
      </c>
      <c r="B16" s="20">
        <v>4.2000000000000003E-2</v>
      </c>
      <c r="C16" s="20">
        <v>0.104</v>
      </c>
      <c r="D16" s="20">
        <v>6.2666666666666662E-2</v>
      </c>
      <c r="E16" s="20">
        <v>2.5333333333333333E-2</v>
      </c>
      <c r="F16" s="20">
        <v>3.5000000000000003E-2</v>
      </c>
      <c r="G16"/>
    </row>
    <row r="17" spans="1:7" x14ac:dyDescent="0.3">
      <c r="A17" s="19" t="s">
        <v>107</v>
      </c>
      <c r="B17" s="20">
        <v>6.4571428571428571E-2</v>
      </c>
      <c r="C17" s="20">
        <v>8.9285714285714302E-2</v>
      </c>
      <c r="D17" s="20">
        <v>6.5000000000000002E-2</v>
      </c>
      <c r="E17" s="20">
        <v>3.0857142857142854E-2</v>
      </c>
      <c r="F17" s="20">
        <v>2.7E-2</v>
      </c>
      <c r="G17"/>
    </row>
    <row r="18" spans="1:7" x14ac:dyDescent="0.3">
      <c r="A18" s="19" t="s">
        <v>112</v>
      </c>
      <c r="B18" s="20">
        <v>7.6333333333333322E-2</v>
      </c>
      <c r="C18" s="20">
        <v>9.3333333333333338E-2</v>
      </c>
      <c r="D18" s="20">
        <v>5.2666666666666667E-2</v>
      </c>
      <c r="E18" s="20">
        <v>3.4666666666666672E-2</v>
      </c>
      <c r="F18" s="20">
        <v>5.5999999999999994E-2</v>
      </c>
      <c r="G18"/>
    </row>
    <row r="19" spans="1:7" x14ac:dyDescent="0.3">
      <c r="A19" s="19" t="s">
        <v>113</v>
      </c>
      <c r="B19" s="20">
        <v>5.6999999999999995E-2</v>
      </c>
      <c r="C19" s="20">
        <v>6.5666666666666665E-2</v>
      </c>
      <c r="D19" s="20">
        <v>5.2333333333333336E-2</v>
      </c>
      <c r="E19" s="20">
        <v>3.6333333333333336E-2</v>
      </c>
      <c r="F19" s="20">
        <v>3.6333333333333336E-2</v>
      </c>
      <c r="G19"/>
    </row>
    <row r="20" spans="1:7" x14ac:dyDescent="0.3">
      <c r="A20" s="19" t="s">
        <v>114</v>
      </c>
      <c r="B20" s="20">
        <v>5.6666666666666671E-2</v>
      </c>
      <c r="C20" s="20">
        <v>6.8666666666666668E-2</v>
      </c>
      <c r="D20" s="20">
        <v>7.6666666666666675E-2</v>
      </c>
      <c r="E20" s="20">
        <v>3.9333333333333331E-2</v>
      </c>
      <c r="F20" s="20">
        <v>4.2000000000000003E-2</v>
      </c>
      <c r="G20"/>
    </row>
    <row r="21" spans="1:7" x14ac:dyDescent="0.3">
      <c r="A21" s="19" t="s">
        <v>115</v>
      </c>
      <c r="B21" s="20">
        <v>4.65E-2</v>
      </c>
      <c r="C21" s="20">
        <v>6.3500000000000001E-2</v>
      </c>
      <c r="D21" s="20">
        <v>5.2500000000000005E-2</v>
      </c>
      <c r="E21" s="20">
        <v>0.03</v>
      </c>
      <c r="F21" s="20">
        <v>3.3000000000000002E-2</v>
      </c>
      <c r="G21"/>
    </row>
    <row r="22" spans="1:7" x14ac:dyDescent="0.3">
      <c r="A22" s="19" t="s">
        <v>122</v>
      </c>
      <c r="B22" s="20">
        <v>5.6658536585365855E-2</v>
      </c>
      <c r="C22" s="20">
        <v>7.8439024390243917E-2</v>
      </c>
      <c r="D22" s="20">
        <v>5.7975609756097564E-2</v>
      </c>
      <c r="E22" s="20">
        <v>3.1780487804878063E-2</v>
      </c>
      <c r="F22" s="20">
        <v>3.5756097560975628E-2</v>
      </c>
      <c r="G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H411"/>
  <sheetViews>
    <sheetView topLeftCell="E1" zoomScale="140" zoomScaleNormal="140" workbookViewId="0">
      <pane ySplit="3" topLeftCell="A5" activePane="bottomLeft" state="frozen"/>
      <selection pane="bottomLeft" activeCell="F263" sqref="F263"/>
    </sheetView>
  </sheetViews>
  <sheetFormatPr defaultColWidth="8.88671875" defaultRowHeight="14.4" x14ac:dyDescent="0.3"/>
  <cols>
    <col min="1" max="1" width="2" style="7" customWidth="1"/>
    <col min="2" max="2" width="7.44140625" style="7" customWidth="1"/>
    <col min="3" max="3" width="5.88671875" style="7" customWidth="1"/>
    <col min="5" max="5" width="11.6640625" style="7" customWidth="1"/>
    <col min="6" max="6" width="9.6640625" style="7" customWidth="1"/>
    <col min="7" max="7" width="4.6640625" style="7" customWidth="1"/>
    <col min="8" max="9" width="7.33203125" style="7" customWidth="1"/>
    <col min="10" max="10" width="7.88671875" style="7" customWidth="1"/>
    <col min="11" max="11" width="8" style="7" customWidth="1"/>
    <col min="12" max="12" width="10.5546875" style="7" customWidth="1"/>
    <col min="13" max="13" width="6.109375" style="7" customWidth="1"/>
    <col min="14" max="14" width="5.88671875" style="7" customWidth="1"/>
    <col min="15" max="15" width="9.5546875" style="7" customWidth="1"/>
    <col min="16" max="16" width="5.44140625" style="7" customWidth="1"/>
    <col min="17" max="17" width="7.88671875" style="7" customWidth="1"/>
    <col min="18" max="18" width="9.44140625" style="7" customWidth="1"/>
    <col min="19" max="19" width="8" style="7" customWidth="1"/>
    <col min="20" max="20" width="7.33203125" style="7" customWidth="1"/>
    <col min="21" max="21" width="7.6640625" style="7" customWidth="1"/>
    <col min="22" max="23" width="9.5546875" style="7" customWidth="1"/>
    <col min="24" max="24" width="8.33203125" style="7" customWidth="1"/>
    <col min="25" max="25" width="7" style="7" customWidth="1"/>
    <col min="26" max="26" width="8.88671875" style="7"/>
    <col min="27" max="27" width="15.88671875" style="7" customWidth="1"/>
    <col min="28" max="28" width="10.88671875" style="7" customWidth="1"/>
    <col min="29" max="30" width="11.88671875" style="7" customWidth="1"/>
    <col min="31" max="31" width="13.88671875" style="7" customWidth="1"/>
    <col min="32" max="33" width="8.88671875" style="7"/>
    <col min="34" max="34" width="13" style="7" customWidth="1"/>
    <col min="35" max="35" width="10" style="7" customWidth="1"/>
    <col min="36" max="16384" width="8.88671875" style="7"/>
  </cols>
  <sheetData>
    <row r="1" spans="2:34" ht="12" x14ac:dyDescent="0.25">
      <c r="B1" s="6"/>
      <c r="C1" s="6"/>
      <c r="D1" s="6"/>
      <c r="E1" s="6"/>
      <c r="F1" s="6"/>
      <c r="G1" s="6"/>
      <c r="H1" s="6"/>
      <c r="I1" s="6"/>
      <c r="J1" s="12" t="s">
        <v>20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1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2:34" ht="12" x14ac:dyDescent="0.25">
      <c r="B2" s="6"/>
      <c r="C2" s="6"/>
      <c r="D2" s="6"/>
      <c r="E2" s="6"/>
      <c r="F2" s="6"/>
      <c r="G2" s="6"/>
      <c r="H2" s="6"/>
      <c r="I2" s="6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1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2:34" ht="36" x14ac:dyDescent="0.25">
      <c r="B3" s="1" t="s">
        <v>0</v>
      </c>
      <c r="C3" s="2" t="s">
        <v>1</v>
      </c>
      <c r="D3" s="3" t="s">
        <v>2</v>
      </c>
      <c r="E3" s="3" t="s">
        <v>57</v>
      </c>
      <c r="F3" s="3" t="s">
        <v>3</v>
      </c>
      <c r="G3" s="2" t="s">
        <v>109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88</v>
      </c>
      <c r="N3" s="3" t="s">
        <v>53</v>
      </c>
      <c r="O3" s="3" t="s">
        <v>9</v>
      </c>
      <c r="P3" s="3" t="s">
        <v>10</v>
      </c>
      <c r="Q3" s="3" t="s">
        <v>89</v>
      </c>
      <c r="R3" s="3" t="s">
        <v>90</v>
      </c>
      <c r="S3" s="3" t="s">
        <v>91</v>
      </c>
      <c r="T3" s="3" t="s">
        <v>13</v>
      </c>
      <c r="U3" s="3" t="s">
        <v>14</v>
      </c>
      <c r="V3" s="3" t="s">
        <v>105</v>
      </c>
      <c r="W3" s="3" t="s">
        <v>12</v>
      </c>
      <c r="X3" s="3" t="s">
        <v>11</v>
      </c>
      <c r="Y3" s="4" t="s">
        <v>15</v>
      </c>
      <c r="Z3" s="3" t="s">
        <v>16</v>
      </c>
      <c r="AA3" s="3" t="s">
        <v>17</v>
      </c>
      <c r="AB3" s="3" t="s">
        <v>54</v>
      </c>
      <c r="AC3" s="3" t="s">
        <v>56</v>
      </c>
      <c r="AD3" s="3" t="s">
        <v>55</v>
      </c>
      <c r="AE3" s="3" t="s">
        <v>33</v>
      </c>
      <c r="AF3" s="3" t="s">
        <v>34</v>
      </c>
      <c r="AG3" s="3" t="s">
        <v>18</v>
      </c>
      <c r="AH3" s="3" t="s">
        <v>19</v>
      </c>
    </row>
    <row r="4" spans="2:34" ht="12" customHeight="1" x14ac:dyDescent="0.25">
      <c r="B4" s="8">
        <v>46164</v>
      </c>
      <c r="C4" s="7">
        <f>WEEKNUM(Table1[[#This Row],[Date]])</f>
        <v>21</v>
      </c>
      <c r="D4" s="5" t="s">
        <v>32</v>
      </c>
      <c r="E4" s="5" t="s">
        <v>58</v>
      </c>
      <c r="F4" s="7" t="s">
        <v>21</v>
      </c>
      <c r="H4" s="7">
        <v>1000</v>
      </c>
      <c r="I4" s="7">
        <v>270</v>
      </c>
      <c r="J4" s="7">
        <v>3.3</v>
      </c>
      <c r="K4" s="7">
        <v>680</v>
      </c>
      <c r="L4" s="7">
        <v>11</v>
      </c>
      <c r="N4" s="7">
        <v>9</v>
      </c>
      <c r="O4" s="7">
        <v>76</v>
      </c>
      <c r="P4" s="7">
        <v>22</v>
      </c>
      <c r="Q4" s="7">
        <v>53</v>
      </c>
      <c r="S4" s="7">
        <v>17</v>
      </c>
      <c r="T4" s="7">
        <v>11</v>
      </c>
      <c r="U4" s="7">
        <v>9</v>
      </c>
      <c r="W4" s="7">
        <v>9</v>
      </c>
      <c r="X4" s="7">
        <v>103</v>
      </c>
      <c r="Y4" s="7">
        <f>SUM(Table1[[#This Row],[Good Kernels  (g)]:[Husk  (g)]])</f>
        <v>1000</v>
      </c>
      <c r="Z4" s="9">
        <f>IFERROR(Table1[[#This Row],[Good Kernels  (g)]]/Table1[[#This Row],[Sample Qty  (g)]],"")</f>
        <v>0.68</v>
      </c>
      <c r="AA4" s="9">
        <f>IFERROR(SUM(Table1[[#This Row],[Pieces  (g)]:[Butts (g)]])/Table1[[#This Row],[Sample Qty  (g)]],"")</f>
        <v>1.0999999999999999E-2</v>
      </c>
      <c r="AB4" s="9">
        <f>IFERROR(Table1[[#This Row],[Scorched (g)]]/Table1[[#This Row],[Sample Qty  (g)]],"")</f>
        <v>8.9999999999999993E-3</v>
      </c>
      <c r="AC4" s="9">
        <f>IFERROR(SUM(Table1[[#This Row],[Spotted  (g)]:[PUK3  (g)]])/Table1[[#This Row],[Sample Qty  (g)]],"")</f>
        <v>9.8000000000000004E-2</v>
      </c>
      <c r="AD4" s="9">
        <f>IFERROR(SUM(R4,Q4)/Table1[[#This Row],[Sample Qty  (g)]],"")</f>
        <v>5.2999999999999999E-2</v>
      </c>
      <c r="AE4" s="9">
        <f>IFERROR(Table1[[#This Row],[Dessert/NW  (g)]]/Table1[[#This Row],[Sample Qty  (g)]],"")</f>
        <v>1.7000000000000001E-2</v>
      </c>
      <c r="AF4" s="9">
        <f>IFERROR(SUM(Table1[[#This Row],[Oil  (g)]:[Dirty  (g)]])/Table1[[#This Row],[Sample Qty  (g)]],"")</f>
        <v>0.02</v>
      </c>
      <c r="AG4" s="9">
        <f>IFERROR(Table1[[#This Row],[Rejection  (g)]]/Table1[[#This Row],[Sample Qty  (g)]],"")</f>
        <v>8.9999999999999993E-3</v>
      </c>
      <c r="AH4" s="9">
        <f>IFERROR(Table1[[#This Row],[Husk  (g)]]/Table1[[#This Row],[Sample Qty  (g)]],"")</f>
        <v>0.10299999999999999</v>
      </c>
    </row>
    <row r="5" spans="2:34" ht="24" x14ac:dyDescent="0.25">
      <c r="B5" s="8">
        <v>46160</v>
      </c>
      <c r="C5" s="7">
        <f>WEEKNUM(Table1[[#This Row],[Date]])</f>
        <v>21</v>
      </c>
      <c r="D5" s="5" t="s">
        <v>31</v>
      </c>
      <c r="E5" s="5" t="s">
        <v>58</v>
      </c>
      <c r="F5" s="7" t="s">
        <v>21</v>
      </c>
      <c r="H5" s="7">
        <v>1000</v>
      </c>
      <c r="I5" s="7">
        <v>265</v>
      </c>
      <c r="J5" s="7">
        <v>3.2</v>
      </c>
      <c r="K5" s="7">
        <v>670</v>
      </c>
      <c r="L5" s="7">
        <v>25</v>
      </c>
      <c r="N5" s="7">
        <v>14</v>
      </c>
      <c r="O5" s="7">
        <v>77</v>
      </c>
      <c r="P5" s="7">
        <v>13</v>
      </c>
      <c r="Q5" s="7">
        <v>51</v>
      </c>
      <c r="S5" s="7">
        <v>20</v>
      </c>
      <c r="T5" s="7">
        <v>4</v>
      </c>
      <c r="U5" s="7">
        <v>7</v>
      </c>
      <c r="W5" s="7">
        <v>10</v>
      </c>
      <c r="X5" s="7">
        <v>109</v>
      </c>
      <c r="Y5" s="7">
        <f>SUM(Table1[[#This Row],[Good Kernels  (g)]:[Husk  (g)]])</f>
        <v>1000</v>
      </c>
      <c r="Z5" s="9">
        <f>IFERROR(Table1[[#This Row],[Good Kernels  (g)]]/Table1[[#This Row],[Sample Qty  (g)]],"")</f>
        <v>0.67</v>
      </c>
      <c r="AA5" s="9">
        <f>IFERROR(SUM(Table1[[#This Row],[Pieces  (g)]:[Butts (g)]])/Table1[[#This Row],[Sample Qty  (g)]],"")</f>
        <v>2.5000000000000001E-2</v>
      </c>
      <c r="AB5" s="9">
        <f>IFERROR(Table1[[#This Row],[Scorched (g)]]/Table1[[#This Row],[Sample Qty  (g)]],"")</f>
        <v>1.4E-2</v>
      </c>
      <c r="AC5" s="9">
        <f>IFERROR(SUM(Table1[[#This Row],[Spotted  (g)]:[PUK3  (g)]])/Table1[[#This Row],[Sample Qty  (g)]],"")</f>
        <v>0.09</v>
      </c>
      <c r="AD5" s="9">
        <f>IFERROR(SUM(R5,Q5)/Table1[[#This Row],[Sample Qty  (g)]],"")</f>
        <v>5.0999999999999997E-2</v>
      </c>
      <c r="AE5" s="9">
        <f>IFERROR(Table1[[#This Row],[Dessert/NW  (g)]]/Table1[[#This Row],[Sample Qty  (g)]],"")</f>
        <v>0.02</v>
      </c>
      <c r="AF5" s="9">
        <f>IFERROR(SUM(Table1[[#This Row],[Oil  (g)]:[Dirty  (g)]])/Table1[[#This Row],[Sample Qty  (g)]],"")</f>
        <v>1.0999999999999999E-2</v>
      </c>
      <c r="AG5" s="9">
        <f>IFERROR(Table1[[#This Row],[Rejection  (g)]]/Table1[[#This Row],[Sample Qty  (g)]],"")</f>
        <v>0.01</v>
      </c>
      <c r="AH5" s="9">
        <f>IFERROR(Table1[[#This Row],[Husk  (g)]]/Table1[[#This Row],[Sample Qty  (g)]],"")</f>
        <v>0.109</v>
      </c>
    </row>
    <row r="6" spans="2:34" ht="12" x14ac:dyDescent="0.25">
      <c r="B6" s="8">
        <v>46161</v>
      </c>
      <c r="C6" s="7">
        <f>WEEKNUM(Table1[[#This Row],[Date]])</f>
        <v>21</v>
      </c>
      <c r="D6" s="5" t="s">
        <v>30</v>
      </c>
      <c r="E6" s="5" t="s">
        <v>58</v>
      </c>
      <c r="F6" s="7" t="s">
        <v>21</v>
      </c>
      <c r="H6" s="7">
        <v>1000</v>
      </c>
      <c r="I6" s="7">
        <v>271</v>
      </c>
      <c r="J6" s="7">
        <v>3.3</v>
      </c>
      <c r="K6" s="7">
        <v>645</v>
      </c>
      <c r="L6" s="7">
        <v>41</v>
      </c>
      <c r="N6" s="7">
        <v>5</v>
      </c>
      <c r="O6" s="7">
        <v>65</v>
      </c>
      <c r="P6" s="7">
        <v>17</v>
      </c>
      <c r="Q6" s="7">
        <v>55</v>
      </c>
      <c r="S6" s="7">
        <v>30</v>
      </c>
      <c r="T6" s="7">
        <v>4</v>
      </c>
      <c r="U6" s="7">
        <v>4</v>
      </c>
      <c r="W6" s="7">
        <v>26</v>
      </c>
      <c r="X6" s="7">
        <v>108</v>
      </c>
      <c r="Y6" s="7">
        <f>SUM(Table1[[#This Row],[Good Kernels  (g)]:[Husk  (g)]])</f>
        <v>1000</v>
      </c>
      <c r="Z6" s="9">
        <f>IFERROR(Table1[[#This Row],[Good Kernels  (g)]]/Table1[[#This Row],[Sample Qty  (g)]],"")</f>
        <v>0.64500000000000002</v>
      </c>
      <c r="AA6" s="9">
        <f>IFERROR(SUM(Table1[[#This Row],[Pieces  (g)]:[Butts (g)]])/Table1[[#This Row],[Sample Qty  (g)]],"")</f>
        <v>4.1000000000000002E-2</v>
      </c>
      <c r="AB6" s="9">
        <f>IFERROR(Table1[[#This Row],[Scorched (g)]]/Table1[[#This Row],[Sample Qty  (g)]],"")</f>
        <v>5.0000000000000001E-3</v>
      </c>
      <c r="AC6" s="9">
        <f>IFERROR(SUM(Table1[[#This Row],[Spotted  (g)]:[PUK3  (g)]])/Table1[[#This Row],[Sample Qty  (g)]],"")</f>
        <v>8.2000000000000003E-2</v>
      </c>
      <c r="AD6" s="9">
        <f>IFERROR(SUM(R6,Q6)/Table1[[#This Row],[Sample Qty  (g)]],"")</f>
        <v>5.5E-2</v>
      </c>
      <c r="AE6" s="9">
        <f>IFERROR(Table1[[#This Row],[Dessert/NW  (g)]]/Table1[[#This Row],[Sample Qty  (g)]],"")</f>
        <v>0.03</v>
      </c>
      <c r="AF6" s="9">
        <f>IFERROR(SUM(Table1[[#This Row],[Oil  (g)]:[Dirty  (g)]])/Table1[[#This Row],[Sample Qty  (g)]],"")</f>
        <v>8.0000000000000002E-3</v>
      </c>
      <c r="AG6" s="9">
        <f>IFERROR(Table1[[#This Row],[Rejection  (g)]]/Table1[[#This Row],[Sample Qty  (g)]],"")</f>
        <v>2.5999999999999999E-2</v>
      </c>
      <c r="AH6" s="9">
        <f>IFERROR(Table1[[#This Row],[Husk  (g)]]/Table1[[#This Row],[Sample Qty  (g)]],"")</f>
        <v>0.108</v>
      </c>
    </row>
    <row r="7" spans="2:34" ht="12" x14ac:dyDescent="0.25">
      <c r="B7" s="8">
        <v>46162</v>
      </c>
      <c r="C7" s="7">
        <f>WEEKNUM(Table1[[#This Row],[Date]])</f>
        <v>21</v>
      </c>
      <c r="D7" s="5" t="s">
        <v>22</v>
      </c>
      <c r="E7" s="5" t="s">
        <v>58</v>
      </c>
      <c r="F7" s="7" t="s">
        <v>21</v>
      </c>
      <c r="H7" s="7">
        <v>1000</v>
      </c>
      <c r="I7" s="7">
        <v>259</v>
      </c>
      <c r="J7" s="7">
        <v>3.1</v>
      </c>
      <c r="K7" s="7">
        <v>673</v>
      </c>
      <c r="L7" s="7">
        <v>31</v>
      </c>
      <c r="N7" s="7">
        <v>12</v>
      </c>
      <c r="O7" s="7">
        <v>65</v>
      </c>
      <c r="P7" s="7">
        <v>7</v>
      </c>
      <c r="Q7" s="7">
        <v>55</v>
      </c>
      <c r="S7" s="7">
        <v>24</v>
      </c>
      <c r="T7" s="7">
        <v>5</v>
      </c>
      <c r="U7" s="7">
        <v>9</v>
      </c>
      <c r="W7" s="7">
        <v>24</v>
      </c>
      <c r="X7" s="7">
        <v>95</v>
      </c>
      <c r="Y7" s="7">
        <f>SUM(Table1[[#This Row],[Good Kernels  (g)]:[Husk  (g)]])</f>
        <v>1000</v>
      </c>
      <c r="Z7" s="9">
        <f>IFERROR(Table1[[#This Row],[Good Kernels  (g)]]/Table1[[#This Row],[Sample Qty  (g)]],"")</f>
        <v>0.67300000000000004</v>
      </c>
      <c r="AA7" s="9">
        <f>IFERROR(SUM(Table1[[#This Row],[Pieces  (g)]:[Butts (g)]])/Table1[[#This Row],[Sample Qty  (g)]],"")</f>
        <v>3.1E-2</v>
      </c>
      <c r="AB7" s="9">
        <f>IFERROR(Table1[[#This Row],[Scorched (g)]]/Table1[[#This Row],[Sample Qty  (g)]],"")</f>
        <v>1.2E-2</v>
      </c>
      <c r="AC7" s="9">
        <f>IFERROR(SUM(Table1[[#This Row],[Spotted  (g)]:[PUK3  (g)]])/Table1[[#This Row],[Sample Qty  (g)]],"")</f>
        <v>7.1999999999999995E-2</v>
      </c>
      <c r="AD7" s="9">
        <f>IFERROR(SUM(R7,Q7)/Table1[[#This Row],[Sample Qty  (g)]],"")</f>
        <v>5.5E-2</v>
      </c>
      <c r="AE7" s="9">
        <f>IFERROR(Table1[[#This Row],[Dessert/NW  (g)]]/Table1[[#This Row],[Sample Qty  (g)]],"")</f>
        <v>2.4E-2</v>
      </c>
      <c r="AF7" s="9">
        <f>IFERROR(SUM(Table1[[#This Row],[Oil  (g)]:[Dirty  (g)]])/Table1[[#This Row],[Sample Qty  (g)]],"")</f>
        <v>1.4E-2</v>
      </c>
      <c r="AG7" s="9">
        <f>IFERROR(Table1[[#This Row],[Rejection  (g)]]/Table1[[#This Row],[Sample Qty  (g)]],"")</f>
        <v>2.4E-2</v>
      </c>
      <c r="AH7" s="9">
        <f>IFERROR(Table1[[#This Row],[Husk  (g)]]/Table1[[#This Row],[Sample Qty  (g)]],"")</f>
        <v>9.5000000000000001E-2</v>
      </c>
    </row>
    <row r="8" spans="2:34" ht="12" x14ac:dyDescent="0.25">
      <c r="B8" s="8">
        <v>46163</v>
      </c>
      <c r="C8" s="7">
        <f>WEEKNUM(Table1[[#This Row],[Date]])</f>
        <v>21</v>
      </c>
      <c r="D8" s="5" t="s">
        <v>23</v>
      </c>
      <c r="E8" s="5" t="s">
        <v>58</v>
      </c>
      <c r="F8" s="7" t="s">
        <v>21</v>
      </c>
      <c r="H8" s="7">
        <v>1000</v>
      </c>
      <c r="I8" s="7">
        <v>265</v>
      </c>
      <c r="J8" s="7">
        <v>3.3</v>
      </c>
      <c r="K8" s="7">
        <v>648</v>
      </c>
      <c r="L8" s="7">
        <v>45</v>
      </c>
      <c r="N8" s="7">
        <v>22</v>
      </c>
      <c r="O8" s="7">
        <v>85</v>
      </c>
      <c r="P8" s="7">
        <v>4</v>
      </c>
      <c r="Q8" s="7">
        <v>50</v>
      </c>
      <c r="S8" s="7">
        <v>18</v>
      </c>
      <c r="T8" s="7">
        <v>6</v>
      </c>
      <c r="U8" s="7">
        <v>10</v>
      </c>
      <c r="W8" s="7">
        <v>15</v>
      </c>
      <c r="X8" s="7">
        <v>97</v>
      </c>
      <c r="Y8" s="7">
        <f>SUM(Table1[[#This Row],[Good Kernels  (g)]:[Husk  (g)]])</f>
        <v>1000</v>
      </c>
      <c r="Z8" s="9">
        <f>IFERROR(Table1[[#This Row],[Good Kernels  (g)]]/Table1[[#This Row],[Sample Qty  (g)]],"")</f>
        <v>0.64800000000000002</v>
      </c>
      <c r="AA8" s="9">
        <f>IFERROR(SUM(Table1[[#This Row],[Pieces  (g)]:[Butts (g)]])/Table1[[#This Row],[Sample Qty  (g)]],"")</f>
        <v>4.4999999999999998E-2</v>
      </c>
      <c r="AB8" s="9">
        <f>IFERROR(Table1[[#This Row],[Scorched (g)]]/Table1[[#This Row],[Sample Qty  (g)]],"")</f>
        <v>2.1999999999999999E-2</v>
      </c>
      <c r="AC8" s="9">
        <f>IFERROR(SUM(Table1[[#This Row],[Spotted  (g)]:[PUK3  (g)]])/Table1[[#This Row],[Sample Qty  (g)]],"")</f>
        <v>8.8999999999999996E-2</v>
      </c>
      <c r="AD8" s="9">
        <f>IFERROR(SUM(R8,Q8)/Table1[[#This Row],[Sample Qty  (g)]],"")</f>
        <v>0.05</v>
      </c>
      <c r="AE8" s="9">
        <f>IFERROR(Table1[[#This Row],[Dessert/NW  (g)]]/Table1[[#This Row],[Sample Qty  (g)]],"")</f>
        <v>1.7999999999999999E-2</v>
      </c>
      <c r="AF8" s="9">
        <f>IFERROR(SUM(Table1[[#This Row],[Oil  (g)]:[Dirty  (g)]])/Table1[[#This Row],[Sample Qty  (g)]],"")</f>
        <v>1.6E-2</v>
      </c>
      <c r="AG8" s="9">
        <f>IFERROR(Table1[[#This Row],[Rejection  (g)]]/Table1[[#This Row],[Sample Qty  (g)]],"")</f>
        <v>1.4999999999999999E-2</v>
      </c>
      <c r="AH8" s="9">
        <f>IFERROR(Table1[[#This Row],[Husk  (g)]]/Table1[[#This Row],[Sample Qty  (g)]],"")</f>
        <v>9.7000000000000003E-2</v>
      </c>
    </row>
    <row r="9" spans="2:34" ht="12" x14ac:dyDescent="0.25">
      <c r="B9" s="8">
        <v>46164</v>
      </c>
      <c r="C9" s="7">
        <f>WEEKNUM(Table1[[#This Row],[Date]])</f>
        <v>21</v>
      </c>
      <c r="D9" s="5" t="s">
        <v>24</v>
      </c>
      <c r="E9" s="5" t="s">
        <v>58</v>
      </c>
      <c r="F9" s="7" t="s">
        <v>21</v>
      </c>
      <c r="H9" s="7">
        <v>1000</v>
      </c>
      <c r="I9" s="7">
        <v>272</v>
      </c>
      <c r="J9" s="7">
        <v>3.5</v>
      </c>
      <c r="K9" s="7">
        <v>688</v>
      </c>
      <c r="L9" s="7">
        <v>26</v>
      </c>
      <c r="N9" s="7">
        <v>8</v>
      </c>
      <c r="O9" s="7">
        <v>73</v>
      </c>
      <c r="P9" s="7">
        <v>10</v>
      </c>
      <c r="Q9" s="7">
        <v>53</v>
      </c>
      <c r="S9" s="7">
        <v>20</v>
      </c>
      <c r="T9" s="7">
        <v>7</v>
      </c>
      <c r="U9" s="7">
        <v>4</v>
      </c>
      <c r="W9" s="7">
        <v>10</v>
      </c>
      <c r="X9" s="7">
        <v>101</v>
      </c>
      <c r="Y9" s="7">
        <f>SUM(Table1[[#This Row],[Good Kernels  (g)]:[Husk  (g)]])</f>
        <v>1000</v>
      </c>
      <c r="Z9" s="9">
        <f>IFERROR(Table1[[#This Row],[Good Kernels  (g)]]/Table1[[#This Row],[Sample Qty  (g)]],"")</f>
        <v>0.68799999999999994</v>
      </c>
      <c r="AA9" s="9">
        <f>IFERROR(SUM(Table1[[#This Row],[Pieces  (g)]:[Butts (g)]])/Table1[[#This Row],[Sample Qty  (g)]],"")</f>
        <v>2.5999999999999999E-2</v>
      </c>
      <c r="AB9" s="9">
        <f>IFERROR(Table1[[#This Row],[Scorched (g)]]/Table1[[#This Row],[Sample Qty  (g)]],"")</f>
        <v>8.0000000000000002E-3</v>
      </c>
      <c r="AC9" s="9">
        <f>IFERROR(SUM(Table1[[#This Row],[Spotted  (g)]:[PUK3  (g)]])/Table1[[#This Row],[Sample Qty  (g)]],"")</f>
        <v>8.3000000000000004E-2</v>
      </c>
      <c r="AD9" s="9">
        <f>IFERROR(SUM(R9,Q9)/Table1[[#This Row],[Sample Qty  (g)]],"")</f>
        <v>5.2999999999999999E-2</v>
      </c>
      <c r="AE9" s="9">
        <f>IFERROR(Table1[[#This Row],[Dessert/NW  (g)]]/Table1[[#This Row],[Sample Qty  (g)]],"")</f>
        <v>0.02</v>
      </c>
      <c r="AF9" s="9">
        <f>IFERROR(SUM(Table1[[#This Row],[Oil  (g)]:[Dirty  (g)]])/Table1[[#This Row],[Sample Qty  (g)]],"")</f>
        <v>1.0999999999999999E-2</v>
      </c>
      <c r="AG9" s="9">
        <f>IFERROR(Table1[[#This Row],[Rejection  (g)]]/Table1[[#This Row],[Sample Qty  (g)]],"")</f>
        <v>0.01</v>
      </c>
      <c r="AH9" s="9">
        <f>IFERROR(Table1[[#This Row],[Husk  (g)]]/Table1[[#This Row],[Sample Qty  (g)]],"")</f>
        <v>0.10100000000000001</v>
      </c>
    </row>
    <row r="10" spans="2:34" ht="12" x14ac:dyDescent="0.25">
      <c r="B10" s="8">
        <v>46165</v>
      </c>
      <c r="C10" s="7">
        <f>WEEKNUM(Table1[[#This Row],[Date]])</f>
        <v>21</v>
      </c>
      <c r="D10" s="5" t="s">
        <v>25</v>
      </c>
      <c r="E10" s="5" t="s">
        <v>58</v>
      </c>
      <c r="F10" s="7" t="s">
        <v>21</v>
      </c>
      <c r="H10" s="7">
        <v>1000</v>
      </c>
      <c r="I10" s="7">
        <v>279</v>
      </c>
      <c r="J10" s="7">
        <v>3.7</v>
      </c>
      <c r="K10" s="7">
        <v>703</v>
      </c>
      <c r="L10" s="7">
        <v>11</v>
      </c>
      <c r="N10" s="7">
        <v>14</v>
      </c>
      <c r="O10" s="7">
        <v>64</v>
      </c>
      <c r="P10" s="7">
        <v>9</v>
      </c>
      <c r="Q10" s="7">
        <v>58</v>
      </c>
      <c r="S10" s="7">
        <v>22</v>
      </c>
      <c r="T10" s="7">
        <v>3</v>
      </c>
      <c r="U10" s="7">
        <v>0</v>
      </c>
      <c r="W10" s="7">
        <v>12</v>
      </c>
      <c r="X10" s="7">
        <v>104</v>
      </c>
      <c r="Y10" s="7">
        <f>SUM(Table1[[#This Row],[Good Kernels  (g)]:[Husk  (g)]])</f>
        <v>1000</v>
      </c>
      <c r="Z10" s="9">
        <f>IFERROR(Table1[[#This Row],[Good Kernels  (g)]]/Table1[[#This Row],[Sample Qty  (g)]],"")</f>
        <v>0.70299999999999996</v>
      </c>
      <c r="AA10" s="9">
        <f>IFERROR(SUM(Table1[[#This Row],[Pieces  (g)]:[Butts (g)]])/Table1[[#This Row],[Sample Qty  (g)]],"")</f>
        <v>1.0999999999999999E-2</v>
      </c>
      <c r="AB10" s="9">
        <f>IFERROR(Table1[[#This Row],[Scorched (g)]]/Table1[[#This Row],[Sample Qty  (g)]],"")</f>
        <v>1.4E-2</v>
      </c>
      <c r="AC10" s="9">
        <f>IFERROR(SUM(Table1[[#This Row],[Spotted  (g)]:[PUK3  (g)]])/Table1[[#This Row],[Sample Qty  (g)]],"")</f>
        <v>7.2999999999999995E-2</v>
      </c>
      <c r="AD10" s="9">
        <f>IFERROR(SUM(R10,Q10)/Table1[[#This Row],[Sample Qty  (g)]],"")</f>
        <v>5.8000000000000003E-2</v>
      </c>
      <c r="AE10" s="9">
        <f>IFERROR(Table1[[#This Row],[Dessert/NW  (g)]]/Table1[[#This Row],[Sample Qty  (g)]],"")</f>
        <v>2.1999999999999999E-2</v>
      </c>
      <c r="AF10" s="9">
        <f>IFERROR(SUM(Table1[[#This Row],[Oil  (g)]:[Dirty  (g)]])/Table1[[#This Row],[Sample Qty  (g)]],"")</f>
        <v>3.0000000000000001E-3</v>
      </c>
      <c r="AG10" s="9">
        <f>IFERROR(Table1[[#This Row],[Rejection  (g)]]/Table1[[#This Row],[Sample Qty  (g)]],"")</f>
        <v>1.2E-2</v>
      </c>
      <c r="AH10" s="9">
        <f>IFERROR(Table1[[#This Row],[Husk  (g)]]/Table1[[#This Row],[Sample Qty  (g)]],"")</f>
        <v>0.104</v>
      </c>
    </row>
    <row r="11" spans="2:34" ht="12" x14ac:dyDescent="0.25">
      <c r="B11" s="8">
        <v>46168</v>
      </c>
      <c r="C11" s="7">
        <f>WEEKNUM(Table1[[#This Row],[Date]])</f>
        <v>22</v>
      </c>
      <c r="D11" s="5" t="s">
        <v>26</v>
      </c>
      <c r="E11" s="5" t="s">
        <v>58</v>
      </c>
      <c r="F11" s="7" t="s">
        <v>21</v>
      </c>
      <c r="H11" s="7">
        <v>1000</v>
      </c>
      <c r="I11" s="7">
        <v>249</v>
      </c>
      <c r="J11" s="7">
        <v>3.9</v>
      </c>
      <c r="K11" s="7">
        <v>684</v>
      </c>
      <c r="L11" s="7">
        <v>33</v>
      </c>
      <c r="N11" s="7">
        <v>2</v>
      </c>
      <c r="O11" s="7">
        <v>81</v>
      </c>
      <c r="P11" s="7">
        <v>11</v>
      </c>
      <c r="Q11" s="7">
        <v>47</v>
      </c>
      <c r="S11" s="7">
        <v>9</v>
      </c>
      <c r="T11" s="7">
        <v>6</v>
      </c>
      <c r="U11" s="7">
        <v>6</v>
      </c>
      <c r="W11" s="7">
        <v>16</v>
      </c>
      <c r="X11" s="7">
        <v>105</v>
      </c>
      <c r="Y11" s="7">
        <f>SUM(Table1[[#This Row],[Good Kernels  (g)]:[Husk  (g)]])</f>
        <v>1000</v>
      </c>
      <c r="Z11" s="9">
        <f>IFERROR(Table1[[#This Row],[Good Kernels  (g)]]/Table1[[#This Row],[Sample Qty  (g)]],"")</f>
        <v>0.68400000000000005</v>
      </c>
      <c r="AA11" s="9">
        <f>IFERROR(SUM(Table1[[#This Row],[Pieces  (g)]:[Butts (g)]])/Table1[[#This Row],[Sample Qty  (g)]],"")</f>
        <v>3.3000000000000002E-2</v>
      </c>
      <c r="AB11" s="9">
        <f>IFERROR(Table1[[#This Row],[Scorched (g)]]/Table1[[#This Row],[Sample Qty  (g)]],"")</f>
        <v>2E-3</v>
      </c>
      <c r="AC11" s="9">
        <f>IFERROR(SUM(Table1[[#This Row],[Spotted  (g)]:[PUK3  (g)]])/Table1[[#This Row],[Sample Qty  (g)]],"")</f>
        <v>9.1999999999999998E-2</v>
      </c>
      <c r="AD11" s="9">
        <f>IFERROR(SUM(R11,Q11)/Table1[[#This Row],[Sample Qty  (g)]],"")</f>
        <v>4.7E-2</v>
      </c>
      <c r="AE11" s="9">
        <f>IFERROR(Table1[[#This Row],[Dessert/NW  (g)]]/Table1[[#This Row],[Sample Qty  (g)]],"")</f>
        <v>8.9999999999999993E-3</v>
      </c>
      <c r="AF11" s="9">
        <f>IFERROR(SUM(Table1[[#This Row],[Oil  (g)]:[Dirty  (g)]])/Table1[[#This Row],[Sample Qty  (g)]],"")</f>
        <v>1.2E-2</v>
      </c>
      <c r="AG11" s="9">
        <f>IFERROR(Table1[[#This Row],[Rejection  (g)]]/Table1[[#This Row],[Sample Qty  (g)]],"")</f>
        <v>1.6E-2</v>
      </c>
      <c r="AH11" s="9">
        <f>IFERROR(Table1[[#This Row],[Husk  (g)]]/Table1[[#This Row],[Sample Qty  (g)]],"")</f>
        <v>0.105</v>
      </c>
    </row>
    <row r="12" spans="2:34" ht="12" x14ac:dyDescent="0.25">
      <c r="B12" s="8">
        <v>46169</v>
      </c>
      <c r="C12" s="7">
        <f>WEEKNUM(Table1[[#This Row],[Date]])</f>
        <v>22</v>
      </c>
      <c r="D12" s="5" t="s">
        <v>27</v>
      </c>
      <c r="E12" s="5" t="s">
        <v>58</v>
      </c>
      <c r="F12" s="7" t="s">
        <v>21</v>
      </c>
      <c r="H12" s="7">
        <v>1000</v>
      </c>
      <c r="I12" s="7">
        <v>260</v>
      </c>
      <c r="J12" s="7">
        <v>4</v>
      </c>
      <c r="K12" s="7">
        <v>678</v>
      </c>
      <c r="L12" s="7">
        <v>25</v>
      </c>
      <c r="N12" s="7">
        <v>8</v>
      </c>
      <c r="O12" s="7">
        <v>76</v>
      </c>
      <c r="P12" s="7">
        <v>22</v>
      </c>
      <c r="Q12" s="7">
        <v>55</v>
      </c>
      <c r="S12" s="7">
        <v>13</v>
      </c>
      <c r="T12" s="7">
        <v>4</v>
      </c>
      <c r="U12" s="7">
        <v>3</v>
      </c>
      <c r="W12" s="7">
        <v>20</v>
      </c>
      <c r="X12" s="7">
        <v>96</v>
      </c>
      <c r="Y12" s="7">
        <f>SUM(Table1[[#This Row],[Good Kernels  (g)]:[Husk  (g)]])</f>
        <v>1000</v>
      </c>
      <c r="Z12" s="9">
        <f>IFERROR(Table1[[#This Row],[Good Kernels  (g)]]/Table1[[#This Row],[Sample Qty  (g)]],"")</f>
        <v>0.67800000000000005</v>
      </c>
      <c r="AA12" s="9">
        <f>IFERROR(SUM(Table1[[#This Row],[Pieces  (g)]:[Butts (g)]])/Table1[[#This Row],[Sample Qty  (g)]],"")</f>
        <v>2.5000000000000001E-2</v>
      </c>
      <c r="AB12" s="9">
        <f>IFERROR(Table1[[#This Row],[Scorched (g)]]/Table1[[#This Row],[Sample Qty  (g)]],"")</f>
        <v>8.0000000000000002E-3</v>
      </c>
      <c r="AC12" s="9">
        <f>IFERROR(SUM(Table1[[#This Row],[Spotted  (g)]:[PUK3  (g)]])/Table1[[#This Row],[Sample Qty  (g)]],"")</f>
        <v>9.8000000000000004E-2</v>
      </c>
      <c r="AD12" s="9">
        <f>IFERROR(SUM(R12,Q12)/Table1[[#This Row],[Sample Qty  (g)]],"")</f>
        <v>5.5E-2</v>
      </c>
      <c r="AE12" s="9">
        <f>IFERROR(Table1[[#This Row],[Dessert/NW  (g)]]/Table1[[#This Row],[Sample Qty  (g)]],"")</f>
        <v>1.2999999999999999E-2</v>
      </c>
      <c r="AF12" s="9">
        <f>IFERROR(SUM(Table1[[#This Row],[Oil  (g)]:[Dirty  (g)]])/Table1[[#This Row],[Sample Qty  (g)]],"")</f>
        <v>7.0000000000000001E-3</v>
      </c>
      <c r="AG12" s="9">
        <f>IFERROR(Table1[[#This Row],[Rejection  (g)]]/Table1[[#This Row],[Sample Qty  (g)]],"")</f>
        <v>0.02</v>
      </c>
      <c r="AH12" s="9">
        <f>IFERROR(Table1[[#This Row],[Husk  (g)]]/Table1[[#This Row],[Sample Qty  (g)]],"")</f>
        <v>9.6000000000000002E-2</v>
      </c>
    </row>
    <row r="13" spans="2:34" ht="12" x14ac:dyDescent="0.25">
      <c r="B13" s="8">
        <v>46170</v>
      </c>
      <c r="C13" s="7">
        <f>WEEKNUM(Table1[[#This Row],[Date]])</f>
        <v>22</v>
      </c>
      <c r="D13" s="5" t="s">
        <v>28</v>
      </c>
      <c r="E13" s="5" t="s">
        <v>58</v>
      </c>
      <c r="F13" s="7" t="s">
        <v>21</v>
      </c>
      <c r="H13" s="7">
        <v>1000</v>
      </c>
      <c r="I13" s="7">
        <v>254</v>
      </c>
      <c r="J13" s="7">
        <v>3.5</v>
      </c>
      <c r="K13" s="7">
        <v>618</v>
      </c>
      <c r="L13" s="7">
        <v>35</v>
      </c>
      <c r="N13" s="7">
        <v>12</v>
      </c>
      <c r="O13" s="7">
        <v>115</v>
      </c>
      <c r="P13" s="7">
        <v>38</v>
      </c>
      <c r="Q13" s="7">
        <v>58</v>
      </c>
      <c r="S13" s="7">
        <v>12</v>
      </c>
      <c r="T13" s="7">
        <v>4</v>
      </c>
      <c r="U13" s="7">
        <v>8</v>
      </c>
      <c r="W13" s="7">
        <v>5</v>
      </c>
      <c r="X13" s="7">
        <v>95</v>
      </c>
      <c r="Y13" s="7">
        <f>SUM(Table1[[#This Row],[Good Kernels  (g)]:[Husk  (g)]])</f>
        <v>1000</v>
      </c>
      <c r="Z13" s="9">
        <f>IFERROR(Table1[[#This Row],[Good Kernels  (g)]]/Table1[[#This Row],[Sample Qty  (g)]],"")</f>
        <v>0.61799999999999999</v>
      </c>
      <c r="AA13" s="9">
        <f>IFERROR(SUM(Table1[[#This Row],[Pieces  (g)]:[Butts (g)]])/Table1[[#This Row],[Sample Qty  (g)]],"")</f>
        <v>3.5000000000000003E-2</v>
      </c>
      <c r="AB13" s="9">
        <f>IFERROR(Table1[[#This Row],[Scorched (g)]]/Table1[[#This Row],[Sample Qty  (g)]],"")</f>
        <v>1.2E-2</v>
      </c>
      <c r="AC13" s="9">
        <f>IFERROR(SUM(Table1[[#This Row],[Spotted  (g)]:[PUK3  (g)]])/Table1[[#This Row],[Sample Qty  (g)]],"")</f>
        <v>0.153</v>
      </c>
      <c r="AD13" s="9">
        <f>IFERROR(SUM(R13,Q13)/Table1[[#This Row],[Sample Qty  (g)]],"")</f>
        <v>5.8000000000000003E-2</v>
      </c>
      <c r="AE13" s="9">
        <f>IFERROR(Table1[[#This Row],[Dessert/NW  (g)]]/Table1[[#This Row],[Sample Qty  (g)]],"")</f>
        <v>1.2E-2</v>
      </c>
      <c r="AF13" s="9">
        <f>IFERROR(SUM(Table1[[#This Row],[Oil  (g)]:[Dirty  (g)]])/Table1[[#This Row],[Sample Qty  (g)]],"")</f>
        <v>1.2E-2</v>
      </c>
      <c r="AG13" s="9">
        <f>IFERROR(Table1[[#This Row],[Rejection  (g)]]/Table1[[#This Row],[Sample Qty  (g)]],"")</f>
        <v>5.0000000000000001E-3</v>
      </c>
      <c r="AH13" s="9">
        <f>IFERROR(Table1[[#This Row],[Husk  (g)]]/Table1[[#This Row],[Sample Qty  (g)]],"")</f>
        <v>9.5000000000000001E-2</v>
      </c>
    </row>
    <row r="14" spans="2:34" ht="12" x14ac:dyDescent="0.25">
      <c r="B14" s="8">
        <v>46171</v>
      </c>
      <c r="C14" s="7">
        <f>WEEKNUM(Table1[[#This Row],[Date]])</f>
        <v>22</v>
      </c>
      <c r="D14" s="5" t="s">
        <v>29</v>
      </c>
      <c r="E14" s="5" t="s">
        <v>58</v>
      </c>
      <c r="F14" s="7" t="s">
        <v>21</v>
      </c>
      <c r="H14" s="7">
        <v>1000</v>
      </c>
      <c r="I14" s="7">
        <v>263</v>
      </c>
      <c r="J14" s="7">
        <v>3.4</v>
      </c>
      <c r="K14" s="7">
        <v>719</v>
      </c>
      <c r="L14" s="7">
        <v>13</v>
      </c>
      <c r="N14" s="7">
        <v>1</v>
      </c>
      <c r="O14" s="7">
        <v>68</v>
      </c>
      <c r="P14" s="7">
        <v>28</v>
      </c>
      <c r="Q14" s="7">
        <v>46</v>
      </c>
      <c r="S14" s="7">
        <v>14</v>
      </c>
      <c r="T14" s="7">
        <v>3</v>
      </c>
      <c r="U14" s="7">
        <v>6</v>
      </c>
      <c r="W14" s="7">
        <v>3</v>
      </c>
      <c r="X14" s="7">
        <v>99</v>
      </c>
      <c r="Y14" s="7">
        <f>SUM(Table1[[#This Row],[Good Kernels  (g)]:[Husk  (g)]])</f>
        <v>1000</v>
      </c>
      <c r="Z14" s="9">
        <f>IFERROR(Table1[[#This Row],[Good Kernels  (g)]]/Table1[[#This Row],[Sample Qty  (g)]],"")</f>
        <v>0.71899999999999997</v>
      </c>
      <c r="AA14" s="9">
        <f>IFERROR(SUM(Table1[[#This Row],[Pieces  (g)]:[Butts (g)]])/Table1[[#This Row],[Sample Qty  (g)]],"")</f>
        <v>1.2999999999999999E-2</v>
      </c>
      <c r="AB14" s="9">
        <f>IFERROR(Table1[[#This Row],[Scorched (g)]]/Table1[[#This Row],[Sample Qty  (g)]],"")</f>
        <v>1E-3</v>
      </c>
      <c r="AC14" s="9">
        <f>IFERROR(SUM(Table1[[#This Row],[Spotted  (g)]:[PUK3  (g)]])/Table1[[#This Row],[Sample Qty  (g)]],"")</f>
        <v>9.6000000000000002E-2</v>
      </c>
      <c r="AD14" s="9">
        <f>IFERROR(SUM(R14,Q14)/Table1[[#This Row],[Sample Qty  (g)]],"")</f>
        <v>4.5999999999999999E-2</v>
      </c>
      <c r="AE14" s="9">
        <f>IFERROR(Table1[[#This Row],[Dessert/NW  (g)]]/Table1[[#This Row],[Sample Qty  (g)]],"")</f>
        <v>1.4E-2</v>
      </c>
      <c r="AF14" s="9">
        <f>IFERROR(SUM(Table1[[#This Row],[Oil  (g)]:[Dirty  (g)]])/Table1[[#This Row],[Sample Qty  (g)]],"")</f>
        <v>8.9999999999999993E-3</v>
      </c>
      <c r="AG14" s="9">
        <f>IFERROR(Table1[[#This Row],[Rejection  (g)]]/Table1[[#This Row],[Sample Qty  (g)]],"")</f>
        <v>3.0000000000000001E-3</v>
      </c>
      <c r="AH14" s="9">
        <f>IFERROR(Table1[[#This Row],[Husk  (g)]]/Table1[[#This Row],[Sample Qty  (g)]],"")</f>
        <v>9.9000000000000005E-2</v>
      </c>
    </row>
    <row r="15" spans="2:34" ht="12" x14ac:dyDescent="0.25">
      <c r="B15" s="8">
        <v>46172</v>
      </c>
      <c r="C15" s="7">
        <f>WEEKNUM(Table1[[#This Row],[Date]])</f>
        <v>22</v>
      </c>
      <c r="D15" s="5" t="s">
        <v>35</v>
      </c>
      <c r="E15" s="5" t="s">
        <v>58</v>
      </c>
      <c r="F15" s="7" t="s">
        <v>21</v>
      </c>
      <c r="H15" s="7">
        <v>1000</v>
      </c>
      <c r="I15" s="7">
        <v>262</v>
      </c>
      <c r="J15" s="7">
        <v>3.5</v>
      </c>
      <c r="K15" s="7">
        <v>678</v>
      </c>
      <c r="L15" s="7">
        <v>35</v>
      </c>
      <c r="N15" s="7">
        <v>16</v>
      </c>
      <c r="O15" s="7">
        <v>62</v>
      </c>
      <c r="P15" s="7">
        <v>13</v>
      </c>
      <c r="Q15" s="7">
        <v>57</v>
      </c>
      <c r="S15" s="7">
        <v>23</v>
      </c>
      <c r="T15" s="7">
        <v>5</v>
      </c>
      <c r="U15" s="7">
        <v>2</v>
      </c>
      <c r="W15" s="7">
        <v>19</v>
      </c>
      <c r="X15" s="7">
        <v>90</v>
      </c>
      <c r="Y15" s="7">
        <f>SUM(Table1[[#This Row],[Good Kernels  (g)]:[Husk  (g)]])</f>
        <v>1000</v>
      </c>
      <c r="Z15" s="9">
        <f>IFERROR(Table1[[#This Row],[Good Kernels  (g)]]/Table1[[#This Row],[Sample Qty  (g)]],"")</f>
        <v>0.67800000000000005</v>
      </c>
      <c r="AA15" s="9">
        <f>IFERROR(SUM(Table1[[#This Row],[Pieces  (g)]:[Butts (g)]])/Table1[[#This Row],[Sample Qty  (g)]],"")</f>
        <v>3.5000000000000003E-2</v>
      </c>
      <c r="AB15" s="9">
        <f>IFERROR(Table1[[#This Row],[Scorched (g)]]/Table1[[#This Row],[Sample Qty  (g)]],"")</f>
        <v>1.6E-2</v>
      </c>
      <c r="AC15" s="9">
        <f>IFERROR(SUM(Table1[[#This Row],[Spotted  (g)]:[PUK3  (g)]])/Table1[[#This Row],[Sample Qty  (g)]],"")</f>
        <v>7.4999999999999997E-2</v>
      </c>
      <c r="AD15" s="9">
        <f>IFERROR(SUM(R15,Q15)/Table1[[#This Row],[Sample Qty  (g)]],"")</f>
        <v>5.7000000000000002E-2</v>
      </c>
      <c r="AE15" s="9">
        <f>IFERROR(Table1[[#This Row],[Dessert/NW  (g)]]/Table1[[#This Row],[Sample Qty  (g)]],"")</f>
        <v>2.3E-2</v>
      </c>
      <c r="AF15" s="9">
        <f>IFERROR(SUM(Table1[[#This Row],[Oil  (g)]:[Dirty  (g)]])/Table1[[#This Row],[Sample Qty  (g)]],"")</f>
        <v>7.0000000000000001E-3</v>
      </c>
      <c r="AG15" s="9">
        <f>IFERROR(Table1[[#This Row],[Rejection  (g)]]/Table1[[#This Row],[Sample Qty  (g)]],"")</f>
        <v>1.9E-2</v>
      </c>
      <c r="AH15" s="9">
        <f>IFERROR(Table1[[#This Row],[Husk  (g)]]/Table1[[#This Row],[Sample Qty  (g)]],"")</f>
        <v>0.09</v>
      </c>
    </row>
    <row r="16" spans="2:34" ht="12" x14ac:dyDescent="0.25">
      <c r="B16" s="8">
        <v>46174</v>
      </c>
      <c r="C16" s="7">
        <f>WEEKNUM(Table1[[#This Row],[Date]])</f>
        <v>23</v>
      </c>
      <c r="D16" s="5" t="s">
        <v>36</v>
      </c>
      <c r="E16" s="5" t="s">
        <v>58</v>
      </c>
      <c r="F16" s="7" t="s">
        <v>21</v>
      </c>
      <c r="H16" s="7">
        <v>1000</v>
      </c>
      <c r="I16" s="7">
        <v>268</v>
      </c>
      <c r="J16" s="7">
        <v>3.3</v>
      </c>
      <c r="K16" s="7">
        <v>666</v>
      </c>
      <c r="L16" s="7">
        <v>32</v>
      </c>
      <c r="N16" s="7">
        <v>12</v>
      </c>
      <c r="O16" s="7">
        <v>90</v>
      </c>
      <c r="P16" s="7">
        <v>12</v>
      </c>
      <c r="Q16" s="7">
        <v>53</v>
      </c>
      <c r="S16" s="7">
        <v>20</v>
      </c>
      <c r="T16" s="7">
        <v>2</v>
      </c>
      <c r="U16" s="7">
        <v>8</v>
      </c>
      <c r="W16" s="7">
        <v>6</v>
      </c>
      <c r="X16" s="7">
        <v>99</v>
      </c>
      <c r="Y16" s="7">
        <f>SUM(Table1[[#This Row],[Good Kernels  (g)]:[Husk  (g)]])</f>
        <v>1000</v>
      </c>
      <c r="Z16" s="9">
        <f>IFERROR(Table1[[#This Row],[Good Kernels  (g)]]/Table1[[#This Row],[Sample Qty  (g)]],"")</f>
        <v>0.66600000000000004</v>
      </c>
      <c r="AA16" s="9">
        <f>IFERROR(SUM(Table1[[#This Row],[Pieces  (g)]:[Butts (g)]])/Table1[[#This Row],[Sample Qty  (g)]],"")</f>
        <v>3.2000000000000001E-2</v>
      </c>
      <c r="AB16" s="9">
        <f>IFERROR(Table1[[#This Row],[Scorched (g)]]/Table1[[#This Row],[Sample Qty  (g)]],"")</f>
        <v>1.2E-2</v>
      </c>
      <c r="AC16" s="9">
        <f>IFERROR(SUM(Table1[[#This Row],[Spotted  (g)]:[PUK3  (g)]])/Table1[[#This Row],[Sample Qty  (g)]],"")</f>
        <v>0.10199999999999999</v>
      </c>
      <c r="AD16" s="9">
        <f>IFERROR(SUM(R16,Q16)/Table1[[#This Row],[Sample Qty  (g)]],"")</f>
        <v>5.2999999999999999E-2</v>
      </c>
      <c r="AE16" s="9">
        <f>IFERROR(Table1[[#This Row],[Dessert/NW  (g)]]/Table1[[#This Row],[Sample Qty  (g)]],"")</f>
        <v>0.02</v>
      </c>
      <c r="AF16" s="9">
        <f>IFERROR(SUM(Table1[[#This Row],[Oil  (g)]:[Dirty  (g)]])/Table1[[#This Row],[Sample Qty  (g)]],"")</f>
        <v>0.01</v>
      </c>
      <c r="AG16" s="9">
        <f>IFERROR(Table1[[#This Row],[Rejection  (g)]]/Table1[[#This Row],[Sample Qty  (g)]],"")</f>
        <v>6.0000000000000001E-3</v>
      </c>
      <c r="AH16" s="9">
        <f>IFERROR(Table1[[#This Row],[Husk  (g)]]/Table1[[#This Row],[Sample Qty  (g)]],"")</f>
        <v>9.9000000000000005E-2</v>
      </c>
    </row>
    <row r="17" spans="2:34" ht="12" x14ac:dyDescent="0.25">
      <c r="B17" s="8">
        <v>46175</v>
      </c>
      <c r="C17" s="7">
        <f>WEEKNUM(Table1[[#This Row],[Date]])</f>
        <v>23</v>
      </c>
      <c r="D17" s="5" t="s">
        <v>37</v>
      </c>
      <c r="E17" s="5" t="s">
        <v>58</v>
      </c>
      <c r="F17" s="7" t="s">
        <v>21</v>
      </c>
      <c r="H17" s="7">
        <v>1000</v>
      </c>
      <c r="I17" s="7">
        <v>220</v>
      </c>
      <c r="J17" s="7">
        <v>3.8</v>
      </c>
      <c r="K17" s="7">
        <v>669</v>
      </c>
      <c r="L17" s="7">
        <v>33</v>
      </c>
      <c r="N17" s="7">
        <v>0</v>
      </c>
      <c r="O17" s="7">
        <v>80</v>
      </c>
      <c r="P17" s="7">
        <v>25</v>
      </c>
      <c r="Q17" s="7">
        <v>53</v>
      </c>
      <c r="S17" s="7">
        <v>15</v>
      </c>
      <c r="T17" s="7">
        <v>6</v>
      </c>
      <c r="U17" s="7">
        <v>4</v>
      </c>
      <c r="W17" s="7">
        <v>9</v>
      </c>
      <c r="X17" s="7">
        <v>106</v>
      </c>
      <c r="Y17" s="7">
        <f>SUM(Table1[[#This Row],[Good Kernels  (g)]:[Husk  (g)]])</f>
        <v>1000</v>
      </c>
      <c r="Z17" s="9">
        <f>IFERROR(Table1[[#This Row],[Good Kernels  (g)]]/Table1[[#This Row],[Sample Qty  (g)]],"")</f>
        <v>0.66900000000000004</v>
      </c>
      <c r="AA17" s="9">
        <f>IFERROR(SUM(Table1[[#This Row],[Pieces  (g)]:[Butts (g)]])/Table1[[#This Row],[Sample Qty  (g)]],"")</f>
        <v>3.3000000000000002E-2</v>
      </c>
      <c r="AB17" s="9">
        <f>IFERROR(Table1[[#This Row],[Scorched (g)]]/Table1[[#This Row],[Sample Qty  (g)]],"")</f>
        <v>0</v>
      </c>
      <c r="AC17" s="9">
        <f>IFERROR(SUM(Table1[[#This Row],[Spotted  (g)]:[PUK3  (g)]])/Table1[[#This Row],[Sample Qty  (g)]],"")</f>
        <v>0.105</v>
      </c>
      <c r="AD17" s="9">
        <f>IFERROR(SUM(R17,Q17)/Table1[[#This Row],[Sample Qty  (g)]],"")</f>
        <v>5.2999999999999999E-2</v>
      </c>
      <c r="AE17" s="9">
        <f>IFERROR(Table1[[#This Row],[Dessert/NW  (g)]]/Table1[[#This Row],[Sample Qty  (g)]],"")</f>
        <v>1.4999999999999999E-2</v>
      </c>
      <c r="AF17" s="9">
        <f>IFERROR(SUM(Table1[[#This Row],[Oil  (g)]:[Dirty  (g)]])/Table1[[#This Row],[Sample Qty  (g)]],"")</f>
        <v>0.01</v>
      </c>
      <c r="AG17" s="9">
        <f>IFERROR(Table1[[#This Row],[Rejection  (g)]]/Table1[[#This Row],[Sample Qty  (g)]],"")</f>
        <v>8.9999999999999993E-3</v>
      </c>
      <c r="AH17" s="9">
        <f>IFERROR(Table1[[#This Row],[Husk  (g)]]/Table1[[#This Row],[Sample Qty  (g)]],"")</f>
        <v>0.106</v>
      </c>
    </row>
    <row r="18" spans="2:34" ht="12" x14ac:dyDescent="0.25">
      <c r="B18" s="8">
        <v>46176</v>
      </c>
      <c r="C18" s="7">
        <f>WEEKNUM(Table1[[#This Row],[Date]])</f>
        <v>23</v>
      </c>
      <c r="D18" s="5" t="s">
        <v>38</v>
      </c>
      <c r="E18" s="5" t="s">
        <v>58</v>
      </c>
      <c r="F18" s="7" t="s">
        <v>21</v>
      </c>
      <c r="H18" s="7">
        <v>1000</v>
      </c>
      <c r="I18" s="7">
        <v>256</v>
      </c>
      <c r="J18" s="7">
        <v>3.5</v>
      </c>
      <c r="K18" s="7">
        <v>663</v>
      </c>
      <c r="L18" s="7">
        <v>12</v>
      </c>
      <c r="N18" s="7">
        <v>10</v>
      </c>
      <c r="O18" s="7">
        <v>89</v>
      </c>
      <c r="P18" s="7">
        <v>26</v>
      </c>
      <c r="Q18" s="7">
        <v>63</v>
      </c>
      <c r="S18" s="7">
        <v>15</v>
      </c>
      <c r="T18" s="7">
        <v>8</v>
      </c>
      <c r="U18" s="7">
        <v>12</v>
      </c>
      <c r="W18" s="7">
        <v>7</v>
      </c>
      <c r="X18" s="7">
        <v>95</v>
      </c>
      <c r="Y18" s="7">
        <f>SUM(Table1[[#This Row],[Good Kernels  (g)]:[Husk  (g)]])</f>
        <v>1000</v>
      </c>
      <c r="Z18" s="9">
        <f>IFERROR(Table1[[#This Row],[Good Kernels  (g)]]/Table1[[#This Row],[Sample Qty  (g)]],"")</f>
        <v>0.66300000000000003</v>
      </c>
      <c r="AA18" s="9">
        <f>IFERROR(SUM(Table1[[#This Row],[Pieces  (g)]:[Butts (g)]])/Table1[[#This Row],[Sample Qty  (g)]],"")</f>
        <v>1.2E-2</v>
      </c>
      <c r="AB18" s="9">
        <f>IFERROR(Table1[[#This Row],[Scorched (g)]]/Table1[[#This Row],[Sample Qty  (g)]],"")</f>
        <v>0.01</v>
      </c>
      <c r="AC18" s="9">
        <f>IFERROR(SUM(Table1[[#This Row],[Spotted  (g)]:[PUK3  (g)]])/Table1[[#This Row],[Sample Qty  (g)]],"")</f>
        <v>0.115</v>
      </c>
      <c r="AD18" s="9">
        <f>IFERROR(SUM(R18,Q18)/Table1[[#This Row],[Sample Qty  (g)]],"")</f>
        <v>6.3E-2</v>
      </c>
      <c r="AE18" s="9">
        <f>IFERROR(Table1[[#This Row],[Dessert/NW  (g)]]/Table1[[#This Row],[Sample Qty  (g)]],"")</f>
        <v>1.4999999999999999E-2</v>
      </c>
      <c r="AF18" s="9">
        <f>IFERROR(SUM(Table1[[#This Row],[Oil  (g)]:[Dirty  (g)]])/Table1[[#This Row],[Sample Qty  (g)]],"")</f>
        <v>0.02</v>
      </c>
      <c r="AG18" s="9">
        <f>IFERROR(Table1[[#This Row],[Rejection  (g)]]/Table1[[#This Row],[Sample Qty  (g)]],"")</f>
        <v>7.0000000000000001E-3</v>
      </c>
      <c r="AH18" s="9">
        <f>IFERROR(Table1[[#This Row],[Husk  (g)]]/Table1[[#This Row],[Sample Qty  (g)]],"")</f>
        <v>9.5000000000000001E-2</v>
      </c>
    </row>
    <row r="19" spans="2:34" ht="12" x14ac:dyDescent="0.25">
      <c r="B19" s="8">
        <v>46177</v>
      </c>
      <c r="C19" s="7">
        <f>WEEKNUM(Table1[[#This Row],[Date]])</f>
        <v>23</v>
      </c>
      <c r="D19" s="5" t="s">
        <v>39</v>
      </c>
      <c r="E19" s="5" t="s">
        <v>58</v>
      </c>
      <c r="F19" s="7" t="s">
        <v>21</v>
      </c>
      <c r="H19" s="7">
        <v>1000</v>
      </c>
      <c r="I19" s="7">
        <v>302</v>
      </c>
      <c r="J19" s="7">
        <v>3.2</v>
      </c>
      <c r="K19" s="7">
        <v>650</v>
      </c>
      <c r="L19" s="7">
        <v>38</v>
      </c>
      <c r="N19" s="7">
        <v>12</v>
      </c>
      <c r="O19" s="7">
        <v>85</v>
      </c>
      <c r="P19" s="7">
        <v>15</v>
      </c>
      <c r="Q19" s="7">
        <v>51</v>
      </c>
      <c r="S19" s="7">
        <v>11</v>
      </c>
      <c r="T19" s="7">
        <v>5</v>
      </c>
      <c r="U19" s="7">
        <v>9</v>
      </c>
      <c r="W19" s="7">
        <v>13</v>
      </c>
      <c r="X19" s="7">
        <v>111</v>
      </c>
      <c r="Y19" s="7">
        <f>SUM(Table1[[#This Row],[Good Kernels  (g)]:[Husk  (g)]])</f>
        <v>1000</v>
      </c>
      <c r="Z19" s="9">
        <f>IFERROR(Table1[[#This Row],[Good Kernels  (g)]]/Table1[[#This Row],[Sample Qty  (g)]],"")</f>
        <v>0.65</v>
      </c>
      <c r="AA19" s="9">
        <f>IFERROR(SUM(Table1[[#This Row],[Pieces  (g)]:[Butts (g)]])/Table1[[#This Row],[Sample Qty  (g)]],"")</f>
        <v>3.7999999999999999E-2</v>
      </c>
      <c r="AB19" s="9">
        <f>IFERROR(Table1[[#This Row],[Scorched (g)]]/Table1[[#This Row],[Sample Qty  (g)]],"")</f>
        <v>1.2E-2</v>
      </c>
      <c r="AC19" s="9">
        <f>IFERROR(SUM(Table1[[#This Row],[Spotted  (g)]:[PUK3  (g)]])/Table1[[#This Row],[Sample Qty  (g)]],"")</f>
        <v>0.1</v>
      </c>
      <c r="AD19" s="9">
        <f>IFERROR(SUM(R19,Q19)/Table1[[#This Row],[Sample Qty  (g)]],"")</f>
        <v>5.0999999999999997E-2</v>
      </c>
      <c r="AE19" s="9">
        <f>IFERROR(Table1[[#This Row],[Dessert/NW  (g)]]/Table1[[#This Row],[Sample Qty  (g)]],"")</f>
        <v>1.0999999999999999E-2</v>
      </c>
      <c r="AF19" s="9">
        <f>IFERROR(SUM(Table1[[#This Row],[Oil  (g)]:[Dirty  (g)]])/Table1[[#This Row],[Sample Qty  (g)]],"")</f>
        <v>1.4E-2</v>
      </c>
      <c r="AG19" s="9">
        <f>IFERROR(Table1[[#This Row],[Rejection  (g)]]/Table1[[#This Row],[Sample Qty  (g)]],"")</f>
        <v>1.2999999999999999E-2</v>
      </c>
      <c r="AH19" s="9">
        <f>IFERROR(Table1[[#This Row],[Husk  (g)]]/Table1[[#This Row],[Sample Qty  (g)]],"")</f>
        <v>0.111</v>
      </c>
    </row>
    <row r="20" spans="2:34" ht="12" x14ac:dyDescent="0.25">
      <c r="B20" s="8">
        <v>46178</v>
      </c>
      <c r="C20" s="7">
        <f>WEEKNUM(Table1[[#This Row],[Date]])</f>
        <v>23</v>
      </c>
      <c r="D20" s="5" t="s">
        <v>40</v>
      </c>
      <c r="E20" s="5" t="s">
        <v>58</v>
      </c>
      <c r="F20" s="7" t="s">
        <v>21</v>
      </c>
      <c r="H20" s="7">
        <v>1000</v>
      </c>
      <c r="I20" s="7">
        <v>316</v>
      </c>
      <c r="J20" s="7">
        <v>3.2</v>
      </c>
      <c r="K20" s="7">
        <v>634</v>
      </c>
      <c r="L20" s="7">
        <v>54</v>
      </c>
      <c r="N20" s="7">
        <v>6</v>
      </c>
      <c r="O20" s="7">
        <v>94</v>
      </c>
      <c r="P20" s="7">
        <v>26</v>
      </c>
      <c r="Q20" s="7">
        <v>46</v>
      </c>
      <c r="S20" s="7">
        <v>19</v>
      </c>
      <c r="T20" s="7">
        <v>7</v>
      </c>
      <c r="U20" s="7">
        <v>11</v>
      </c>
      <c r="W20" s="7">
        <v>8</v>
      </c>
      <c r="X20" s="7">
        <v>95</v>
      </c>
      <c r="Y20" s="7">
        <f>SUM(Table1[[#This Row],[Good Kernels  (g)]:[Husk  (g)]])</f>
        <v>1000</v>
      </c>
      <c r="Z20" s="9">
        <f>IFERROR(Table1[[#This Row],[Good Kernels  (g)]]/Table1[[#This Row],[Sample Qty  (g)]],"")</f>
        <v>0.63400000000000001</v>
      </c>
      <c r="AA20" s="9">
        <f>IFERROR(SUM(Table1[[#This Row],[Pieces  (g)]:[Butts (g)]])/Table1[[#This Row],[Sample Qty  (g)]],"")</f>
        <v>5.3999999999999999E-2</v>
      </c>
      <c r="AB20" s="9">
        <f>IFERROR(Table1[[#This Row],[Scorched (g)]]/Table1[[#This Row],[Sample Qty  (g)]],"")</f>
        <v>6.0000000000000001E-3</v>
      </c>
      <c r="AC20" s="9">
        <f>IFERROR(SUM(Table1[[#This Row],[Spotted  (g)]:[PUK3  (g)]])/Table1[[#This Row],[Sample Qty  (g)]],"")</f>
        <v>0.12</v>
      </c>
      <c r="AD20" s="9">
        <f>IFERROR(SUM(R20,Q20)/Table1[[#This Row],[Sample Qty  (g)]],"")</f>
        <v>4.5999999999999999E-2</v>
      </c>
      <c r="AE20" s="9">
        <f>IFERROR(Table1[[#This Row],[Dessert/NW  (g)]]/Table1[[#This Row],[Sample Qty  (g)]],"")</f>
        <v>1.9E-2</v>
      </c>
      <c r="AF20" s="9">
        <f>IFERROR(SUM(Table1[[#This Row],[Oil  (g)]:[Dirty  (g)]])/Table1[[#This Row],[Sample Qty  (g)]],"")</f>
        <v>1.7999999999999999E-2</v>
      </c>
      <c r="AG20" s="9">
        <f>IFERROR(Table1[[#This Row],[Rejection  (g)]]/Table1[[#This Row],[Sample Qty  (g)]],"")</f>
        <v>8.0000000000000002E-3</v>
      </c>
      <c r="AH20" s="9">
        <f>IFERROR(Table1[[#This Row],[Husk  (g)]]/Table1[[#This Row],[Sample Qty  (g)]],"")</f>
        <v>9.5000000000000001E-2</v>
      </c>
    </row>
    <row r="21" spans="2:34" ht="12" x14ac:dyDescent="0.25">
      <c r="B21" s="8">
        <v>46179</v>
      </c>
      <c r="C21" s="7">
        <f>WEEKNUM(Table1[[#This Row],[Date]])</f>
        <v>23</v>
      </c>
      <c r="D21" s="5" t="s">
        <v>41</v>
      </c>
      <c r="E21" s="5" t="s">
        <v>58</v>
      </c>
      <c r="F21" s="7" t="s">
        <v>21</v>
      </c>
      <c r="H21" s="7">
        <v>1000</v>
      </c>
      <c r="I21" s="7">
        <v>313</v>
      </c>
      <c r="J21" s="7">
        <v>3.3</v>
      </c>
      <c r="K21" s="7">
        <v>636</v>
      </c>
      <c r="L21" s="7">
        <v>23</v>
      </c>
      <c r="N21" s="7">
        <v>32</v>
      </c>
      <c r="O21" s="7">
        <v>84</v>
      </c>
      <c r="P21" s="7">
        <v>28</v>
      </c>
      <c r="Q21" s="7">
        <v>56</v>
      </c>
      <c r="S21" s="7">
        <v>9</v>
      </c>
      <c r="T21" s="7">
        <v>6</v>
      </c>
      <c r="U21" s="7">
        <v>5</v>
      </c>
      <c r="W21" s="7">
        <v>15</v>
      </c>
      <c r="X21" s="7">
        <v>106</v>
      </c>
      <c r="Y21" s="7">
        <f>SUM(Table1[[#This Row],[Good Kernels  (g)]:[Husk  (g)]])</f>
        <v>1000</v>
      </c>
      <c r="Z21" s="9">
        <f>IFERROR(Table1[[#This Row],[Good Kernels  (g)]]/Table1[[#This Row],[Sample Qty  (g)]],"")</f>
        <v>0.63600000000000001</v>
      </c>
      <c r="AA21" s="9">
        <f>IFERROR(SUM(Table1[[#This Row],[Pieces  (g)]:[Butts (g)]])/Table1[[#This Row],[Sample Qty  (g)]],"")</f>
        <v>2.3E-2</v>
      </c>
      <c r="AB21" s="9">
        <f>IFERROR(Table1[[#This Row],[Scorched (g)]]/Table1[[#This Row],[Sample Qty  (g)]],"")</f>
        <v>3.2000000000000001E-2</v>
      </c>
      <c r="AC21" s="9">
        <f>IFERROR(SUM(Table1[[#This Row],[Spotted  (g)]:[PUK3  (g)]])/Table1[[#This Row],[Sample Qty  (g)]],"")</f>
        <v>0.112</v>
      </c>
      <c r="AD21" s="9">
        <f>IFERROR(SUM(R21,Q21)/Table1[[#This Row],[Sample Qty  (g)]],"")</f>
        <v>5.6000000000000001E-2</v>
      </c>
      <c r="AE21" s="9">
        <f>IFERROR(Table1[[#This Row],[Dessert/NW  (g)]]/Table1[[#This Row],[Sample Qty  (g)]],"")</f>
        <v>8.9999999999999993E-3</v>
      </c>
      <c r="AF21" s="9">
        <f>IFERROR(SUM(Table1[[#This Row],[Oil  (g)]:[Dirty  (g)]])/Table1[[#This Row],[Sample Qty  (g)]],"")</f>
        <v>1.0999999999999999E-2</v>
      </c>
      <c r="AG21" s="9">
        <f>IFERROR(Table1[[#This Row],[Rejection  (g)]]/Table1[[#This Row],[Sample Qty  (g)]],"")</f>
        <v>1.4999999999999999E-2</v>
      </c>
      <c r="AH21" s="9">
        <f>IFERROR(Table1[[#This Row],[Husk  (g)]]/Table1[[#This Row],[Sample Qty  (g)]],"")</f>
        <v>0.106</v>
      </c>
    </row>
    <row r="22" spans="2:34" ht="12" x14ac:dyDescent="0.25">
      <c r="B22" s="8">
        <v>46181</v>
      </c>
      <c r="C22" s="7">
        <f>WEEKNUM(Table1[[#This Row],[Date]])</f>
        <v>24</v>
      </c>
      <c r="D22" s="5" t="s">
        <v>42</v>
      </c>
      <c r="E22" s="5" t="s">
        <v>58</v>
      </c>
      <c r="F22" s="7" t="s">
        <v>21</v>
      </c>
      <c r="H22" s="7">
        <v>1000</v>
      </c>
      <c r="I22" s="7">
        <v>272</v>
      </c>
      <c r="J22" s="7">
        <v>3.9</v>
      </c>
      <c r="K22" s="7">
        <v>655</v>
      </c>
      <c r="L22" s="7">
        <v>35</v>
      </c>
      <c r="N22" s="7">
        <v>24</v>
      </c>
      <c r="O22" s="7">
        <v>68</v>
      </c>
      <c r="P22" s="7">
        <v>34</v>
      </c>
      <c r="Q22" s="7">
        <v>55</v>
      </c>
      <c r="S22" s="7">
        <v>13</v>
      </c>
      <c r="T22" s="7">
        <v>3</v>
      </c>
      <c r="U22" s="7">
        <v>8</v>
      </c>
      <c r="W22" s="7">
        <v>11</v>
      </c>
      <c r="X22" s="7">
        <v>94</v>
      </c>
      <c r="Y22" s="7">
        <f>SUM(Table1[[#This Row],[Good Kernels  (g)]:[Husk  (g)]])</f>
        <v>1000</v>
      </c>
      <c r="Z22" s="9">
        <f>IFERROR(Table1[[#This Row],[Good Kernels  (g)]]/Table1[[#This Row],[Sample Qty  (g)]],"")</f>
        <v>0.65500000000000003</v>
      </c>
      <c r="AA22" s="9">
        <f>IFERROR(SUM(Table1[[#This Row],[Pieces  (g)]:[Butts (g)]])/Table1[[#This Row],[Sample Qty  (g)]],"")</f>
        <v>3.5000000000000003E-2</v>
      </c>
      <c r="AB22" s="9">
        <f>IFERROR(Table1[[#This Row],[Scorched (g)]]/Table1[[#This Row],[Sample Qty  (g)]],"")</f>
        <v>2.4E-2</v>
      </c>
      <c r="AC22" s="9">
        <f>IFERROR(SUM(Table1[[#This Row],[Spotted  (g)]:[PUK3  (g)]])/Table1[[#This Row],[Sample Qty  (g)]],"")</f>
        <v>0.10199999999999999</v>
      </c>
      <c r="AD22" s="9">
        <f>IFERROR(SUM(R22,Q22)/Table1[[#This Row],[Sample Qty  (g)]],"")</f>
        <v>5.5E-2</v>
      </c>
      <c r="AE22" s="9">
        <f>IFERROR(Table1[[#This Row],[Dessert/NW  (g)]]/Table1[[#This Row],[Sample Qty  (g)]],"")</f>
        <v>1.2999999999999999E-2</v>
      </c>
      <c r="AF22" s="9">
        <f>IFERROR(SUM(Table1[[#This Row],[Oil  (g)]:[Dirty  (g)]])/Table1[[#This Row],[Sample Qty  (g)]],"")</f>
        <v>1.0999999999999999E-2</v>
      </c>
      <c r="AG22" s="9">
        <f>IFERROR(Table1[[#This Row],[Rejection  (g)]]/Table1[[#This Row],[Sample Qty  (g)]],"")</f>
        <v>1.0999999999999999E-2</v>
      </c>
      <c r="AH22" s="9">
        <f>IFERROR(Table1[[#This Row],[Husk  (g)]]/Table1[[#This Row],[Sample Qty  (g)]],"")</f>
        <v>9.4E-2</v>
      </c>
    </row>
    <row r="23" spans="2:34" ht="12" x14ac:dyDescent="0.25">
      <c r="B23" s="8">
        <v>46181</v>
      </c>
      <c r="C23" s="7">
        <f>WEEKNUM(Table1[[#This Row],[Date]])</f>
        <v>24</v>
      </c>
      <c r="D23" s="5" t="s">
        <v>43</v>
      </c>
      <c r="E23" s="5" t="s">
        <v>58</v>
      </c>
      <c r="F23" s="7" t="s">
        <v>21</v>
      </c>
      <c r="H23" s="7">
        <v>1000</v>
      </c>
      <c r="I23" s="7">
        <v>275</v>
      </c>
      <c r="J23" s="7">
        <v>3.8</v>
      </c>
      <c r="K23" s="7">
        <v>609</v>
      </c>
      <c r="L23" s="7">
        <v>39</v>
      </c>
      <c r="N23" s="7">
        <v>31</v>
      </c>
      <c r="O23" s="7">
        <v>95</v>
      </c>
      <c r="P23" s="7">
        <v>33</v>
      </c>
      <c r="Q23" s="7">
        <v>61</v>
      </c>
      <c r="S23" s="7">
        <v>17</v>
      </c>
      <c r="T23" s="7">
        <v>5</v>
      </c>
      <c r="U23" s="7">
        <v>10</v>
      </c>
      <c r="W23" s="7">
        <v>10</v>
      </c>
      <c r="X23" s="7">
        <v>90</v>
      </c>
      <c r="Y23" s="7">
        <f>SUM(Table1[[#This Row],[Good Kernels  (g)]:[Husk  (g)]])</f>
        <v>1000</v>
      </c>
      <c r="Z23" s="9">
        <f>IFERROR(Table1[[#This Row],[Good Kernels  (g)]]/Table1[[#This Row],[Sample Qty  (g)]],"")</f>
        <v>0.60899999999999999</v>
      </c>
      <c r="AA23" s="9">
        <f>IFERROR(SUM(Table1[[#This Row],[Pieces  (g)]:[Butts (g)]])/Table1[[#This Row],[Sample Qty  (g)]],"")</f>
        <v>3.9E-2</v>
      </c>
      <c r="AB23" s="9">
        <f>IFERROR(Table1[[#This Row],[Scorched (g)]]/Table1[[#This Row],[Sample Qty  (g)]],"")</f>
        <v>3.1E-2</v>
      </c>
      <c r="AC23" s="9">
        <f>IFERROR(SUM(Table1[[#This Row],[Spotted  (g)]:[PUK3  (g)]])/Table1[[#This Row],[Sample Qty  (g)]],"")</f>
        <v>0.128</v>
      </c>
      <c r="AD23" s="9">
        <f>IFERROR(SUM(R23,Q23)/Table1[[#This Row],[Sample Qty  (g)]],"")</f>
        <v>6.0999999999999999E-2</v>
      </c>
      <c r="AE23" s="9">
        <f>IFERROR(Table1[[#This Row],[Dessert/NW  (g)]]/Table1[[#This Row],[Sample Qty  (g)]],"")</f>
        <v>1.7000000000000001E-2</v>
      </c>
      <c r="AF23" s="9">
        <f>IFERROR(SUM(Table1[[#This Row],[Oil  (g)]:[Dirty  (g)]])/Table1[[#This Row],[Sample Qty  (g)]],"")</f>
        <v>1.4999999999999999E-2</v>
      </c>
      <c r="AG23" s="9">
        <f>IFERROR(Table1[[#This Row],[Rejection  (g)]]/Table1[[#This Row],[Sample Qty  (g)]],"")</f>
        <v>0.01</v>
      </c>
      <c r="AH23" s="9">
        <f>IFERROR(Table1[[#This Row],[Husk  (g)]]/Table1[[#This Row],[Sample Qty  (g)]],"")</f>
        <v>0.09</v>
      </c>
    </row>
    <row r="24" spans="2:34" ht="12" x14ac:dyDescent="0.25">
      <c r="B24" s="8">
        <v>46183</v>
      </c>
      <c r="C24" s="7">
        <f>WEEKNUM(Table1[[#This Row],[Date]])</f>
        <v>24</v>
      </c>
      <c r="D24" s="5" t="s">
        <v>44</v>
      </c>
      <c r="E24" s="5" t="s">
        <v>59</v>
      </c>
      <c r="F24" s="7" t="s">
        <v>21</v>
      </c>
      <c r="H24" s="7">
        <v>1000</v>
      </c>
      <c r="I24" s="7">
        <v>256</v>
      </c>
      <c r="J24" s="7">
        <v>3.4</v>
      </c>
      <c r="K24" s="7">
        <v>698</v>
      </c>
      <c r="L24" s="7">
        <v>38</v>
      </c>
      <c r="N24" s="7">
        <v>10</v>
      </c>
      <c r="O24" s="7">
        <v>59</v>
      </c>
      <c r="P24" s="7">
        <v>14</v>
      </c>
      <c r="Q24" s="7">
        <v>50</v>
      </c>
      <c r="S24" s="7">
        <v>8</v>
      </c>
      <c r="T24" s="7">
        <v>12</v>
      </c>
      <c r="U24" s="7">
        <v>5</v>
      </c>
      <c r="W24" s="7">
        <v>14</v>
      </c>
      <c r="X24" s="7">
        <v>92</v>
      </c>
      <c r="Y24" s="7">
        <f>SUM(Table1[[#This Row],[Good Kernels  (g)]:[Husk  (g)]])</f>
        <v>1000</v>
      </c>
      <c r="Z24" s="9">
        <f>IFERROR(Table1[[#This Row],[Good Kernels  (g)]]/Table1[[#This Row],[Sample Qty  (g)]],"")</f>
        <v>0.69799999999999995</v>
      </c>
      <c r="AA24" s="9">
        <f>IFERROR(SUM(Table1[[#This Row],[Pieces  (g)]:[Butts (g)]])/Table1[[#This Row],[Sample Qty  (g)]],"")</f>
        <v>3.7999999999999999E-2</v>
      </c>
      <c r="AB24" s="9">
        <f>IFERROR(Table1[[#This Row],[Scorched (g)]]/Table1[[#This Row],[Sample Qty  (g)]],"")</f>
        <v>0.01</v>
      </c>
      <c r="AC24" s="9">
        <f>IFERROR(SUM(Table1[[#This Row],[Spotted  (g)]:[PUK3  (g)]])/Table1[[#This Row],[Sample Qty  (g)]],"")</f>
        <v>7.2999999999999995E-2</v>
      </c>
      <c r="AD24" s="9">
        <f>IFERROR(SUM(R24,Q24)/Table1[[#This Row],[Sample Qty  (g)]],"")</f>
        <v>0.05</v>
      </c>
      <c r="AE24" s="9">
        <f>IFERROR(Table1[[#This Row],[Dessert/NW  (g)]]/Table1[[#This Row],[Sample Qty  (g)]],"")</f>
        <v>8.0000000000000002E-3</v>
      </c>
      <c r="AF24" s="9">
        <f>IFERROR(SUM(Table1[[#This Row],[Oil  (g)]:[Dirty  (g)]])/Table1[[#This Row],[Sample Qty  (g)]],"")</f>
        <v>1.7000000000000001E-2</v>
      </c>
      <c r="AG24" s="9">
        <f>IFERROR(Table1[[#This Row],[Rejection  (g)]]/Table1[[#This Row],[Sample Qty  (g)]],"")</f>
        <v>1.4E-2</v>
      </c>
      <c r="AH24" s="9">
        <f>IFERROR(Table1[[#This Row],[Husk  (g)]]/Table1[[#This Row],[Sample Qty  (g)]],"")</f>
        <v>9.1999999999999998E-2</v>
      </c>
    </row>
    <row r="25" spans="2:34" ht="12" x14ac:dyDescent="0.25">
      <c r="B25" s="8">
        <v>46184</v>
      </c>
      <c r="C25" s="7">
        <f>WEEKNUM(Table1[[#This Row],[Date]])</f>
        <v>24</v>
      </c>
      <c r="D25" s="5" t="s">
        <v>45</v>
      </c>
      <c r="E25" s="5" t="s">
        <v>59</v>
      </c>
      <c r="F25" s="7" t="s">
        <v>21</v>
      </c>
      <c r="H25" s="7">
        <v>1000</v>
      </c>
      <c r="I25" s="7">
        <v>276</v>
      </c>
      <c r="J25" s="7">
        <v>3.6</v>
      </c>
      <c r="K25" s="7">
        <v>607</v>
      </c>
      <c r="L25" s="7">
        <v>43</v>
      </c>
      <c r="N25" s="7">
        <v>28</v>
      </c>
      <c r="O25" s="7">
        <v>114</v>
      </c>
      <c r="P25" s="7">
        <v>16</v>
      </c>
      <c r="Q25" s="7">
        <v>56</v>
      </c>
      <c r="S25" s="7">
        <v>10</v>
      </c>
      <c r="T25" s="7">
        <v>7</v>
      </c>
      <c r="U25" s="7">
        <v>10</v>
      </c>
      <c r="W25" s="7">
        <v>12</v>
      </c>
      <c r="X25" s="7">
        <v>97</v>
      </c>
      <c r="Y25" s="7">
        <f>SUM(Table1[[#This Row],[Good Kernels  (g)]:[Husk  (g)]])</f>
        <v>1000</v>
      </c>
      <c r="Z25" s="9">
        <f>IFERROR(Table1[[#This Row],[Good Kernels  (g)]]/Table1[[#This Row],[Sample Qty  (g)]],"")</f>
        <v>0.60699999999999998</v>
      </c>
      <c r="AA25" s="9">
        <f>IFERROR(SUM(Table1[[#This Row],[Pieces  (g)]:[Butts (g)]])/Table1[[#This Row],[Sample Qty  (g)]],"")</f>
        <v>4.2999999999999997E-2</v>
      </c>
      <c r="AB25" s="9">
        <f>IFERROR(Table1[[#This Row],[Scorched (g)]]/Table1[[#This Row],[Sample Qty  (g)]],"")</f>
        <v>2.8000000000000001E-2</v>
      </c>
      <c r="AC25" s="9">
        <f>IFERROR(SUM(Table1[[#This Row],[Spotted  (g)]:[PUK3  (g)]])/Table1[[#This Row],[Sample Qty  (g)]],"")</f>
        <v>0.13</v>
      </c>
      <c r="AD25" s="9">
        <f>IFERROR(SUM(R25,Q25)/Table1[[#This Row],[Sample Qty  (g)]],"")</f>
        <v>5.6000000000000001E-2</v>
      </c>
      <c r="AE25" s="9">
        <f>IFERROR(Table1[[#This Row],[Dessert/NW  (g)]]/Table1[[#This Row],[Sample Qty  (g)]],"")</f>
        <v>0.01</v>
      </c>
      <c r="AF25" s="9">
        <f>IFERROR(SUM(Table1[[#This Row],[Oil  (g)]:[Dirty  (g)]])/Table1[[#This Row],[Sample Qty  (g)]],"")</f>
        <v>1.7000000000000001E-2</v>
      </c>
      <c r="AG25" s="9">
        <f>IFERROR(Table1[[#This Row],[Rejection  (g)]]/Table1[[#This Row],[Sample Qty  (g)]],"")</f>
        <v>1.2E-2</v>
      </c>
      <c r="AH25" s="9">
        <f>IFERROR(Table1[[#This Row],[Husk  (g)]]/Table1[[#This Row],[Sample Qty  (g)]],"")</f>
        <v>9.7000000000000003E-2</v>
      </c>
    </row>
    <row r="26" spans="2:34" ht="12" x14ac:dyDescent="0.25">
      <c r="B26" s="8">
        <v>46185</v>
      </c>
      <c r="C26" s="7">
        <f>WEEKNUM(Table1[[#This Row],[Date]])</f>
        <v>24</v>
      </c>
      <c r="D26" s="5" t="s">
        <v>46</v>
      </c>
      <c r="E26" s="5" t="s">
        <v>59</v>
      </c>
      <c r="F26" s="7" t="s">
        <v>21</v>
      </c>
      <c r="H26" s="7">
        <v>1000</v>
      </c>
      <c r="I26" s="7">
        <v>280</v>
      </c>
      <c r="J26" s="7">
        <v>3.4</v>
      </c>
      <c r="K26" s="7">
        <v>650</v>
      </c>
      <c r="L26" s="7">
        <v>50</v>
      </c>
      <c r="N26" s="7">
        <v>22</v>
      </c>
      <c r="O26" s="7">
        <v>74</v>
      </c>
      <c r="P26" s="7">
        <v>32</v>
      </c>
      <c r="Q26" s="7">
        <v>50</v>
      </c>
      <c r="S26" s="7">
        <v>22</v>
      </c>
      <c r="T26" s="7">
        <v>3</v>
      </c>
      <c r="U26" s="7">
        <v>2</v>
      </c>
      <c r="W26" s="7">
        <v>2</v>
      </c>
      <c r="X26" s="7">
        <v>93</v>
      </c>
      <c r="Y26" s="7">
        <f>SUM(Table1[[#This Row],[Good Kernels  (g)]:[Husk  (g)]])</f>
        <v>1000</v>
      </c>
      <c r="Z26" s="9">
        <f>IFERROR(Table1[[#This Row],[Good Kernels  (g)]]/Table1[[#This Row],[Sample Qty  (g)]],"")</f>
        <v>0.65</v>
      </c>
      <c r="AA26" s="9">
        <f>IFERROR(SUM(Table1[[#This Row],[Pieces  (g)]:[Butts (g)]])/Table1[[#This Row],[Sample Qty  (g)]],"")</f>
        <v>0.05</v>
      </c>
      <c r="AB26" s="9">
        <f>IFERROR(Table1[[#This Row],[Scorched (g)]]/Table1[[#This Row],[Sample Qty  (g)]],"")</f>
        <v>2.1999999999999999E-2</v>
      </c>
      <c r="AC26" s="9">
        <f>IFERROR(SUM(Table1[[#This Row],[Spotted  (g)]:[PUK3  (g)]])/Table1[[#This Row],[Sample Qty  (g)]],"")</f>
        <v>0.106</v>
      </c>
      <c r="AD26" s="9">
        <f>IFERROR(SUM(R26,Q26)/Table1[[#This Row],[Sample Qty  (g)]],"")</f>
        <v>0.05</v>
      </c>
      <c r="AE26" s="9">
        <f>IFERROR(Table1[[#This Row],[Dessert/NW  (g)]]/Table1[[#This Row],[Sample Qty  (g)]],"")</f>
        <v>2.1999999999999999E-2</v>
      </c>
      <c r="AF26" s="9">
        <f>IFERROR(SUM(Table1[[#This Row],[Oil  (g)]:[Dirty  (g)]])/Table1[[#This Row],[Sample Qty  (g)]],"")</f>
        <v>5.0000000000000001E-3</v>
      </c>
      <c r="AG26" s="9">
        <f>IFERROR(Table1[[#This Row],[Rejection  (g)]]/Table1[[#This Row],[Sample Qty  (g)]],"")</f>
        <v>2E-3</v>
      </c>
      <c r="AH26" s="9">
        <f>IFERROR(Table1[[#This Row],[Husk  (g)]]/Table1[[#This Row],[Sample Qty  (g)]],"")</f>
        <v>9.2999999999999999E-2</v>
      </c>
    </row>
    <row r="27" spans="2:34" ht="12" x14ac:dyDescent="0.25">
      <c r="B27" s="8">
        <v>46186</v>
      </c>
      <c r="C27" s="7">
        <f>WEEKNUM(Table1[[#This Row],[Date]])</f>
        <v>24</v>
      </c>
      <c r="D27" s="5" t="s">
        <v>47</v>
      </c>
      <c r="E27" s="5" t="s">
        <v>59</v>
      </c>
      <c r="F27" s="7" t="s">
        <v>21</v>
      </c>
      <c r="H27" s="7">
        <v>1000</v>
      </c>
      <c r="I27" s="7">
        <v>284</v>
      </c>
      <c r="J27" s="7">
        <v>3.4</v>
      </c>
      <c r="K27" s="7">
        <v>657</v>
      </c>
      <c r="L27" s="7">
        <v>49</v>
      </c>
      <c r="N27" s="7">
        <v>7</v>
      </c>
      <c r="O27" s="7">
        <v>74</v>
      </c>
      <c r="P27" s="7">
        <v>26</v>
      </c>
      <c r="Q27" s="7">
        <v>56</v>
      </c>
      <c r="S27" s="7">
        <v>10</v>
      </c>
      <c r="T27" s="7">
        <v>12</v>
      </c>
      <c r="U27" s="7">
        <v>4</v>
      </c>
      <c r="W27" s="7">
        <v>5</v>
      </c>
      <c r="X27" s="7">
        <v>100</v>
      </c>
      <c r="Y27" s="7">
        <f>SUM(Table1[[#This Row],[Good Kernels  (g)]:[Husk  (g)]])</f>
        <v>1000</v>
      </c>
      <c r="Z27" s="9">
        <f>IFERROR(Table1[[#This Row],[Good Kernels  (g)]]/Table1[[#This Row],[Sample Qty  (g)]],"")</f>
        <v>0.65700000000000003</v>
      </c>
      <c r="AA27" s="9">
        <f>IFERROR(SUM(Table1[[#This Row],[Pieces  (g)]:[Butts (g)]])/Table1[[#This Row],[Sample Qty  (g)]],"")</f>
        <v>4.9000000000000002E-2</v>
      </c>
      <c r="AB27" s="9">
        <f>IFERROR(Table1[[#This Row],[Scorched (g)]]/Table1[[#This Row],[Sample Qty  (g)]],"")</f>
        <v>7.0000000000000001E-3</v>
      </c>
      <c r="AC27" s="9">
        <f>IFERROR(SUM(Table1[[#This Row],[Spotted  (g)]:[PUK3  (g)]])/Table1[[#This Row],[Sample Qty  (g)]],"")</f>
        <v>0.1</v>
      </c>
      <c r="AD27" s="9">
        <f>IFERROR(SUM(R27,Q27)/Table1[[#This Row],[Sample Qty  (g)]],"")</f>
        <v>5.6000000000000001E-2</v>
      </c>
      <c r="AE27" s="9">
        <f>IFERROR(Table1[[#This Row],[Dessert/NW  (g)]]/Table1[[#This Row],[Sample Qty  (g)]],"")</f>
        <v>0.01</v>
      </c>
      <c r="AF27" s="9">
        <f>IFERROR(SUM(Table1[[#This Row],[Oil  (g)]:[Dirty  (g)]])/Table1[[#This Row],[Sample Qty  (g)]],"")</f>
        <v>1.6E-2</v>
      </c>
      <c r="AG27" s="9">
        <f>IFERROR(Table1[[#This Row],[Rejection  (g)]]/Table1[[#This Row],[Sample Qty  (g)]],"")</f>
        <v>5.0000000000000001E-3</v>
      </c>
      <c r="AH27" s="9">
        <f>IFERROR(Table1[[#This Row],[Husk  (g)]]/Table1[[#This Row],[Sample Qty  (g)]],"")</f>
        <v>0.1</v>
      </c>
    </row>
    <row r="28" spans="2:34" ht="12" x14ac:dyDescent="0.25">
      <c r="B28" s="8">
        <v>46188</v>
      </c>
      <c r="C28" s="7">
        <f>WEEKNUM(Table1[[#This Row],[Date]])</f>
        <v>25</v>
      </c>
      <c r="D28" s="5" t="s">
        <v>48</v>
      </c>
      <c r="E28" s="5" t="s">
        <v>59</v>
      </c>
      <c r="F28" s="7" t="s">
        <v>21</v>
      </c>
      <c r="H28" s="7">
        <v>1000</v>
      </c>
      <c r="I28" s="7">
        <v>272</v>
      </c>
      <c r="J28" s="7">
        <v>3.2</v>
      </c>
      <c r="K28" s="7">
        <v>712</v>
      </c>
      <c r="L28" s="7">
        <v>16</v>
      </c>
      <c r="N28" s="7">
        <v>29</v>
      </c>
      <c r="O28" s="7">
        <v>48</v>
      </c>
      <c r="P28" s="7">
        <v>10</v>
      </c>
      <c r="Q28" s="7">
        <v>62</v>
      </c>
      <c r="S28" s="7">
        <v>8</v>
      </c>
      <c r="T28" s="7">
        <v>3</v>
      </c>
      <c r="U28" s="7">
        <v>4</v>
      </c>
      <c r="W28" s="7">
        <v>8</v>
      </c>
      <c r="X28" s="7">
        <v>100</v>
      </c>
      <c r="Y28" s="7">
        <f>SUM(Table1[[#This Row],[Good Kernels  (g)]:[Husk  (g)]])</f>
        <v>1000</v>
      </c>
      <c r="Z28" s="9">
        <f>IFERROR(Table1[[#This Row],[Good Kernels  (g)]]/Table1[[#This Row],[Sample Qty  (g)]],"")</f>
        <v>0.71199999999999997</v>
      </c>
      <c r="AA28" s="9">
        <f>IFERROR(SUM(Table1[[#This Row],[Pieces  (g)]:[Butts (g)]])/Table1[[#This Row],[Sample Qty  (g)]],"")</f>
        <v>1.6E-2</v>
      </c>
      <c r="AB28" s="9">
        <f>IFERROR(Table1[[#This Row],[Scorched (g)]]/Table1[[#This Row],[Sample Qty  (g)]],"")</f>
        <v>2.9000000000000001E-2</v>
      </c>
      <c r="AC28" s="9">
        <f>IFERROR(SUM(Table1[[#This Row],[Spotted  (g)]:[PUK3  (g)]])/Table1[[#This Row],[Sample Qty  (g)]],"")</f>
        <v>5.8000000000000003E-2</v>
      </c>
      <c r="AD28" s="9">
        <f>IFERROR(SUM(R28,Q28)/Table1[[#This Row],[Sample Qty  (g)]],"")</f>
        <v>6.2E-2</v>
      </c>
      <c r="AE28" s="9">
        <f>IFERROR(Table1[[#This Row],[Dessert/NW  (g)]]/Table1[[#This Row],[Sample Qty  (g)]],"")</f>
        <v>8.0000000000000002E-3</v>
      </c>
      <c r="AF28" s="9">
        <f>IFERROR(SUM(Table1[[#This Row],[Oil  (g)]:[Dirty  (g)]])/Table1[[#This Row],[Sample Qty  (g)]],"")</f>
        <v>7.0000000000000001E-3</v>
      </c>
      <c r="AG28" s="9">
        <f>IFERROR(Table1[[#This Row],[Rejection  (g)]]/Table1[[#This Row],[Sample Qty  (g)]],"")</f>
        <v>8.0000000000000002E-3</v>
      </c>
      <c r="AH28" s="9">
        <f>IFERROR(Table1[[#This Row],[Husk  (g)]]/Table1[[#This Row],[Sample Qty  (g)]],"")</f>
        <v>0.1</v>
      </c>
    </row>
    <row r="29" spans="2:34" ht="12" x14ac:dyDescent="0.25">
      <c r="B29" s="8">
        <v>46189</v>
      </c>
      <c r="C29" s="7">
        <f>WEEKNUM(Table1[[#This Row],[Date]])</f>
        <v>25</v>
      </c>
      <c r="D29" s="5" t="s">
        <v>49</v>
      </c>
      <c r="E29" s="5" t="s">
        <v>59</v>
      </c>
      <c r="F29" s="7" t="s">
        <v>21</v>
      </c>
      <c r="H29" s="7">
        <v>1000</v>
      </c>
      <c r="I29" s="7">
        <v>263</v>
      </c>
      <c r="J29" s="7">
        <v>3.2</v>
      </c>
      <c r="K29" s="7">
        <v>676</v>
      </c>
      <c r="L29" s="7">
        <v>56</v>
      </c>
      <c r="N29" s="7">
        <v>16</v>
      </c>
      <c r="O29" s="7">
        <v>59</v>
      </c>
      <c r="P29" s="7">
        <v>20</v>
      </c>
      <c r="Q29" s="7">
        <v>55</v>
      </c>
      <c r="S29" s="7">
        <v>18</v>
      </c>
      <c r="T29" s="7">
        <v>2</v>
      </c>
      <c r="U29" s="7">
        <v>2</v>
      </c>
      <c r="W29" s="7">
        <v>2</v>
      </c>
      <c r="X29" s="7">
        <v>94</v>
      </c>
      <c r="Y29" s="7">
        <f>SUM(Table1[[#This Row],[Good Kernels  (g)]:[Husk  (g)]])</f>
        <v>1000</v>
      </c>
      <c r="Z29" s="9">
        <f>IFERROR(Table1[[#This Row],[Good Kernels  (g)]]/Table1[[#This Row],[Sample Qty  (g)]],"")</f>
        <v>0.67600000000000005</v>
      </c>
      <c r="AA29" s="9">
        <f>IFERROR(SUM(Table1[[#This Row],[Pieces  (g)]:[Butts (g)]])/Table1[[#This Row],[Sample Qty  (g)]],"")</f>
        <v>5.6000000000000001E-2</v>
      </c>
      <c r="AB29" s="9">
        <f>IFERROR(Table1[[#This Row],[Scorched (g)]]/Table1[[#This Row],[Sample Qty  (g)]],"")</f>
        <v>1.6E-2</v>
      </c>
      <c r="AC29" s="9">
        <f>IFERROR(SUM(Table1[[#This Row],[Spotted  (g)]:[PUK3  (g)]])/Table1[[#This Row],[Sample Qty  (g)]],"")</f>
        <v>7.9000000000000001E-2</v>
      </c>
      <c r="AD29" s="9">
        <f>IFERROR(SUM(R29,Q29)/Table1[[#This Row],[Sample Qty  (g)]],"")</f>
        <v>5.5E-2</v>
      </c>
      <c r="AE29" s="9">
        <f>IFERROR(Table1[[#This Row],[Dessert/NW  (g)]]/Table1[[#This Row],[Sample Qty  (g)]],"")</f>
        <v>1.7999999999999999E-2</v>
      </c>
      <c r="AF29" s="9">
        <f>IFERROR(SUM(Table1[[#This Row],[Oil  (g)]:[Dirty  (g)]])/Table1[[#This Row],[Sample Qty  (g)]],"")</f>
        <v>4.0000000000000001E-3</v>
      </c>
      <c r="AG29" s="9">
        <f>IFERROR(Table1[[#This Row],[Rejection  (g)]]/Table1[[#This Row],[Sample Qty  (g)]],"")</f>
        <v>2E-3</v>
      </c>
      <c r="AH29" s="9">
        <f>IFERROR(Table1[[#This Row],[Husk  (g)]]/Table1[[#This Row],[Sample Qty  (g)]],"")</f>
        <v>9.4E-2</v>
      </c>
    </row>
    <row r="30" spans="2:34" ht="12" x14ac:dyDescent="0.25">
      <c r="B30" s="8">
        <v>46190</v>
      </c>
      <c r="C30" s="7">
        <f>WEEKNUM(Table1[[#This Row],[Date]])</f>
        <v>25</v>
      </c>
      <c r="D30" s="5" t="s">
        <v>50</v>
      </c>
      <c r="E30" s="5" t="s">
        <v>60</v>
      </c>
      <c r="F30" s="7" t="s">
        <v>21</v>
      </c>
      <c r="H30" s="7">
        <v>1000</v>
      </c>
      <c r="I30" s="7">
        <v>277</v>
      </c>
      <c r="J30" s="7">
        <v>3.4</v>
      </c>
      <c r="K30" s="7">
        <v>671</v>
      </c>
      <c r="L30" s="7">
        <v>54</v>
      </c>
      <c r="N30" s="7">
        <v>25</v>
      </c>
      <c r="O30" s="7">
        <v>56</v>
      </c>
      <c r="P30" s="7">
        <v>26</v>
      </c>
      <c r="Q30" s="7">
        <v>47</v>
      </c>
      <c r="S30" s="7">
        <v>9</v>
      </c>
      <c r="T30" s="7">
        <v>8</v>
      </c>
      <c r="U30" s="7">
        <v>2</v>
      </c>
      <c r="W30" s="7">
        <v>5</v>
      </c>
      <c r="X30" s="7">
        <v>97</v>
      </c>
      <c r="Y30" s="7">
        <f>SUM(Table1[[#This Row],[Good Kernels  (g)]:[Husk  (g)]])</f>
        <v>1000</v>
      </c>
      <c r="Z30" s="9">
        <f>IFERROR(Table1[[#This Row],[Good Kernels  (g)]]/Table1[[#This Row],[Sample Qty  (g)]],"")</f>
        <v>0.67100000000000004</v>
      </c>
      <c r="AA30" s="9">
        <f>IFERROR(SUM(Table1[[#This Row],[Pieces  (g)]:[Butts (g)]])/Table1[[#This Row],[Sample Qty  (g)]],"")</f>
        <v>5.3999999999999999E-2</v>
      </c>
      <c r="AB30" s="9">
        <f>IFERROR(Table1[[#This Row],[Scorched (g)]]/Table1[[#This Row],[Sample Qty  (g)]],"")</f>
        <v>2.5000000000000001E-2</v>
      </c>
      <c r="AC30" s="9">
        <f>IFERROR(SUM(Table1[[#This Row],[Spotted  (g)]:[PUK3  (g)]])/Table1[[#This Row],[Sample Qty  (g)]],"")</f>
        <v>8.2000000000000003E-2</v>
      </c>
      <c r="AD30" s="9">
        <f>IFERROR(SUM(R30,Q30)/Table1[[#This Row],[Sample Qty  (g)]],"")</f>
        <v>4.7E-2</v>
      </c>
      <c r="AE30" s="9">
        <f>IFERROR(Table1[[#This Row],[Dessert/NW  (g)]]/Table1[[#This Row],[Sample Qty  (g)]],"")</f>
        <v>8.9999999999999993E-3</v>
      </c>
      <c r="AF30" s="9">
        <f>IFERROR(SUM(Table1[[#This Row],[Oil  (g)]:[Dirty  (g)]])/Table1[[#This Row],[Sample Qty  (g)]],"")</f>
        <v>0.01</v>
      </c>
      <c r="AG30" s="9">
        <f>IFERROR(Table1[[#This Row],[Rejection  (g)]]/Table1[[#This Row],[Sample Qty  (g)]],"")</f>
        <v>5.0000000000000001E-3</v>
      </c>
      <c r="AH30" s="9">
        <f>IFERROR(Table1[[#This Row],[Husk  (g)]]/Table1[[#This Row],[Sample Qty  (g)]],"")</f>
        <v>9.7000000000000003E-2</v>
      </c>
    </row>
    <row r="31" spans="2:34" ht="12" x14ac:dyDescent="0.25">
      <c r="B31" s="8">
        <v>46191</v>
      </c>
      <c r="C31" s="7">
        <f>WEEKNUM(Table1[[#This Row],[Date]])</f>
        <v>25</v>
      </c>
      <c r="D31" s="5" t="s">
        <v>51</v>
      </c>
      <c r="E31" s="5" t="s">
        <v>60</v>
      </c>
      <c r="F31" s="7" t="s">
        <v>21</v>
      </c>
      <c r="H31" s="7">
        <v>1000</v>
      </c>
      <c r="I31" s="7">
        <v>263</v>
      </c>
      <c r="J31" s="7">
        <v>3.3</v>
      </c>
      <c r="K31" s="7">
        <v>657</v>
      </c>
      <c r="L31" s="7">
        <v>53</v>
      </c>
      <c r="N31" s="7">
        <v>12</v>
      </c>
      <c r="O31" s="7">
        <v>77</v>
      </c>
      <c r="P31" s="7">
        <v>18</v>
      </c>
      <c r="Q31" s="7">
        <v>47</v>
      </c>
      <c r="S31" s="7">
        <v>16</v>
      </c>
      <c r="T31" s="7">
        <v>7</v>
      </c>
      <c r="U31" s="7">
        <v>15</v>
      </c>
      <c r="W31" s="7">
        <v>7</v>
      </c>
      <c r="X31" s="7">
        <v>91</v>
      </c>
      <c r="Y31" s="7">
        <f>SUM(Table1[[#This Row],[Good Kernels  (g)]:[Husk  (g)]])</f>
        <v>1000</v>
      </c>
      <c r="Z31" s="9">
        <f>IFERROR(Table1[[#This Row],[Good Kernels  (g)]]/Table1[[#This Row],[Sample Qty  (g)]],"")</f>
        <v>0.65700000000000003</v>
      </c>
      <c r="AA31" s="9">
        <f>IFERROR(SUM(Table1[[#This Row],[Pieces  (g)]:[Butts (g)]])/Table1[[#This Row],[Sample Qty  (g)]],"")</f>
        <v>5.2999999999999999E-2</v>
      </c>
      <c r="AB31" s="9">
        <f>IFERROR(Table1[[#This Row],[Scorched (g)]]/Table1[[#This Row],[Sample Qty  (g)]],"")</f>
        <v>1.2E-2</v>
      </c>
      <c r="AC31" s="9">
        <f>IFERROR(SUM(Table1[[#This Row],[Spotted  (g)]:[PUK3  (g)]])/Table1[[#This Row],[Sample Qty  (g)]],"")</f>
        <v>9.5000000000000001E-2</v>
      </c>
      <c r="AD31" s="9">
        <f>IFERROR(SUM(R31,Q31)/Table1[[#This Row],[Sample Qty  (g)]],"")</f>
        <v>4.7E-2</v>
      </c>
      <c r="AE31" s="9">
        <f>IFERROR(Table1[[#This Row],[Dessert/NW  (g)]]/Table1[[#This Row],[Sample Qty  (g)]],"")</f>
        <v>1.6E-2</v>
      </c>
      <c r="AF31" s="9">
        <f>IFERROR(SUM(Table1[[#This Row],[Oil  (g)]:[Dirty  (g)]])/Table1[[#This Row],[Sample Qty  (g)]],"")</f>
        <v>2.1999999999999999E-2</v>
      </c>
      <c r="AG31" s="9">
        <f>IFERROR(Table1[[#This Row],[Rejection  (g)]]/Table1[[#This Row],[Sample Qty  (g)]],"")</f>
        <v>7.0000000000000001E-3</v>
      </c>
      <c r="AH31" s="9">
        <f>IFERROR(Table1[[#This Row],[Husk  (g)]]/Table1[[#This Row],[Sample Qty  (g)]],"")</f>
        <v>9.0999999999999998E-2</v>
      </c>
    </row>
    <row r="32" spans="2:34" ht="12" x14ac:dyDescent="0.25">
      <c r="B32" s="8">
        <v>46192</v>
      </c>
      <c r="C32" s="7">
        <f>WEEKNUM(Table1[[#This Row],[Date]])</f>
        <v>25</v>
      </c>
      <c r="D32" s="5" t="s">
        <v>52</v>
      </c>
      <c r="E32" s="5" t="s">
        <v>60</v>
      </c>
      <c r="F32" s="7" t="s">
        <v>21</v>
      </c>
      <c r="H32" s="7">
        <v>1000</v>
      </c>
      <c r="I32" s="7">
        <v>265</v>
      </c>
      <c r="J32" s="7">
        <v>3.4</v>
      </c>
      <c r="K32" s="7">
        <v>684</v>
      </c>
      <c r="L32" s="7">
        <v>37</v>
      </c>
      <c r="N32" s="7">
        <v>15</v>
      </c>
      <c r="O32" s="7">
        <v>71</v>
      </c>
      <c r="P32" s="7">
        <v>20</v>
      </c>
      <c r="Q32" s="7">
        <v>49</v>
      </c>
      <c r="S32" s="7">
        <v>8</v>
      </c>
      <c r="T32" s="7">
        <v>8</v>
      </c>
      <c r="U32" s="7">
        <v>8</v>
      </c>
      <c r="W32" s="7">
        <v>10</v>
      </c>
      <c r="X32" s="7">
        <v>90</v>
      </c>
      <c r="Y32" s="7">
        <f>SUM(Table1[[#This Row],[Good Kernels  (g)]:[Husk  (g)]])</f>
        <v>1000</v>
      </c>
      <c r="Z32" s="9">
        <f>IFERROR(Table1[[#This Row],[Good Kernels  (g)]]/Table1[[#This Row],[Sample Qty  (g)]],"")</f>
        <v>0.68400000000000005</v>
      </c>
      <c r="AA32" s="9">
        <f>IFERROR(SUM(Table1[[#This Row],[Pieces  (g)]:[Butts (g)]])/Table1[[#This Row],[Sample Qty  (g)]],"")</f>
        <v>3.6999999999999998E-2</v>
      </c>
      <c r="AB32" s="9">
        <f>IFERROR(Table1[[#This Row],[Scorched (g)]]/Table1[[#This Row],[Sample Qty  (g)]],"")</f>
        <v>1.4999999999999999E-2</v>
      </c>
      <c r="AC32" s="9">
        <f>IFERROR(SUM(Table1[[#This Row],[Spotted  (g)]:[PUK3  (g)]])/Table1[[#This Row],[Sample Qty  (g)]],"")</f>
        <v>9.0999999999999998E-2</v>
      </c>
      <c r="AD32" s="9">
        <f>IFERROR(SUM(R32,Q32)/Table1[[#This Row],[Sample Qty  (g)]],"")</f>
        <v>4.9000000000000002E-2</v>
      </c>
      <c r="AE32" s="9">
        <f>IFERROR(Table1[[#This Row],[Dessert/NW  (g)]]/Table1[[#This Row],[Sample Qty  (g)]],"")</f>
        <v>8.0000000000000002E-3</v>
      </c>
      <c r="AF32" s="9">
        <f>IFERROR(SUM(Table1[[#This Row],[Oil  (g)]:[Dirty  (g)]])/Table1[[#This Row],[Sample Qty  (g)]],"")</f>
        <v>1.6E-2</v>
      </c>
      <c r="AG32" s="9">
        <f>IFERROR(Table1[[#This Row],[Rejection  (g)]]/Table1[[#This Row],[Sample Qty  (g)]],"")</f>
        <v>0.01</v>
      </c>
      <c r="AH32" s="9">
        <f>IFERROR(Table1[[#This Row],[Husk  (g)]]/Table1[[#This Row],[Sample Qty  (g)]],"")</f>
        <v>0.09</v>
      </c>
    </row>
    <row r="33" spans="2:34" ht="12" x14ac:dyDescent="0.25">
      <c r="B33" s="8">
        <v>46195</v>
      </c>
      <c r="C33" s="7">
        <f>WEEKNUM(Table1[[#This Row],[Date]])</f>
        <v>26</v>
      </c>
      <c r="D33" s="5" t="s">
        <v>61</v>
      </c>
      <c r="E33" s="10" t="s">
        <v>60</v>
      </c>
      <c r="F33" s="7" t="s">
        <v>21</v>
      </c>
      <c r="H33" s="7">
        <v>1000</v>
      </c>
      <c r="I33" s="7">
        <v>279</v>
      </c>
      <c r="J33" s="7">
        <v>3.4</v>
      </c>
      <c r="K33" s="7">
        <v>727</v>
      </c>
      <c r="L33" s="7">
        <v>36</v>
      </c>
      <c r="N33" s="7">
        <v>12</v>
      </c>
      <c r="O33" s="7">
        <v>65</v>
      </c>
      <c r="P33" s="7">
        <v>16</v>
      </c>
      <c r="Q33" s="7">
        <v>6</v>
      </c>
      <c r="S33" s="7">
        <v>8</v>
      </c>
      <c r="T33" s="7">
        <v>8</v>
      </c>
      <c r="U33" s="7">
        <v>12</v>
      </c>
      <c r="W33" s="7">
        <v>9</v>
      </c>
      <c r="X33" s="7">
        <v>101</v>
      </c>
      <c r="Y33" s="7">
        <f>SUM(Table1[[#This Row],[Good Kernels  (g)]:[Husk  (g)]])</f>
        <v>1000</v>
      </c>
      <c r="Z33" s="9">
        <f>IFERROR(Table1[[#This Row],[Good Kernels  (g)]]/Table1[[#This Row],[Sample Qty  (g)]],"")</f>
        <v>0.72699999999999998</v>
      </c>
      <c r="AA33" s="9">
        <f>IFERROR(SUM(Table1[[#This Row],[Pieces  (g)]:[Butts (g)]])/Table1[[#This Row],[Sample Qty  (g)]],"")</f>
        <v>3.5999999999999997E-2</v>
      </c>
      <c r="AB33" s="9">
        <f>IFERROR(Table1[[#This Row],[Scorched (g)]]/Table1[[#This Row],[Sample Qty  (g)]],"")</f>
        <v>1.2E-2</v>
      </c>
      <c r="AC33" s="9">
        <f>IFERROR(SUM(Table1[[#This Row],[Spotted  (g)]:[PUK3  (g)]])/Table1[[#This Row],[Sample Qty  (g)]],"")</f>
        <v>8.1000000000000003E-2</v>
      </c>
      <c r="AD33" s="9">
        <f>IFERROR(SUM(R33,Q33)/Table1[[#This Row],[Sample Qty  (g)]],"")</f>
        <v>6.0000000000000001E-3</v>
      </c>
      <c r="AE33" s="9">
        <f>IFERROR(Table1[[#This Row],[Dessert/NW  (g)]]/Table1[[#This Row],[Sample Qty  (g)]],"")</f>
        <v>8.0000000000000002E-3</v>
      </c>
      <c r="AF33" s="9">
        <f>IFERROR(SUM(Table1[[#This Row],[Oil  (g)]:[Dirty  (g)]])/Table1[[#This Row],[Sample Qty  (g)]],"")</f>
        <v>0.02</v>
      </c>
      <c r="AG33" s="9">
        <f>IFERROR(Table1[[#This Row],[Rejection  (g)]]/Table1[[#This Row],[Sample Qty  (g)]],"")</f>
        <v>8.9999999999999993E-3</v>
      </c>
      <c r="AH33" s="9">
        <f>IFERROR(Table1[[#This Row],[Husk  (g)]]/Table1[[#This Row],[Sample Qty  (g)]],"")</f>
        <v>0.10100000000000001</v>
      </c>
    </row>
    <row r="34" spans="2:34" ht="12" x14ac:dyDescent="0.25">
      <c r="B34" s="8">
        <v>46195</v>
      </c>
      <c r="C34" s="7">
        <f>WEEKNUM(Table1[[#This Row],[Date]])</f>
        <v>26</v>
      </c>
      <c r="D34" s="5" t="s">
        <v>62</v>
      </c>
      <c r="E34" s="10" t="s">
        <v>60</v>
      </c>
      <c r="F34" s="7" t="s">
        <v>21</v>
      </c>
      <c r="H34" s="7">
        <v>1000</v>
      </c>
      <c r="I34" s="7">
        <v>282</v>
      </c>
      <c r="J34" s="7">
        <v>3.3</v>
      </c>
      <c r="K34" s="7">
        <v>732</v>
      </c>
      <c r="L34" s="7">
        <v>42</v>
      </c>
      <c r="N34" s="7">
        <v>18</v>
      </c>
      <c r="O34" s="7">
        <v>56</v>
      </c>
      <c r="P34" s="7">
        <v>13</v>
      </c>
      <c r="Q34" s="7">
        <v>11</v>
      </c>
      <c r="S34" s="7">
        <v>8</v>
      </c>
      <c r="T34" s="7">
        <v>6</v>
      </c>
      <c r="U34" s="7">
        <v>8</v>
      </c>
      <c r="W34" s="7">
        <v>9</v>
      </c>
      <c r="X34" s="7">
        <v>97</v>
      </c>
      <c r="Y34" s="7">
        <f>SUM(Table1[[#This Row],[Good Kernels  (g)]:[Husk  (g)]])</f>
        <v>1000</v>
      </c>
      <c r="Z34" s="9">
        <f>IFERROR(Table1[[#This Row],[Good Kernels  (g)]]/Table1[[#This Row],[Sample Qty  (g)]],"")</f>
        <v>0.73199999999999998</v>
      </c>
      <c r="AA34" s="9">
        <f>IFERROR(SUM(Table1[[#This Row],[Pieces  (g)]:[Butts (g)]])/Table1[[#This Row],[Sample Qty  (g)]],"")</f>
        <v>4.2000000000000003E-2</v>
      </c>
      <c r="AB34" s="9">
        <f>IFERROR(Table1[[#This Row],[Scorched (g)]]/Table1[[#This Row],[Sample Qty  (g)]],"")</f>
        <v>1.7999999999999999E-2</v>
      </c>
      <c r="AC34" s="9">
        <f>IFERROR(SUM(Table1[[#This Row],[Spotted  (g)]:[PUK3  (g)]])/Table1[[#This Row],[Sample Qty  (g)]],"")</f>
        <v>6.9000000000000006E-2</v>
      </c>
      <c r="AD34" s="9">
        <f>IFERROR(SUM(R34,Q34)/Table1[[#This Row],[Sample Qty  (g)]],"")</f>
        <v>1.0999999999999999E-2</v>
      </c>
      <c r="AE34" s="9">
        <f>IFERROR(Table1[[#This Row],[Dessert/NW  (g)]]/Table1[[#This Row],[Sample Qty  (g)]],"")</f>
        <v>8.0000000000000002E-3</v>
      </c>
      <c r="AF34" s="9">
        <f>IFERROR(SUM(Table1[[#This Row],[Oil  (g)]:[Dirty  (g)]])/Table1[[#This Row],[Sample Qty  (g)]],"")</f>
        <v>1.4E-2</v>
      </c>
      <c r="AG34" s="9">
        <f>IFERROR(Table1[[#This Row],[Rejection  (g)]]/Table1[[#This Row],[Sample Qty  (g)]],"")</f>
        <v>8.9999999999999993E-3</v>
      </c>
      <c r="AH34" s="9">
        <f>IFERROR(Table1[[#This Row],[Husk  (g)]]/Table1[[#This Row],[Sample Qty  (g)]],"")</f>
        <v>9.7000000000000003E-2</v>
      </c>
    </row>
    <row r="35" spans="2:34" ht="12" x14ac:dyDescent="0.25">
      <c r="B35" s="8">
        <v>46197</v>
      </c>
      <c r="C35" s="7">
        <f>WEEKNUM(Table1[[#This Row],[Date]])</f>
        <v>26</v>
      </c>
      <c r="D35" s="5" t="s">
        <v>63</v>
      </c>
      <c r="E35" s="10" t="s">
        <v>60</v>
      </c>
      <c r="F35" s="7" t="s">
        <v>21</v>
      </c>
      <c r="H35" s="7">
        <v>1000</v>
      </c>
      <c r="I35" s="7">
        <v>273</v>
      </c>
      <c r="J35" s="7">
        <v>3.4</v>
      </c>
      <c r="K35" s="7">
        <v>664</v>
      </c>
      <c r="L35" s="7">
        <v>66</v>
      </c>
      <c r="N35" s="7">
        <v>8</v>
      </c>
      <c r="O35" s="7">
        <v>72</v>
      </c>
      <c r="P35" s="7">
        <v>19</v>
      </c>
      <c r="Q35" s="7">
        <v>10</v>
      </c>
      <c r="S35" s="7">
        <v>11</v>
      </c>
      <c r="T35" s="7">
        <v>21</v>
      </c>
      <c r="U35" s="7">
        <v>32</v>
      </c>
      <c r="W35" s="7">
        <v>4</v>
      </c>
      <c r="X35" s="7">
        <v>93</v>
      </c>
      <c r="Y35" s="7">
        <f>SUM(Table1[[#This Row],[Good Kernels  (g)]:[Husk  (g)]])</f>
        <v>1000</v>
      </c>
      <c r="Z35" s="9">
        <f>IFERROR(Table1[[#This Row],[Good Kernels  (g)]]/Table1[[#This Row],[Sample Qty  (g)]],"")</f>
        <v>0.66400000000000003</v>
      </c>
      <c r="AA35" s="9">
        <f>IFERROR(SUM(Table1[[#This Row],[Pieces  (g)]:[Butts (g)]])/Table1[[#This Row],[Sample Qty  (g)]],"")</f>
        <v>6.6000000000000003E-2</v>
      </c>
      <c r="AB35" s="9">
        <f>IFERROR(Table1[[#This Row],[Scorched (g)]]/Table1[[#This Row],[Sample Qty  (g)]],"")</f>
        <v>8.0000000000000002E-3</v>
      </c>
      <c r="AC35" s="9">
        <f>IFERROR(SUM(Table1[[#This Row],[Spotted  (g)]:[PUK3  (g)]])/Table1[[#This Row],[Sample Qty  (g)]],"")</f>
        <v>9.0999999999999998E-2</v>
      </c>
      <c r="AD35" s="9">
        <f>IFERROR(SUM(R35,Q35)/Table1[[#This Row],[Sample Qty  (g)]],"")</f>
        <v>0.01</v>
      </c>
      <c r="AE35" s="9">
        <f>IFERROR(Table1[[#This Row],[Dessert/NW  (g)]]/Table1[[#This Row],[Sample Qty  (g)]],"")</f>
        <v>1.0999999999999999E-2</v>
      </c>
      <c r="AF35" s="9">
        <f>IFERROR(SUM(Table1[[#This Row],[Oil  (g)]:[Dirty  (g)]])/Table1[[#This Row],[Sample Qty  (g)]],"")</f>
        <v>5.2999999999999999E-2</v>
      </c>
      <c r="AG35" s="9">
        <f>IFERROR(Table1[[#This Row],[Rejection  (g)]]/Table1[[#This Row],[Sample Qty  (g)]],"")</f>
        <v>4.0000000000000001E-3</v>
      </c>
      <c r="AH35" s="9">
        <f>IFERROR(Table1[[#This Row],[Husk  (g)]]/Table1[[#This Row],[Sample Qty  (g)]],"")</f>
        <v>9.2999999999999999E-2</v>
      </c>
    </row>
    <row r="36" spans="2:34" ht="12" x14ac:dyDescent="0.25">
      <c r="B36" s="8">
        <v>46198</v>
      </c>
      <c r="C36" s="7">
        <f>WEEKNUM(Table1[[#This Row],[Date]])</f>
        <v>26</v>
      </c>
      <c r="D36" s="5" t="s">
        <v>64</v>
      </c>
      <c r="E36" s="10" t="s">
        <v>60</v>
      </c>
      <c r="F36" s="7" t="s">
        <v>21</v>
      </c>
      <c r="H36" s="7">
        <v>1000</v>
      </c>
      <c r="I36" s="7">
        <v>273</v>
      </c>
      <c r="J36" s="7">
        <v>3.1</v>
      </c>
      <c r="K36" s="7">
        <v>747</v>
      </c>
      <c r="L36" s="7">
        <v>33</v>
      </c>
      <c r="N36" s="7">
        <v>7</v>
      </c>
      <c r="O36" s="7">
        <v>61</v>
      </c>
      <c r="P36" s="7">
        <v>12</v>
      </c>
      <c r="Q36" s="7">
        <v>5</v>
      </c>
      <c r="S36" s="7">
        <v>4</v>
      </c>
      <c r="T36" s="7">
        <v>20</v>
      </c>
      <c r="U36" s="7">
        <v>10</v>
      </c>
      <c r="W36" s="7">
        <v>5</v>
      </c>
      <c r="X36" s="7">
        <v>96</v>
      </c>
      <c r="Y36" s="7">
        <f>SUM(Table1[[#This Row],[Good Kernels  (g)]:[Husk  (g)]])</f>
        <v>1000</v>
      </c>
      <c r="Z36" s="9">
        <f>IFERROR(Table1[[#This Row],[Good Kernels  (g)]]/Table1[[#This Row],[Sample Qty  (g)]],"")</f>
        <v>0.747</v>
      </c>
      <c r="AA36" s="9">
        <f>IFERROR(SUM(Table1[[#This Row],[Pieces  (g)]:[Butts (g)]])/Table1[[#This Row],[Sample Qty  (g)]],"")</f>
        <v>3.3000000000000002E-2</v>
      </c>
      <c r="AB36" s="9">
        <f>IFERROR(Table1[[#This Row],[Scorched (g)]]/Table1[[#This Row],[Sample Qty  (g)]],"")</f>
        <v>7.0000000000000001E-3</v>
      </c>
      <c r="AC36" s="9">
        <f>IFERROR(SUM(Table1[[#This Row],[Spotted  (g)]:[PUK3  (g)]])/Table1[[#This Row],[Sample Qty  (g)]],"")</f>
        <v>7.2999999999999995E-2</v>
      </c>
      <c r="AD36" s="9">
        <f>IFERROR(SUM(R36,Q36)/Table1[[#This Row],[Sample Qty  (g)]],"")</f>
        <v>5.0000000000000001E-3</v>
      </c>
      <c r="AE36" s="9">
        <f>IFERROR(Table1[[#This Row],[Dessert/NW  (g)]]/Table1[[#This Row],[Sample Qty  (g)]],"")</f>
        <v>4.0000000000000001E-3</v>
      </c>
      <c r="AF36" s="9">
        <f>IFERROR(SUM(Table1[[#This Row],[Oil  (g)]:[Dirty  (g)]])/Table1[[#This Row],[Sample Qty  (g)]],"")</f>
        <v>0.03</v>
      </c>
      <c r="AG36" s="9">
        <f>IFERROR(Table1[[#This Row],[Rejection  (g)]]/Table1[[#This Row],[Sample Qty  (g)]],"")</f>
        <v>5.0000000000000001E-3</v>
      </c>
      <c r="AH36" s="9">
        <f>IFERROR(Table1[[#This Row],[Husk  (g)]]/Table1[[#This Row],[Sample Qty  (g)]],"")</f>
        <v>9.6000000000000002E-2</v>
      </c>
    </row>
    <row r="37" spans="2:34" ht="12" x14ac:dyDescent="0.25">
      <c r="B37" s="8">
        <v>46199</v>
      </c>
      <c r="C37" s="7">
        <f>WEEKNUM(Table1[[#This Row],[Date]])</f>
        <v>26</v>
      </c>
      <c r="D37" s="5" t="s">
        <v>65</v>
      </c>
      <c r="E37" s="10" t="s">
        <v>60</v>
      </c>
      <c r="F37" s="7" t="s">
        <v>21</v>
      </c>
      <c r="H37" s="7">
        <v>1000</v>
      </c>
      <c r="I37" s="7">
        <v>290</v>
      </c>
      <c r="J37" s="7">
        <v>3.3</v>
      </c>
      <c r="K37" s="7">
        <v>716</v>
      </c>
      <c r="L37" s="7">
        <v>43</v>
      </c>
      <c r="N37" s="7">
        <v>9</v>
      </c>
      <c r="O37" s="7">
        <v>59</v>
      </c>
      <c r="P37" s="7">
        <v>30</v>
      </c>
      <c r="Q37" s="7">
        <v>16</v>
      </c>
      <c r="S37" s="7">
        <v>14</v>
      </c>
      <c r="T37" s="7">
        <v>4</v>
      </c>
      <c r="U37" s="7">
        <v>11</v>
      </c>
      <c r="W37" s="7">
        <v>4</v>
      </c>
      <c r="X37" s="7">
        <v>94</v>
      </c>
      <c r="Y37" s="7">
        <f>SUM(Table1[[#This Row],[Good Kernels  (g)]:[Husk  (g)]])</f>
        <v>1000</v>
      </c>
      <c r="Z37" s="9">
        <f>IFERROR(Table1[[#This Row],[Good Kernels  (g)]]/Table1[[#This Row],[Sample Qty  (g)]],"")</f>
        <v>0.71599999999999997</v>
      </c>
      <c r="AA37" s="9">
        <f>IFERROR(SUM(Table1[[#This Row],[Pieces  (g)]:[Butts (g)]])/Table1[[#This Row],[Sample Qty  (g)]],"")</f>
        <v>4.2999999999999997E-2</v>
      </c>
      <c r="AB37" s="9">
        <f>IFERROR(Table1[[#This Row],[Scorched (g)]]/Table1[[#This Row],[Sample Qty  (g)]],"")</f>
        <v>8.9999999999999993E-3</v>
      </c>
      <c r="AC37" s="9">
        <f>IFERROR(SUM(Table1[[#This Row],[Spotted  (g)]:[PUK3  (g)]])/Table1[[#This Row],[Sample Qty  (g)]],"")</f>
        <v>8.8999999999999996E-2</v>
      </c>
      <c r="AD37" s="9">
        <f>IFERROR(SUM(R37,Q37)/Table1[[#This Row],[Sample Qty  (g)]],"")</f>
        <v>1.6E-2</v>
      </c>
      <c r="AE37" s="9">
        <f>IFERROR(Table1[[#This Row],[Dessert/NW  (g)]]/Table1[[#This Row],[Sample Qty  (g)]],"")</f>
        <v>1.4E-2</v>
      </c>
      <c r="AF37" s="9">
        <f>IFERROR(SUM(Table1[[#This Row],[Oil  (g)]:[Dirty  (g)]])/Table1[[#This Row],[Sample Qty  (g)]],"")</f>
        <v>1.4999999999999999E-2</v>
      </c>
      <c r="AG37" s="9">
        <f>IFERROR(Table1[[#This Row],[Rejection  (g)]]/Table1[[#This Row],[Sample Qty  (g)]],"")</f>
        <v>4.0000000000000001E-3</v>
      </c>
      <c r="AH37" s="9">
        <f>IFERROR(Table1[[#This Row],[Husk  (g)]]/Table1[[#This Row],[Sample Qty  (g)]],"")</f>
        <v>9.4E-2</v>
      </c>
    </row>
    <row r="38" spans="2:34" ht="12" x14ac:dyDescent="0.25">
      <c r="B38" s="8">
        <v>46200</v>
      </c>
      <c r="C38" s="7">
        <f>WEEKNUM(Table1[[#This Row],[Date]])</f>
        <v>26</v>
      </c>
      <c r="D38" s="5" t="s">
        <v>66</v>
      </c>
      <c r="E38" s="10" t="s">
        <v>60</v>
      </c>
      <c r="F38" s="7" t="s">
        <v>21</v>
      </c>
      <c r="H38" s="7">
        <v>1000</v>
      </c>
      <c r="I38" s="7">
        <v>272</v>
      </c>
      <c r="J38" s="7">
        <v>3.1</v>
      </c>
      <c r="K38" s="7">
        <v>724</v>
      </c>
      <c r="L38" s="7">
        <v>31</v>
      </c>
      <c r="N38" s="7">
        <v>12</v>
      </c>
      <c r="O38" s="7">
        <v>82</v>
      </c>
      <c r="P38" s="7">
        <v>10</v>
      </c>
      <c r="Q38" s="7">
        <v>8</v>
      </c>
      <c r="S38" s="7">
        <v>16</v>
      </c>
      <c r="T38" s="7">
        <v>9</v>
      </c>
      <c r="U38" s="7">
        <v>10</v>
      </c>
      <c r="W38" s="7">
        <v>8</v>
      </c>
      <c r="X38" s="7">
        <v>90</v>
      </c>
      <c r="Y38" s="7">
        <f>SUM(Table1[[#This Row],[Good Kernels  (g)]:[Husk  (g)]])</f>
        <v>1000</v>
      </c>
      <c r="Z38" s="9">
        <f>IFERROR(Table1[[#This Row],[Good Kernels  (g)]]/Table1[[#This Row],[Sample Qty  (g)]],"")</f>
        <v>0.72399999999999998</v>
      </c>
      <c r="AA38" s="9">
        <f>IFERROR(SUM(Table1[[#This Row],[Pieces  (g)]:[Butts (g)]])/Table1[[#This Row],[Sample Qty  (g)]],"")</f>
        <v>3.1E-2</v>
      </c>
      <c r="AB38" s="9">
        <f>IFERROR(Table1[[#This Row],[Scorched (g)]]/Table1[[#This Row],[Sample Qty  (g)]],"")</f>
        <v>1.2E-2</v>
      </c>
      <c r="AC38" s="9">
        <f>IFERROR(SUM(Table1[[#This Row],[Spotted  (g)]:[PUK3  (g)]])/Table1[[#This Row],[Sample Qty  (g)]],"")</f>
        <v>9.1999999999999998E-2</v>
      </c>
      <c r="AD38" s="9">
        <f>IFERROR(SUM(R38,Q38)/Table1[[#This Row],[Sample Qty  (g)]],"")</f>
        <v>8.0000000000000002E-3</v>
      </c>
      <c r="AE38" s="9">
        <f>IFERROR(Table1[[#This Row],[Dessert/NW  (g)]]/Table1[[#This Row],[Sample Qty  (g)]],"")</f>
        <v>1.6E-2</v>
      </c>
      <c r="AF38" s="9">
        <f>IFERROR(SUM(Table1[[#This Row],[Oil  (g)]:[Dirty  (g)]])/Table1[[#This Row],[Sample Qty  (g)]],"")</f>
        <v>1.9E-2</v>
      </c>
      <c r="AG38" s="9">
        <f>IFERROR(Table1[[#This Row],[Rejection  (g)]]/Table1[[#This Row],[Sample Qty  (g)]],"")</f>
        <v>8.0000000000000002E-3</v>
      </c>
      <c r="AH38" s="9">
        <f>IFERROR(Table1[[#This Row],[Husk  (g)]]/Table1[[#This Row],[Sample Qty  (g)]],"")</f>
        <v>0.09</v>
      </c>
    </row>
    <row r="39" spans="2:34" ht="12" x14ac:dyDescent="0.25">
      <c r="B39" s="8">
        <v>46202</v>
      </c>
      <c r="C39" s="7">
        <f>WEEKNUM(Table1[[#This Row],[Date]])</f>
        <v>27</v>
      </c>
      <c r="D39" s="5" t="s">
        <v>67</v>
      </c>
      <c r="E39" s="10" t="s">
        <v>60</v>
      </c>
      <c r="F39" s="7" t="s">
        <v>21</v>
      </c>
      <c r="H39" s="7">
        <v>1000</v>
      </c>
      <c r="I39" s="7">
        <v>290</v>
      </c>
      <c r="J39" s="7">
        <v>3.1</v>
      </c>
      <c r="K39" s="7">
        <v>684</v>
      </c>
      <c r="L39" s="7">
        <v>29</v>
      </c>
      <c r="N39" s="7">
        <v>12</v>
      </c>
      <c r="O39" s="7">
        <v>70</v>
      </c>
      <c r="P39" s="7">
        <v>27</v>
      </c>
      <c r="Q39" s="7">
        <v>29</v>
      </c>
      <c r="S39" s="7">
        <v>18</v>
      </c>
      <c r="T39" s="7">
        <v>10</v>
      </c>
      <c r="U39" s="7">
        <v>13</v>
      </c>
      <c r="W39" s="7">
        <v>20</v>
      </c>
      <c r="X39" s="7">
        <v>88</v>
      </c>
      <c r="Y39" s="7">
        <f>SUM(Table1[[#This Row],[Good Kernels  (g)]:[Husk  (g)]])</f>
        <v>1000</v>
      </c>
      <c r="Z39" s="9">
        <f>IFERROR(Table1[[#This Row],[Good Kernels  (g)]]/Table1[[#This Row],[Sample Qty  (g)]],"")</f>
        <v>0.68400000000000005</v>
      </c>
      <c r="AA39" s="9">
        <f>IFERROR(SUM(Table1[[#This Row],[Pieces  (g)]:[Butts (g)]])/Table1[[#This Row],[Sample Qty  (g)]],"")</f>
        <v>2.9000000000000001E-2</v>
      </c>
      <c r="AB39" s="9">
        <f>IFERROR(Table1[[#This Row],[Scorched (g)]]/Table1[[#This Row],[Sample Qty  (g)]],"")</f>
        <v>1.2E-2</v>
      </c>
      <c r="AC39" s="9">
        <f>IFERROR(SUM(Table1[[#This Row],[Spotted  (g)]:[PUK3  (g)]])/Table1[[#This Row],[Sample Qty  (g)]],"")</f>
        <v>9.7000000000000003E-2</v>
      </c>
      <c r="AD39" s="9">
        <f>IFERROR(SUM(R39,Q39)/Table1[[#This Row],[Sample Qty  (g)]],"")</f>
        <v>2.9000000000000001E-2</v>
      </c>
      <c r="AE39" s="9">
        <f>IFERROR(Table1[[#This Row],[Dessert/NW  (g)]]/Table1[[#This Row],[Sample Qty  (g)]],"")</f>
        <v>1.7999999999999999E-2</v>
      </c>
      <c r="AF39" s="9">
        <f>IFERROR(SUM(Table1[[#This Row],[Oil  (g)]:[Dirty  (g)]])/Table1[[#This Row],[Sample Qty  (g)]],"")</f>
        <v>2.3E-2</v>
      </c>
      <c r="AG39" s="9">
        <f>IFERROR(Table1[[#This Row],[Rejection  (g)]]/Table1[[#This Row],[Sample Qty  (g)]],"")</f>
        <v>0.02</v>
      </c>
      <c r="AH39" s="9">
        <f>IFERROR(Table1[[#This Row],[Husk  (g)]]/Table1[[#This Row],[Sample Qty  (g)]],"")</f>
        <v>8.7999999999999995E-2</v>
      </c>
    </row>
    <row r="40" spans="2:34" ht="12" x14ac:dyDescent="0.25">
      <c r="B40" s="8">
        <v>46203</v>
      </c>
      <c r="C40" s="7">
        <f>WEEKNUM(Table1[[#This Row],[Date]])</f>
        <v>27</v>
      </c>
      <c r="D40" s="5" t="s">
        <v>68</v>
      </c>
      <c r="E40" s="10" t="s">
        <v>71</v>
      </c>
      <c r="F40" s="7" t="s">
        <v>21</v>
      </c>
      <c r="H40" s="7">
        <v>1000</v>
      </c>
      <c r="I40" s="7">
        <v>270</v>
      </c>
      <c r="J40" s="7">
        <v>3.1</v>
      </c>
      <c r="K40" s="7">
        <v>675</v>
      </c>
      <c r="L40" s="7">
        <v>47</v>
      </c>
      <c r="N40" s="7">
        <v>19</v>
      </c>
      <c r="O40" s="7">
        <v>51</v>
      </c>
      <c r="P40" s="7">
        <v>29</v>
      </c>
      <c r="Q40" s="7">
        <v>47</v>
      </c>
      <c r="S40" s="7">
        <v>6</v>
      </c>
      <c r="T40" s="7">
        <v>6</v>
      </c>
      <c r="U40" s="7">
        <v>17</v>
      </c>
      <c r="W40" s="7">
        <v>11</v>
      </c>
      <c r="X40" s="7">
        <v>92</v>
      </c>
      <c r="Y40" s="7">
        <f>SUM(Table1[[#This Row],[Good Kernels  (g)]:[Husk  (g)]])</f>
        <v>1000</v>
      </c>
      <c r="Z40" s="9">
        <f>IFERROR(Table1[[#This Row],[Good Kernels  (g)]]/Table1[[#This Row],[Sample Qty  (g)]],"")</f>
        <v>0.67500000000000004</v>
      </c>
      <c r="AA40" s="9">
        <f>IFERROR(SUM(Table1[[#This Row],[Pieces  (g)]:[Butts (g)]])/Table1[[#This Row],[Sample Qty  (g)]],"")</f>
        <v>4.7E-2</v>
      </c>
      <c r="AB40" s="9">
        <f>IFERROR(Table1[[#This Row],[Scorched (g)]]/Table1[[#This Row],[Sample Qty  (g)]],"")</f>
        <v>1.9E-2</v>
      </c>
      <c r="AC40" s="9">
        <f>IFERROR(SUM(Table1[[#This Row],[Spotted  (g)]:[PUK3  (g)]])/Table1[[#This Row],[Sample Qty  (g)]],"")</f>
        <v>0.08</v>
      </c>
      <c r="AD40" s="9">
        <f>IFERROR(SUM(R40,Q40)/Table1[[#This Row],[Sample Qty  (g)]],"")</f>
        <v>4.7E-2</v>
      </c>
      <c r="AE40" s="9">
        <f>IFERROR(Table1[[#This Row],[Dessert/NW  (g)]]/Table1[[#This Row],[Sample Qty  (g)]],"")</f>
        <v>6.0000000000000001E-3</v>
      </c>
      <c r="AF40" s="9">
        <f>IFERROR(SUM(Table1[[#This Row],[Oil  (g)]:[Dirty  (g)]])/Table1[[#This Row],[Sample Qty  (g)]],"")</f>
        <v>2.3E-2</v>
      </c>
      <c r="AG40" s="9">
        <f>IFERROR(Table1[[#This Row],[Rejection  (g)]]/Table1[[#This Row],[Sample Qty  (g)]],"")</f>
        <v>1.0999999999999999E-2</v>
      </c>
      <c r="AH40" s="9">
        <f>IFERROR(Table1[[#This Row],[Husk  (g)]]/Table1[[#This Row],[Sample Qty  (g)]],"")</f>
        <v>9.1999999999999998E-2</v>
      </c>
    </row>
    <row r="41" spans="2:34" ht="12" x14ac:dyDescent="0.25">
      <c r="B41" s="8">
        <v>46204</v>
      </c>
      <c r="C41" s="7">
        <f>WEEKNUM(Table1[[#This Row],[Date]])</f>
        <v>27</v>
      </c>
      <c r="D41" s="5" t="s">
        <v>69</v>
      </c>
      <c r="E41" s="10" t="s">
        <v>71</v>
      </c>
      <c r="F41" s="7" t="s">
        <v>21</v>
      </c>
      <c r="H41" s="7">
        <v>1000</v>
      </c>
      <c r="I41" s="7">
        <v>280</v>
      </c>
      <c r="J41" s="7">
        <v>3.1</v>
      </c>
      <c r="K41" s="7">
        <v>761</v>
      </c>
      <c r="L41" s="7">
        <v>29</v>
      </c>
      <c r="N41" s="7">
        <v>6</v>
      </c>
      <c r="O41" s="7">
        <v>55</v>
      </c>
      <c r="P41" s="7">
        <v>17</v>
      </c>
      <c r="Q41" s="7">
        <v>14</v>
      </c>
      <c r="S41" s="7">
        <v>5</v>
      </c>
      <c r="T41" s="7">
        <v>8</v>
      </c>
      <c r="U41" s="7">
        <v>9</v>
      </c>
      <c r="W41" s="7">
        <v>4</v>
      </c>
      <c r="X41" s="7">
        <v>92</v>
      </c>
      <c r="Y41" s="7">
        <f>SUM(Table1[[#This Row],[Good Kernels  (g)]:[Husk  (g)]])</f>
        <v>1000</v>
      </c>
      <c r="Z41" s="9">
        <f>IFERROR(Table1[[#This Row],[Good Kernels  (g)]]/Table1[[#This Row],[Sample Qty  (g)]],"")</f>
        <v>0.76100000000000001</v>
      </c>
      <c r="AA41" s="9">
        <f>IFERROR(SUM(Table1[[#This Row],[Pieces  (g)]:[Butts (g)]])/Table1[[#This Row],[Sample Qty  (g)]],"")</f>
        <v>2.9000000000000001E-2</v>
      </c>
      <c r="AB41" s="9">
        <f>IFERROR(Table1[[#This Row],[Scorched (g)]]/Table1[[#This Row],[Sample Qty  (g)]],"")</f>
        <v>6.0000000000000001E-3</v>
      </c>
      <c r="AC41" s="9">
        <f>IFERROR(SUM(Table1[[#This Row],[Spotted  (g)]:[PUK3  (g)]])/Table1[[#This Row],[Sample Qty  (g)]],"")</f>
        <v>7.1999999999999995E-2</v>
      </c>
      <c r="AD41" s="9">
        <f>IFERROR(SUM(R41,Q41)/Table1[[#This Row],[Sample Qty  (g)]],"")</f>
        <v>1.4E-2</v>
      </c>
      <c r="AE41" s="9">
        <f>IFERROR(Table1[[#This Row],[Dessert/NW  (g)]]/Table1[[#This Row],[Sample Qty  (g)]],"")</f>
        <v>5.0000000000000001E-3</v>
      </c>
      <c r="AF41" s="9">
        <f>IFERROR(SUM(Table1[[#This Row],[Oil  (g)]:[Dirty  (g)]])/Table1[[#This Row],[Sample Qty  (g)]],"")</f>
        <v>1.7000000000000001E-2</v>
      </c>
      <c r="AG41" s="9">
        <f>IFERROR(Table1[[#This Row],[Rejection  (g)]]/Table1[[#This Row],[Sample Qty  (g)]],"")</f>
        <v>4.0000000000000001E-3</v>
      </c>
      <c r="AH41" s="9">
        <f>IFERROR(Table1[[#This Row],[Husk  (g)]]/Table1[[#This Row],[Sample Qty  (g)]],"")</f>
        <v>9.1999999999999998E-2</v>
      </c>
    </row>
    <row r="42" spans="2:34" ht="12" x14ac:dyDescent="0.25">
      <c r="B42" s="8">
        <v>46205</v>
      </c>
      <c r="C42" s="7">
        <f>WEEKNUM(Table1[[#This Row],[Date]])</f>
        <v>27</v>
      </c>
      <c r="D42" s="5" t="s">
        <v>70</v>
      </c>
      <c r="E42" s="10" t="s">
        <v>71</v>
      </c>
      <c r="F42" s="7" t="s">
        <v>21</v>
      </c>
      <c r="H42" s="7">
        <v>1000</v>
      </c>
      <c r="I42" s="7">
        <v>276</v>
      </c>
      <c r="J42" s="7">
        <v>3</v>
      </c>
      <c r="K42" s="7">
        <v>706</v>
      </c>
      <c r="L42" s="7">
        <v>46</v>
      </c>
      <c r="N42" s="7">
        <v>6</v>
      </c>
      <c r="O42" s="7">
        <v>105</v>
      </c>
      <c r="P42" s="7">
        <v>0</v>
      </c>
      <c r="Q42" s="7">
        <v>4</v>
      </c>
      <c r="S42" s="7">
        <v>16</v>
      </c>
      <c r="T42" s="7">
        <v>9</v>
      </c>
      <c r="U42" s="7">
        <v>11</v>
      </c>
      <c r="W42" s="7">
        <v>3</v>
      </c>
      <c r="X42" s="7">
        <v>94</v>
      </c>
      <c r="Y42" s="7">
        <f>SUM(Table1[[#This Row],[Good Kernels  (g)]:[Husk  (g)]])</f>
        <v>1000</v>
      </c>
      <c r="Z42" s="9">
        <f>IFERROR(Table1[[#This Row],[Good Kernels  (g)]]/Table1[[#This Row],[Sample Qty  (g)]],"")</f>
        <v>0.70599999999999996</v>
      </c>
      <c r="AA42" s="9">
        <f>IFERROR(SUM(Table1[[#This Row],[Pieces  (g)]:[Butts (g)]])/Table1[[#This Row],[Sample Qty  (g)]],"")</f>
        <v>4.5999999999999999E-2</v>
      </c>
      <c r="AB42" s="9">
        <f>IFERROR(Table1[[#This Row],[Scorched (g)]]/Table1[[#This Row],[Sample Qty  (g)]],"")</f>
        <v>6.0000000000000001E-3</v>
      </c>
      <c r="AC42" s="9">
        <f>IFERROR(SUM(Table1[[#This Row],[Spotted  (g)]:[PUK3  (g)]])/Table1[[#This Row],[Sample Qty  (g)]],"")</f>
        <v>0.105</v>
      </c>
      <c r="AD42" s="9">
        <f>IFERROR(SUM(R42,Q42)/Table1[[#This Row],[Sample Qty  (g)]],"")</f>
        <v>4.0000000000000001E-3</v>
      </c>
      <c r="AE42" s="9">
        <f>IFERROR(Table1[[#This Row],[Dessert/NW  (g)]]/Table1[[#This Row],[Sample Qty  (g)]],"")</f>
        <v>1.6E-2</v>
      </c>
      <c r="AF42" s="9">
        <f>IFERROR(SUM(Table1[[#This Row],[Oil  (g)]:[Dirty  (g)]])/Table1[[#This Row],[Sample Qty  (g)]],"")</f>
        <v>0.02</v>
      </c>
      <c r="AG42" s="9">
        <f>IFERROR(Table1[[#This Row],[Rejection  (g)]]/Table1[[#This Row],[Sample Qty  (g)]],"")</f>
        <v>3.0000000000000001E-3</v>
      </c>
      <c r="AH42" s="9">
        <f>IFERROR(Table1[[#This Row],[Husk  (g)]]/Table1[[#This Row],[Sample Qty  (g)]],"")</f>
        <v>9.4E-2</v>
      </c>
    </row>
    <row r="43" spans="2:34" ht="12" x14ac:dyDescent="0.25">
      <c r="B43" s="8">
        <v>46206</v>
      </c>
      <c r="C43" s="7">
        <f>WEEKNUM(Table1[[#This Row],[Date]])</f>
        <v>27</v>
      </c>
      <c r="D43" s="5" t="s">
        <v>72</v>
      </c>
      <c r="E43" s="10" t="s">
        <v>71</v>
      </c>
      <c r="F43" s="7" t="s">
        <v>21</v>
      </c>
      <c r="H43" s="7">
        <v>1000</v>
      </c>
      <c r="I43" s="7">
        <v>264</v>
      </c>
      <c r="J43" s="7">
        <v>3.2</v>
      </c>
      <c r="K43" s="7">
        <v>655</v>
      </c>
      <c r="L43" s="7">
        <v>40</v>
      </c>
      <c r="N43" s="7">
        <v>35</v>
      </c>
      <c r="O43" s="7">
        <v>110</v>
      </c>
      <c r="P43" s="7">
        <v>0</v>
      </c>
      <c r="Q43" s="7">
        <v>4</v>
      </c>
      <c r="S43" s="7">
        <v>28</v>
      </c>
      <c r="T43" s="7">
        <v>6</v>
      </c>
      <c r="U43" s="7">
        <v>11</v>
      </c>
      <c r="W43" s="7">
        <v>18</v>
      </c>
      <c r="X43" s="7">
        <v>93</v>
      </c>
      <c r="Y43" s="7">
        <f>SUM(Table1[[#This Row],[Good Kernels  (g)]:[Husk  (g)]])</f>
        <v>1000</v>
      </c>
      <c r="Z43" s="9">
        <f>IFERROR(Table1[[#This Row],[Good Kernels  (g)]]/Table1[[#This Row],[Sample Qty  (g)]],"")</f>
        <v>0.65500000000000003</v>
      </c>
      <c r="AA43" s="9">
        <f>IFERROR(SUM(Table1[[#This Row],[Pieces  (g)]:[Butts (g)]])/Table1[[#This Row],[Sample Qty  (g)]],"")</f>
        <v>0.04</v>
      </c>
      <c r="AB43" s="9">
        <f>IFERROR(Table1[[#This Row],[Scorched (g)]]/Table1[[#This Row],[Sample Qty  (g)]],"")</f>
        <v>3.5000000000000003E-2</v>
      </c>
      <c r="AC43" s="9">
        <f>IFERROR(SUM(Table1[[#This Row],[Spotted  (g)]:[PUK3  (g)]])/Table1[[#This Row],[Sample Qty  (g)]],"")</f>
        <v>0.11</v>
      </c>
      <c r="AD43" s="9">
        <f>IFERROR(SUM(R43,Q43)/Table1[[#This Row],[Sample Qty  (g)]],"")</f>
        <v>4.0000000000000001E-3</v>
      </c>
      <c r="AE43" s="9">
        <f>IFERROR(Table1[[#This Row],[Dessert/NW  (g)]]/Table1[[#This Row],[Sample Qty  (g)]],"")</f>
        <v>2.8000000000000001E-2</v>
      </c>
      <c r="AF43" s="9">
        <f>IFERROR(SUM(Table1[[#This Row],[Oil  (g)]:[Dirty  (g)]])/Table1[[#This Row],[Sample Qty  (g)]],"")</f>
        <v>1.7000000000000001E-2</v>
      </c>
      <c r="AG43" s="9">
        <f>IFERROR(Table1[[#This Row],[Rejection  (g)]]/Table1[[#This Row],[Sample Qty  (g)]],"")</f>
        <v>1.7999999999999999E-2</v>
      </c>
      <c r="AH43" s="9">
        <f>IFERROR(Table1[[#This Row],[Husk  (g)]]/Table1[[#This Row],[Sample Qty  (g)]],"")</f>
        <v>9.2999999999999999E-2</v>
      </c>
    </row>
    <row r="44" spans="2:34" ht="12" x14ac:dyDescent="0.25">
      <c r="B44" s="8">
        <v>46207</v>
      </c>
      <c r="C44" s="7">
        <f>WEEKNUM(Table1[[#This Row],[Date]])</f>
        <v>27</v>
      </c>
      <c r="D44" s="5" t="s">
        <v>73</v>
      </c>
      <c r="E44" s="10" t="s">
        <v>71</v>
      </c>
      <c r="F44" s="7" t="s">
        <v>21</v>
      </c>
      <c r="H44" s="7">
        <v>1000</v>
      </c>
      <c r="I44" s="7">
        <v>350</v>
      </c>
      <c r="J44" s="7">
        <v>3.1</v>
      </c>
      <c r="K44" s="7">
        <v>640</v>
      </c>
      <c r="L44" s="7">
        <v>46</v>
      </c>
      <c r="N44" s="7">
        <v>60</v>
      </c>
      <c r="O44" s="7">
        <v>98</v>
      </c>
      <c r="P44" s="7">
        <v>0</v>
      </c>
      <c r="Q44" s="7">
        <v>24</v>
      </c>
      <c r="S44" s="7">
        <v>12</v>
      </c>
      <c r="T44" s="7">
        <v>6</v>
      </c>
      <c r="U44" s="7">
        <v>12</v>
      </c>
      <c r="W44" s="7">
        <v>2</v>
      </c>
      <c r="X44" s="7">
        <v>100</v>
      </c>
      <c r="Y44" s="7">
        <f>SUM(Table1[[#This Row],[Good Kernels  (g)]:[Husk  (g)]])</f>
        <v>1000</v>
      </c>
      <c r="Z44" s="9">
        <f>IFERROR(Table1[[#This Row],[Good Kernels  (g)]]/Table1[[#This Row],[Sample Qty  (g)]],"")</f>
        <v>0.64</v>
      </c>
      <c r="AA44" s="9">
        <f>IFERROR(SUM(Table1[[#This Row],[Pieces  (g)]:[Butts (g)]])/Table1[[#This Row],[Sample Qty  (g)]],"")</f>
        <v>4.5999999999999999E-2</v>
      </c>
      <c r="AB44" s="9">
        <f>IFERROR(Table1[[#This Row],[Scorched (g)]]/Table1[[#This Row],[Sample Qty  (g)]],"")</f>
        <v>0.06</v>
      </c>
      <c r="AC44" s="9">
        <f>IFERROR(SUM(Table1[[#This Row],[Spotted  (g)]:[PUK3  (g)]])/Table1[[#This Row],[Sample Qty  (g)]],"")</f>
        <v>9.8000000000000004E-2</v>
      </c>
      <c r="AD44" s="9">
        <f>IFERROR(SUM(R44,Q44)/Table1[[#This Row],[Sample Qty  (g)]],"")</f>
        <v>2.4E-2</v>
      </c>
      <c r="AE44" s="9">
        <f>IFERROR(Table1[[#This Row],[Dessert/NW  (g)]]/Table1[[#This Row],[Sample Qty  (g)]],"")</f>
        <v>1.2E-2</v>
      </c>
      <c r="AF44" s="9">
        <f>IFERROR(SUM(Table1[[#This Row],[Oil  (g)]:[Dirty  (g)]])/Table1[[#This Row],[Sample Qty  (g)]],"")</f>
        <v>1.7999999999999999E-2</v>
      </c>
      <c r="AG44" s="9">
        <f>IFERROR(Table1[[#This Row],[Rejection  (g)]]/Table1[[#This Row],[Sample Qty  (g)]],"")</f>
        <v>2E-3</v>
      </c>
      <c r="AH44" s="9">
        <f>IFERROR(Table1[[#This Row],[Husk  (g)]]/Table1[[#This Row],[Sample Qty  (g)]],"")</f>
        <v>0.1</v>
      </c>
    </row>
    <row r="45" spans="2:34" ht="12" x14ac:dyDescent="0.25">
      <c r="B45" s="8">
        <v>46209</v>
      </c>
      <c r="C45" s="7">
        <f>WEEKNUM(Table1[[#This Row],[Date]])</f>
        <v>28</v>
      </c>
      <c r="D45" s="5" t="s">
        <v>74</v>
      </c>
      <c r="E45" s="10" t="s">
        <v>71</v>
      </c>
      <c r="F45" s="7" t="s">
        <v>21</v>
      </c>
      <c r="H45" s="7">
        <v>1000</v>
      </c>
      <c r="I45" s="7">
        <v>302</v>
      </c>
      <c r="J45" s="7">
        <v>3.1</v>
      </c>
      <c r="K45" s="7">
        <v>682</v>
      </c>
      <c r="L45" s="7">
        <v>18</v>
      </c>
      <c r="N45" s="7">
        <v>54</v>
      </c>
      <c r="O45" s="7">
        <v>86</v>
      </c>
      <c r="P45" s="7">
        <v>0</v>
      </c>
      <c r="Q45" s="7">
        <v>6</v>
      </c>
      <c r="S45" s="7">
        <v>26</v>
      </c>
      <c r="T45" s="7">
        <v>8</v>
      </c>
      <c r="U45" s="7">
        <v>6</v>
      </c>
      <c r="W45" s="7">
        <v>20</v>
      </c>
      <c r="X45" s="7">
        <v>94</v>
      </c>
      <c r="Y45" s="7">
        <f>SUM(Table1[[#This Row],[Good Kernels  (g)]:[Husk  (g)]])</f>
        <v>1000</v>
      </c>
      <c r="Z45" s="9">
        <f>IFERROR(Table1[[#This Row],[Good Kernels  (g)]]/Table1[[#This Row],[Sample Qty  (g)]],"")</f>
        <v>0.68200000000000005</v>
      </c>
      <c r="AA45" s="9">
        <f>IFERROR(SUM(Table1[[#This Row],[Pieces  (g)]:[Butts (g)]])/Table1[[#This Row],[Sample Qty  (g)]],"")</f>
        <v>1.7999999999999999E-2</v>
      </c>
      <c r="AB45" s="9">
        <f>IFERROR(Table1[[#This Row],[Scorched (g)]]/Table1[[#This Row],[Sample Qty  (g)]],"")</f>
        <v>5.3999999999999999E-2</v>
      </c>
      <c r="AC45" s="9">
        <f>IFERROR(SUM(Table1[[#This Row],[Spotted  (g)]:[PUK3  (g)]])/Table1[[#This Row],[Sample Qty  (g)]],"")</f>
        <v>8.5999999999999993E-2</v>
      </c>
      <c r="AD45" s="9">
        <f>IFERROR(SUM(R45,Q45)/Table1[[#This Row],[Sample Qty  (g)]],"")</f>
        <v>6.0000000000000001E-3</v>
      </c>
      <c r="AE45" s="9">
        <f>IFERROR(Table1[[#This Row],[Dessert/NW  (g)]]/Table1[[#This Row],[Sample Qty  (g)]],"")</f>
        <v>2.5999999999999999E-2</v>
      </c>
      <c r="AF45" s="9">
        <f>IFERROR(SUM(Table1[[#This Row],[Oil  (g)]:[Dirty  (g)]])/Table1[[#This Row],[Sample Qty  (g)]],"")</f>
        <v>1.4E-2</v>
      </c>
      <c r="AG45" s="9">
        <f>IFERROR(Table1[[#This Row],[Rejection  (g)]]/Table1[[#This Row],[Sample Qty  (g)]],"")</f>
        <v>0.02</v>
      </c>
      <c r="AH45" s="9">
        <f>IFERROR(Table1[[#This Row],[Husk  (g)]]/Table1[[#This Row],[Sample Qty  (g)]],"")</f>
        <v>9.4E-2</v>
      </c>
    </row>
    <row r="46" spans="2:34" ht="12" x14ac:dyDescent="0.25">
      <c r="B46" s="8">
        <v>46209</v>
      </c>
      <c r="C46" s="7">
        <f>WEEKNUM(Table1[[#This Row],[Date]])</f>
        <v>28</v>
      </c>
      <c r="D46" s="5" t="s">
        <v>74</v>
      </c>
      <c r="E46" s="10" t="s">
        <v>71</v>
      </c>
      <c r="F46" s="7" t="s">
        <v>21</v>
      </c>
      <c r="H46" s="7">
        <v>1000</v>
      </c>
      <c r="I46" s="7">
        <v>275</v>
      </c>
      <c r="J46" s="7">
        <v>3.2</v>
      </c>
      <c r="K46" s="7">
        <v>678</v>
      </c>
      <c r="L46" s="7">
        <v>30</v>
      </c>
      <c r="N46" s="7">
        <v>68</v>
      </c>
      <c r="O46" s="7">
        <v>76</v>
      </c>
      <c r="P46" s="7">
        <v>0</v>
      </c>
      <c r="Q46" s="7">
        <v>4</v>
      </c>
      <c r="S46" s="7">
        <v>10</v>
      </c>
      <c r="T46" s="7">
        <v>14</v>
      </c>
      <c r="U46" s="7">
        <v>16</v>
      </c>
      <c r="W46" s="7">
        <v>8</v>
      </c>
      <c r="X46" s="7">
        <v>96</v>
      </c>
      <c r="Y46" s="7">
        <f>SUM(Table1[[#This Row],[Good Kernels  (g)]:[Husk  (g)]])</f>
        <v>1000</v>
      </c>
      <c r="Z46" s="9">
        <f>IFERROR(Table1[[#This Row],[Good Kernels  (g)]]/Table1[[#This Row],[Sample Qty  (g)]],"")</f>
        <v>0.67800000000000005</v>
      </c>
      <c r="AA46" s="9">
        <f>IFERROR(SUM(Table1[[#This Row],[Pieces  (g)]:[Butts (g)]])/Table1[[#This Row],[Sample Qty  (g)]],"")</f>
        <v>0.03</v>
      </c>
      <c r="AB46" s="9">
        <f>IFERROR(Table1[[#This Row],[Scorched (g)]]/Table1[[#This Row],[Sample Qty  (g)]],"")</f>
        <v>6.8000000000000005E-2</v>
      </c>
      <c r="AC46" s="9">
        <f>IFERROR(SUM(Table1[[#This Row],[Spotted  (g)]:[PUK3  (g)]])/Table1[[#This Row],[Sample Qty  (g)]],"")</f>
        <v>7.5999999999999998E-2</v>
      </c>
      <c r="AD46" s="9">
        <f>IFERROR(SUM(R46,Q46)/Table1[[#This Row],[Sample Qty  (g)]],"")</f>
        <v>4.0000000000000001E-3</v>
      </c>
      <c r="AE46" s="9">
        <f>IFERROR(Table1[[#This Row],[Dessert/NW  (g)]]/Table1[[#This Row],[Sample Qty  (g)]],"")</f>
        <v>0.01</v>
      </c>
      <c r="AF46" s="9">
        <f>IFERROR(SUM(Table1[[#This Row],[Oil  (g)]:[Dirty  (g)]])/Table1[[#This Row],[Sample Qty  (g)]],"")</f>
        <v>0.03</v>
      </c>
      <c r="AG46" s="9">
        <f>IFERROR(Table1[[#This Row],[Rejection  (g)]]/Table1[[#This Row],[Sample Qty  (g)]],"")</f>
        <v>8.0000000000000002E-3</v>
      </c>
      <c r="AH46" s="9">
        <f>IFERROR(Table1[[#This Row],[Husk  (g)]]/Table1[[#This Row],[Sample Qty  (g)]],"")</f>
        <v>9.6000000000000002E-2</v>
      </c>
    </row>
    <row r="47" spans="2:34" ht="12" x14ac:dyDescent="0.25">
      <c r="B47" s="8">
        <v>46209</v>
      </c>
      <c r="C47" s="7">
        <f>WEEKNUM(Table1[[#This Row],[Date]])</f>
        <v>28</v>
      </c>
      <c r="D47" s="5" t="s">
        <v>74</v>
      </c>
      <c r="E47" s="10" t="s">
        <v>71</v>
      </c>
      <c r="F47" s="7" t="s">
        <v>21</v>
      </c>
      <c r="H47" s="7">
        <v>1000</v>
      </c>
      <c r="I47" s="7">
        <v>260</v>
      </c>
      <c r="J47" s="7">
        <v>3.1</v>
      </c>
      <c r="K47" s="7">
        <v>626</v>
      </c>
      <c r="L47" s="7">
        <v>38</v>
      </c>
      <c r="N47" s="7">
        <v>90</v>
      </c>
      <c r="O47" s="7">
        <v>86</v>
      </c>
      <c r="P47" s="7">
        <v>0</v>
      </c>
      <c r="Q47" s="7">
        <v>20</v>
      </c>
      <c r="S47" s="7">
        <v>10</v>
      </c>
      <c r="T47" s="7">
        <v>12</v>
      </c>
      <c r="U47" s="7">
        <v>4</v>
      </c>
      <c r="W47" s="7">
        <v>18</v>
      </c>
      <c r="X47" s="7">
        <v>96</v>
      </c>
      <c r="Y47" s="7">
        <f>SUM(Table1[[#This Row],[Good Kernels  (g)]:[Husk  (g)]])</f>
        <v>1000</v>
      </c>
      <c r="Z47" s="9">
        <f>IFERROR(Table1[[#This Row],[Good Kernels  (g)]]/Table1[[#This Row],[Sample Qty  (g)]],"")</f>
        <v>0.626</v>
      </c>
      <c r="AA47" s="9">
        <f>IFERROR(SUM(Table1[[#This Row],[Pieces  (g)]:[Butts (g)]])/Table1[[#This Row],[Sample Qty  (g)]],"")</f>
        <v>3.7999999999999999E-2</v>
      </c>
      <c r="AB47" s="9">
        <f>IFERROR(Table1[[#This Row],[Scorched (g)]]/Table1[[#This Row],[Sample Qty  (g)]],"")</f>
        <v>0.09</v>
      </c>
      <c r="AC47" s="9">
        <f>IFERROR(SUM(Table1[[#This Row],[Spotted  (g)]:[PUK3  (g)]])/Table1[[#This Row],[Sample Qty  (g)]],"")</f>
        <v>8.5999999999999993E-2</v>
      </c>
      <c r="AD47" s="9">
        <f>IFERROR(SUM(R47,Q47)/Table1[[#This Row],[Sample Qty  (g)]],"")</f>
        <v>0.02</v>
      </c>
      <c r="AE47" s="9">
        <f>IFERROR(Table1[[#This Row],[Dessert/NW  (g)]]/Table1[[#This Row],[Sample Qty  (g)]],"")</f>
        <v>0.01</v>
      </c>
      <c r="AF47" s="9">
        <f>IFERROR(SUM(Table1[[#This Row],[Oil  (g)]:[Dirty  (g)]])/Table1[[#This Row],[Sample Qty  (g)]],"")</f>
        <v>1.6E-2</v>
      </c>
      <c r="AG47" s="9">
        <f>IFERROR(Table1[[#This Row],[Rejection  (g)]]/Table1[[#This Row],[Sample Qty  (g)]],"")</f>
        <v>1.7999999999999999E-2</v>
      </c>
      <c r="AH47" s="9">
        <f>IFERROR(Table1[[#This Row],[Husk  (g)]]/Table1[[#This Row],[Sample Qty  (g)]],"")</f>
        <v>9.6000000000000002E-2</v>
      </c>
    </row>
    <row r="48" spans="2:34" ht="12" x14ac:dyDescent="0.25">
      <c r="B48" s="8">
        <v>46209</v>
      </c>
      <c r="C48" s="7">
        <f>WEEKNUM(Table1[[#This Row],[Date]])</f>
        <v>28</v>
      </c>
      <c r="D48" s="5" t="s">
        <v>74</v>
      </c>
      <c r="E48" s="10" t="s">
        <v>71</v>
      </c>
      <c r="F48" s="7" t="s">
        <v>21</v>
      </c>
      <c r="H48" s="7">
        <v>1000</v>
      </c>
      <c r="I48" s="7">
        <v>314</v>
      </c>
      <c r="J48" s="7">
        <v>3.1</v>
      </c>
      <c r="K48" s="7">
        <v>696</v>
      </c>
      <c r="L48" s="7">
        <v>22</v>
      </c>
      <c r="N48" s="7">
        <v>60</v>
      </c>
      <c r="O48" s="7">
        <v>88</v>
      </c>
      <c r="P48" s="7">
        <v>0</v>
      </c>
      <c r="Q48" s="7">
        <v>12</v>
      </c>
      <c r="S48" s="7">
        <v>6</v>
      </c>
      <c r="T48" s="7">
        <v>4</v>
      </c>
      <c r="U48" s="7">
        <v>6</v>
      </c>
      <c r="W48" s="7">
        <v>10</v>
      </c>
      <c r="X48" s="7">
        <v>96</v>
      </c>
      <c r="Y48" s="7">
        <f>SUM(Table1[[#This Row],[Good Kernels  (g)]:[Husk  (g)]])</f>
        <v>1000</v>
      </c>
      <c r="Z48" s="9">
        <f>IFERROR(Table1[[#This Row],[Good Kernels  (g)]]/Table1[[#This Row],[Sample Qty  (g)]],"")</f>
        <v>0.69599999999999995</v>
      </c>
      <c r="AA48" s="9">
        <f>IFERROR(SUM(Table1[[#This Row],[Pieces  (g)]:[Butts (g)]])/Table1[[#This Row],[Sample Qty  (g)]],"")</f>
        <v>2.1999999999999999E-2</v>
      </c>
      <c r="AB48" s="9">
        <f>IFERROR(Table1[[#This Row],[Scorched (g)]]/Table1[[#This Row],[Sample Qty  (g)]],"")</f>
        <v>0.06</v>
      </c>
      <c r="AC48" s="9">
        <f>IFERROR(SUM(Table1[[#This Row],[Spotted  (g)]:[PUK3  (g)]])/Table1[[#This Row],[Sample Qty  (g)]],"")</f>
        <v>8.7999999999999995E-2</v>
      </c>
      <c r="AD48" s="9">
        <f>IFERROR(SUM(R48,Q48)/Table1[[#This Row],[Sample Qty  (g)]],"")</f>
        <v>1.2E-2</v>
      </c>
      <c r="AE48" s="9">
        <f>IFERROR(Table1[[#This Row],[Dessert/NW  (g)]]/Table1[[#This Row],[Sample Qty  (g)]],"")</f>
        <v>6.0000000000000001E-3</v>
      </c>
      <c r="AF48" s="9">
        <f>IFERROR(SUM(Table1[[#This Row],[Oil  (g)]:[Dirty  (g)]])/Table1[[#This Row],[Sample Qty  (g)]],"")</f>
        <v>0.01</v>
      </c>
      <c r="AG48" s="9">
        <f>IFERROR(Table1[[#This Row],[Rejection  (g)]]/Table1[[#This Row],[Sample Qty  (g)]],"")</f>
        <v>0.01</v>
      </c>
      <c r="AH48" s="9">
        <f>IFERROR(Table1[[#This Row],[Husk  (g)]]/Table1[[#This Row],[Sample Qty  (g)]],"")</f>
        <v>9.6000000000000002E-2</v>
      </c>
    </row>
    <row r="49" spans="2:34" ht="12" x14ac:dyDescent="0.25">
      <c r="B49" s="8">
        <v>46209</v>
      </c>
      <c r="C49" s="7">
        <f>WEEKNUM(Table1[[#This Row],[Date]])</f>
        <v>28</v>
      </c>
      <c r="D49" s="5" t="s">
        <v>74</v>
      </c>
      <c r="E49" s="10" t="s">
        <v>71</v>
      </c>
      <c r="F49" s="7" t="s">
        <v>21</v>
      </c>
      <c r="H49" s="7">
        <v>1000</v>
      </c>
      <c r="I49" s="7">
        <v>240</v>
      </c>
      <c r="J49" s="7">
        <v>3.2</v>
      </c>
      <c r="K49" s="7">
        <v>618</v>
      </c>
      <c r="L49" s="7">
        <v>54</v>
      </c>
      <c r="N49" s="7">
        <v>54</v>
      </c>
      <c r="O49" s="7">
        <v>96</v>
      </c>
      <c r="P49" s="7">
        <v>0</v>
      </c>
      <c r="Q49" s="7">
        <v>10</v>
      </c>
      <c r="S49" s="7">
        <v>18</v>
      </c>
      <c r="T49" s="7">
        <v>22</v>
      </c>
      <c r="U49" s="7">
        <v>16</v>
      </c>
      <c r="W49" s="7">
        <v>14</v>
      </c>
      <c r="X49" s="7">
        <v>98</v>
      </c>
      <c r="Y49" s="7">
        <f>SUM(Table1[[#This Row],[Good Kernels  (g)]:[Husk  (g)]])</f>
        <v>1000</v>
      </c>
      <c r="Z49" s="9">
        <f>IFERROR(Table1[[#This Row],[Good Kernels  (g)]]/Table1[[#This Row],[Sample Qty  (g)]],"")</f>
        <v>0.61799999999999999</v>
      </c>
      <c r="AA49" s="9">
        <f>IFERROR(SUM(Table1[[#This Row],[Pieces  (g)]:[Butts (g)]])/Table1[[#This Row],[Sample Qty  (g)]],"")</f>
        <v>5.3999999999999999E-2</v>
      </c>
      <c r="AB49" s="9">
        <f>IFERROR(Table1[[#This Row],[Scorched (g)]]/Table1[[#This Row],[Sample Qty  (g)]],"")</f>
        <v>5.3999999999999999E-2</v>
      </c>
      <c r="AC49" s="9">
        <f>IFERROR(SUM(Table1[[#This Row],[Spotted  (g)]:[PUK3  (g)]])/Table1[[#This Row],[Sample Qty  (g)]],"")</f>
        <v>9.6000000000000002E-2</v>
      </c>
      <c r="AD49" s="9">
        <f>IFERROR(SUM(R49,Q49)/Table1[[#This Row],[Sample Qty  (g)]],"")</f>
        <v>0.01</v>
      </c>
      <c r="AE49" s="9">
        <f>IFERROR(Table1[[#This Row],[Dessert/NW  (g)]]/Table1[[#This Row],[Sample Qty  (g)]],"")</f>
        <v>1.7999999999999999E-2</v>
      </c>
      <c r="AF49" s="9">
        <f>IFERROR(SUM(Table1[[#This Row],[Oil  (g)]:[Dirty  (g)]])/Table1[[#This Row],[Sample Qty  (g)]],"")</f>
        <v>3.7999999999999999E-2</v>
      </c>
      <c r="AG49" s="9">
        <f>IFERROR(Table1[[#This Row],[Rejection  (g)]]/Table1[[#This Row],[Sample Qty  (g)]],"")</f>
        <v>1.4E-2</v>
      </c>
      <c r="AH49" s="9">
        <f>IFERROR(Table1[[#This Row],[Husk  (g)]]/Table1[[#This Row],[Sample Qty  (g)]],"")</f>
        <v>9.8000000000000004E-2</v>
      </c>
    </row>
    <row r="50" spans="2:34" ht="12" x14ac:dyDescent="0.25">
      <c r="B50" s="8">
        <v>46209</v>
      </c>
      <c r="C50" s="7">
        <f>WEEKNUM(Table1[[#This Row],[Date]])</f>
        <v>28</v>
      </c>
      <c r="D50" s="5" t="s">
        <v>74</v>
      </c>
      <c r="E50" s="10" t="s">
        <v>71</v>
      </c>
      <c r="F50" s="7" t="s">
        <v>21</v>
      </c>
      <c r="H50" s="7">
        <v>1000</v>
      </c>
      <c r="I50" s="7">
        <v>266</v>
      </c>
      <c r="J50" s="7">
        <v>3</v>
      </c>
      <c r="K50" s="7">
        <v>696</v>
      </c>
      <c r="L50" s="7">
        <v>34</v>
      </c>
      <c r="N50" s="7">
        <v>9</v>
      </c>
      <c r="O50" s="7">
        <v>103</v>
      </c>
      <c r="P50" s="7">
        <v>0</v>
      </c>
      <c r="Q50" s="7">
        <v>18</v>
      </c>
      <c r="S50" s="7">
        <v>10</v>
      </c>
      <c r="T50" s="7">
        <v>4</v>
      </c>
      <c r="U50" s="7">
        <v>2</v>
      </c>
      <c r="W50" s="7">
        <v>24</v>
      </c>
      <c r="X50" s="7">
        <v>100</v>
      </c>
      <c r="Y50" s="7">
        <f>SUM(Table1[[#This Row],[Good Kernels  (g)]:[Husk  (g)]])</f>
        <v>1000</v>
      </c>
      <c r="Z50" s="9">
        <f>IFERROR(Table1[[#This Row],[Good Kernels  (g)]]/Table1[[#This Row],[Sample Qty  (g)]],"")</f>
        <v>0.69599999999999995</v>
      </c>
      <c r="AA50" s="9">
        <f>IFERROR(SUM(Table1[[#This Row],[Pieces  (g)]:[Butts (g)]])/Table1[[#This Row],[Sample Qty  (g)]],"")</f>
        <v>3.4000000000000002E-2</v>
      </c>
      <c r="AB50" s="9">
        <f>IFERROR(Table1[[#This Row],[Scorched (g)]]/Table1[[#This Row],[Sample Qty  (g)]],"")</f>
        <v>8.9999999999999993E-3</v>
      </c>
      <c r="AC50" s="9">
        <f>IFERROR(SUM(Table1[[#This Row],[Spotted  (g)]:[PUK3  (g)]])/Table1[[#This Row],[Sample Qty  (g)]],"")</f>
        <v>0.10299999999999999</v>
      </c>
      <c r="AD50" s="9">
        <f>IFERROR(SUM(R50,Q50)/Table1[[#This Row],[Sample Qty  (g)]],"")</f>
        <v>1.7999999999999999E-2</v>
      </c>
      <c r="AE50" s="9">
        <f>IFERROR(Table1[[#This Row],[Dessert/NW  (g)]]/Table1[[#This Row],[Sample Qty  (g)]],"")</f>
        <v>0.01</v>
      </c>
      <c r="AF50" s="9">
        <f>IFERROR(SUM(Table1[[#This Row],[Oil  (g)]:[Dirty  (g)]])/Table1[[#This Row],[Sample Qty  (g)]],"")</f>
        <v>6.0000000000000001E-3</v>
      </c>
      <c r="AG50" s="9">
        <f>IFERROR(Table1[[#This Row],[Rejection  (g)]]/Table1[[#This Row],[Sample Qty  (g)]],"")</f>
        <v>2.4E-2</v>
      </c>
      <c r="AH50" s="9">
        <f>IFERROR(Table1[[#This Row],[Husk  (g)]]/Table1[[#This Row],[Sample Qty  (g)]],"")</f>
        <v>0.1</v>
      </c>
    </row>
    <row r="51" spans="2:34" ht="12" x14ac:dyDescent="0.25">
      <c r="B51" s="8">
        <v>46209</v>
      </c>
      <c r="C51" s="7">
        <f>WEEKNUM(Table1[[#This Row],[Date]])</f>
        <v>28</v>
      </c>
      <c r="D51" s="5" t="s">
        <v>74</v>
      </c>
      <c r="E51" s="10" t="s">
        <v>71</v>
      </c>
      <c r="F51" s="7" t="s">
        <v>21</v>
      </c>
      <c r="H51" s="7">
        <v>1000</v>
      </c>
      <c r="I51" s="7">
        <v>258</v>
      </c>
      <c r="J51" s="7">
        <v>3</v>
      </c>
      <c r="K51" s="7">
        <v>703</v>
      </c>
      <c r="L51" s="7">
        <v>46</v>
      </c>
      <c r="N51" s="7">
        <v>1</v>
      </c>
      <c r="O51" s="7">
        <v>84</v>
      </c>
      <c r="P51" s="7">
        <v>0</v>
      </c>
      <c r="Q51" s="7">
        <v>22</v>
      </c>
      <c r="S51" s="7">
        <v>15</v>
      </c>
      <c r="T51" s="7">
        <v>12</v>
      </c>
      <c r="U51" s="7">
        <v>5</v>
      </c>
      <c r="W51" s="7">
        <v>14</v>
      </c>
      <c r="X51" s="7">
        <v>98</v>
      </c>
      <c r="Y51" s="7">
        <f>SUM(Table1[[#This Row],[Good Kernels  (g)]:[Husk  (g)]])</f>
        <v>1000</v>
      </c>
      <c r="Z51" s="9">
        <f>IFERROR(Table1[[#This Row],[Good Kernels  (g)]]/Table1[[#This Row],[Sample Qty  (g)]],"")</f>
        <v>0.70299999999999996</v>
      </c>
      <c r="AA51" s="9">
        <f>IFERROR(SUM(Table1[[#This Row],[Pieces  (g)]:[Butts (g)]])/Table1[[#This Row],[Sample Qty  (g)]],"")</f>
        <v>4.5999999999999999E-2</v>
      </c>
      <c r="AB51" s="9">
        <f>IFERROR(Table1[[#This Row],[Scorched (g)]]/Table1[[#This Row],[Sample Qty  (g)]],"")</f>
        <v>1E-3</v>
      </c>
      <c r="AC51" s="9">
        <f>IFERROR(SUM(Table1[[#This Row],[Spotted  (g)]:[PUK3  (g)]])/Table1[[#This Row],[Sample Qty  (g)]],"")</f>
        <v>8.4000000000000005E-2</v>
      </c>
      <c r="AD51" s="9">
        <f>IFERROR(SUM(R51,Q51)/Table1[[#This Row],[Sample Qty  (g)]],"")</f>
        <v>2.1999999999999999E-2</v>
      </c>
      <c r="AE51" s="9">
        <f>IFERROR(Table1[[#This Row],[Dessert/NW  (g)]]/Table1[[#This Row],[Sample Qty  (g)]],"")</f>
        <v>1.4999999999999999E-2</v>
      </c>
      <c r="AF51" s="9">
        <f>IFERROR(SUM(Table1[[#This Row],[Oil  (g)]:[Dirty  (g)]])/Table1[[#This Row],[Sample Qty  (g)]],"")</f>
        <v>1.7000000000000001E-2</v>
      </c>
      <c r="AG51" s="9">
        <f>IFERROR(Table1[[#This Row],[Rejection  (g)]]/Table1[[#This Row],[Sample Qty  (g)]],"")</f>
        <v>1.4E-2</v>
      </c>
      <c r="AH51" s="9">
        <f>IFERROR(Table1[[#This Row],[Husk  (g)]]/Table1[[#This Row],[Sample Qty  (g)]],"")</f>
        <v>9.8000000000000004E-2</v>
      </c>
    </row>
    <row r="52" spans="2:34" ht="12" x14ac:dyDescent="0.25">
      <c r="B52" s="8">
        <v>46209</v>
      </c>
      <c r="C52" s="7">
        <f>WEEKNUM(Table1[[#This Row],[Date]])</f>
        <v>28</v>
      </c>
      <c r="D52" s="5" t="s">
        <v>74</v>
      </c>
      <c r="E52" s="10" t="s">
        <v>71</v>
      </c>
      <c r="F52" s="7" t="s">
        <v>21</v>
      </c>
      <c r="H52" s="7">
        <v>1000</v>
      </c>
      <c r="I52" s="7">
        <v>308</v>
      </c>
      <c r="J52" s="7">
        <v>3.1</v>
      </c>
      <c r="K52" s="7">
        <v>713</v>
      </c>
      <c r="L52" s="7">
        <v>30</v>
      </c>
      <c r="N52" s="7">
        <v>10</v>
      </c>
      <c r="O52" s="7">
        <v>80</v>
      </c>
      <c r="P52" s="7">
        <v>0</v>
      </c>
      <c r="Q52" s="7">
        <v>28</v>
      </c>
      <c r="S52" s="7">
        <v>10</v>
      </c>
      <c r="T52" s="7">
        <v>9</v>
      </c>
      <c r="U52" s="7">
        <v>8</v>
      </c>
      <c r="W52" s="7">
        <v>12</v>
      </c>
      <c r="X52" s="7">
        <v>100</v>
      </c>
      <c r="Y52" s="7">
        <f>SUM(Table1[[#This Row],[Good Kernels  (g)]:[Husk  (g)]])</f>
        <v>1000</v>
      </c>
      <c r="Z52" s="9">
        <f>IFERROR(Table1[[#This Row],[Good Kernels  (g)]]/Table1[[#This Row],[Sample Qty  (g)]],"")</f>
        <v>0.71299999999999997</v>
      </c>
      <c r="AA52" s="9">
        <f>IFERROR(SUM(Table1[[#This Row],[Pieces  (g)]:[Butts (g)]])/Table1[[#This Row],[Sample Qty  (g)]],"")</f>
        <v>0.03</v>
      </c>
      <c r="AB52" s="9">
        <f>IFERROR(Table1[[#This Row],[Scorched (g)]]/Table1[[#This Row],[Sample Qty  (g)]],"")</f>
        <v>0.01</v>
      </c>
      <c r="AC52" s="9">
        <f>IFERROR(SUM(Table1[[#This Row],[Spotted  (g)]:[PUK3  (g)]])/Table1[[#This Row],[Sample Qty  (g)]],"")</f>
        <v>0.08</v>
      </c>
      <c r="AD52" s="9">
        <f>IFERROR(SUM(R52,Q52)/Table1[[#This Row],[Sample Qty  (g)]],"")</f>
        <v>2.8000000000000001E-2</v>
      </c>
      <c r="AE52" s="9">
        <f>IFERROR(Table1[[#This Row],[Dessert/NW  (g)]]/Table1[[#This Row],[Sample Qty  (g)]],"")</f>
        <v>0.01</v>
      </c>
      <c r="AF52" s="9">
        <f>IFERROR(SUM(Table1[[#This Row],[Oil  (g)]:[Dirty  (g)]])/Table1[[#This Row],[Sample Qty  (g)]],"")</f>
        <v>1.7000000000000001E-2</v>
      </c>
      <c r="AG52" s="9">
        <f>IFERROR(Table1[[#This Row],[Rejection  (g)]]/Table1[[#This Row],[Sample Qty  (g)]],"")</f>
        <v>1.2E-2</v>
      </c>
      <c r="AH52" s="9">
        <f>IFERROR(Table1[[#This Row],[Husk  (g)]]/Table1[[#This Row],[Sample Qty  (g)]],"")</f>
        <v>0.1</v>
      </c>
    </row>
    <row r="53" spans="2:34" ht="12" x14ac:dyDescent="0.25">
      <c r="B53" s="8">
        <v>46209</v>
      </c>
      <c r="C53" s="7">
        <f>WEEKNUM(Table1[[#This Row],[Date]])</f>
        <v>28</v>
      </c>
      <c r="D53" s="5" t="s">
        <v>74</v>
      </c>
      <c r="E53" s="10" t="s">
        <v>71</v>
      </c>
      <c r="F53" s="7" t="s">
        <v>21</v>
      </c>
      <c r="H53" s="7">
        <v>1000</v>
      </c>
      <c r="I53" s="7">
        <v>296</v>
      </c>
      <c r="J53" s="7">
        <v>3.7</v>
      </c>
      <c r="K53" s="7">
        <v>690</v>
      </c>
      <c r="L53" s="7">
        <v>49</v>
      </c>
      <c r="N53" s="7">
        <v>7</v>
      </c>
      <c r="O53" s="7">
        <v>73</v>
      </c>
      <c r="P53" s="7">
        <v>0</v>
      </c>
      <c r="Q53" s="7">
        <v>19</v>
      </c>
      <c r="S53" s="7">
        <v>18</v>
      </c>
      <c r="T53" s="7">
        <v>20</v>
      </c>
      <c r="U53" s="7">
        <v>8</v>
      </c>
      <c r="W53" s="7">
        <v>16</v>
      </c>
      <c r="X53" s="7">
        <v>100</v>
      </c>
      <c r="Y53" s="7">
        <f>SUM(Table1[[#This Row],[Good Kernels  (g)]:[Husk  (g)]])</f>
        <v>1000</v>
      </c>
      <c r="Z53" s="9">
        <f>IFERROR(Table1[[#This Row],[Good Kernels  (g)]]/Table1[[#This Row],[Sample Qty  (g)]],"")</f>
        <v>0.69</v>
      </c>
      <c r="AA53" s="9">
        <f>IFERROR(SUM(Table1[[#This Row],[Pieces  (g)]:[Butts (g)]])/Table1[[#This Row],[Sample Qty  (g)]],"")</f>
        <v>4.9000000000000002E-2</v>
      </c>
      <c r="AB53" s="9">
        <f>IFERROR(Table1[[#This Row],[Scorched (g)]]/Table1[[#This Row],[Sample Qty  (g)]],"")</f>
        <v>7.0000000000000001E-3</v>
      </c>
      <c r="AC53" s="9">
        <f>IFERROR(SUM(Table1[[#This Row],[Spotted  (g)]:[PUK3  (g)]])/Table1[[#This Row],[Sample Qty  (g)]],"")</f>
        <v>7.2999999999999995E-2</v>
      </c>
      <c r="AD53" s="9">
        <f>IFERROR(SUM(R53,Q53)/Table1[[#This Row],[Sample Qty  (g)]],"")</f>
        <v>1.9E-2</v>
      </c>
      <c r="AE53" s="9">
        <f>IFERROR(Table1[[#This Row],[Dessert/NW  (g)]]/Table1[[#This Row],[Sample Qty  (g)]],"")</f>
        <v>1.7999999999999999E-2</v>
      </c>
      <c r="AF53" s="9">
        <f>IFERROR(SUM(Table1[[#This Row],[Oil  (g)]:[Dirty  (g)]])/Table1[[#This Row],[Sample Qty  (g)]],"")</f>
        <v>2.8000000000000001E-2</v>
      </c>
      <c r="AG53" s="9">
        <f>IFERROR(Table1[[#This Row],[Rejection  (g)]]/Table1[[#This Row],[Sample Qty  (g)]],"")</f>
        <v>1.6E-2</v>
      </c>
      <c r="AH53" s="9">
        <f>IFERROR(Table1[[#This Row],[Husk  (g)]]/Table1[[#This Row],[Sample Qty  (g)]],"")</f>
        <v>0.1</v>
      </c>
    </row>
    <row r="54" spans="2:34" ht="12" x14ac:dyDescent="0.25">
      <c r="B54" s="8">
        <v>46209</v>
      </c>
      <c r="C54" s="7">
        <f>WEEKNUM(Table1[[#This Row],[Date]])</f>
        <v>28</v>
      </c>
      <c r="D54" s="5" t="s">
        <v>74</v>
      </c>
      <c r="E54" s="10" t="s">
        <v>71</v>
      </c>
      <c r="F54" s="7" t="s">
        <v>21</v>
      </c>
      <c r="H54" s="7">
        <v>1000</v>
      </c>
      <c r="I54" s="7">
        <v>286</v>
      </c>
      <c r="J54" s="7">
        <v>3.7</v>
      </c>
      <c r="K54" s="7">
        <v>715</v>
      </c>
      <c r="L54" s="7">
        <v>38</v>
      </c>
      <c r="N54" s="7">
        <v>3</v>
      </c>
      <c r="O54" s="7">
        <v>67</v>
      </c>
      <c r="P54" s="7">
        <v>0</v>
      </c>
      <c r="Q54" s="7">
        <v>24</v>
      </c>
      <c r="S54" s="7">
        <v>15</v>
      </c>
      <c r="T54" s="7">
        <v>12</v>
      </c>
      <c r="U54" s="7">
        <v>6</v>
      </c>
      <c r="W54" s="7">
        <v>15</v>
      </c>
      <c r="X54" s="7">
        <v>105</v>
      </c>
      <c r="Y54" s="7">
        <f>SUM(Table1[[#This Row],[Good Kernels  (g)]:[Husk  (g)]])</f>
        <v>1000</v>
      </c>
      <c r="Z54" s="9">
        <f>IFERROR(Table1[[#This Row],[Good Kernels  (g)]]/Table1[[#This Row],[Sample Qty  (g)]],"")</f>
        <v>0.71499999999999997</v>
      </c>
      <c r="AA54" s="9">
        <f>IFERROR(SUM(Table1[[#This Row],[Pieces  (g)]:[Butts (g)]])/Table1[[#This Row],[Sample Qty  (g)]],"")</f>
        <v>3.7999999999999999E-2</v>
      </c>
      <c r="AB54" s="9">
        <f>IFERROR(Table1[[#This Row],[Scorched (g)]]/Table1[[#This Row],[Sample Qty  (g)]],"")</f>
        <v>3.0000000000000001E-3</v>
      </c>
      <c r="AC54" s="9">
        <f>IFERROR(SUM(Table1[[#This Row],[Spotted  (g)]:[PUK3  (g)]])/Table1[[#This Row],[Sample Qty  (g)]],"")</f>
        <v>6.7000000000000004E-2</v>
      </c>
      <c r="AD54" s="9">
        <f>IFERROR(SUM(R54,Q54)/Table1[[#This Row],[Sample Qty  (g)]],"")</f>
        <v>2.4E-2</v>
      </c>
      <c r="AE54" s="9">
        <f>IFERROR(Table1[[#This Row],[Dessert/NW  (g)]]/Table1[[#This Row],[Sample Qty  (g)]],"")</f>
        <v>1.4999999999999999E-2</v>
      </c>
      <c r="AF54" s="9">
        <f>IFERROR(SUM(Table1[[#This Row],[Oil  (g)]:[Dirty  (g)]])/Table1[[#This Row],[Sample Qty  (g)]],"")</f>
        <v>1.7999999999999999E-2</v>
      </c>
      <c r="AG54" s="9">
        <f>IFERROR(Table1[[#This Row],[Rejection  (g)]]/Table1[[#This Row],[Sample Qty  (g)]],"")</f>
        <v>1.4999999999999999E-2</v>
      </c>
      <c r="AH54" s="9">
        <f>IFERROR(Table1[[#This Row],[Husk  (g)]]/Table1[[#This Row],[Sample Qty  (g)]],"")</f>
        <v>0.105</v>
      </c>
    </row>
    <row r="55" spans="2:34" ht="12" x14ac:dyDescent="0.25">
      <c r="B55" s="8">
        <v>46209</v>
      </c>
      <c r="C55" s="7">
        <f>WEEKNUM(Table1[[#This Row],[Date]])</f>
        <v>28</v>
      </c>
      <c r="D55" s="5" t="s">
        <v>74</v>
      </c>
      <c r="E55" s="10" t="s">
        <v>71</v>
      </c>
      <c r="F55" s="7" t="s">
        <v>21</v>
      </c>
      <c r="H55" s="7">
        <v>1000</v>
      </c>
      <c r="I55" s="7">
        <v>296</v>
      </c>
      <c r="J55" s="7">
        <v>3.6</v>
      </c>
      <c r="K55" s="7">
        <v>669</v>
      </c>
      <c r="L55" s="7">
        <v>28</v>
      </c>
      <c r="N55" s="7">
        <v>64</v>
      </c>
      <c r="O55" s="7">
        <v>87</v>
      </c>
      <c r="P55" s="7">
        <v>0</v>
      </c>
      <c r="Q55" s="7">
        <v>10</v>
      </c>
      <c r="S55" s="7">
        <v>22</v>
      </c>
      <c r="T55" s="7">
        <v>10</v>
      </c>
      <c r="U55" s="7">
        <v>8</v>
      </c>
      <c r="W55" s="7">
        <v>6</v>
      </c>
      <c r="X55" s="7">
        <v>96</v>
      </c>
      <c r="Y55" s="7">
        <f>SUM(Table1[[#This Row],[Good Kernels  (g)]:[Husk  (g)]])</f>
        <v>1000</v>
      </c>
      <c r="Z55" s="9">
        <f>IFERROR(Table1[[#This Row],[Good Kernels  (g)]]/Table1[[#This Row],[Sample Qty  (g)]],"")</f>
        <v>0.66900000000000004</v>
      </c>
      <c r="AA55" s="9">
        <f>IFERROR(SUM(Table1[[#This Row],[Pieces  (g)]:[Butts (g)]])/Table1[[#This Row],[Sample Qty  (g)]],"")</f>
        <v>2.8000000000000001E-2</v>
      </c>
      <c r="AB55" s="9">
        <f>IFERROR(Table1[[#This Row],[Scorched (g)]]/Table1[[#This Row],[Sample Qty  (g)]],"")</f>
        <v>6.4000000000000001E-2</v>
      </c>
      <c r="AC55" s="9">
        <f>IFERROR(SUM(Table1[[#This Row],[Spotted  (g)]:[PUK3  (g)]])/Table1[[#This Row],[Sample Qty  (g)]],"")</f>
        <v>8.6999999999999994E-2</v>
      </c>
      <c r="AD55" s="9">
        <f>IFERROR(SUM(R55,Q55)/Table1[[#This Row],[Sample Qty  (g)]],"")</f>
        <v>0.01</v>
      </c>
      <c r="AE55" s="9">
        <f>IFERROR(Table1[[#This Row],[Dessert/NW  (g)]]/Table1[[#This Row],[Sample Qty  (g)]],"")</f>
        <v>2.1999999999999999E-2</v>
      </c>
      <c r="AF55" s="9">
        <f>IFERROR(SUM(Table1[[#This Row],[Oil  (g)]:[Dirty  (g)]])/Table1[[#This Row],[Sample Qty  (g)]],"")</f>
        <v>1.7999999999999999E-2</v>
      </c>
      <c r="AG55" s="9">
        <f>IFERROR(Table1[[#This Row],[Rejection  (g)]]/Table1[[#This Row],[Sample Qty  (g)]],"")</f>
        <v>6.0000000000000001E-3</v>
      </c>
      <c r="AH55" s="9">
        <f>IFERROR(Table1[[#This Row],[Husk  (g)]]/Table1[[#This Row],[Sample Qty  (g)]],"")</f>
        <v>9.6000000000000002E-2</v>
      </c>
    </row>
    <row r="56" spans="2:34" ht="12" x14ac:dyDescent="0.25">
      <c r="B56" s="8">
        <v>46209</v>
      </c>
      <c r="C56" s="7">
        <f>WEEKNUM(Table1[[#This Row],[Date]])</f>
        <v>28</v>
      </c>
      <c r="D56" s="5" t="s">
        <v>74</v>
      </c>
      <c r="E56" s="10" t="s">
        <v>71</v>
      </c>
      <c r="F56" s="7" t="s">
        <v>21</v>
      </c>
      <c r="H56" s="7">
        <v>1000</v>
      </c>
      <c r="I56" s="7">
        <v>292</v>
      </c>
      <c r="J56" s="7">
        <v>3</v>
      </c>
      <c r="K56" s="7">
        <v>682</v>
      </c>
      <c r="L56" s="7">
        <v>36</v>
      </c>
      <c r="N56" s="7">
        <v>52</v>
      </c>
      <c r="O56" s="7">
        <v>94</v>
      </c>
      <c r="P56" s="7">
        <v>0</v>
      </c>
      <c r="Q56" s="7">
        <v>8</v>
      </c>
      <c r="S56" s="7">
        <v>10</v>
      </c>
      <c r="T56" s="7">
        <v>4</v>
      </c>
      <c r="U56" s="7">
        <v>6</v>
      </c>
      <c r="W56" s="7">
        <v>10</v>
      </c>
      <c r="X56" s="7">
        <v>98</v>
      </c>
      <c r="Y56" s="7">
        <f>SUM(Table1[[#This Row],[Good Kernels  (g)]:[Husk  (g)]])</f>
        <v>1000</v>
      </c>
      <c r="Z56" s="9">
        <f>IFERROR(Table1[[#This Row],[Good Kernels  (g)]]/Table1[[#This Row],[Sample Qty  (g)]],"")</f>
        <v>0.68200000000000005</v>
      </c>
      <c r="AA56" s="9">
        <f>IFERROR(SUM(Table1[[#This Row],[Pieces  (g)]:[Butts (g)]])/Table1[[#This Row],[Sample Qty  (g)]],"")</f>
        <v>3.5999999999999997E-2</v>
      </c>
      <c r="AB56" s="9">
        <f>IFERROR(Table1[[#This Row],[Scorched (g)]]/Table1[[#This Row],[Sample Qty  (g)]],"")</f>
        <v>5.1999999999999998E-2</v>
      </c>
      <c r="AC56" s="9">
        <f>IFERROR(SUM(Table1[[#This Row],[Spotted  (g)]:[PUK3  (g)]])/Table1[[#This Row],[Sample Qty  (g)]],"")</f>
        <v>9.4E-2</v>
      </c>
      <c r="AD56" s="9">
        <f>IFERROR(SUM(R56,Q56)/Table1[[#This Row],[Sample Qty  (g)]],"")</f>
        <v>8.0000000000000002E-3</v>
      </c>
      <c r="AE56" s="9">
        <f>IFERROR(Table1[[#This Row],[Dessert/NW  (g)]]/Table1[[#This Row],[Sample Qty  (g)]],"")</f>
        <v>0.01</v>
      </c>
      <c r="AF56" s="9">
        <f>IFERROR(SUM(Table1[[#This Row],[Oil  (g)]:[Dirty  (g)]])/Table1[[#This Row],[Sample Qty  (g)]],"")</f>
        <v>0.01</v>
      </c>
      <c r="AG56" s="9">
        <f>IFERROR(Table1[[#This Row],[Rejection  (g)]]/Table1[[#This Row],[Sample Qty  (g)]],"")</f>
        <v>0.01</v>
      </c>
      <c r="AH56" s="9">
        <f>IFERROR(Table1[[#This Row],[Husk  (g)]]/Table1[[#This Row],[Sample Qty  (g)]],"")</f>
        <v>9.8000000000000004E-2</v>
      </c>
    </row>
    <row r="57" spans="2:34" ht="12" x14ac:dyDescent="0.25">
      <c r="B57" s="8">
        <v>46209</v>
      </c>
      <c r="C57" s="7">
        <f>WEEKNUM(Table1[[#This Row],[Date]])</f>
        <v>28</v>
      </c>
      <c r="D57" s="5" t="s">
        <v>74</v>
      </c>
      <c r="E57" s="10" t="s">
        <v>71</v>
      </c>
      <c r="F57" s="7" t="s">
        <v>21</v>
      </c>
      <c r="H57" s="7">
        <v>1000</v>
      </c>
      <c r="I57" s="7">
        <v>256</v>
      </c>
      <c r="J57" s="7">
        <v>3.5</v>
      </c>
      <c r="K57" s="7">
        <v>466</v>
      </c>
      <c r="L57" s="7">
        <v>128</v>
      </c>
      <c r="N57" s="7">
        <v>64</v>
      </c>
      <c r="O57" s="7">
        <v>72</v>
      </c>
      <c r="P57" s="7">
        <v>0</v>
      </c>
      <c r="Q57" s="7">
        <v>14</v>
      </c>
      <c r="S57" s="7">
        <v>24</v>
      </c>
      <c r="T57" s="7">
        <v>44</v>
      </c>
      <c r="U57" s="7">
        <v>92</v>
      </c>
      <c r="W57" s="7">
        <v>12</v>
      </c>
      <c r="X57" s="7">
        <v>84</v>
      </c>
      <c r="Y57" s="7">
        <f>SUM(Table1[[#This Row],[Good Kernels  (g)]:[Husk  (g)]])</f>
        <v>1000</v>
      </c>
      <c r="Z57" s="9">
        <f>IFERROR(Table1[[#This Row],[Good Kernels  (g)]]/Table1[[#This Row],[Sample Qty  (g)]],"")</f>
        <v>0.46600000000000003</v>
      </c>
      <c r="AA57" s="9">
        <f>IFERROR(SUM(Table1[[#This Row],[Pieces  (g)]:[Butts (g)]])/Table1[[#This Row],[Sample Qty  (g)]],"")</f>
        <v>0.128</v>
      </c>
      <c r="AB57" s="9">
        <f>IFERROR(Table1[[#This Row],[Scorched (g)]]/Table1[[#This Row],[Sample Qty  (g)]],"")</f>
        <v>6.4000000000000001E-2</v>
      </c>
      <c r="AC57" s="9">
        <f>IFERROR(SUM(Table1[[#This Row],[Spotted  (g)]:[PUK3  (g)]])/Table1[[#This Row],[Sample Qty  (g)]],"")</f>
        <v>7.1999999999999995E-2</v>
      </c>
      <c r="AD57" s="9">
        <f>IFERROR(SUM(R57,Q57)/Table1[[#This Row],[Sample Qty  (g)]],"")</f>
        <v>1.4E-2</v>
      </c>
      <c r="AE57" s="9">
        <f>IFERROR(Table1[[#This Row],[Dessert/NW  (g)]]/Table1[[#This Row],[Sample Qty  (g)]],"")</f>
        <v>2.4E-2</v>
      </c>
      <c r="AF57" s="9">
        <f>IFERROR(SUM(Table1[[#This Row],[Oil  (g)]:[Dirty  (g)]])/Table1[[#This Row],[Sample Qty  (g)]],"")</f>
        <v>0.13600000000000001</v>
      </c>
      <c r="AG57" s="9">
        <f>IFERROR(Table1[[#This Row],[Rejection  (g)]]/Table1[[#This Row],[Sample Qty  (g)]],"")</f>
        <v>1.2E-2</v>
      </c>
      <c r="AH57" s="9">
        <f>IFERROR(Table1[[#This Row],[Husk  (g)]]/Table1[[#This Row],[Sample Qty  (g)]],"")</f>
        <v>8.4000000000000005E-2</v>
      </c>
    </row>
    <row r="58" spans="2:34" ht="12" x14ac:dyDescent="0.25">
      <c r="B58" s="8">
        <v>46209</v>
      </c>
      <c r="C58" s="7">
        <f>WEEKNUM(Table1[[#This Row],[Date]])</f>
        <v>28</v>
      </c>
      <c r="D58" s="5" t="s">
        <v>74</v>
      </c>
      <c r="E58" s="10" t="s">
        <v>71</v>
      </c>
      <c r="F58" s="7" t="s">
        <v>21</v>
      </c>
      <c r="H58" s="7">
        <v>1000</v>
      </c>
      <c r="I58" s="7">
        <v>260</v>
      </c>
      <c r="J58" s="7">
        <v>3.1</v>
      </c>
      <c r="K58" s="7">
        <v>641</v>
      </c>
      <c r="L58" s="7">
        <v>34</v>
      </c>
      <c r="N58" s="7">
        <v>68</v>
      </c>
      <c r="O58" s="7">
        <v>100</v>
      </c>
      <c r="P58" s="7">
        <v>0</v>
      </c>
      <c r="Q58" s="7">
        <v>13</v>
      </c>
      <c r="S58" s="7">
        <v>20</v>
      </c>
      <c r="T58" s="7">
        <v>12</v>
      </c>
      <c r="U58" s="7">
        <v>10</v>
      </c>
      <c r="W58" s="7">
        <v>8</v>
      </c>
      <c r="X58" s="7">
        <v>94</v>
      </c>
      <c r="Y58" s="7">
        <f>SUM(Table1[[#This Row],[Good Kernels  (g)]:[Husk  (g)]])</f>
        <v>1000</v>
      </c>
      <c r="Z58" s="9">
        <f>IFERROR(Table1[[#This Row],[Good Kernels  (g)]]/Table1[[#This Row],[Sample Qty  (g)]],"")</f>
        <v>0.64100000000000001</v>
      </c>
      <c r="AA58" s="9">
        <f>IFERROR(SUM(Table1[[#This Row],[Pieces  (g)]:[Butts (g)]])/Table1[[#This Row],[Sample Qty  (g)]],"")</f>
        <v>3.4000000000000002E-2</v>
      </c>
      <c r="AB58" s="9">
        <f>IFERROR(Table1[[#This Row],[Scorched (g)]]/Table1[[#This Row],[Sample Qty  (g)]],"")</f>
        <v>6.8000000000000005E-2</v>
      </c>
      <c r="AC58" s="9">
        <f>IFERROR(SUM(Table1[[#This Row],[Spotted  (g)]:[PUK3  (g)]])/Table1[[#This Row],[Sample Qty  (g)]],"")</f>
        <v>0.1</v>
      </c>
      <c r="AD58" s="9">
        <f>IFERROR(SUM(R58,Q58)/Table1[[#This Row],[Sample Qty  (g)]],"")</f>
        <v>1.2999999999999999E-2</v>
      </c>
      <c r="AE58" s="9">
        <f>IFERROR(Table1[[#This Row],[Dessert/NW  (g)]]/Table1[[#This Row],[Sample Qty  (g)]],"")</f>
        <v>0.02</v>
      </c>
      <c r="AF58" s="9">
        <f>IFERROR(SUM(Table1[[#This Row],[Oil  (g)]:[Dirty  (g)]])/Table1[[#This Row],[Sample Qty  (g)]],"")</f>
        <v>2.1999999999999999E-2</v>
      </c>
      <c r="AG58" s="9">
        <f>IFERROR(Table1[[#This Row],[Rejection  (g)]]/Table1[[#This Row],[Sample Qty  (g)]],"")</f>
        <v>8.0000000000000002E-3</v>
      </c>
      <c r="AH58" s="9">
        <f>IFERROR(Table1[[#This Row],[Husk  (g)]]/Table1[[#This Row],[Sample Qty  (g)]],"")</f>
        <v>9.4E-2</v>
      </c>
    </row>
    <row r="59" spans="2:34" ht="12" x14ac:dyDescent="0.25">
      <c r="B59" s="8">
        <v>46210</v>
      </c>
      <c r="C59" s="7">
        <f>WEEKNUM(Table1[[#This Row],[Date]])</f>
        <v>28</v>
      </c>
      <c r="D59" s="5" t="s">
        <v>75</v>
      </c>
      <c r="E59" s="10" t="s">
        <v>71</v>
      </c>
      <c r="F59" s="7" t="s">
        <v>21</v>
      </c>
      <c r="H59" s="7">
        <v>1000</v>
      </c>
      <c r="I59" s="7">
        <v>308</v>
      </c>
      <c r="J59" s="7">
        <v>3.3</v>
      </c>
      <c r="K59" s="7">
        <v>532</v>
      </c>
      <c r="L59" s="7">
        <v>72</v>
      </c>
      <c r="N59" s="7">
        <v>68</v>
      </c>
      <c r="O59" s="7">
        <v>96</v>
      </c>
      <c r="P59" s="7">
        <v>40</v>
      </c>
      <c r="Q59" s="7">
        <v>10</v>
      </c>
      <c r="S59" s="7">
        <v>6</v>
      </c>
      <c r="T59" s="7">
        <v>20</v>
      </c>
      <c r="U59" s="7">
        <v>40</v>
      </c>
      <c r="W59" s="7">
        <v>24</v>
      </c>
      <c r="X59" s="7">
        <v>92</v>
      </c>
      <c r="Y59" s="7">
        <f>SUM(Table1[[#This Row],[Good Kernels  (g)]:[Husk  (g)]])</f>
        <v>1000</v>
      </c>
      <c r="Z59" s="9">
        <f>IFERROR(Table1[[#This Row],[Good Kernels  (g)]]/Table1[[#This Row],[Sample Qty  (g)]],"")</f>
        <v>0.53200000000000003</v>
      </c>
      <c r="AA59" s="9">
        <f>IFERROR(SUM(Table1[[#This Row],[Pieces  (g)]:[Butts (g)]])/Table1[[#This Row],[Sample Qty  (g)]],"")</f>
        <v>7.1999999999999995E-2</v>
      </c>
      <c r="AB59" s="9">
        <f>IFERROR(Table1[[#This Row],[Scorched (g)]]/Table1[[#This Row],[Sample Qty  (g)]],"")</f>
        <v>6.8000000000000005E-2</v>
      </c>
      <c r="AC59" s="9">
        <f>IFERROR(SUM(Table1[[#This Row],[Spotted  (g)]:[PUK3  (g)]])/Table1[[#This Row],[Sample Qty  (g)]],"")</f>
        <v>0.13600000000000001</v>
      </c>
      <c r="AD59" s="9">
        <f>IFERROR(SUM(R59,Q59)/Table1[[#This Row],[Sample Qty  (g)]],"")</f>
        <v>0.01</v>
      </c>
      <c r="AE59" s="9">
        <f>IFERROR(Table1[[#This Row],[Dessert/NW  (g)]]/Table1[[#This Row],[Sample Qty  (g)]],"")</f>
        <v>6.0000000000000001E-3</v>
      </c>
      <c r="AF59" s="9">
        <f>IFERROR(SUM(Table1[[#This Row],[Oil  (g)]:[Dirty  (g)]])/Table1[[#This Row],[Sample Qty  (g)]],"")</f>
        <v>0.06</v>
      </c>
      <c r="AG59" s="9">
        <f>IFERROR(Table1[[#This Row],[Rejection  (g)]]/Table1[[#This Row],[Sample Qty  (g)]],"")</f>
        <v>2.4E-2</v>
      </c>
      <c r="AH59" s="9">
        <f>IFERROR(Table1[[#This Row],[Husk  (g)]]/Table1[[#This Row],[Sample Qty  (g)]],"")</f>
        <v>9.1999999999999998E-2</v>
      </c>
    </row>
    <row r="60" spans="2:34" ht="12" x14ac:dyDescent="0.25">
      <c r="B60" s="8">
        <v>46210</v>
      </c>
      <c r="C60" s="7">
        <f>WEEKNUM(Table1[[#This Row],[Date]])</f>
        <v>28</v>
      </c>
      <c r="D60" s="5" t="s">
        <v>75</v>
      </c>
      <c r="E60" s="10" t="s">
        <v>71</v>
      </c>
      <c r="F60" s="7" t="s">
        <v>21</v>
      </c>
      <c r="H60" s="7">
        <v>1000</v>
      </c>
      <c r="I60" s="7">
        <v>262</v>
      </c>
      <c r="J60" s="7">
        <v>3.2</v>
      </c>
      <c r="K60" s="7">
        <v>670</v>
      </c>
      <c r="L60" s="7">
        <v>72</v>
      </c>
      <c r="N60" s="7">
        <v>20</v>
      </c>
      <c r="O60" s="7">
        <v>48</v>
      </c>
      <c r="P60" s="7">
        <v>0</v>
      </c>
      <c r="Q60" s="7">
        <v>8</v>
      </c>
      <c r="S60" s="7">
        <v>4</v>
      </c>
      <c r="T60" s="7">
        <v>44</v>
      </c>
      <c r="U60" s="7">
        <v>40</v>
      </c>
      <c r="W60" s="7">
        <v>6</v>
      </c>
      <c r="X60" s="7">
        <v>88</v>
      </c>
      <c r="Y60" s="7">
        <f>SUM(Table1[[#This Row],[Good Kernels  (g)]:[Husk  (g)]])</f>
        <v>1000</v>
      </c>
      <c r="Z60" s="9">
        <f>IFERROR(Table1[[#This Row],[Good Kernels  (g)]]/Table1[[#This Row],[Sample Qty  (g)]],"")</f>
        <v>0.67</v>
      </c>
      <c r="AA60" s="9">
        <f>IFERROR(SUM(Table1[[#This Row],[Pieces  (g)]:[Butts (g)]])/Table1[[#This Row],[Sample Qty  (g)]],"")</f>
        <v>7.1999999999999995E-2</v>
      </c>
      <c r="AB60" s="9">
        <f>IFERROR(Table1[[#This Row],[Scorched (g)]]/Table1[[#This Row],[Sample Qty  (g)]],"")</f>
        <v>0.02</v>
      </c>
      <c r="AC60" s="9">
        <f>IFERROR(SUM(Table1[[#This Row],[Spotted  (g)]:[PUK3  (g)]])/Table1[[#This Row],[Sample Qty  (g)]],"")</f>
        <v>4.8000000000000001E-2</v>
      </c>
      <c r="AD60" s="9">
        <f>IFERROR(SUM(R60,Q60)/Table1[[#This Row],[Sample Qty  (g)]],"")</f>
        <v>8.0000000000000002E-3</v>
      </c>
      <c r="AE60" s="9">
        <f>IFERROR(Table1[[#This Row],[Dessert/NW  (g)]]/Table1[[#This Row],[Sample Qty  (g)]],"")</f>
        <v>4.0000000000000001E-3</v>
      </c>
      <c r="AF60" s="9">
        <f>IFERROR(SUM(Table1[[#This Row],[Oil  (g)]:[Dirty  (g)]])/Table1[[#This Row],[Sample Qty  (g)]],"")</f>
        <v>8.4000000000000005E-2</v>
      </c>
      <c r="AG60" s="9">
        <f>IFERROR(Table1[[#This Row],[Rejection  (g)]]/Table1[[#This Row],[Sample Qty  (g)]],"")</f>
        <v>6.0000000000000001E-3</v>
      </c>
      <c r="AH60" s="9">
        <f>IFERROR(Table1[[#This Row],[Husk  (g)]]/Table1[[#This Row],[Sample Qty  (g)]],"")</f>
        <v>8.7999999999999995E-2</v>
      </c>
    </row>
    <row r="61" spans="2:34" ht="12" x14ac:dyDescent="0.25">
      <c r="B61" s="8">
        <v>46210</v>
      </c>
      <c r="C61" s="7">
        <f>WEEKNUM(Table1[[#This Row],[Date]])</f>
        <v>28</v>
      </c>
      <c r="D61" s="5" t="s">
        <v>75</v>
      </c>
      <c r="E61" s="10" t="s">
        <v>71</v>
      </c>
      <c r="F61" s="7" t="s">
        <v>21</v>
      </c>
      <c r="H61" s="7">
        <v>1000</v>
      </c>
      <c r="I61" s="7">
        <v>296</v>
      </c>
      <c r="J61" s="7">
        <v>3.2</v>
      </c>
      <c r="K61" s="7">
        <v>651</v>
      </c>
      <c r="L61" s="7">
        <v>32</v>
      </c>
      <c r="N61" s="7">
        <v>76</v>
      </c>
      <c r="O61" s="7">
        <v>88</v>
      </c>
      <c r="P61" s="7">
        <v>0</v>
      </c>
      <c r="Q61" s="7">
        <v>16</v>
      </c>
      <c r="S61" s="7">
        <v>34</v>
      </c>
      <c r="T61" s="7">
        <v>3</v>
      </c>
      <c r="U61" s="7">
        <v>2</v>
      </c>
      <c r="W61" s="7">
        <v>2</v>
      </c>
      <c r="X61" s="7">
        <v>96</v>
      </c>
      <c r="Y61" s="7">
        <f>SUM(Table1[[#This Row],[Good Kernels  (g)]:[Husk  (g)]])</f>
        <v>1000</v>
      </c>
      <c r="Z61" s="9">
        <f>IFERROR(Table1[[#This Row],[Good Kernels  (g)]]/Table1[[#This Row],[Sample Qty  (g)]],"")</f>
        <v>0.65100000000000002</v>
      </c>
      <c r="AA61" s="9">
        <f>IFERROR(SUM(Table1[[#This Row],[Pieces  (g)]:[Butts (g)]])/Table1[[#This Row],[Sample Qty  (g)]],"")</f>
        <v>3.2000000000000001E-2</v>
      </c>
      <c r="AB61" s="9">
        <f>IFERROR(Table1[[#This Row],[Scorched (g)]]/Table1[[#This Row],[Sample Qty  (g)]],"")</f>
        <v>7.5999999999999998E-2</v>
      </c>
      <c r="AC61" s="9">
        <f>IFERROR(SUM(Table1[[#This Row],[Spotted  (g)]:[PUK3  (g)]])/Table1[[#This Row],[Sample Qty  (g)]],"")</f>
        <v>8.7999999999999995E-2</v>
      </c>
      <c r="AD61" s="9">
        <f>IFERROR(SUM(R61,Q61)/Table1[[#This Row],[Sample Qty  (g)]],"")</f>
        <v>1.6E-2</v>
      </c>
      <c r="AE61" s="9">
        <f>IFERROR(Table1[[#This Row],[Dessert/NW  (g)]]/Table1[[#This Row],[Sample Qty  (g)]],"")</f>
        <v>3.4000000000000002E-2</v>
      </c>
      <c r="AF61" s="9">
        <f>IFERROR(SUM(Table1[[#This Row],[Oil  (g)]:[Dirty  (g)]])/Table1[[#This Row],[Sample Qty  (g)]],"")</f>
        <v>5.0000000000000001E-3</v>
      </c>
      <c r="AG61" s="9">
        <f>IFERROR(Table1[[#This Row],[Rejection  (g)]]/Table1[[#This Row],[Sample Qty  (g)]],"")</f>
        <v>2E-3</v>
      </c>
      <c r="AH61" s="9">
        <f>IFERROR(Table1[[#This Row],[Husk  (g)]]/Table1[[#This Row],[Sample Qty  (g)]],"")</f>
        <v>9.6000000000000002E-2</v>
      </c>
    </row>
    <row r="62" spans="2:34" ht="12" x14ac:dyDescent="0.25">
      <c r="B62" s="8">
        <v>46210</v>
      </c>
      <c r="C62" s="7">
        <f>WEEKNUM(Table1[[#This Row],[Date]])</f>
        <v>28</v>
      </c>
      <c r="D62" s="5" t="s">
        <v>75</v>
      </c>
      <c r="E62" s="10" t="s">
        <v>71</v>
      </c>
      <c r="F62" s="7" t="s">
        <v>21</v>
      </c>
      <c r="H62" s="7">
        <v>1000</v>
      </c>
      <c r="I62" s="7">
        <v>296</v>
      </c>
      <c r="J62" s="7">
        <v>3.1</v>
      </c>
      <c r="K62" s="7">
        <v>659</v>
      </c>
      <c r="L62" s="7">
        <v>40</v>
      </c>
      <c r="N62" s="7">
        <v>44</v>
      </c>
      <c r="O62" s="7">
        <v>108</v>
      </c>
      <c r="P62" s="7">
        <v>0</v>
      </c>
      <c r="Q62" s="7">
        <v>10</v>
      </c>
      <c r="S62" s="7">
        <v>20</v>
      </c>
      <c r="T62" s="7">
        <v>3</v>
      </c>
      <c r="U62" s="7">
        <v>2</v>
      </c>
      <c r="W62" s="7">
        <v>16</v>
      </c>
      <c r="X62" s="7">
        <v>98</v>
      </c>
      <c r="Y62" s="7">
        <f>SUM(Table1[[#This Row],[Good Kernels  (g)]:[Husk  (g)]])</f>
        <v>1000</v>
      </c>
      <c r="Z62" s="9">
        <f>IFERROR(Table1[[#This Row],[Good Kernels  (g)]]/Table1[[#This Row],[Sample Qty  (g)]],"")</f>
        <v>0.65900000000000003</v>
      </c>
      <c r="AA62" s="9">
        <f>IFERROR(SUM(Table1[[#This Row],[Pieces  (g)]:[Butts (g)]])/Table1[[#This Row],[Sample Qty  (g)]],"")</f>
        <v>0.04</v>
      </c>
      <c r="AB62" s="9">
        <f>IFERROR(Table1[[#This Row],[Scorched (g)]]/Table1[[#This Row],[Sample Qty  (g)]],"")</f>
        <v>4.3999999999999997E-2</v>
      </c>
      <c r="AC62" s="9">
        <f>IFERROR(SUM(Table1[[#This Row],[Spotted  (g)]:[PUK3  (g)]])/Table1[[#This Row],[Sample Qty  (g)]],"")</f>
        <v>0.108</v>
      </c>
      <c r="AD62" s="9">
        <f>IFERROR(SUM(R62,Q62)/Table1[[#This Row],[Sample Qty  (g)]],"")</f>
        <v>0.01</v>
      </c>
      <c r="AE62" s="9">
        <f>IFERROR(Table1[[#This Row],[Dessert/NW  (g)]]/Table1[[#This Row],[Sample Qty  (g)]],"")</f>
        <v>0.02</v>
      </c>
      <c r="AF62" s="9">
        <f>IFERROR(SUM(Table1[[#This Row],[Oil  (g)]:[Dirty  (g)]])/Table1[[#This Row],[Sample Qty  (g)]],"")</f>
        <v>5.0000000000000001E-3</v>
      </c>
      <c r="AG62" s="9">
        <f>IFERROR(Table1[[#This Row],[Rejection  (g)]]/Table1[[#This Row],[Sample Qty  (g)]],"")</f>
        <v>1.6E-2</v>
      </c>
      <c r="AH62" s="9">
        <f>IFERROR(Table1[[#This Row],[Husk  (g)]]/Table1[[#This Row],[Sample Qty  (g)]],"")</f>
        <v>9.8000000000000004E-2</v>
      </c>
    </row>
    <row r="63" spans="2:34" ht="12" x14ac:dyDescent="0.25">
      <c r="B63" s="8">
        <v>46210</v>
      </c>
      <c r="C63" s="7">
        <f>WEEKNUM(Table1[[#This Row],[Date]])</f>
        <v>28</v>
      </c>
      <c r="D63" s="5" t="s">
        <v>75</v>
      </c>
      <c r="E63" s="10" t="s">
        <v>71</v>
      </c>
      <c r="F63" s="7" t="s">
        <v>21</v>
      </c>
      <c r="H63" s="7">
        <v>1000</v>
      </c>
      <c r="I63" s="7">
        <v>284</v>
      </c>
      <c r="J63" s="7">
        <v>3.2</v>
      </c>
      <c r="K63" s="7">
        <v>573</v>
      </c>
      <c r="L63" s="7">
        <v>38</v>
      </c>
      <c r="N63" s="7">
        <v>44</v>
      </c>
      <c r="O63" s="7">
        <v>156</v>
      </c>
      <c r="P63" s="7">
        <v>0</v>
      </c>
      <c r="Q63" s="7">
        <v>40</v>
      </c>
      <c r="S63" s="7">
        <v>38</v>
      </c>
      <c r="T63" s="7">
        <v>3</v>
      </c>
      <c r="U63" s="7">
        <v>2</v>
      </c>
      <c r="W63" s="7">
        <v>8</v>
      </c>
      <c r="X63" s="7">
        <v>98</v>
      </c>
      <c r="Y63" s="7">
        <f>SUM(Table1[[#This Row],[Good Kernels  (g)]:[Husk  (g)]])</f>
        <v>1000</v>
      </c>
      <c r="Z63" s="9">
        <f>IFERROR(Table1[[#This Row],[Good Kernels  (g)]]/Table1[[#This Row],[Sample Qty  (g)]],"")</f>
        <v>0.57299999999999995</v>
      </c>
      <c r="AA63" s="9">
        <f>IFERROR(SUM(Table1[[#This Row],[Pieces  (g)]:[Butts (g)]])/Table1[[#This Row],[Sample Qty  (g)]],"")</f>
        <v>3.7999999999999999E-2</v>
      </c>
      <c r="AB63" s="9">
        <f>IFERROR(Table1[[#This Row],[Scorched (g)]]/Table1[[#This Row],[Sample Qty  (g)]],"")</f>
        <v>4.3999999999999997E-2</v>
      </c>
      <c r="AC63" s="9">
        <f>IFERROR(SUM(Table1[[#This Row],[Spotted  (g)]:[PUK3  (g)]])/Table1[[#This Row],[Sample Qty  (g)]],"")</f>
        <v>0.156</v>
      </c>
      <c r="AD63" s="9">
        <f>IFERROR(SUM(R63,Q63)/Table1[[#This Row],[Sample Qty  (g)]],"")</f>
        <v>0.04</v>
      </c>
      <c r="AE63" s="9">
        <f>IFERROR(Table1[[#This Row],[Dessert/NW  (g)]]/Table1[[#This Row],[Sample Qty  (g)]],"")</f>
        <v>3.7999999999999999E-2</v>
      </c>
      <c r="AF63" s="9">
        <f>IFERROR(SUM(Table1[[#This Row],[Oil  (g)]:[Dirty  (g)]])/Table1[[#This Row],[Sample Qty  (g)]],"")</f>
        <v>5.0000000000000001E-3</v>
      </c>
      <c r="AG63" s="9">
        <f>IFERROR(Table1[[#This Row],[Rejection  (g)]]/Table1[[#This Row],[Sample Qty  (g)]],"")</f>
        <v>8.0000000000000002E-3</v>
      </c>
      <c r="AH63" s="9">
        <f>IFERROR(Table1[[#This Row],[Husk  (g)]]/Table1[[#This Row],[Sample Qty  (g)]],"")</f>
        <v>9.8000000000000004E-2</v>
      </c>
    </row>
    <row r="64" spans="2:34" ht="12" x14ac:dyDescent="0.25">
      <c r="B64" s="8">
        <v>46210</v>
      </c>
      <c r="C64" s="7">
        <f>WEEKNUM(Table1[[#This Row],[Date]])</f>
        <v>28</v>
      </c>
      <c r="D64" s="5" t="s">
        <v>75</v>
      </c>
      <c r="E64" s="10" t="s">
        <v>71</v>
      </c>
      <c r="F64" s="7" t="s">
        <v>21</v>
      </c>
      <c r="H64" s="7">
        <v>1000</v>
      </c>
      <c r="I64" s="7">
        <v>256</v>
      </c>
      <c r="J64" s="7">
        <v>3.2</v>
      </c>
      <c r="K64" s="7">
        <v>676</v>
      </c>
      <c r="L64" s="7">
        <v>76</v>
      </c>
      <c r="N64" s="7">
        <v>16</v>
      </c>
      <c r="O64" s="7">
        <v>44</v>
      </c>
      <c r="P64" s="7">
        <v>0</v>
      </c>
      <c r="Q64" s="7">
        <v>20</v>
      </c>
      <c r="S64" s="7">
        <v>8</v>
      </c>
      <c r="T64" s="7">
        <v>10</v>
      </c>
      <c r="U64" s="7">
        <v>54</v>
      </c>
      <c r="W64" s="7">
        <v>8</v>
      </c>
      <c r="X64" s="7">
        <v>88</v>
      </c>
      <c r="Y64" s="7">
        <f>SUM(Table1[[#This Row],[Good Kernels  (g)]:[Husk  (g)]])</f>
        <v>1000</v>
      </c>
      <c r="Z64" s="9">
        <f>IFERROR(Table1[[#This Row],[Good Kernels  (g)]]/Table1[[#This Row],[Sample Qty  (g)]],"")</f>
        <v>0.67600000000000005</v>
      </c>
      <c r="AA64" s="9">
        <f>IFERROR(SUM(Table1[[#This Row],[Pieces  (g)]:[Butts (g)]])/Table1[[#This Row],[Sample Qty  (g)]],"")</f>
        <v>7.5999999999999998E-2</v>
      </c>
      <c r="AB64" s="9">
        <f>IFERROR(Table1[[#This Row],[Scorched (g)]]/Table1[[#This Row],[Sample Qty  (g)]],"")</f>
        <v>1.6E-2</v>
      </c>
      <c r="AC64" s="9">
        <f>IFERROR(SUM(Table1[[#This Row],[Spotted  (g)]:[PUK3  (g)]])/Table1[[#This Row],[Sample Qty  (g)]],"")</f>
        <v>4.3999999999999997E-2</v>
      </c>
      <c r="AD64" s="9">
        <f>IFERROR(SUM(R64,Q64)/Table1[[#This Row],[Sample Qty  (g)]],"")</f>
        <v>0.02</v>
      </c>
      <c r="AE64" s="9">
        <f>IFERROR(Table1[[#This Row],[Dessert/NW  (g)]]/Table1[[#This Row],[Sample Qty  (g)]],"")</f>
        <v>8.0000000000000002E-3</v>
      </c>
      <c r="AF64" s="9">
        <f>IFERROR(SUM(Table1[[#This Row],[Oil  (g)]:[Dirty  (g)]])/Table1[[#This Row],[Sample Qty  (g)]],"")</f>
        <v>6.4000000000000001E-2</v>
      </c>
      <c r="AG64" s="9">
        <f>IFERROR(Table1[[#This Row],[Rejection  (g)]]/Table1[[#This Row],[Sample Qty  (g)]],"")</f>
        <v>8.0000000000000002E-3</v>
      </c>
      <c r="AH64" s="9">
        <f>IFERROR(Table1[[#This Row],[Husk  (g)]]/Table1[[#This Row],[Sample Qty  (g)]],"")</f>
        <v>8.7999999999999995E-2</v>
      </c>
    </row>
    <row r="65" spans="2:34" ht="12" x14ac:dyDescent="0.25">
      <c r="B65" s="8">
        <v>46210</v>
      </c>
      <c r="C65" s="7">
        <f>WEEKNUM(Table1[[#This Row],[Date]])</f>
        <v>28</v>
      </c>
      <c r="D65" s="5" t="s">
        <v>75</v>
      </c>
      <c r="E65" s="10" t="s">
        <v>71</v>
      </c>
      <c r="F65" s="7" t="s">
        <v>21</v>
      </c>
      <c r="H65" s="7">
        <v>1000</v>
      </c>
      <c r="I65" s="7">
        <v>266</v>
      </c>
      <c r="J65" s="7">
        <v>3.2</v>
      </c>
      <c r="K65" s="7">
        <v>737</v>
      </c>
      <c r="L65" s="7">
        <v>28</v>
      </c>
      <c r="N65" s="7">
        <v>30</v>
      </c>
      <c r="O65" s="7">
        <v>88</v>
      </c>
      <c r="P65" s="7">
        <v>0</v>
      </c>
      <c r="Q65" s="7">
        <v>0</v>
      </c>
      <c r="S65" s="7">
        <v>4</v>
      </c>
      <c r="T65" s="7">
        <v>8</v>
      </c>
      <c r="U65" s="7">
        <v>3</v>
      </c>
      <c r="W65" s="7">
        <v>4</v>
      </c>
      <c r="X65" s="7">
        <v>98</v>
      </c>
      <c r="Y65" s="7">
        <f>SUM(Table1[[#This Row],[Good Kernels  (g)]:[Husk  (g)]])</f>
        <v>1000</v>
      </c>
      <c r="Z65" s="9">
        <f>IFERROR(Table1[[#This Row],[Good Kernels  (g)]]/Table1[[#This Row],[Sample Qty  (g)]],"")</f>
        <v>0.73699999999999999</v>
      </c>
      <c r="AA65" s="9">
        <f>IFERROR(SUM(Table1[[#This Row],[Pieces  (g)]:[Butts (g)]])/Table1[[#This Row],[Sample Qty  (g)]],"")</f>
        <v>2.8000000000000001E-2</v>
      </c>
      <c r="AB65" s="9">
        <f>IFERROR(Table1[[#This Row],[Scorched (g)]]/Table1[[#This Row],[Sample Qty  (g)]],"")</f>
        <v>0.03</v>
      </c>
      <c r="AC65" s="9">
        <f>IFERROR(SUM(Table1[[#This Row],[Spotted  (g)]:[PUK3  (g)]])/Table1[[#This Row],[Sample Qty  (g)]],"")</f>
        <v>8.7999999999999995E-2</v>
      </c>
      <c r="AD65" s="9">
        <f>IFERROR(SUM(R65,Q65)/Table1[[#This Row],[Sample Qty  (g)]],"")</f>
        <v>0</v>
      </c>
      <c r="AE65" s="9">
        <f>IFERROR(Table1[[#This Row],[Dessert/NW  (g)]]/Table1[[#This Row],[Sample Qty  (g)]],"")</f>
        <v>4.0000000000000001E-3</v>
      </c>
      <c r="AF65" s="9">
        <f>IFERROR(SUM(Table1[[#This Row],[Oil  (g)]:[Dirty  (g)]])/Table1[[#This Row],[Sample Qty  (g)]],"")</f>
        <v>1.0999999999999999E-2</v>
      </c>
      <c r="AG65" s="9">
        <f>IFERROR(Table1[[#This Row],[Rejection  (g)]]/Table1[[#This Row],[Sample Qty  (g)]],"")</f>
        <v>4.0000000000000001E-3</v>
      </c>
      <c r="AH65" s="9">
        <f>IFERROR(Table1[[#This Row],[Husk  (g)]]/Table1[[#This Row],[Sample Qty  (g)]],"")</f>
        <v>9.8000000000000004E-2</v>
      </c>
    </row>
    <row r="66" spans="2:34" ht="12" x14ac:dyDescent="0.25">
      <c r="B66" s="8">
        <v>46210</v>
      </c>
      <c r="C66" s="7">
        <f>WEEKNUM(Table1[[#This Row],[Date]])</f>
        <v>28</v>
      </c>
      <c r="D66" s="5" t="s">
        <v>75</v>
      </c>
      <c r="E66" s="10" t="s">
        <v>71</v>
      </c>
      <c r="F66" s="7" t="s">
        <v>21</v>
      </c>
      <c r="H66" s="7">
        <v>1000</v>
      </c>
      <c r="I66" s="7">
        <v>240</v>
      </c>
      <c r="J66" s="7">
        <v>3.1</v>
      </c>
      <c r="K66" s="7">
        <v>677</v>
      </c>
      <c r="L66" s="7">
        <v>34</v>
      </c>
      <c r="N66" s="7">
        <v>44</v>
      </c>
      <c r="O66" s="7">
        <v>60</v>
      </c>
      <c r="P66" s="7">
        <v>0</v>
      </c>
      <c r="Q66" s="7">
        <v>20</v>
      </c>
      <c r="S66" s="7">
        <v>15</v>
      </c>
      <c r="T66" s="7">
        <v>18</v>
      </c>
      <c r="U66" s="7">
        <v>15</v>
      </c>
      <c r="W66" s="7">
        <v>19</v>
      </c>
      <c r="X66" s="7">
        <v>98</v>
      </c>
      <c r="Y66" s="7">
        <f>SUM(Table1[[#This Row],[Good Kernels  (g)]:[Husk  (g)]])</f>
        <v>1000</v>
      </c>
      <c r="Z66" s="9">
        <f>IFERROR(Table1[[#This Row],[Good Kernels  (g)]]/Table1[[#This Row],[Sample Qty  (g)]],"")</f>
        <v>0.67700000000000005</v>
      </c>
      <c r="AA66" s="9">
        <f>IFERROR(SUM(Table1[[#This Row],[Pieces  (g)]:[Butts (g)]])/Table1[[#This Row],[Sample Qty  (g)]],"")</f>
        <v>3.4000000000000002E-2</v>
      </c>
      <c r="AB66" s="9">
        <f>IFERROR(Table1[[#This Row],[Scorched (g)]]/Table1[[#This Row],[Sample Qty  (g)]],"")</f>
        <v>4.3999999999999997E-2</v>
      </c>
      <c r="AC66" s="9">
        <f>IFERROR(SUM(Table1[[#This Row],[Spotted  (g)]:[PUK3  (g)]])/Table1[[#This Row],[Sample Qty  (g)]],"")</f>
        <v>0.06</v>
      </c>
      <c r="AD66" s="9">
        <f>IFERROR(SUM(R66,Q66)/Table1[[#This Row],[Sample Qty  (g)]],"")</f>
        <v>0.02</v>
      </c>
      <c r="AE66" s="9">
        <f>IFERROR(Table1[[#This Row],[Dessert/NW  (g)]]/Table1[[#This Row],[Sample Qty  (g)]],"")</f>
        <v>1.4999999999999999E-2</v>
      </c>
      <c r="AF66" s="9">
        <f>IFERROR(SUM(Table1[[#This Row],[Oil  (g)]:[Dirty  (g)]])/Table1[[#This Row],[Sample Qty  (g)]],"")</f>
        <v>3.3000000000000002E-2</v>
      </c>
      <c r="AG66" s="9">
        <f>IFERROR(Table1[[#This Row],[Rejection  (g)]]/Table1[[#This Row],[Sample Qty  (g)]],"")</f>
        <v>1.9E-2</v>
      </c>
      <c r="AH66" s="9">
        <f>IFERROR(Table1[[#This Row],[Husk  (g)]]/Table1[[#This Row],[Sample Qty  (g)]],"")</f>
        <v>9.8000000000000004E-2</v>
      </c>
    </row>
    <row r="67" spans="2:34" ht="12" x14ac:dyDescent="0.25">
      <c r="B67" s="8">
        <v>46210</v>
      </c>
      <c r="C67" s="7">
        <f>WEEKNUM(Table1[[#This Row],[Date]])</f>
        <v>28</v>
      </c>
      <c r="D67" s="5" t="s">
        <v>75</v>
      </c>
      <c r="E67" s="10" t="s">
        <v>71</v>
      </c>
      <c r="F67" s="7" t="s">
        <v>21</v>
      </c>
      <c r="H67" s="7">
        <v>1000</v>
      </c>
      <c r="I67" s="7">
        <v>298</v>
      </c>
      <c r="J67" s="7">
        <v>3.1</v>
      </c>
      <c r="K67" s="7">
        <v>702</v>
      </c>
      <c r="L67" s="7">
        <v>36</v>
      </c>
      <c r="N67" s="7">
        <v>56</v>
      </c>
      <c r="O67" s="7">
        <v>40</v>
      </c>
      <c r="P67" s="7">
        <v>0</v>
      </c>
      <c r="Q67" s="7">
        <v>20</v>
      </c>
      <c r="S67" s="7">
        <v>12</v>
      </c>
      <c r="T67" s="7">
        <v>16</v>
      </c>
      <c r="U67" s="7">
        <v>20</v>
      </c>
      <c r="W67" s="7">
        <v>12</v>
      </c>
      <c r="X67" s="7">
        <v>86</v>
      </c>
      <c r="Y67" s="7">
        <f>SUM(Table1[[#This Row],[Good Kernels  (g)]:[Husk  (g)]])</f>
        <v>1000</v>
      </c>
      <c r="Z67" s="9">
        <f>IFERROR(Table1[[#This Row],[Good Kernels  (g)]]/Table1[[#This Row],[Sample Qty  (g)]],"")</f>
        <v>0.70199999999999996</v>
      </c>
      <c r="AA67" s="9">
        <f>IFERROR(SUM(Table1[[#This Row],[Pieces  (g)]:[Butts (g)]])/Table1[[#This Row],[Sample Qty  (g)]],"")</f>
        <v>3.5999999999999997E-2</v>
      </c>
      <c r="AB67" s="9">
        <f>IFERROR(Table1[[#This Row],[Scorched (g)]]/Table1[[#This Row],[Sample Qty  (g)]],"")</f>
        <v>5.6000000000000001E-2</v>
      </c>
      <c r="AC67" s="9">
        <f>IFERROR(SUM(Table1[[#This Row],[Spotted  (g)]:[PUK3  (g)]])/Table1[[#This Row],[Sample Qty  (g)]],"")</f>
        <v>0.04</v>
      </c>
      <c r="AD67" s="9">
        <f>IFERROR(SUM(R67,Q67)/Table1[[#This Row],[Sample Qty  (g)]],"")</f>
        <v>0.02</v>
      </c>
      <c r="AE67" s="9">
        <f>IFERROR(Table1[[#This Row],[Dessert/NW  (g)]]/Table1[[#This Row],[Sample Qty  (g)]],"")</f>
        <v>1.2E-2</v>
      </c>
      <c r="AF67" s="9">
        <f>IFERROR(SUM(Table1[[#This Row],[Oil  (g)]:[Dirty  (g)]])/Table1[[#This Row],[Sample Qty  (g)]],"")</f>
        <v>3.5999999999999997E-2</v>
      </c>
      <c r="AG67" s="9">
        <f>IFERROR(Table1[[#This Row],[Rejection  (g)]]/Table1[[#This Row],[Sample Qty  (g)]],"")</f>
        <v>1.2E-2</v>
      </c>
      <c r="AH67" s="9">
        <f>IFERROR(Table1[[#This Row],[Husk  (g)]]/Table1[[#This Row],[Sample Qty  (g)]],"")</f>
        <v>8.5999999999999993E-2</v>
      </c>
    </row>
    <row r="68" spans="2:34" ht="12" x14ac:dyDescent="0.25">
      <c r="B68" s="8">
        <v>46211</v>
      </c>
      <c r="C68" s="7">
        <f>WEEKNUM(Table1[[#This Row],[Date]])</f>
        <v>28</v>
      </c>
      <c r="D68" s="5" t="s">
        <v>76</v>
      </c>
      <c r="E68" s="10" t="s">
        <v>71</v>
      </c>
      <c r="F68" s="7" t="s">
        <v>21</v>
      </c>
      <c r="H68" s="7">
        <v>1000</v>
      </c>
      <c r="I68" s="7">
        <v>240</v>
      </c>
      <c r="J68" s="7">
        <v>3.2</v>
      </c>
      <c r="K68" s="7">
        <v>668</v>
      </c>
      <c r="L68" s="7">
        <v>40</v>
      </c>
      <c r="N68" s="7">
        <v>69</v>
      </c>
      <c r="O68" s="7">
        <v>96</v>
      </c>
      <c r="P68" s="7">
        <v>0</v>
      </c>
      <c r="Q68" s="7">
        <v>2</v>
      </c>
      <c r="S68" s="7">
        <v>3</v>
      </c>
      <c r="T68" s="7">
        <v>4</v>
      </c>
      <c r="U68" s="7">
        <v>12</v>
      </c>
      <c r="W68" s="7">
        <v>8</v>
      </c>
      <c r="X68" s="7">
        <v>98</v>
      </c>
      <c r="Y68" s="7">
        <f>SUM(Table1[[#This Row],[Good Kernels  (g)]:[Husk  (g)]])</f>
        <v>1000</v>
      </c>
      <c r="Z68" s="9">
        <f>IFERROR(Table1[[#This Row],[Good Kernels  (g)]]/Table1[[#This Row],[Sample Qty  (g)]],"")</f>
        <v>0.66800000000000004</v>
      </c>
      <c r="AA68" s="9">
        <f>IFERROR(SUM(Table1[[#This Row],[Pieces  (g)]:[Butts (g)]])/Table1[[#This Row],[Sample Qty  (g)]],"")</f>
        <v>0.04</v>
      </c>
      <c r="AB68" s="9">
        <f>IFERROR(Table1[[#This Row],[Scorched (g)]]/Table1[[#This Row],[Sample Qty  (g)]],"")</f>
        <v>6.9000000000000006E-2</v>
      </c>
      <c r="AC68" s="9">
        <f>IFERROR(SUM(Table1[[#This Row],[Spotted  (g)]:[PUK3  (g)]])/Table1[[#This Row],[Sample Qty  (g)]],"")</f>
        <v>9.6000000000000002E-2</v>
      </c>
      <c r="AD68" s="9">
        <f>IFERROR(SUM(R68,Q68)/Table1[[#This Row],[Sample Qty  (g)]],"")</f>
        <v>2E-3</v>
      </c>
      <c r="AE68" s="9">
        <f>IFERROR(Table1[[#This Row],[Dessert/NW  (g)]]/Table1[[#This Row],[Sample Qty  (g)]],"")</f>
        <v>3.0000000000000001E-3</v>
      </c>
      <c r="AF68" s="9">
        <f>IFERROR(SUM(Table1[[#This Row],[Oil  (g)]:[Dirty  (g)]])/Table1[[#This Row],[Sample Qty  (g)]],"")</f>
        <v>1.6E-2</v>
      </c>
      <c r="AG68" s="9">
        <f>IFERROR(Table1[[#This Row],[Rejection  (g)]]/Table1[[#This Row],[Sample Qty  (g)]],"")</f>
        <v>8.0000000000000002E-3</v>
      </c>
      <c r="AH68" s="9">
        <f>IFERROR(Table1[[#This Row],[Husk  (g)]]/Table1[[#This Row],[Sample Qty  (g)]],"")</f>
        <v>9.8000000000000004E-2</v>
      </c>
    </row>
    <row r="69" spans="2:34" ht="12" x14ac:dyDescent="0.25">
      <c r="B69" s="8">
        <v>46211</v>
      </c>
      <c r="C69" s="7">
        <f>WEEKNUM(Table1[[#This Row],[Date]])</f>
        <v>28</v>
      </c>
      <c r="D69" s="5" t="s">
        <v>76</v>
      </c>
      <c r="E69" s="10" t="s">
        <v>71</v>
      </c>
      <c r="F69" s="7" t="s">
        <v>21</v>
      </c>
      <c r="H69" s="7">
        <v>1000</v>
      </c>
      <c r="I69" s="7">
        <v>270</v>
      </c>
      <c r="J69" s="7">
        <v>3.2</v>
      </c>
      <c r="K69" s="7">
        <v>688</v>
      </c>
      <c r="L69" s="7">
        <v>16</v>
      </c>
      <c r="N69" s="7">
        <v>68</v>
      </c>
      <c r="O69" s="7">
        <v>80</v>
      </c>
      <c r="P69" s="7">
        <v>0</v>
      </c>
      <c r="Q69" s="7">
        <v>2</v>
      </c>
      <c r="S69" s="7">
        <v>12</v>
      </c>
      <c r="T69" s="7">
        <v>8</v>
      </c>
      <c r="U69" s="7">
        <v>8</v>
      </c>
      <c r="W69" s="7">
        <v>20</v>
      </c>
      <c r="X69" s="7">
        <v>98</v>
      </c>
      <c r="Y69" s="7">
        <f>SUM(Table1[[#This Row],[Good Kernels  (g)]:[Husk  (g)]])</f>
        <v>1000</v>
      </c>
      <c r="Z69" s="9">
        <f>IFERROR(Table1[[#This Row],[Good Kernels  (g)]]/Table1[[#This Row],[Sample Qty  (g)]],"")</f>
        <v>0.68799999999999994</v>
      </c>
      <c r="AA69" s="9">
        <f>IFERROR(SUM(Table1[[#This Row],[Pieces  (g)]:[Butts (g)]])/Table1[[#This Row],[Sample Qty  (g)]],"")</f>
        <v>1.6E-2</v>
      </c>
      <c r="AB69" s="9">
        <f>IFERROR(Table1[[#This Row],[Scorched (g)]]/Table1[[#This Row],[Sample Qty  (g)]],"")</f>
        <v>6.8000000000000005E-2</v>
      </c>
      <c r="AC69" s="9">
        <f>IFERROR(SUM(Table1[[#This Row],[Spotted  (g)]:[PUK3  (g)]])/Table1[[#This Row],[Sample Qty  (g)]],"")</f>
        <v>0.08</v>
      </c>
      <c r="AD69" s="9">
        <f>IFERROR(SUM(R69,Q69)/Table1[[#This Row],[Sample Qty  (g)]],"")</f>
        <v>2E-3</v>
      </c>
      <c r="AE69" s="9">
        <f>IFERROR(Table1[[#This Row],[Dessert/NW  (g)]]/Table1[[#This Row],[Sample Qty  (g)]],"")</f>
        <v>1.2E-2</v>
      </c>
      <c r="AF69" s="9">
        <f>IFERROR(SUM(Table1[[#This Row],[Oil  (g)]:[Dirty  (g)]])/Table1[[#This Row],[Sample Qty  (g)]],"")</f>
        <v>1.6E-2</v>
      </c>
      <c r="AG69" s="9">
        <f>IFERROR(Table1[[#This Row],[Rejection  (g)]]/Table1[[#This Row],[Sample Qty  (g)]],"")</f>
        <v>0.02</v>
      </c>
      <c r="AH69" s="9">
        <f>IFERROR(Table1[[#This Row],[Husk  (g)]]/Table1[[#This Row],[Sample Qty  (g)]],"")</f>
        <v>9.8000000000000004E-2</v>
      </c>
    </row>
    <row r="70" spans="2:34" ht="12" x14ac:dyDescent="0.25">
      <c r="B70" s="8">
        <v>46211</v>
      </c>
      <c r="C70" s="7">
        <f>WEEKNUM(Table1[[#This Row],[Date]])</f>
        <v>28</v>
      </c>
      <c r="D70" s="5" t="s">
        <v>76</v>
      </c>
      <c r="E70" s="10" t="s">
        <v>71</v>
      </c>
      <c r="F70" s="7" t="s">
        <v>21</v>
      </c>
      <c r="H70" s="7">
        <v>1000</v>
      </c>
      <c r="I70" s="7">
        <v>262</v>
      </c>
      <c r="J70" s="7">
        <v>3.3</v>
      </c>
      <c r="K70" s="7">
        <v>628</v>
      </c>
      <c r="L70" s="7">
        <v>68</v>
      </c>
      <c r="N70" s="7">
        <v>40</v>
      </c>
      <c r="O70" s="7">
        <v>120</v>
      </c>
      <c r="P70" s="7">
        <v>0</v>
      </c>
      <c r="Q70" s="7">
        <v>6</v>
      </c>
      <c r="S70" s="7">
        <v>12</v>
      </c>
      <c r="T70" s="7">
        <v>14</v>
      </c>
      <c r="U70" s="7">
        <v>12</v>
      </c>
      <c r="W70" s="7">
        <v>8</v>
      </c>
      <c r="X70" s="7">
        <v>92</v>
      </c>
      <c r="Y70" s="7">
        <f>SUM(Table1[[#This Row],[Good Kernels  (g)]:[Husk  (g)]])</f>
        <v>1000</v>
      </c>
      <c r="Z70" s="9">
        <f>IFERROR(Table1[[#This Row],[Good Kernels  (g)]]/Table1[[#This Row],[Sample Qty  (g)]],"")</f>
        <v>0.628</v>
      </c>
      <c r="AA70" s="9">
        <f>IFERROR(SUM(Table1[[#This Row],[Pieces  (g)]:[Butts (g)]])/Table1[[#This Row],[Sample Qty  (g)]],"")</f>
        <v>6.8000000000000005E-2</v>
      </c>
      <c r="AB70" s="9">
        <f>IFERROR(Table1[[#This Row],[Scorched (g)]]/Table1[[#This Row],[Sample Qty  (g)]],"")</f>
        <v>0.04</v>
      </c>
      <c r="AC70" s="9">
        <f>IFERROR(SUM(Table1[[#This Row],[Spotted  (g)]:[PUK3  (g)]])/Table1[[#This Row],[Sample Qty  (g)]],"")</f>
        <v>0.12</v>
      </c>
      <c r="AD70" s="9">
        <f>IFERROR(SUM(R70,Q70)/Table1[[#This Row],[Sample Qty  (g)]],"")</f>
        <v>6.0000000000000001E-3</v>
      </c>
      <c r="AE70" s="9">
        <f>IFERROR(Table1[[#This Row],[Dessert/NW  (g)]]/Table1[[#This Row],[Sample Qty  (g)]],"")</f>
        <v>1.2E-2</v>
      </c>
      <c r="AF70" s="9">
        <f>IFERROR(SUM(Table1[[#This Row],[Oil  (g)]:[Dirty  (g)]])/Table1[[#This Row],[Sample Qty  (g)]],"")</f>
        <v>2.5999999999999999E-2</v>
      </c>
      <c r="AG70" s="9">
        <f>IFERROR(Table1[[#This Row],[Rejection  (g)]]/Table1[[#This Row],[Sample Qty  (g)]],"")</f>
        <v>8.0000000000000002E-3</v>
      </c>
      <c r="AH70" s="9">
        <f>IFERROR(Table1[[#This Row],[Husk  (g)]]/Table1[[#This Row],[Sample Qty  (g)]],"")</f>
        <v>9.1999999999999998E-2</v>
      </c>
    </row>
    <row r="71" spans="2:34" ht="12" x14ac:dyDescent="0.25">
      <c r="B71" s="8">
        <v>46211</v>
      </c>
      <c r="C71" s="7">
        <f>WEEKNUM(Table1[[#This Row],[Date]])</f>
        <v>28</v>
      </c>
      <c r="D71" s="5" t="s">
        <v>76</v>
      </c>
      <c r="E71" s="10" t="s">
        <v>71</v>
      </c>
      <c r="F71" s="7" t="s">
        <v>21</v>
      </c>
      <c r="H71" s="7">
        <v>1000</v>
      </c>
      <c r="I71" s="7">
        <v>252</v>
      </c>
      <c r="J71" s="7">
        <v>3.2</v>
      </c>
      <c r="K71" s="7">
        <v>550</v>
      </c>
      <c r="L71" s="7">
        <v>76</v>
      </c>
      <c r="N71" s="7">
        <v>56</v>
      </c>
      <c r="O71" s="7">
        <v>108</v>
      </c>
      <c r="P71" s="7">
        <v>0</v>
      </c>
      <c r="Q71" s="7">
        <v>2</v>
      </c>
      <c r="S71" s="7">
        <v>20</v>
      </c>
      <c r="T71" s="7">
        <v>8</v>
      </c>
      <c r="U71" s="7">
        <v>20</v>
      </c>
      <c r="W71" s="7">
        <v>64</v>
      </c>
      <c r="X71" s="7">
        <v>96</v>
      </c>
      <c r="Y71" s="7">
        <f>SUM(Table1[[#This Row],[Good Kernels  (g)]:[Husk  (g)]])</f>
        <v>1000</v>
      </c>
      <c r="Z71" s="9">
        <f>IFERROR(Table1[[#This Row],[Good Kernels  (g)]]/Table1[[#This Row],[Sample Qty  (g)]],"")</f>
        <v>0.55000000000000004</v>
      </c>
      <c r="AA71" s="9">
        <f>IFERROR(SUM(Table1[[#This Row],[Pieces  (g)]:[Butts (g)]])/Table1[[#This Row],[Sample Qty  (g)]],"")</f>
        <v>7.5999999999999998E-2</v>
      </c>
      <c r="AB71" s="9">
        <f>IFERROR(Table1[[#This Row],[Scorched (g)]]/Table1[[#This Row],[Sample Qty  (g)]],"")</f>
        <v>5.6000000000000001E-2</v>
      </c>
      <c r="AC71" s="9">
        <f>IFERROR(SUM(Table1[[#This Row],[Spotted  (g)]:[PUK3  (g)]])/Table1[[#This Row],[Sample Qty  (g)]],"")</f>
        <v>0.108</v>
      </c>
      <c r="AD71" s="9">
        <f>IFERROR(SUM(R71,Q71)/Table1[[#This Row],[Sample Qty  (g)]],"")</f>
        <v>2E-3</v>
      </c>
      <c r="AE71" s="9">
        <f>IFERROR(Table1[[#This Row],[Dessert/NW  (g)]]/Table1[[#This Row],[Sample Qty  (g)]],"")</f>
        <v>0.02</v>
      </c>
      <c r="AF71" s="9">
        <f>IFERROR(SUM(Table1[[#This Row],[Oil  (g)]:[Dirty  (g)]])/Table1[[#This Row],[Sample Qty  (g)]],"")</f>
        <v>2.8000000000000001E-2</v>
      </c>
      <c r="AG71" s="9">
        <f>IFERROR(Table1[[#This Row],[Rejection  (g)]]/Table1[[#This Row],[Sample Qty  (g)]],"")</f>
        <v>6.4000000000000001E-2</v>
      </c>
      <c r="AH71" s="9">
        <f>IFERROR(Table1[[#This Row],[Husk  (g)]]/Table1[[#This Row],[Sample Qty  (g)]],"")</f>
        <v>9.6000000000000002E-2</v>
      </c>
    </row>
    <row r="72" spans="2:34" ht="12" x14ac:dyDescent="0.25">
      <c r="B72" s="8">
        <v>46211</v>
      </c>
      <c r="C72" s="7">
        <f>WEEKNUM(Table1[[#This Row],[Date]])</f>
        <v>28</v>
      </c>
      <c r="D72" s="5" t="s">
        <v>76</v>
      </c>
      <c r="E72" s="10" t="s">
        <v>71</v>
      </c>
      <c r="F72" s="7" t="s">
        <v>21</v>
      </c>
      <c r="H72" s="7">
        <v>1000</v>
      </c>
      <c r="I72" s="7">
        <v>240</v>
      </c>
      <c r="J72" s="7">
        <v>3.2</v>
      </c>
      <c r="K72" s="7">
        <v>655</v>
      </c>
      <c r="L72" s="7">
        <v>60</v>
      </c>
      <c r="N72" s="7">
        <v>80</v>
      </c>
      <c r="O72" s="7">
        <v>80</v>
      </c>
      <c r="P72" s="7">
        <v>0</v>
      </c>
      <c r="Q72" s="7">
        <v>16</v>
      </c>
      <c r="S72" s="7">
        <v>4</v>
      </c>
      <c r="T72" s="7">
        <v>4</v>
      </c>
      <c r="U72" s="7">
        <v>3</v>
      </c>
      <c r="W72" s="7">
        <v>10</v>
      </c>
      <c r="X72" s="7">
        <v>88</v>
      </c>
      <c r="Y72" s="7">
        <f>SUM(Table1[[#This Row],[Good Kernels  (g)]:[Husk  (g)]])</f>
        <v>1000</v>
      </c>
      <c r="Z72" s="9">
        <f>IFERROR(Table1[[#This Row],[Good Kernels  (g)]]/Table1[[#This Row],[Sample Qty  (g)]],"")</f>
        <v>0.65500000000000003</v>
      </c>
      <c r="AA72" s="9">
        <f>IFERROR(SUM(Table1[[#This Row],[Pieces  (g)]:[Butts (g)]])/Table1[[#This Row],[Sample Qty  (g)]],"")</f>
        <v>0.06</v>
      </c>
      <c r="AB72" s="9">
        <f>IFERROR(Table1[[#This Row],[Scorched (g)]]/Table1[[#This Row],[Sample Qty  (g)]],"")</f>
        <v>0.08</v>
      </c>
      <c r="AC72" s="9">
        <f>IFERROR(SUM(Table1[[#This Row],[Spotted  (g)]:[PUK3  (g)]])/Table1[[#This Row],[Sample Qty  (g)]],"")</f>
        <v>0.08</v>
      </c>
      <c r="AD72" s="9">
        <f>IFERROR(SUM(R72,Q72)/Table1[[#This Row],[Sample Qty  (g)]],"")</f>
        <v>1.6E-2</v>
      </c>
      <c r="AE72" s="9">
        <f>IFERROR(Table1[[#This Row],[Dessert/NW  (g)]]/Table1[[#This Row],[Sample Qty  (g)]],"")</f>
        <v>4.0000000000000001E-3</v>
      </c>
      <c r="AF72" s="9">
        <f>IFERROR(SUM(Table1[[#This Row],[Oil  (g)]:[Dirty  (g)]])/Table1[[#This Row],[Sample Qty  (g)]],"")</f>
        <v>7.0000000000000001E-3</v>
      </c>
      <c r="AG72" s="9">
        <f>IFERROR(Table1[[#This Row],[Rejection  (g)]]/Table1[[#This Row],[Sample Qty  (g)]],"")</f>
        <v>0.01</v>
      </c>
      <c r="AH72" s="9">
        <f>IFERROR(Table1[[#This Row],[Husk  (g)]]/Table1[[#This Row],[Sample Qty  (g)]],"")</f>
        <v>8.7999999999999995E-2</v>
      </c>
    </row>
    <row r="73" spans="2:34" ht="12" x14ac:dyDescent="0.25">
      <c r="B73" s="8">
        <v>46211</v>
      </c>
      <c r="C73" s="7">
        <f>WEEKNUM(Table1[[#This Row],[Date]])</f>
        <v>28</v>
      </c>
      <c r="D73" s="5" t="s">
        <v>76</v>
      </c>
      <c r="E73" s="10" t="s">
        <v>71</v>
      </c>
      <c r="F73" s="7" t="s">
        <v>21</v>
      </c>
      <c r="H73" s="7">
        <v>1000</v>
      </c>
      <c r="I73" s="7">
        <v>254</v>
      </c>
      <c r="J73" s="7">
        <v>3.3</v>
      </c>
      <c r="K73" s="7">
        <v>667</v>
      </c>
      <c r="L73" s="7">
        <v>48</v>
      </c>
      <c r="N73" s="7">
        <v>54</v>
      </c>
      <c r="O73" s="7">
        <v>76</v>
      </c>
      <c r="P73" s="7">
        <v>0</v>
      </c>
      <c r="Q73" s="7">
        <v>32</v>
      </c>
      <c r="S73" s="7">
        <v>12</v>
      </c>
      <c r="T73" s="7">
        <v>4</v>
      </c>
      <c r="U73" s="7">
        <v>3</v>
      </c>
      <c r="W73" s="7">
        <v>12</v>
      </c>
      <c r="X73" s="7">
        <v>92</v>
      </c>
      <c r="Y73" s="7">
        <f>SUM(Table1[[#This Row],[Good Kernels  (g)]:[Husk  (g)]])</f>
        <v>1000</v>
      </c>
      <c r="Z73" s="9">
        <f>IFERROR(Table1[[#This Row],[Good Kernels  (g)]]/Table1[[#This Row],[Sample Qty  (g)]],"")</f>
        <v>0.66700000000000004</v>
      </c>
      <c r="AA73" s="9">
        <f>IFERROR(SUM(Table1[[#This Row],[Pieces  (g)]:[Butts (g)]])/Table1[[#This Row],[Sample Qty  (g)]],"")</f>
        <v>4.8000000000000001E-2</v>
      </c>
      <c r="AB73" s="9">
        <f>IFERROR(Table1[[#This Row],[Scorched (g)]]/Table1[[#This Row],[Sample Qty  (g)]],"")</f>
        <v>5.3999999999999999E-2</v>
      </c>
      <c r="AC73" s="9">
        <f>IFERROR(SUM(Table1[[#This Row],[Spotted  (g)]:[PUK3  (g)]])/Table1[[#This Row],[Sample Qty  (g)]],"")</f>
        <v>7.5999999999999998E-2</v>
      </c>
      <c r="AD73" s="9">
        <f>IFERROR(SUM(R73,Q73)/Table1[[#This Row],[Sample Qty  (g)]],"")</f>
        <v>3.2000000000000001E-2</v>
      </c>
      <c r="AE73" s="9">
        <f>IFERROR(Table1[[#This Row],[Dessert/NW  (g)]]/Table1[[#This Row],[Sample Qty  (g)]],"")</f>
        <v>1.2E-2</v>
      </c>
      <c r="AF73" s="9">
        <f>IFERROR(SUM(Table1[[#This Row],[Oil  (g)]:[Dirty  (g)]])/Table1[[#This Row],[Sample Qty  (g)]],"")</f>
        <v>7.0000000000000001E-3</v>
      </c>
      <c r="AG73" s="9">
        <f>IFERROR(Table1[[#This Row],[Rejection  (g)]]/Table1[[#This Row],[Sample Qty  (g)]],"")</f>
        <v>1.2E-2</v>
      </c>
      <c r="AH73" s="9">
        <f>IFERROR(Table1[[#This Row],[Husk  (g)]]/Table1[[#This Row],[Sample Qty  (g)]],"")</f>
        <v>9.1999999999999998E-2</v>
      </c>
    </row>
    <row r="74" spans="2:34" ht="12" x14ac:dyDescent="0.25">
      <c r="B74" s="8">
        <v>46211</v>
      </c>
      <c r="C74" s="7">
        <f>WEEKNUM(Table1[[#This Row],[Date]])</f>
        <v>28</v>
      </c>
      <c r="D74" s="5" t="s">
        <v>76</v>
      </c>
      <c r="E74" s="10" t="s">
        <v>71</v>
      </c>
      <c r="F74" s="7" t="s">
        <v>21</v>
      </c>
      <c r="H74" s="7">
        <v>1000</v>
      </c>
      <c r="I74" s="7">
        <v>260</v>
      </c>
      <c r="J74" s="7">
        <v>3.3</v>
      </c>
      <c r="K74" s="7">
        <v>681</v>
      </c>
      <c r="L74" s="7">
        <v>28</v>
      </c>
      <c r="N74" s="7">
        <v>60</v>
      </c>
      <c r="O74" s="7">
        <v>72</v>
      </c>
      <c r="P74" s="7">
        <v>0</v>
      </c>
      <c r="Q74" s="7">
        <v>2</v>
      </c>
      <c r="S74" s="7">
        <v>44</v>
      </c>
      <c r="T74" s="7">
        <v>4</v>
      </c>
      <c r="U74" s="7">
        <v>3</v>
      </c>
      <c r="W74" s="7">
        <v>8</v>
      </c>
      <c r="X74" s="7">
        <v>98</v>
      </c>
      <c r="Y74" s="7">
        <f>SUM(Table1[[#This Row],[Good Kernels  (g)]:[Husk  (g)]])</f>
        <v>1000</v>
      </c>
      <c r="Z74" s="9">
        <f>IFERROR(Table1[[#This Row],[Good Kernels  (g)]]/Table1[[#This Row],[Sample Qty  (g)]],"")</f>
        <v>0.68100000000000005</v>
      </c>
      <c r="AA74" s="9">
        <f>IFERROR(SUM(Table1[[#This Row],[Pieces  (g)]:[Butts (g)]])/Table1[[#This Row],[Sample Qty  (g)]],"")</f>
        <v>2.8000000000000001E-2</v>
      </c>
      <c r="AB74" s="9">
        <f>IFERROR(Table1[[#This Row],[Scorched (g)]]/Table1[[#This Row],[Sample Qty  (g)]],"")</f>
        <v>0.06</v>
      </c>
      <c r="AC74" s="9">
        <f>IFERROR(SUM(Table1[[#This Row],[Spotted  (g)]:[PUK3  (g)]])/Table1[[#This Row],[Sample Qty  (g)]],"")</f>
        <v>7.1999999999999995E-2</v>
      </c>
      <c r="AD74" s="9">
        <f>IFERROR(SUM(R74,Q74)/Table1[[#This Row],[Sample Qty  (g)]],"")</f>
        <v>2E-3</v>
      </c>
      <c r="AE74" s="9">
        <f>IFERROR(Table1[[#This Row],[Dessert/NW  (g)]]/Table1[[#This Row],[Sample Qty  (g)]],"")</f>
        <v>4.3999999999999997E-2</v>
      </c>
      <c r="AF74" s="9">
        <f>IFERROR(SUM(Table1[[#This Row],[Oil  (g)]:[Dirty  (g)]])/Table1[[#This Row],[Sample Qty  (g)]],"")</f>
        <v>7.0000000000000001E-3</v>
      </c>
      <c r="AG74" s="9">
        <f>IFERROR(Table1[[#This Row],[Rejection  (g)]]/Table1[[#This Row],[Sample Qty  (g)]],"")</f>
        <v>8.0000000000000002E-3</v>
      </c>
      <c r="AH74" s="9">
        <f>IFERROR(Table1[[#This Row],[Husk  (g)]]/Table1[[#This Row],[Sample Qty  (g)]],"")</f>
        <v>9.8000000000000004E-2</v>
      </c>
    </row>
    <row r="75" spans="2:34" ht="12" x14ac:dyDescent="0.25">
      <c r="B75" s="8">
        <v>46211</v>
      </c>
      <c r="C75" s="7">
        <f>WEEKNUM(Table1[[#This Row],[Date]])</f>
        <v>28</v>
      </c>
      <c r="D75" s="5" t="s">
        <v>76</v>
      </c>
      <c r="E75" s="10" t="s">
        <v>71</v>
      </c>
      <c r="F75" s="7" t="s">
        <v>21</v>
      </c>
      <c r="H75" s="7">
        <v>1000</v>
      </c>
      <c r="I75" s="7">
        <v>286</v>
      </c>
      <c r="J75" s="7">
        <v>3.3</v>
      </c>
      <c r="K75" s="7">
        <v>654</v>
      </c>
      <c r="L75" s="7">
        <v>20</v>
      </c>
      <c r="N75" s="7">
        <v>56</v>
      </c>
      <c r="O75" s="7">
        <v>108</v>
      </c>
      <c r="P75" s="7">
        <v>0</v>
      </c>
      <c r="Q75" s="7">
        <v>28</v>
      </c>
      <c r="S75" s="7">
        <v>4</v>
      </c>
      <c r="T75" s="7">
        <v>8</v>
      </c>
      <c r="U75" s="7">
        <v>12</v>
      </c>
      <c r="W75" s="7">
        <v>12</v>
      </c>
      <c r="X75" s="7">
        <v>98</v>
      </c>
      <c r="Y75" s="7">
        <f>SUM(Table1[[#This Row],[Good Kernels  (g)]:[Husk  (g)]])</f>
        <v>1000</v>
      </c>
      <c r="Z75" s="9">
        <f>IFERROR(Table1[[#This Row],[Good Kernels  (g)]]/Table1[[#This Row],[Sample Qty  (g)]],"")</f>
        <v>0.65400000000000003</v>
      </c>
      <c r="AA75" s="9">
        <f>IFERROR(SUM(Table1[[#This Row],[Pieces  (g)]:[Butts (g)]])/Table1[[#This Row],[Sample Qty  (g)]],"")</f>
        <v>0.02</v>
      </c>
      <c r="AB75" s="9">
        <f>IFERROR(Table1[[#This Row],[Scorched (g)]]/Table1[[#This Row],[Sample Qty  (g)]],"")</f>
        <v>5.6000000000000001E-2</v>
      </c>
      <c r="AC75" s="9">
        <f>IFERROR(SUM(Table1[[#This Row],[Spotted  (g)]:[PUK3  (g)]])/Table1[[#This Row],[Sample Qty  (g)]],"")</f>
        <v>0.108</v>
      </c>
      <c r="AD75" s="9">
        <f>IFERROR(SUM(R75,Q75)/Table1[[#This Row],[Sample Qty  (g)]],"")</f>
        <v>2.8000000000000001E-2</v>
      </c>
      <c r="AE75" s="9">
        <f>IFERROR(Table1[[#This Row],[Dessert/NW  (g)]]/Table1[[#This Row],[Sample Qty  (g)]],"")</f>
        <v>4.0000000000000001E-3</v>
      </c>
      <c r="AF75" s="9">
        <f>IFERROR(SUM(Table1[[#This Row],[Oil  (g)]:[Dirty  (g)]])/Table1[[#This Row],[Sample Qty  (g)]],"")</f>
        <v>0.02</v>
      </c>
      <c r="AG75" s="9">
        <f>IFERROR(Table1[[#This Row],[Rejection  (g)]]/Table1[[#This Row],[Sample Qty  (g)]],"")</f>
        <v>1.2E-2</v>
      </c>
      <c r="AH75" s="9">
        <f>IFERROR(Table1[[#This Row],[Husk  (g)]]/Table1[[#This Row],[Sample Qty  (g)]],"")</f>
        <v>9.8000000000000004E-2</v>
      </c>
    </row>
    <row r="76" spans="2:34" ht="12" x14ac:dyDescent="0.25">
      <c r="B76" s="8">
        <v>46211</v>
      </c>
      <c r="C76" s="7">
        <f>WEEKNUM(Table1[[#This Row],[Date]])</f>
        <v>28</v>
      </c>
      <c r="D76" s="5" t="s">
        <v>76</v>
      </c>
      <c r="E76" s="10" t="s">
        <v>71</v>
      </c>
      <c r="F76" s="7" t="s">
        <v>21</v>
      </c>
      <c r="H76" s="7">
        <v>1000</v>
      </c>
      <c r="I76" s="7">
        <v>296</v>
      </c>
      <c r="J76" s="7">
        <v>3.2</v>
      </c>
      <c r="K76" s="7">
        <v>576</v>
      </c>
      <c r="L76" s="7">
        <v>108</v>
      </c>
      <c r="N76" s="7">
        <v>40</v>
      </c>
      <c r="O76" s="7">
        <v>76</v>
      </c>
      <c r="P76" s="7">
        <v>0</v>
      </c>
      <c r="Q76" s="7">
        <v>4</v>
      </c>
      <c r="S76" s="7">
        <v>24</v>
      </c>
      <c r="T76" s="7">
        <v>40</v>
      </c>
      <c r="U76" s="7">
        <v>28</v>
      </c>
      <c r="W76" s="7">
        <v>6</v>
      </c>
      <c r="X76" s="7">
        <v>98</v>
      </c>
      <c r="Y76" s="7">
        <f>SUM(Table1[[#This Row],[Good Kernels  (g)]:[Husk  (g)]])</f>
        <v>1000</v>
      </c>
      <c r="Z76" s="9">
        <f>IFERROR(Table1[[#This Row],[Good Kernels  (g)]]/Table1[[#This Row],[Sample Qty  (g)]],"")</f>
        <v>0.57599999999999996</v>
      </c>
      <c r="AA76" s="9">
        <f>IFERROR(SUM(Table1[[#This Row],[Pieces  (g)]:[Butts (g)]])/Table1[[#This Row],[Sample Qty  (g)]],"")</f>
        <v>0.108</v>
      </c>
      <c r="AB76" s="9">
        <f>IFERROR(Table1[[#This Row],[Scorched (g)]]/Table1[[#This Row],[Sample Qty  (g)]],"")</f>
        <v>0.04</v>
      </c>
      <c r="AC76" s="9">
        <f>IFERROR(SUM(Table1[[#This Row],[Spotted  (g)]:[PUK3  (g)]])/Table1[[#This Row],[Sample Qty  (g)]],"")</f>
        <v>7.5999999999999998E-2</v>
      </c>
      <c r="AD76" s="9">
        <f>IFERROR(SUM(R76,Q76)/Table1[[#This Row],[Sample Qty  (g)]],"")</f>
        <v>4.0000000000000001E-3</v>
      </c>
      <c r="AE76" s="9">
        <f>IFERROR(Table1[[#This Row],[Dessert/NW  (g)]]/Table1[[#This Row],[Sample Qty  (g)]],"")</f>
        <v>2.4E-2</v>
      </c>
      <c r="AF76" s="9">
        <f>IFERROR(SUM(Table1[[#This Row],[Oil  (g)]:[Dirty  (g)]])/Table1[[#This Row],[Sample Qty  (g)]],"")</f>
        <v>6.8000000000000005E-2</v>
      </c>
      <c r="AG76" s="9">
        <f>IFERROR(Table1[[#This Row],[Rejection  (g)]]/Table1[[#This Row],[Sample Qty  (g)]],"")</f>
        <v>6.0000000000000001E-3</v>
      </c>
      <c r="AH76" s="9">
        <f>IFERROR(Table1[[#This Row],[Husk  (g)]]/Table1[[#This Row],[Sample Qty  (g)]],"")</f>
        <v>9.8000000000000004E-2</v>
      </c>
    </row>
    <row r="77" spans="2:34" ht="12" x14ac:dyDescent="0.25">
      <c r="B77" s="8">
        <v>46211</v>
      </c>
      <c r="C77" s="7">
        <f>WEEKNUM(Table1[[#This Row],[Date]])</f>
        <v>28</v>
      </c>
      <c r="D77" s="5" t="s">
        <v>76</v>
      </c>
      <c r="E77" s="10" t="s">
        <v>71</v>
      </c>
      <c r="F77" s="7" t="s">
        <v>21</v>
      </c>
      <c r="H77" s="7">
        <v>1000</v>
      </c>
      <c r="I77" s="7">
        <v>288</v>
      </c>
      <c r="J77" s="7">
        <v>3.6</v>
      </c>
      <c r="K77" s="7">
        <v>502</v>
      </c>
      <c r="L77" s="7">
        <v>76</v>
      </c>
      <c r="N77" s="7">
        <v>96</v>
      </c>
      <c r="O77" s="7">
        <v>108</v>
      </c>
      <c r="P77" s="7">
        <v>0</v>
      </c>
      <c r="Q77" s="7">
        <v>4</v>
      </c>
      <c r="S77" s="7">
        <v>28</v>
      </c>
      <c r="T77" s="7">
        <v>40</v>
      </c>
      <c r="U77" s="7">
        <v>20</v>
      </c>
      <c r="W77" s="7">
        <v>28</v>
      </c>
      <c r="X77" s="7">
        <v>98</v>
      </c>
      <c r="Y77" s="7">
        <f>SUM(Table1[[#This Row],[Good Kernels  (g)]:[Husk  (g)]])</f>
        <v>1000</v>
      </c>
      <c r="Z77" s="9">
        <f>IFERROR(Table1[[#This Row],[Good Kernels  (g)]]/Table1[[#This Row],[Sample Qty  (g)]],"")</f>
        <v>0.502</v>
      </c>
      <c r="AA77" s="9">
        <f>IFERROR(SUM(Table1[[#This Row],[Pieces  (g)]:[Butts (g)]])/Table1[[#This Row],[Sample Qty  (g)]],"")</f>
        <v>7.5999999999999998E-2</v>
      </c>
      <c r="AB77" s="9">
        <f>IFERROR(Table1[[#This Row],[Scorched (g)]]/Table1[[#This Row],[Sample Qty  (g)]],"")</f>
        <v>9.6000000000000002E-2</v>
      </c>
      <c r="AC77" s="9">
        <f>IFERROR(SUM(Table1[[#This Row],[Spotted  (g)]:[PUK3  (g)]])/Table1[[#This Row],[Sample Qty  (g)]],"")</f>
        <v>0.108</v>
      </c>
      <c r="AD77" s="9">
        <f>IFERROR(SUM(R77,Q77)/Table1[[#This Row],[Sample Qty  (g)]],"")</f>
        <v>4.0000000000000001E-3</v>
      </c>
      <c r="AE77" s="9">
        <f>IFERROR(Table1[[#This Row],[Dessert/NW  (g)]]/Table1[[#This Row],[Sample Qty  (g)]],"")</f>
        <v>2.8000000000000001E-2</v>
      </c>
      <c r="AF77" s="9">
        <f>IFERROR(SUM(Table1[[#This Row],[Oil  (g)]:[Dirty  (g)]])/Table1[[#This Row],[Sample Qty  (g)]],"")</f>
        <v>0.06</v>
      </c>
      <c r="AG77" s="9">
        <f>IFERROR(Table1[[#This Row],[Rejection  (g)]]/Table1[[#This Row],[Sample Qty  (g)]],"")</f>
        <v>2.8000000000000001E-2</v>
      </c>
      <c r="AH77" s="9">
        <f>IFERROR(Table1[[#This Row],[Husk  (g)]]/Table1[[#This Row],[Sample Qty  (g)]],"")</f>
        <v>9.8000000000000004E-2</v>
      </c>
    </row>
    <row r="78" spans="2:34" ht="12" x14ac:dyDescent="0.25">
      <c r="B78" s="8">
        <v>46211</v>
      </c>
      <c r="C78" s="7">
        <f>WEEKNUM(Table1[[#This Row],[Date]])</f>
        <v>28</v>
      </c>
      <c r="D78" s="5" t="s">
        <v>76</v>
      </c>
      <c r="E78" s="10" t="s">
        <v>71</v>
      </c>
      <c r="F78" s="7" t="s">
        <v>21</v>
      </c>
      <c r="H78" s="7">
        <v>1000</v>
      </c>
      <c r="I78" s="7">
        <v>306</v>
      </c>
      <c r="J78" s="7">
        <v>3.8</v>
      </c>
      <c r="K78" s="7">
        <v>669</v>
      </c>
      <c r="L78" s="7">
        <v>36</v>
      </c>
      <c r="N78" s="7">
        <v>68</v>
      </c>
      <c r="O78" s="7">
        <v>96</v>
      </c>
      <c r="P78" s="7">
        <v>0</v>
      </c>
      <c r="Q78" s="7">
        <v>2</v>
      </c>
      <c r="S78" s="7">
        <v>12</v>
      </c>
      <c r="T78" s="7">
        <v>12</v>
      </c>
      <c r="U78" s="7">
        <v>3</v>
      </c>
      <c r="W78" s="7">
        <v>6</v>
      </c>
      <c r="X78" s="7">
        <v>96</v>
      </c>
      <c r="Y78" s="7">
        <f>SUM(Table1[[#This Row],[Good Kernels  (g)]:[Husk  (g)]])</f>
        <v>1000</v>
      </c>
      <c r="Z78" s="9">
        <f>IFERROR(Table1[[#This Row],[Good Kernels  (g)]]/Table1[[#This Row],[Sample Qty  (g)]],"")</f>
        <v>0.66900000000000004</v>
      </c>
      <c r="AA78" s="9">
        <f>IFERROR(SUM(Table1[[#This Row],[Pieces  (g)]:[Butts (g)]])/Table1[[#This Row],[Sample Qty  (g)]],"")</f>
        <v>3.5999999999999997E-2</v>
      </c>
      <c r="AB78" s="9">
        <f>IFERROR(Table1[[#This Row],[Scorched (g)]]/Table1[[#This Row],[Sample Qty  (g)]],"")</f>
        <v>6.8000000000000005E-2</v>
      </c>
      <c r="AC78" s="9">
        <f>IFERROR(SUM(Table1[[#This Row],[Spotted  (g)]:[PUK3  (g)]])/Table1[[#This Row],[Sample Qty  (g)]],"")</f>
        <v>9.6000000000000002E-2</v>
      </c>
      <c r="AD78" s="9">
        <f>IFERROR(SUM(R78,Q78)/Table1[[#This Row],[Sample Qty  (g)]],"")</f>
        <v>2E-3</v>
      </c>
      <c r="AE78" s="9">
        <f>IFERROR(Table1[[#This Row],[Dessert/NW  (g)]]/Table1[[#This Row],[Sample Qty  (g)]],"")</f>
        <v>1.2E-2</v>
      </c>
      <c r="AF78" s="9">
        <f>IFERROR(SUM(Table1[[#This Row],[Oil  (g)]:[Dirty  (g)]])/Table1[[#This Row],[Sample Qty  (g)]],"")</f>
        <v>1.4999999999999999E-2</v>
      </c>
      <c r="AG78" s="9">
        <f>IFERROR(Table1[[#This Row],[Rejection  (g)]]/Table1[[#This Row],[Sample Qty  (g)]],"")</f>
        <v>6.0000000000000001E-3</v>
      </c>
      <c r="AH78" s="9">
        <f>IFERROR(Table1[[#This Row],[Husk  (g)]]/Table1[[#This Row],[Sample Qty  (g)]],"")</f>
        <v>9.6000000000000002E-2</v>
      </c>
    </row>
    <row r="79" spans="2:34" ht="12" x14ac:dyDescent="0.25">
      <c r="B79" s="8">
        <v>46211</v>
      </c>
      <c r="C79" s="7">
        <f>WEEKNUM(Table1[[#This Row],[Date]])</f>
        <v>28</v>
      </c>
      <c r="D79" s="5" t="s">
        <v>76</v>
      </c>
      <c r="E79" s="10" t="s">
        <v>71</v>
      </c>
      <c r="F79" s="7" t="s">
        <v>21</v>
      </c>
      <c r="H79" s="7">
        <v>1000</v>
      </c>
      <c r="I79" s="7">
        <v>274</v>
      </c>
      <c r="J79" s="7">
        <v>3.7</v>
      </c>
      <c r="K79" s="7">
        <v>695</v>
      </c>
      <c r="L79" s="7">
        <v>36</v>
      </c>
      <c r="N79" s="7">
        <v>68</v>
      </c>
      <c r="O79" s="7">
        <v>64</v>
      </c>
      <c r="P79" s="7">
        <v>0</v>
      </c>
      <c r="Q79" s="7">
        <v>16</v>
      </c>
      <c r="S79" s="7">
        <v>4</v>
      </c>
      <c r="T79" s="7">
        <v>3</v>
      </c>
      <c r="U79" s="7">
        <v>4</v>
      </c>
      <c r="W79" s="7">
        <v>16</v>
      </c>
      <c r="X79" s="7">
        <v>94</v>
      </c>
      <c r="Y79" s="7">
        <f>SUM(Table1[[#This Row],[Good Kernels  (g)]:[Husk  (g)]])</f>
        <v>1000</v>
      </c>
      <c r="Z79" s="9">
        <f>IFERROR(Table1[[#This Row],[Good Kernels  (g)]]/Table1[[#This Row],[Sample Qty  (g)]],"")</f>
        <v>0.69499999999999995</v>
      </c>
      <c r="AA79" s="9">
        <f>IFERROR(SUM(Table1[[#This Row],[Pieces  (g)]:[Butts (g)]])/Table1[[#This Row],[Sample Qty  (g)]],"")</f>
        <v>3.5999999999999997E-2</v>
      </c>
      <c r="AB79" s="9">
        <f>IFERROR(Table1[[#This Row],[Scorched (g)]]/Table1[[#This Row],[Sample Qty  (g)]],"")</f>
        <v>6.8000000000000005E-2</v>
      </c>
      <c r="AC79" s="9">
        <f>IFERROR(SUM(Table1[[#This Row],[Spotted  (g)]:[PUK3  (g)]])/Table1[[#This Row],[Sample Qty  (g)]],"")</f>
        <v>6.4000000000000001E-2</v>
      </c>
      <c r="AD79" s="9">
        <f>IFERROR(SUM(R79,Q79)/Table1[[#This Row],[Sample Qty  (g)]],"")</f>
        <v>1.6E-2</v>
      </c>
      <c r="AE79" s="9">
        <f>IFERROR(Table1[[#This Row],[Dessert/NW  (g)]]/Table1[[#This Row],[Sample Qty  (g)]],"")</f>
        <v>4.0000000000000001E-3</v>
      </c>
      <c r="AF79" s="9">
        <f>IFERROR(SUM(Table1[[#This Row],[Oil  (g)]:[Dirty  (g)]])/Table1[[#This Row],[Sample Qty  (g)]],"")</f>
        <v>7.0000000000000001E-3</v>
      </c>
      <c r="AG79" s="9">
        <f>IFERROR(Table1[[#This Row],[Rejection  (g)]]/Table1[[#This Row],[Sample Qty  (g)]],"")</f>
        <v>1.6E-2</v>
      </c>
      <c r="AH79" s="9">
        <f>IFERROR(Table1[[#This Row],[Husk  (g)]]/Table1[[#This Row],[Sample Qty  (g)]],"")</f>
        <v>9.4E-2</v>
      </c>
    </row>
    <row r="80" spans="2:34" ht="12" x14ac:dyDescent="0.25">
      <c r="B80" s="8">
        <v>46211</v>
      </c>
      <c r="C80" s="7">
        <f>WEEKNUM(Table1[[#This Row],[Date]])</f>
        <v>28</v>
      </c>
      <c r="D80" s="5" t="s">
        <v>76</v>
      </c>
      <c r="E80" s="10" t="s">
        <v>71</v>
      </c>
      <c r="F80" s="7" t="s">
        <v>21</v>
      </c>
      <c r="H80" s="7">
        <v>1000</v>
      </c>
      <c r="I80" s="7">
        <v>250</v>
      </c>
      <c r="J80" s="7">
        <v>3.3</v>
      </c>
      <c r="K80" s="7">
        <v>693</v>
      </c>
      <c r="L80" s="7">
        <v>12</v>
      </c>
      <c r="N80" s="7">
        <v>56</v>
      </c>
      <c r="O80" s="7">
        <v>60</v>
      </c>
      <c r="P80" s="7">
        <v>0</v>
      </c>
      <c r="Q80" s="7">
        <v>6</v>
      </c>
      <c r="S80" s="7">
        <v>12</v>
      </c>
      <c r="T80" s="7">
        <v>28</v>
      </c>
      <c r="U80" s="7">
        <v>19</v>
      </c>
      <c r="W80" s="7">
        <v>16</v>
      </c>
      <c r="X80" s="7">
        <v>98</v>
      </c>
      <c r="Y80" s="7">
        <f>SUM(Table1[[#This Row],[Good Kernels  (g)]:[Husk  (g)]])</f>
        <v>1000</v>
      </c>
      <c r="Z80" s="9">
        <f>IFERROR(Table1[[#This Row],[Good Kernels  (g)]]/Table1[[#This Row],[Sample Qty  (g)]],"")</f>
        <v>0.69299999999999995</v>
      </c>
      <c r="AA80" s="9">
        <f>IFERROR(SUM(Table1[[#This Row],[Pieces  (g)]:[Butts (g)]])/Table1[[#This Row],[Sample Qty  (g)]],"")</f>
        <v>1.2E-2</v>
      </c>
      <c r="AB80" s="9">
        <f>IFERROR(Table1[[#This Row],[Scorched (g)]]/Table1[[#This Row],[Sample Qty  (g)]],"")</f>
        <v>5.6000000000000001E-2</v>
      </c>
      <c r="AC80" s="9">
        <f>IFERROR(SUM(Table1[[#This Row],[Spotted  (g)]:[PUK3  (g)]])/Table1[[#This Row],[Sample Qty  (g)]],"")</f>
        <v>0.06</v>
      </c>
      <c r="AD80" s="9">
        <f>IFERROR(SUM(R80,Q80)/Table1[[#This Row],[Sample Qty  (g)]],"")</f>
        <v>6.0000000000000001E-3</v>
      </c>
      <c r="AE80" s="9">
        <f>IFERROR(Table1[[#This Row],[Dessert/NW  (g)]]/Table1[[#This Row],[Sample Qty  (g)]],"")</f>
        <v>1.2E-2</v>
      </c>
      <c r="AF80" s="9">
        <f>IFERROR(SUM(Table1[[#This Row],[Oil  (g)]:[Dirty  (g)]])/Table1[[#This Row],[Sample Qty  (g)]],"")</f>
        <v>4.7E-2</v>
      </c>
      <c r="AG80" s="9">
        <f>IFERROR(Table1[[#This Row],[Rejection  (g)]]/Table1[[#This Row],[Sample Qty  (g)]],"")</f>
        <v>1.6E-2</v>
      </c>
      <c r="AH80" s="9">
        <f>IFERROR(Table1[[#This Row],[Husk  (g)]]/Table1[[#This Row],[Sample Qty  (g)]],"")</f>
        <v>9.8000000000000004E-2</v>
      </c>
    </row>
    <row r="81" spans="2:34" ht="12" x14ac:dyDescent="0.25">
      <c r="B81" s="8">
        <v>46211</v>
      </c>
      <c r="C81" s="7">
        <f>WEEKNUM(Table1[[#This Row],[Date]])</f>
        <v>28</v>
      </c>
      <c r="D81" s="5" t="s">
        <v>76</v>
      </c>
      <c r="E81" s="10" t="s">
        <v>71</v>
      </c>
      <c r="F81" s="7" t="s">
        <v>21</v>
      </c>
      <c r="H81" s="7">
        <v>1000</v>
      </c>
      <c r="I81" s="7">
        <v>276</v>
      </c>
      <c r="J81" s="7">
        <v>3.4</v>
      </c>
      <c r="K81" s="7">
        <v>521</v>
      </c>
      <c r="L81" s="7">
        <v>67</v>
      </c>
      <c r="N81" s="7">
        <v>90</v>
      </c>
      <c r="O81" s="7">
        <v>102</v>
      </c>
      <c r="P81" s="7">
        <v>0</v>
      </c>
      <c r="Q81" s="7">
        <v>8</v>
      </c>
      <c r="S81" s="7">
        <v>29</v>
      </c>
      <c r="T81" s="7">
        <v>38</v>
      </c>
      <c r="U81" s="7">
        <v>20</v>
      </c>
      <c r="W81" s="7">
        <v>25</v>
      </c>
      <c r="X81" s="7">
        <v>100</v>
      </c>
      <c r="Y81" s="7">
        <f>SUM(Table1[[#This Row],[Good Kernels  (g)]:[Husk  (g)]])</f>
        <v>1000</v>
      </c>
      <c r="Z81" s="9">
        <f>IFERROR(Table1[[#This Row],[Good Kernels  (g)]]/Table1[[#This Row],[Sample Qty  (g)]],"")</f>
        <v>0.52100000000000002</v>
      </c>
      <c r="AA81" s="9">
        <f>IFERROR(SUM(Table1[[#This Row],[Pieces  (g)]:[Butts (g)]])/Table1[[#This Row],[Sample Qty  (g)]],"")</f>
        <v>6.7000000000000004E-2</v>
      </c>
      <c r="AB81" s="9">
        <f>IFERROR(Table1[[#This Row],[Scorched (g)]]/Table1[[#This Row],[Sample Qty  (g)]],"")</f>
        <v>0.09</v>
      </c>
      <c r="AC81" s="9">
        <f>IFERROR(SUM(Table1[[#This Row],[Spotted  (g)]:[PUK3  (g)]])/Table1[[#This Row],[Sample Qty  (g)]],"")</f>
        <v>0.10199999999999999</v>
      </c>
      <c r="AD81" s="9">
        <f>IFERROR(SUM(R81,Q81)/Table1[[#This Row],[Sample Qty  (g)]],"")</f>
        <v>8.0000000000000002E-3</v>
      </c>
      <c r="AE81" s="9">
        <f>IFERROR(Table1[[#This Row],[Dessert/NW  (g)]]/Table1[[#This Row],[Sample Qty  (g)]],"")</f>
        <v>2.9000000000000001E-2</v>
      </c>
      <c r="AF81" s="9">
        <f>IFERROR(SUM(Table1[[#This Row],[Oil  (g)]:[Dirty  (g)]])/Table1[[#This Row],[Sample Qty  (g)]],"")</f>
        <v>5.8000000000000003E-2</v>
      </c>
      <c r="AG81" s="9">
        <f>IFERROR(Table1[[#This Row],[Rejection  (g)]]/Table1[[#This Row],[Sample Qty  (g)]],"")</f>
        <v>2.5000000000000001E-2</v>
      </c>
      <c r="AH81" s="9">
        <f>IFERROR(Table1[[#This Row],[Husk  (g)]]/Table1[[#This Row],[Sample Qty  (g)]],"")</f>
        <v>0.1</v>
      </c>
    </row>
    <row r="82" spans="2:34" ht="12" x14ac:dyDescent="0.25">
      <c r="B82" s="8">
        <v>46212</v>
      </c>
      <c r="C82" s="7">
        <f>WEEKNUM(Table1[[#This Row],[Date]])</f>
        <v>28</v>
      </c>
      <c r="D82" s="5" t="s">
        <v>77</v>
      </c>
      <c r="E82" s="10" t="s">
        <v>71</v>
      </c>
      <c r="F82" s="7" t="s">
        <v>21</v>
      </c>
      <c r="H82" s="7">
        <v>1000</v>
      </c>
      <c r="I82" s="7">
        <v>262</v>
      </c>
      <c r="J82" s="7">
        <v>3.6</v>
      </c>
      <c r="K82" s="7">
        <v>664</v>
      </c>
      <c r="L82" s="7">
        <v>20</v>
      </c>
      <c r="N82" s="7">
        <v>80</v>
      </c>
      <c r="O82" s="7">
        <v>64</v>
      </c>
      <c r="P82" s="7">
        <v>0</v>
      </c>
      <c r="Q82" s="7">
        <v>16</v>
      </c>
      <c r="S82" s="7">
        <v>32</v>
      </c>
      <c r="T82" s="7">
        <v>4</v>
      </c>
      <c r="U82" s="7">
        <v>14</v>
      </c>
      <c r="W82" s="7">
        <v>8</v>
      </c>
      <c r="X82" s="7">
        <v>98</v>
      </c>
      <c r="Y82" s="7">
        <f>SUM(Table1[[#This Row],[Good Kernels  (g)]:[Husk  (g)]])</f>
        <v>1000</v>
      </c>
      <c r="Z82" s="9">
        <f>IFERROR(Table1[[#This Row],[Good Kernels  (g)]]/Table1[[#This Row],[Sample Qty  (g)]],"")</f>
        <v>0.66400000000000003</v>
      </c>
      <c r="AA82" s="9">
        <f>IFERROR(SUM(Table1[[#This Row],[Pieces  (g)]:[Butts (g)]])/Table1[[#This Row],[Sample Qty  (g)]],"")</f>
        <v>0.02</v>
      </c>
      <c r="AB82" s="9">
        <f>IFERROR(Table1[[#This Row],[Scorched (g)]]/Table1[[#This Row],[Sample Qty  (g)]],"")</f>
        <v>0.08</v>
      </c>
      <c r="AC82" s="9">
        <f>IFERROR(SUM(Table1[[#This Row],[Spotted  (g)]:[PUK3  (g)]])/Table1[[#This Row],[Sample Qty  (g)]],"")</f>
        <v>6.4000000000000001E-2</v>
      </c>
      <c r="AD82" s="9">
        <f>IFERROR(SUM(R82,Q82)/Table1[[#This Row],[Sample Qty  (g)]],"")</f>
        <v>1.6E-2</v>
      </c>
      <c r="AE82" s="9">
        <f>IFERROR(Table1[[#This Row],[Dessert/NW  (g)]]/Table1[[#This Row],[Sample Qty  (g)]],"")</f>
        <v>3.2000000000000001E-2</v>
      </c>
      <c r="AF82" s="9">
        <f>IFERROR(SUM(Table1[[#This Row],[Oil  (g)]:[Dirty  (g)]])/Table1[[#This Row],[Sample Qty  (g)]],"")</f>
        <v>1.7999999999999999E-2</v>
      </c>
      <c r="AG82" s="9">
        <f>IFERROR(Table1[[#This Row],[Rejection  (g)]]/Table1[[#This Row],[Sample Qty  (g)]],"")</f>
        <v>8.0000000000000002E-3</v>
      </c>
      <c r="AH82" s="9">
        <f>IFERROR(Table1[[#This Row],[Husk  (g)]]/Table1[[#This Row],[Sample Qty  (g)]],"")</f>
        <v>9.8000000000000004E-2</v>
      </c>
    </row>
    <row r="83" spans="2:34" ht="12" x14ac:dyDescent="0.25">
      <c r="B83" s="8">
        <v>46212</v>
      </c>
      <c r="C83" s="7">
        <f>WEEKNUM(Table1[[#This Row],[Date]])</f>
        <v>28</v>
      </c>
      <c r="D83" s="5" t="s">
        <v>77</v>
      </c>
      <c r="E83" s="10" t="s">
        <v>71</v>
      </c>
      <c r="F83" s="7" t="s">
        <v>21</v>
      </c>
      <c r="H83" s="7">
        <v>1000</v>
      </c>
      <c r="I83" s="7">
        <v>264</v>
      </c>
      <c r="J83" s="7">
        <v>3.6</v>
      </c>
      <c r="K83" s="7">
        <v>674</v>
      </c>
      <c r="L83" s="7">
        <v>32</v>
      </c>
      <c r="N83" s="7">
        <v>74</v>
      </c>
      <c r="O83" s="7">
        <v>78</v>
      </c>
      <c r="P83" s="7">
        <v>0</v>
      </c>
      <c r="Q83" s="7">
        <v>12</v>
      </c>
      <c r="S83" s="7">
        <v>12</v>
      </c>
      <c r="T83" s="7">
        <v>6</v>
      </c>
      <c r="U83" s="7">
        <v>10</v>
      </c>
      <c r="W83" s="7">
        <v>6</v>
      </c>
      <c r="X83" s="7">
        <v>96</v>
      </c>
      <c r="Y83" s="7">
        <f>SUM(Table1[[#This Row],[Good Kernels  (g)]:[Husk  (g)]])</f>
        <v>1000</v>
      </c>
      <c r="Z83" s="9">
        <f>IFERROR(Table1[[#This Row],[Good Kernels  (g)]]/Table1[[#This Row],[Sample Qty  (g)]],"")</f>
        <v>0.67400000000000004</v>
      </c>
      <c r="AA83" s="9">
        <f>IFERROR(SUM(Table1[[#This Row],[Pieces  (g)]:[Butts (g)]])/Table1[[#This Row],[Sample Qty  (g)]],"")</f>
        <v>3.2000000000000001E-2</v>
      </c>
      <c r="AB83" s="9">
        <f>IFERROR(Table1[[#This Row],[Scorched (g)]]/Table1[[#This Row],[Sample Qty  (g)]],"")</f>
        <v>7.3999999999999996E-2</v>
      </c>
      <c r="AC83" s="9">
        <f>IFERROR(SUM(Table1[[#This Row],[Spotted  (g)]:[PUK3  (g)]])/Table1[[#This Row],[Sample Qty  (g)]],"")</f>
        <v>7.8E-2</v>
      </c>
      <c r="AD83" s="9">
        <f>IFERROR(SUM(R83,Q83)/Table1[[#This Row],[Sample Qty  (g)]],"")</f>
        <v>1.2E-2</v>
      </c>
      <c r="AE83" s="9">
        <f>IFERROR(Table1[[#This Row],[Dessert/NW  (g)]]/Table1[[#This Row],[Sample Qty  (g)]],"")</f>
        <v>1.2E-2</v>
      </c>
      <c r="AF83" s="9">
        <f>IFERROR(SUM(Table1[[#This Row],[Oil  (g)]:[Dirty  (g)]])/Table1[[#This Row],[Sample Qty  (g)]],"")</f>
        <v>1.6E-2</v>
      </c>
      <c r="AG83" s="9">
        <f>IFERROR(Table1[[#This Row],[Rejection  (g)]]/Table1[[#This Row],[Sample Qty  (g)]],"")</f>
        <v>6.0000000000000001E-3</v>
      </c>
      <c r="AH83" s="9">
        <f>IFERROR(Table1[[#This Row],[Husk  (g)]]/Table1[[#This Row],[Sample Qty  (g)]],"")</f>
        <v>9.6000000000000002E-2</v>
      </c>
    </row>
    <row r="84" spans="2:34" ht="12" x14ac:dyDescent="0.25">
      <c r="B84" s="8">
        <v>46212</v>
      </c>
      <c r="C84" s="7">
        <f>WEEKNUM(Table1[[#This Row],[Date]])</f>
        <v>28</v>
      </c>
      <c r="D84" s="5" t="s">
        <v>77</v>
      </c>
      <c r="E84" s="10" t="s">
        <v>71</v>
      </c>
      <c r="F84" s="7" t="s">
        <v>21</v>
      </c>
      <c r="H84" s="7">
        <v>1000</v>
      </c>
      <c r="I84" s="7">
        <v>264</v>
      </c>
      <c r="J84" s="7">
        <v>3.6</v>
      </c>
      <c r="K84" s="7">
        <v>679</v>
      </c>
      <c r="L84" s="7">
        <v>27</v>
      </c>
      <c r="N84" s="7">
        <v>68</v>
      </c>
      <c r="O84" s="7">
        <v>74</v>
      </c>
      <c r="P84" s="7">
        <v>0</v>
      </c>
      <c r="Q84" s="7">
        <v>18</v>
      </c>
      <c r="S84" s="7">
        <v>14</v>
      </c>
      <c r="T84" s="7">
        <v>8</v>
      </c>
      <c r="U84" s="7">
        <v>7</v>
      </c>
      <c r="W84" s="7">
        <v>7</v>
      </c>
      <c r="X84" s="7">
        <v>98</v>
      </c>
      <c r="Y84" s="7">
        <f>SUM(Table1[[#This Row],[Good Kernels  (g)]:[Husk  (g)]])</f>
        <v>1000</v>
      </c>
      <c r="Z84" s="9">
        <f>IFERROR(Table1[[#This Row],[Good Kernels  (g)]]/Table1[[#This Row],[Sample Qty  (g)]],"")</f>
        <v>0.67900000000000005</v>
      </c>
      <c r="AA84" s="9">
        <f>IFERROR(SUM(Table1[[#This Row],[Pieces  (g)]:[Butts (g)]])/Table1[[#This Row],[Sample Qty  (g)]],"")</f>
        <v>2.7E-2</v>
      </c>
      <c r="AB84" s="9">
        <f>IFERROR(Table1[[#This Row],[Scorched (g)]]/Table1[[#This Row],[Sample Qty  (g)]],"")</f>
        <v>6.8000000000000005E-2</v>
      </c>
      <c r="AC84" s="9">
        <f>IFERROR(SUM(Table1[[#This Row],[Spotted  (g)]:[PUK3  (g)]])/Table1[[#This Row],[Sample Qty  (g)]],"")</f>
        <v>7.3999999999999996E-2</v>
      </c>
      <c r="AD84" s="9">
        <f>IFERROR(SUM(R84,Q84)/Table1[[#This Row],[Sample Qty  (g)]],"")</f>
        <v>1.7999999999999999E-2</v>
      </c>
      <c r="AE84" s="9">
        <f>IFERROR(Table1[[#This Row],[Dessert/NW  (g)]]/Table1[[#This Row],[Sample Qty  (g)]],"")</f>
        <v>1.4E-2</v>
      </c>
      <c r="AF84" s="9">
        <f>IFERROR(SUM(Table1[[#This Row],[Oil  (g)]:[Dirty  (g)]])/Table1[[#This Row],[Sample Qty  (g)]],"")</f>
        <v>1.4999999999999999E-2</v>
      </c>
      <c r="AG84" s="9">
        <f>IFERROR(Table1[[#This Row],[Rejection  (g)]]/Table1[[#This Row],[Sample Qty  (g)]],"")</f>
        <v>7.0000000000000001E-3</v>
      </c>
      <c r="AH84" s="9">
        <f>IFERROR(Table1[[#This Row],[Husk  (g)]]/Table1[[#This Row],[Sample Qty  (g)]],"")</f>
        <v>9.8000000000000004E-2</v>
      </c>
    </row>
    <row r="85" spans="2:34" ht="12" x14ac:dyDescent="0.25">
      <c r="B85" s="8">
        <v>46212</v>
      </c>
      <c r="C85" s="7">
        <f>WEEKNUM(Table1[[#This Row],[Date]])</f>
        <v>28</v>
      </c>
      <c r="D85" s="5" t="s">
        <v>77</v>
      </c>
      <c r="E85" s="10" t="s">
        <v>71</v>
      </c>
      <c r="F85" s="7" t="s">
        <v>21</v>
      </c>
      <c r="H85" s="7">
        <v>1000</v>
      </c>
      <c r="I85" s="7">
        <v>282</v>
      </c>
      <c r="J85" s="7">
        <v>3.6</v>
      </c>
      <c r="K85" s="7">
        <v>678</v>
      </c>
      <c r="L85" s="7">
        <v>30</v>
      </c>
      <c r="N85" s="7">
        <v>72</v>
      </c>
      <c r="O85" s="7">
        <v>78</v>
      </c>
      <c r="P85" s="7">
        <v>0</v>
      </c>
      <c r="Q85" s="7">
        <v>10</v>
      </c>
      <c r="S85" s="7">
        <v>16</v>
      </c>
      <c r="T85" s="7">
        <v>7</v>
      </c>
      <c r="U85" s="7">
        <v>2</v>
      </c>
      <c r="W85" s="7">
        <v>8</v>
      </c>
      <c r="X85" s="7">
        <v>99</v>
      </c>
      <c r="Y85" s="7">
        <f>SUM(Table1[[#This Row],[Good Kernels  (g)]:[Husk  (g)]])</f>
        <v>1000</v>
      </c>
      <c r="Z85" s="9">
        <f>IFERROR(Table1[[#This Row],[Good Kernels  (g)]]/Table1[[#This Row],[Sample Qty  (g)]],"")</f>
        <v>0.67800000000000005</v>
      </c>
      <c r="AA85" s="9">
        <f>IFERROR(SUM(Table1[[#This Row],[Pieces  (g)]:[Butts (g)]])/Table1[[#This Row],[Sample Qty  (g)]],"")</f>
        <v>0.03</v>
      </c>
      <c r="AB85" s="9">
        <f>IFERROR(Table1[[#This Row],[Scorched (g)]]/Table1[[#This Row],[Sample Qty  (g)]],"")</f>
        <v>7.1999999999999995E-2</v>
      </c>
      <c r="AC85" s="9">
        <f>IFERROR(SUM(Table1[[#This Row],[Spotted  (g)]:[PUK3  (g)]])/Table1[[#This Row],[Sample Qty  (g)]],"")</f>
        <v>7.8E-2</v>
      </c>
      <c r="AD85" s="9">
        <f>IFERROR(SUM(R85,Q85)/Table1[[#This Row],[Sample Qty  (g)]],"")</f>
        <v>0.01</v>
      </c>
      <c r="AE85" s="9">
        <f>IFERROR(Table1[[#This Row],[Dessert/NW  (g)]]/Table1[[#This Row],[Sample Qty  (g)]],"")</f>
        <v>1.6E-2</v>
      </c>
      <c r="AF85" s="9">
        <f>IFERROR(SUM(Table1[[#This Row],[Oil  (g)]:[Dirty  (g)]])/Table1[[#This Row],[Sample Qty  (g)]],"")</f>
        <v>8.9999999999999993E-3</v>
      </c>
      <c r="AG85" s="9">
        <f>IFERROR(Table1[[#This Row],[Rejection  (g)]]/Table1[[#This Row],[Sample Qty  (g)]],"")</f>
        <v>8.0000000000000002E-3</v>
      </c>
      <c r="AH85" s="9">
        <f>IFERROR(Table1[[#This Row],[Husk  (g)]]/Table1[[#This Row],[Sample Qty  (g)]],"")</f>
        <v>9.9000000000000005E-2</v>
      </c>
    </row>
    <row r="86" spans="2:34" ht="12" x14ac:dyDescent="0.25">
      <c r="B86" s="8">
        <v>46212</v>
      </c>
      <c r="C86" s="7">
        <f>WEEKNUM(Table1[[#This Row],[Date]])</f>
        <v>28</v>
      </c>
      <c r="D86" s="5" t="s">
        <v>77</v>
      </c>
      <c r="E86" s="10" t="s">
        <v>71</v>
      </c>
      <c r="F86" s="7" t="s">
        <v>21</v>
      </c>
      <c r="H86" s="7">
        <v>1000</v>
      </c>
      <c r="I86" s="7">
        <v>278</v>
      </c>
      <c r="J86" s="7">
        <v>3.6</v>
      </c>
      <c r="K86" s="7">
        <v>710</v>
      </c>
      <c r="L86" s="7">
        <v>36</v>
      </c>
      <c r="N86" s="7">
        <v>64</v>
      </c>
      <c r="O86" s="7">
        <v>80</v>
      </c>
      <c r="P86" s="7">
        <v>0</v>
      </c>
      <c r="Q86" s="7">
        <v>5</v>
      </c>
      <c r="S86" s="7">
        <v>4</v>
      </c>
      <c r="T86" s="7">
        <v>4</v>
      </c>
      <c r="U86" s="7">
        <v>3</v>
      </c>
      <c r="W86" s="7">
        <v>6</v>
      </c>
      <c r="X86" s="7">
        <v>88</v>
      </c>
      <c r="Y86" s="7">
        <f>SUM(Table1[[#This Row],[Good Kernels  (g)]:[Husk  (g)]])</f>
        <v>1000</v>
      </c>
      <c r="Z86" s="9">
        <f>IFERROR(Table1[[#This Row],[Good Kernels  (g)]]/Table1[[#This Row],[Sample Qty  (g)]],"")</f>
        <v>0.71</v>
      </c>
      <c r="AA86" s="9">
        <f>IFERROR(SUM(Table1[[#This Row],[Pieces  (g)]:[Butts (g)]])/Table1[[#This Row],[Sample Qty  (g)]],"")</f>
        <v>3.5999999999999997E-2</v>
      </c>
      <c r="AB86" s="9">
        <f>IFERROR(Table1[[#This Row],[Scorched (g)]]/Table1[[#This Row],[Sample Qty  (g)]],"")</f>
        <v>6.4000000000000001E-2</v>
      </c>
      <c r="AC86" s="9">
        <f>IFERROR(SUM(Table1[[#This Row],[Spotted  (g)]:[PUK3  (g)]])/Table1[[#This Row],[Sample Qty  (g)]],"")</f>
        <v>0.08</v>
      </c>
      <c r="AD86" s="9">
        <f>IFERROR(SUM(R86,Q86)/Table1[[#This Row],[Sample Qty  (g)]],"")</f>
        <v>5.0000000000000001E-3</v>
      </c>
      <c r="AE86" s="9">
        <f>IFERROR(Table1[[#This Row],[Dessert/NW  (g)]]/Table1[[#This Row],[Sample Qty  (g)]],"")</f>
        <v>4.0000000000000001E-3</v>
      </c>
      <c r="AF86" s="9">
        <f>IFERROR(SUM(Table1[[#This Row],[Oil  (g)]:[Dirty  (g)]])/Table1[[#This Row],[Sample Qty  (g)]],"")</f>
        <v>7.0000000000000001E-3</v>
      </c>
      <c r="AG86" s="9">
        <f>IFERROR(Table1[[#This Row],[Rejection  (g)]]/Table1[[#This Row],[Sample Qty  (g)]],"")</f>
        <v>6.0000000000000001E-3</v>
      </c>
      <c r="AH86" s="9">
        <f>IFERROR(Table1[[#This Row],[Husk  (g)]]/Table1[[#This Row],[Sample Qty  (g)]],"")</f>
        <v>8.7999999999999995E-2</v>
      </c>
    </row>
    <row r="87" spans="2:34" ht="12" x14ac:dyDescent="0.25">
      <c r="B87" s="8">
        <v>46212</v>
      </c>
      <c r="C87" s="7">
        <f>WEEKNUM(Table1[[#This Row],[Date]])</f>
        <v>28</v>
      </c>
      <c r="D87" s="5" t="s">
        <v>77</v>
      </c>
      <c r="E87" s="10" t="s">
        <v>71</v>
      </c>
      <c r="F87" s="7" t="s">
        <v>21</v>
      </c>
      <c r="H87" s="7">
        <v>1000</v>
      </c>
      <c r="I87" s="7">
        <v>262</v>
      </c>
      <c r="J87" s="7">
        <v>3.5</v>
      </c>
      <c r="K87" s="7">
        <v>698</v>
      </c>
      <c r="L87" s="7">
        <v>29</v>
      </c>
      <c r="N87" s="7">
        <v>68</v>
      </c>
      <c r="O87" s="7">
        <v>79</v>
      </c>
      <c r="P87" s="7">
        <v>0</v>
      </c>
      <c r="Q87" s="7">
        <v>10</v>
      </c>
      <c r="S87" s="7">
        <v>7</v>
      </c>
      <c r="T87" s="7">
        <v>4</v>
      </c>
      <c r="U87" s="7">
        <v>3</v>
      </c>
      <c r="W87" s="7">
        <v>8</v>
      </c>
      <c r="X87" s="7">
        <v>94</v>
      </c>
      <c r="Y87" s="7">
        <f>SUM(Table1[[#This Row],[Good Kernels  (g)]:[Husk  (g)]])</f>
        <v>1000</v>
      </c>
      <c r="Z87" s="9">
        <f>IFERROR(Table1[[#This Row],[Good Kernels  (g)]]/Table1[[#This Row],[Sample Qty  (g)]],"")</f>
        <v>0.69799999999999995</v>
      </c>
      <c r="AA87" s="9">
        <f>IFERROR(SUM(Table1[[#This Row],[Pieces  (g)]:[Butts (g)]])/Table1[[#This Row],[Sample Qty  (g)]],"")</f>
        <v>2.9000000000000001E-2</v>
      </c>
      <c r="AB87" s="9">
        <f>IFERROR(Table1[[#This Row],[Scorched (g)]]/Table1[[#This Row],[Sample Qty  (g)]],"")</f>
        <v>6.8000000000000005E-2</v>
      </c>
      <c r="AC87" s="9">
        <f>IFERROR(SUM(Table1[[#This Row],[Spotted  (g)]:[PUK3  (g)]])/Table1[[#This Row],[Sample Qty  (g)]],"")</f>
        <v>7.9000000000000001E-2</v>
      </c>
      <c r="AD87" s="9">
        <f>IFERROR(SUM(R87,Q87)/Table1[[#This Row],[Sample Qty  (g)]],"")</f>
        <v>0.01</v>
      </c>
      <c r="AE87" s="9">
        <f>IFERROR(Table1[[#This Row],[Dessert/NW  (g)]]/Table1[[#This Row],[Sample Qty  (g)]],"")</f>
        <v>7.0000000000000001E-3</v>
      </c>
      <c r="AF87" s="9">
        <f>IFERROR(SUM(Table1[[#This Row],[Oil  (g)]:[Dirty  (g)]])/Table1[[#This Row],[Sample Qty  (g)]],"")</f>
        <v>7.0000000000000001E-3</v>
      </c>
      <c r="AG87" s="9">
        <f>IFERROR(Table1[[#This Row],[Rejection  (g)]]/Table1[[#This Row],[Sample Qty  (g)]],"")</f>
        <v>8.0000000000000002E-3</v>
      </c>
      <c r="AH87" s="9">
        <f>IFERROR(Table1[[#This Row],[Husk  (g)]]/Table1[[#This Row],[Sample Qty  (g)]],"")</f>
        <v>9.4E-2</v>
      </c>
    </row>
    <row r="88" spans="2:34" ht="12" x14ac:dyDescent="0.25">
      <c r="B88" s="8">
        <v>46212</v>
      </c>
      <c r="C88" s="7">
        <f>WEEKNUM(Table1[[#This Row],[Date]])</f>
        <v>28</v>
      </c>
      <c r="D88" s="5" t="s">
        <v>77</v>
      </c>
      <c r="E88" s="10" t="s">
        <v>71</v>
      </c>
      <c r="F88" s="7" t="s">
        <v>21</v>
      </c>
      <c r="H88" s="7">
        <v>1000</v>
      </c>
      <c r="I88" s="7">
        <v>286</v>
      </c>
      <c r="J88" s="7">
        <v>3.6</v>
      </c>
      <c r="K88" s="7">
        <v>733</v>
      </c>
      <c r="L88" s="7">
        <v>44</v>
      </c>
      <c r="N88" s="7">
        <v>20</v>
      </c>
      <c r="O88" s="7">
        <v>84</v>
      </c>
      <c r="P88" s="7">
        <v>0</v>
      </c>
      <c r="Q88" s="7">
        <v>3</v>
      </c>
      <c r="S88" s="7">
        <v>6</v>
      </c>
      <c r="T88" s="7">
        <v>4</v>
      </c>
      <c r="U88" s="7">
        <v>2</v>
      </c>
      <c r="W88" s="7">
        <v>6</v>
      </c>
      <c r="X88" s="7">
        <v>98</v>
      </c>
      <c r="Y88" s="7">
        <f>SUM(Table1[[#This Row],[Good Kernels  (g)]:[Husk  (g)]])</f>
        <v>1000</v>
      </c>
      <c r="Z88" s="9">
        <f>IFERROR(Table1[[#This Row],[Good Kernels  (g)]]/Table1[[#This Row],[Sample Qty  (g)]],"")</f>
        <v>0.73299999999999998</v>
      </c>
      <c r="AA88" s="9">
        <f>IFERROR(SUM(Table1[[#This Row],[Pieces  (g)]:[Butts (g)]])/Table1[[#This Row],[Sample Qty  (g)]],"")</f>
        <v>4.3999999999999997E-2</v>
      </c>
      <c r="AB88" s="9">
        <f>IFERROR(Table1[[#This Row],[Scorched (g)]]/Table1[[#This Row],[Sample Qty  (g)]],"")</f>
        <v>0.02</v>
      </c>
      <c r="AC88" s="9">
        <f>IFERROR(SUM(Table1[[#This Row],[Spotted  (g)]:[PUK3  (g)]])/Table1[[#This Row],[Sample Qty  (g)]],"")</f>
        <v>8.4000000000000005E-2</v>
      </c>
      <c r="AD88" s="9">
        <f>IFERROR(SUM(R88,Q88)/Table1[[#This Row],[Sample Qty  (g)]],"")</f>
        <v>3.0000000000000001E-3</v>
      </c>
      <c r="AE88" s="9">
        <f>IFERROR(Table1[[#This Row],[Dessert/NW  (g)]]/Table1[[#This Row],[Sample Qty  (g)]],"")</f>
        <v>6.0000000000000001E-3</v>
      </c>
      <c r="AF88" s="9">
        <f>IFERROR(SUM(Table1[[#This Row],[Oil  (g)]:[Dirty  (g)]])/Table1[[#This Row],[Sample Qty  (g)]],"")</f>
        <v>6.0000000000000001E-3</v>
      </c>
      <c r="AG88" s="9">
        <f>IFERROR(Table1[[#This Row],[Rejection  (g)]]/Table1[[#This Row],[Sample Qty  (g)]],"")</f>
        <v>6.0000000000000001E-3</v>
      </c>
      <c r="AH88" s="9">
        <f>IFERROR(Table1[[#This Row],[Husk  (g)]]/Table1[[#This Row],[Sample Qty  (g)]],"")</f>
        <v>9.8000000000000004E-2</v>
      </c>
    </row>
    <row r="89" spans="2:34" ht="12" x14ac:dyDescent="0.25">
      <c r="B89" s="8">
        <v>46212</v>
      </c>
      <c r="C89" s="7">
        <f>WEEKNUM(Table1[[#This Row],[Date]])</f>
        <v>28</v>
      </c>
      <c r="D89" s="5" t="s">
        <v>77</v>
      </c>
      <c r="E89" s="10" t="s">
        <v>71</v>
      </c>
      <c r="F89" s="7" t="s">
        <v>21</v>
      </c>
      <c r="H89" s="7">
        <v>1000</v>
      </c>
      <c r="I89" s="7">
        <v>276</v>
      </c>
      <c r="J89" s="7">
        <v>3.6</v>
      </c>
      <c r="K89" s="7">
        <v>662</v>
      </c>
      <c r="L89" s="7">
        <v>30</v>
      </c>
      <c r="N89" s="7">
        <v>77</v>
      </c>
      <c r="O89" s="7">
        <v>90</v>
      </c>
      <c r="P89" s="7">
        <v>0</v>
      </c>
      <c r="Q89" s="7">
        <v>10</v>
      </c>
      <c r="S89" s="7">
        <v>18</v>
      </c>
      <c r="T89" s="7">
        <v>5</v>
      </c>
      <c r="U89" s="7">
        <v>3</v>
      </c>
      <c r="W89" s="7">
        <v>19</v>
      </c>
      <c r="X89" s="7">
        <v>86</v>
      </c>
      <c r="Y89" s="7">
        <f>SUM(Table1[[#This Row],[Good Kernels  (g)]:[Husk  (g)]])</f>
        <v>1000</v>
      </c>
      <c r="Z89" s="9">
        <f>IFERROR(Table1[[#This Row],[Good Kernels  (g)]]/Table1[[#This Row],[Sample Qty  (g)]],"")</f>
        <v>0.66200000000000003</v>
      </c>
      <c r="AA89" s="9">
        <f>IFERROR(SUM(Table1[[#This Row],[Pieces  (g)]:[Butts (g)]])/Table1[[#This Row],[Sample Qty  (g)]],"")</f>
        <v>0.03</v>
      </c>
      <c r="AB89" s="9">
        <f>IFERROR(Table1[[#This Row],[Scorched (g)]]/Table1[[#This Row],[Sample Qty  (g)]],"")</f>
        <v>7.6999999999999999E-2</v>
      </c>
      <c r="AC89" s="9">
        <f>IFERROR(SUM(Table1[[#This Row],[Spotted  (g)]:[PUK3  (g)]])/Table1[[#This Row],[Sample Qty  (g)]],"")</f>
        <v>0.09</v>
      </c>
      <c r="AD89" s="9">
        <f>IFERROR(SUM(R89,Q89)/Table1[[#This Row],[Sample Qty  (g)]],"")</f>
        <v>0.01</v>
      </c>
      <c r="AE89" s="9">
        <f>IFERROR(Table1[[#This Row],[Dessert/NW  (g)]]/Table1[[#This Row],[Sample Qty  (g)]],"")</f>
        <v>1.7999999999999999E-2</v>
      </c>
      <c r="AF89" s="9">
        <f>IFERROR(SUM(Table1[[#This Row],[Oil  (g)]:[Dirty  (g)]])/Table1[[#This Row],[Sample Qty  (g)]],"")</f>
        <v>8.0000000000000002E-3</v>
      </c>
      <c r="AG89" s="9">
        <f>IFERROR(Table1[[#This Row],[Rejection  (g)]]/Table1[[#This Row],[Sample Qty  (g)]],"")</f>
        <v>1.9E-2</v>
      </c>
      <c r="AH89" s="9">
        <f>IFERROR(Table1[[#This Row],[Husk  (g)]]/Table1[[#This Row],[Sample Qty  (g)]],"")</f>
        <v>8.5999999999999993E-2</v>
      </c>
    </row>
    <row r="90" spans="2:34" ht="12" x14ac:dyDescent="0.25">
      <c r="B90" s="8">
        <v>46212</v>
      </c>
      <c r="C90" s="7">
        <f>WEEKNUM(Table1[[#This Row],[Date]])</f>
        <v>28</v>
      </c>
      <c r="D90" s="5" t="s">
        <v>77</v>
      </c>
      <c r="E90" s="10" t="s">
        <v>71</v>
      </c>
      <c r="F90" s="7" t="s">
        <v>21</v>
      </c>
      <c r="H90" s="7">
        <v>1000</v>
      </c>
      <c r="I90" s="7">
        <v>304</v>
      </c>
      <c r="J90" s="7">
        <v>3.3</v>
      </c>
      <c r="K90" s="7">
        <v>629</v>
      </c>
      <c r="L90" s="7">
        <v>52</v>
      </c>
      <c r="N90" s="7">
        <v>82</v>
      </c>
      <c r="O90" s="7">
        <v>88</v>
      </c>
      <c r="P90" s="7">
        <v>0</v>
      </c>
      <c r="Q90" s="7">
        <v>12</v>
      </c>
      <c r="S90" s="7">
        <v>20</v>
      </c>
      <c r="T90" s="7">
        <v>6</v>
      </c>
      <c r="U90" s="7">
        <v>3</v>
      </c>
      <c r="W90" s="7">
        <v>20</v>
      </c>
      <c r="X90" s="7">
        <v>88</v>
      </c>
      <c r="Y90" s="7">
        <f>SUM(Table1[[#This Row],[Good Kernels  (g)]:[Husk  (g)]])</f>
        <v>1000</v>
      </c>
      <c r="Z90" s="9">
        <f>IFERROR(Table1[[#This Row],[Good Kernels  (g)]]/Table1[[#This Row],[Sample Qty  (g)]],"")</f>
        <v>0.629</v>
      </c>
      <c r="AA90" s="9">
        <f>IFERROR(SUM(Table1[[#This Row],[Pieces  (g)]:[Butts (g)]])/Table1[[#This Row],[Sample Qty  (g)]],"")</f>
        <v>5.1999999999999998E-2</v>
      </c>
      <c r="AB90" s="9">
        <f>IFERROR(Table1[[#This Row],[Scorched (g)]]/Table1[[#This Row],[Sample Qty  (g)]],"")</f>
        <v>8.2000000000000003E-2</v>
      </c>
      <c r="AC90" s="9">
        <f>IFERROR(SUM(Table1[[#This Row],[Spotted  (g)]:[PUK3  (g)]])/Table1[[#This Row],[Sample Qty  (g)]],"")</f>
        <v>8.7999999999999995E-2</v>
      </c>
      <c r="AD90" s="9">
        <f>IFERROR(SUM(R90,Q90)/Table1[[#This Row],[Sample Qty  (g)]],"")</f>
        <v>1.2E-2</v>
      </c>
      <c r="AE90" s="9">
        <f>IFERROR(Table1[[#This Row],[Dessert/NW  (g)]]/Table1[[#This Row],[Sample Qty  (g)]],"")</f>
        <v>0.02</v>
      </c>
      <c r="AF90" s="9">
        <f>IFERROR(SUM(Table1[[#This Row],[Oil  (g)]:[Dirty  (g)]])/Table1[[#This Row],[Sample Qty  (g)]],"")</f>
        <v>8.9999999999999993E-3</v>
      </c>
      <c r="AG90" s="9">
        <f>IFERROR(Table1[[#This Row],[Rejection  (g)]]/Table1[[#This Row],[Sample Qty  (g)]],"")</f>
        <v>0.02</v>
      </c>
      <c r="AH90" s="9">
        <f>IFERROR(Table1[[#This Row],[Husk  (g)]]/Table1[[#This Row],[Sample Qty  (g)]],"")</f>
        <v>8.7999999999999995E-2</v>
      </c>
    </row>
    <row r="91" spans="2:34" ht="12" x14ac:dyDescent="0.25">
      <c r="B91" s="8">
        <v>46212</v>
      </c>
      <c r="C91" s="7">
        <f>WEEKNUM(Table1[[#This Row],[Date]])</f>
        <v>28</v>
      </c>
      <c r="D91" s="5" t="s">
        <v>77</v>
      </c>
      <c r="E91" s="10" t="s">
        <v>71</v>
      </c>
      <c r="F91" s="7" t="s">
        <v>21</v>
      </c>
      <c r="H91" s="7">
        <v>1000</v>
      </c>
      <c r="I91" s="7">
        <v>254</v>
      </c>
      <c r="J91" s="7">
        <v>3.4</v>
      </c>
      <c r="K91" s="7">
        <v>628</v>
      </c>
      <c r="L91" s="7">
        <v>36</v>
      </c>
      <c r="N91" s="7">
        <v>72</v>
      </c>
      <c r="O91" s="7">
        <v>108</v>
      </c>
      <c r="P91" s="7">
        <v>0</v>
      </c>
      <c r="Q91" s="7">
        <v>16</v>
      </c>
      <c r="S91" s="7">
        <v>16</v>
      </c>
      <c r="T91" s="7">
        <v>12</v>
      </c>
      <c r="U91" s="7">
        <v>8</v>
      </c>
      <c r="W91" s="7">
        <v>6</v>
      </c>
      <c r="X91" s="7">
        <v>98</v>
      </c>
      <c r="Y91" s="7">
        <f>SUM(Table1[[#This Row],[Good Kernels  (g)]:[Husk  (g)]])</f>
        <v>1000</v>
      </c>
      <c r="Z91" s="9">
        <f>IFERROR(Table1[[#This Row],[Good Kernels  (g)]]/Table1[[#This Row],[Sample Qty  (g)]],"")</f>
        <v>0.628</v>
      </c>
      <c r="AA91" s="9">
        <f>IFERROR(SUM(Table1[[#This Row],[Pieces  (g)]:[Butts (g)]])/Table1[[#This Row],[Sample Qty  (g)]],"")</f>
        <v>3.5999999999999997E-2</v>
      </c>
      <c r="AB91" s="9">
        <f>IFERROR(Table1[[#This Row],[Scorched (g)]]/Table1[[#This Row],[Sample Qty  (g)]],"")</f>
        <v>7.1999999999999995E-2</v>
      </c>
      <c r="AC91" s="9">
        <f>IFERROR(SUM(Table1[[#This Row],[Spotted  (g)]:[PUK3  (g)]])/Table1[[#This Row],[Sample Qty  (g)]],"")</f>
        <v>0.108</v>
      </c>
      <c r="AD91" s="9">
        <f>IFERROR(SUM(R91,Q91)/Table1[[#This Row],[Sample Qty  (g)]],"")</f>
        <v>1.6E-2</v>
      </c>
      <c r="AE91" s="9">
        <f>IFERROR(Table1[[#This Row],[Dessert/NW  (g)]]/Table1[[#This Row],[Sample Qty  (g)]],"")</f>
        <v>1.6E-2</v>
      </c>
      <c r="AF91" s="9">
        <f>IFERROR(SUM(Table1[[#This Row],[Oil  (g)]:[Dirty  (g)]])/Table1[[#This Row],[Sample Qty  (g)]],"")</f>
        <v>0.02</v>
      </c>
      <c r="AG91" s="9">
        <f>IFERROR(Table1[[#This Row],[Rejection  (g)]]/Table1[[#This Row],[Sample Qty  (g)]],"")</f>
        <v>6.0000000000000001E-3</v>
      </c>
      <c r="AH91" s="9">
        <f>IFERROR(Table1[[#This Row],[Husk  (g)]]/Table1[[#This Row],[Sample Qty  (g)]],"")</f>
        <v>9.8000000000000004E-2</v>
      </c>
    </row>
    <row r="92" spans="2:34" ht="12" x14ac:dyDescent="0.25">
      <c r="B92" s="8">
        <v>46212</v>
      </c>
      <c r="C92" s="7">
        <f>WEEKNUM(Table1[[#This Row],[Date]])</f>
        <v>28</v>
      </c>
      <c r="D92" s="5" t="s">
        <v>77</v>
      </c>
      <c r="E92" s="10" t="s">
        <v>71</v>
      </c>
      <c r="F92" s="7" t="s">
        <v>21</v>
      </c>
      <c r="H92" s="7">
        <v>1000</v>
      </c>
      <c r="I92" s="7">
        <v>262</v>
      </c>
      <c r="J92" s="7">
        <v>3.4</v>
      </c>
      <c r="K92" s="7">
        <v>653</v>
      </c>
      <c r="L92" s="7">
        <v>30</v>
      </c>
      <c r="N92" s="7">
        <v>76</v>
      </c>
      <c r="O92" s="7">
        <v>94</v>
      </c>
      <c r="P92" s="7">
        <v>0</v>
      </c>
      <c r="Q92" s="7">
        <v>14</v>
      </c>
      <c r="S92" s="7">
        <v>10</v>
      </c>
      <c r="T92" s="7">
        <v>10</v>
      </c>
      <c r="U92" s="7">
        <v>7</v>
      </c>
      <c r="W92" s="7">
        <v>10</v>
      </c>
      <c r="X92" s="7">
        <v>96</v>
      </c>
      <c r="Y92" s="7">
        <f>SUM(Table1[[#This Row],[Good Kernels  (g)]:[Husk  (g)]])</f>
        <v>1000</v>
      </c>
      <c r="Z92" s="9">
        <f>IFERROR(Table1[[#This Row],[Good Kernels  (g)]]/Table1[[#This Row],[Sample Qty  (g)]],"")</f>
        <v>0.65300000000000002</v>
      </c>
      <c r="AA92" s="9">
        <f>IFERROR(SUM(Table1[[#This Row],[Pieces  (g)]:[Butts (g)]])/Table1[[#This Row],[Sample Qty  (g)]],"")</f>
        <v>0.03</v>
      </c>
      <c r="AB92" s="9">
        <f>IFERROR(Table1[[#This Row],[Scorched (g)]]/Table1[[#This Row],[Sample Qty  (g)]],"")</f>
        <v>7.5999999999999998E-2</v>
      </c>
      <c r="AC92" s="9">
        <f>IFERROR(SUM(Table1[[#This Row],[Spotted  (g)]:[PUK3  (g)]])/Table1[[#This Row],[Sample Qty  (g)]],"")</f>
        <v>9.4E-2</v>
      </c>
      <c r="AD92" s="9">
        <f>IFERROR(SUM(R92,Q92)/Table1[[#This Row],[Sample Qty  (g)]],"")</f>
        <v>1.4E-2</v>
      </c>
      <c r="AE92" s="9">
        <f>IFERROR(Table1[[#This Row],[Dessert/NW  (g)]]/Table1[[#This Row],[Sample Qty  (g)]],"")</f>
        <v>0.01</v>
      </c>
      <c r="AF92" s="9">
        <f>IFERROR(SUM(Table1[[#This Row],[Oil  (g)]:[Dirty  (g)]])/Table1[[#This Row],[Sample Qty  (g)]],"")</f>
        <v>1.7000000000000001E-2</v>
      </c>
      <c r="AG92" s="9">
        <f>IFERROR(Table1[[#This Row],[Rejection  (g)]]/Table1[[#This Row],[Sample Qty  (g)]],"")</f>
        <v>0.01</v>
      </c>
      <c r="AH92" s="9">
        <f>IFERROR(Table1[[#This Row],[Husk  (g)]]/Table1[[#This Row],[Sample Qty  (g)]],"")</f>
        <v>9.6000000000000002E-2</v>
      </c>
    </row>
    <row r="93" spans="2:34" ht="12" x14ac:dyDescent="0.25">
      <c r="B93" s="8">
        <v>46212</v>
      </c>
      <c r="C93" s="7">
        <f>WEEKNUM(Table1[[#This Row],[Date]])</f>
        <v>28</v>
      </c>
      <c r="D93" s="5" t="s">
        <v>77</v>
      </c>
      <c r="E93" s="10" t="s">
        <v>71</v>
      </c>
      <c r="F93" s="7" t="s">
        <v>21</v>
      </c>
      <c r="H93" s="7">
        <v>1000</v>
      </c>
      <c r="I93" s="7">
        <v>273</v>
      </c>
      <c r="J93" s="7">
        <v>3.4</v>
      </c>
      <c r="K93" s="7">
        <v>690</v>
      </c>
      <c r="L93" s="7">
        <v>40</v>
      </c>
      <c r="N93" s="7">
        <v>124</v>
      </c>
      <c r="O93" s="7">
        <v>18</v>
      </c>
      <c r="P93" s="7">
        <v>0</v>
      </c>
      <c r="Q93" s="7">
        <v>4</v>
      </c>
      <c r="S93" s="7">
        <v>6</v>
      </c>
      <c r="T93" s="7">
        <v>4</v>
      </c>
      <c r="U93" s="7">
        <v>2</v>
      </c>
      <c r="W93" s="7">
        <v>20</v>
      </c>
      <c r="X93" s="7">
        <v>92</v>
      </c>
      <c r="Y93" s="7">
        <f>SUM(Table1[[#This Row],[Good Kernels  (g)]:[Husk  (g)]])</f>
        <v>1000</v>
      </c>
      <c r="Z93" s="9">
        <f>IFERROR(Table1[[#This Row],[Good Kernels  (g)]]/Table1[[#This Row],[Sample Qty  (g)]],"")</f>
        <v>0.69</v>
      </c>
      <c r="AA93" s="9">
        <f>IFERROR(SUM(Table1[[#This Row],[Pieces  (g)]:[Butts (g)]])/Table1[[#This Row],[Sample Qty  (g)]],"")</f>
        <v>0.04</v>
      </c>
      <c r="AB93" s="9">
        <f>IFERROR(Table1[[#This Row],[Scorched (g)]]/Table1[[#This Row],[Sample Qty  (g)]],"")</f>
        <v>0.124</v>
      </c>
      <c r="AC93" s="9">
        <f>IFERROR(SUM(Table1[[#This Row],[Spotted  (g)]:[PUK3  (g)]])/Table1[[#This Row],[Sample Qty  (g)]],"")</f>
        <v>1.7999999999999999E-2</v>
      </c>
      <c r="AD93" s="9">
        <f>IFERROR(SUM(R93,Q93)/Table1[[#This Row],[Sample Qty  (g)]],"")</f>
        <v>4.0000000000000001E-3</v>
      </c>
      <c r="AE93" s="9">
        <f>IFERROR(Table1[[#This Row],[Dessert/NW  (g)]]/Table1[[#This Row],[Sample Qty  (g)]],"")</f>
        <v>6.0000000000000001E-3</v>
      </c>
      <c r="AF93" s="9">
        <f>IFERROR(SUM(Table1[[#This Row],[Oil  (g)]:[Dirty  (g)]])/Table1[[#This Row],[Sample Qty  (g)]],"")</f>
        <v>6.0000000000000001E-3</v>
      </c>
      <c r="AG93" s="9">
        <f>IFERROR(Table1[[#This Row],[Rejection  (g)]]/Table1[[#This Row],[Sample Qty  (g)]],"")</f>
        <v>0.02</v>
      </c>
      <c r="AH93" s="9">
        <f>IFERROR(Table1[[#This Row],[Husk  (g)]]/Table1[[#This Row],[Sample Qty  (g)]],"")</f>
        <v>9.1999999999999998E-2</v>
      </c>
    </row>
    <row r="94" spans="2:34" ht="12" x14ac:dyDescent="0.25">
      <c r="B94" s="8">
        <v>46212</v>
      </c>
      <c r="C94" s="7">
        <f>WEEKNUM(Table1[[#This Row],[Date]])</f>
        <v>28</v>
      </c>
      <c r="D94" s="5" t="s">
        <v>78</v>
      </c>
      <c r="E94" s="10" t="s">
        <v>71</v>
      </c>
      <c r="F94" s="7" t="s">
        <v>21</v>
      </c>
      <c r="H94" s="7">
        <v>1000</v>
      </c>
      <c r="I94" s="7">
        <v>280</v>
      </c>
      <c r="J94" s="7">
        <v>3.6</v>
      </c>
      <c r="K94" s="7">
        <v>520</v>
      </c>
      <c r="L94" s="7">
        <v>64</v>
      </c>
      <c r="N94" s="7">
        <v>52</v>
      </c>
      <c r="O94" s="7">
        <v>64</v>
      </c>
      <c r="P94" s="7">
        <v>0</v>
      </c>
      <c r="Q94" s="7">
        <v>24</v>
      </c>
      <c r="S94" s="7">
        <v>28</v>
      </c>
      <c r="T94" s="7">
        <v>52</v>
      </c>
      <c r="U94" s="7">
        <v>40</v>
      </c>
      <c r="W94" s="7">
        <v>56</v>
      </c>
      <c r="X94" s="7">
        <v>100</v>
      </c>
      <c r="Y94" s="7">
        <f>SUM(Table1[[#This Row],[Good Kernels  (g)]:[Husk  (g)]])</f>
        <v>1000</v>
      </c>
      <c r="Z94" s="9">
        <f>IFERROR(Table1[[#This Row],[Good Kernels  (g)]]/Table1[[#This Row],[Sample Qty  (g)]],"")</f>
        <v>0.52</v>
      </c>
      <c r="AA94" s="9">
        <f>IFERROR(SUM(Table1[[#This Row],[Pieces  (g)]:[Butts (g)]])/Table1[[#This Row],[Sample Qty  (g)]],"")</f>
        <v>6.4000000000000001E-2</v>
      </c>
      <c r="AB94" s="9">
        <f>IFERROR(Table1[[#This Row],[Scorched (g)]]/Table1[[#This Row],[Sample Qty  (g)]],"")</f>
        <v>5.1999999999999998E-2</v>
      </c>
      <c r="AC94" s="9">
        <f>IFERROR(SUM(Table1[[#This Row],[Spotted  (g)]:[PUK3  (g)]])/Table1[[#This Row],[Sample Qty  (g)]],"")</f>
        <v>6.4000000000000001E-2</v>
      </c>
      <c r="AD94" s="9">
        <f>IFERROR(SUM(R94,Q94)/Table1[[#This Row],[Sample Qty  (g)]],"")</f>
        <v>2.4E-2</v>
      </c>
      <c r="AE94" s="9">
        <f>IFERROR(Table1[[#This Row],[Dessert/NW  (g)]]/Table1[[#This Row],[Sample Qty  (g)]],"")</f>
        <v>2.8000000000000001E-2</v>
      </c>
      <c r="AF94" s="9">
        <f>IFERROR(SUM(Table1[[#This Row],[Oil  (g)]:[Dirty  (g)]])/Table1[[#This Row],[Sample Qty  (g)]],"")</f>
        <v>9.1999999999999998E-2</v>
      </c>
      <c r="AG94" s="9">
        <f>IFERROR(Table1[[#This Row],[Rejection  (g)]]/Table1[[#This Row],[Sample Qty  (g)]],"")</f>
        <v>5.6000000000000001E-2</v>
      </c>
      <c r="AH94" s="9">
        <f>IFERROR(Table1[[#This Row],[Husk  (g)]]/Table1[[#This Row],[Sample Qty  (g)]],"")</f>
        <v>0.1</v>
      </c>
    </row>
    <row r="95" spans="2:34" ht="12" x14ac:dyDescent="0.25">
      <c r="B95" s="8">
        <v>46212</v>
      </c>
      <c r="C95" s="7">
        <f>WEEKNUM(Table1[[#This Row],[Date]])</f>
        <v>28</v>
      </c>
      <c r="D95" s="5" t="s">
        <v>78</v>
      </c>
      <c r="E95" s="10" t="s">
        <v>71</v>
      </c>
      <c r="F95" s="7" t="s">
        <v>21</v>
      </c>
      <c r="H95" s="7">
        <v>1000</v>
      </c>
      <c r="I95" s="7">
        <v>258</v>
      </c>
      <c r="J95" s="7">
        <v>3.6</v>
      </c>
      <c r="K95" s="7">
        <v>650</v>
      </c>
      <c r="L95" s="7">
        <v>6</v>
      </c>
      <c r="N95" s="7">
        <v>36</v>
      </c>
      <c r="O95" s="7">
        <v>124</v>
      </c>
      <c r="P95" s="7">
        <v>0</v>
      </c>
      <c r="Q95" s="7">
        <v>25</v>
      </c>
      <c r="S95" s="7">
        <v>20</v>
      </c>
      <c r="T95" s="7">
        <v>9</v>
      </c>
      <c r="U95" s="7">
        <v>10</v>
      </c>
      <c r="W95" s="7">
        <v>28</v>
      </c>
      <c r="X95" s="7">
        <v>92</v>
      </c>
      <c r="Y95" s="7">
        <f>SUM(Table1[[#This Row],[Good Kernels  (g)]:[Husk  (g)]])</f>
        <v>1000</v>
      </c>
      <c r="Z95" s="9">
        <f>IFERROR(Table1[[#This Row],[Good Kernels  (g)]]/Table1[[#This Row],[Sample Qty  (g)]],"")</f>
        <v>0.65</v>
      </c>
      <c r="AA95" s="9">
        <f>IFERROR(SUM(Table1[[#This Row],[Pieces  (g)]:[Butts (g)]])/Table1[[#This Row],[Sample Qty  (g)]],"")</f>
        <v>6.0000000000000001E-3</v>
      </c>
      <c r="AB95" s="9">
        <f>IFERROR(Table1[[#This Row],[Scorched (g)]]/Table1[[#This Row],[Sample Qty  (g)]],"")</f>
        <v>3.5999999999999997E-2</v>
      </c>
      <c r="AC95" s="9">
        <f>IFERROR(SUM(Table1[[#This Row],[Spotted  (g)]:[PUK3  (g)]])/Table1[[#This Row],[Sample Qty  (g)]],"")</f>
        <v>0.124</v>
      </c>
      <c r="AD95" s="9">
        <f>IFERROR(SUM(R95,Q95)/Table1[[#This Row],[Sample Qty  (g)]],"")</f>
        <v>2.5000000000000001E-2</v>
      </c>
      <c r="AE95" s="9">
        <f>IFERROR(Table1[[#This Row],[Dessert/NW  (g)]]/Table1[[#This Row],[Sample Qty  (g)]],"")</f>
        <v>0.02</v>
      </c>
      <c r="AF95" s="9">
        <f>IFERROR(SUM(Table1[[#This Row],[Oil  (g)]:[Dirty  (g)]])/Table1[[#This Row],[Sample Qty  (g)]],"")</f>
        <v>1.9E-2</v>
      </c>
      <c r="AG95" s="9">
        <f>IFERROR(Table1[[#This Row],[Rejection  (g)]]/Table1[[#This Row],[Sample Qty  (g)]],"")</f>
        <v>2.8000000000000001E-2</v>
      </c>
      <c r="AH95" s="9">
        <f>IFERROR(Table1[[#This Row],[Husk  (g)]]/Table1[[#This Row],[Sample Qty  (g)]],"")</f>
        <v>9.1999999999999998E-2</v>
      </c>
    </row>
    <row r="96" spans="2:34" ht="12" x14ac:dyDescent="0.25">
      <c r="B96" s="8">
        <v>46212</v>
      </c>
      <c r="C96" s="7">
        <f>WEEKNUM(Table1[[#This Row],[Date]])</f>
        <v>28</v>
      </c>
      <c r="D96" s="5" t="s">
        <v>78</v>
      </c>
      <c r="E96" s="10" t="s">
        <v>71</v>
      </c>
      <c r="F96" s="7" t="s">
        <v>21</v>
      </c>
      <c r="H96" s="7">
        <v>1000</v>
      </c>
      <c r="I96" s="7">
        <v>264</v>
      </c>
      <c r="J96" s="7">
        <v>3.6</v>
      </c>
      <c r="K96" s="7">
        <v>603</v>
      </c>
      <c r="L96" s="7">
        <v>68</v>
      </c>
      <c r="N96" s="7">
        <v>50</v>
      </c>
      <c r="O96" s="7">
        <v>98</v>
      </c>
      <c r="P96" s="7">
        <v>0</v>
      </c>
      <c r="Q96" s="7">
        <v>20</v>
      </c>
      <c r="S96" s="7">
        <v>18</v>
      </c>
      <c r="T96" s="7">
        <v>8</v>
      </c>
      <c r="U96" s="7">
        <v>8</v>
      </c>
      <c r="W96" s="7">
        <v>29</v>
      </c>
      <c r="X96" s="7">
        <v>98</v>
      </c>
      <c r="Y96" s="7">
        <f>SUM(Table1[[#This Row],[Good Kernels  (g)]:[Husk  (g)]])</f>
        <v>1000</v>
      </c>
      <c r="Z96" s="9">
        <f>IFERROR(Table1[[#This Row],[Good Kernels  (g)]]/Table1[[#This Row],[Sample Qty  (g)]],"")</f>
        <v>0.60299999999999998</v>
      </c>
      <c r="AA96" s="9">
        <f>IFERROR(SUM(Table1[[#This Row],[Pieces  (g)]:[Butts (g)]])/Table1[[#This Row],[Sample Qty  (g)]],"")</f>
        <v>6.8000000000000005E-2</v>
      </c>
      <c r="AB96" s="9">
        <f>IFERROR(Table1[[#This Row],[Scorched (g)]]/Table1[[#This Row],[Sample Qty  (g)]],"")</f>
        <v>0.05</v>
      </c>
      <c r="AC96" s="9">
        <f>IFERROR(SUM(Table1[[#This Row],[Spotted  (g)]:[PUK3  (g)]])/Table1[[#This Row],[Sample Qty  (g)]],"")</f>
        <v>9.8000000000000004E-2</v>
      </c>
      <c r="AD96" s="9">
        <f>IFERROR(SUM(R96,Q96)/Table1[[#This Row],[Sample Qty  (g)]],"")</f>
        <v>0.02</v>
      </c>
      <c r="AE96" s="9">
        <f>IFERROR(Table1[[#This Row],[Dessert/NW  (g)]]/Table1[[#This Row],[Sample Qty  (g)]],"")</f>
        <v>1.7999999999999999E-2</v>
      </c>
      <c r="AF96" s="9">
        <f>IFERROR(SUM(Table1[[#This Row],[Oil  (g)]:[Dirty  (g)]])/Table1[[#This Row],[Sample Qty  (g)]],"")</f>
        <v>1.6E-2</v>
      </c>
      <c r="AG96" s="9">
        <f>IFERROR(Table1[[#This Row],[Rejection  (g)]]/Table1[[#This Row],[Sample Qty  (g)]],"")</f>
        <v>2.9000000000000001E-2</v>
      </c>
      <c r="AH96" s="9">
        <f>IFERROR(Table1[[#This Row],[Husk  (g)]]/Table1[[#This Row],[Sample Qty  (g)]],"")</f>
        <v>9.8000000000000004E-2</v>
      </c>
    </row>
    <row r="97" spans="2:34" ht="12" x14ac:dyDescent="0.25">
      <c r="B97" s="8">
        <v>46213</v>
      </c>
      <c r="C97" s="7">
        <f>WEEKNUM(Table1[[#This Row],[Date]])</f>
        <v>28</v>
      </c>
      <c r="D97" s="5" t="s">
        <v>78</v>
      </c>
      <c r="E97" s="10" t="s">
        <v>71</v>
      </c>
      <c r="F97" s="7" t="s">
        <v>21</v>
      </c>
      <c r="H97" s="7">
        <v>1000</v>
      </c>
      <c r="I97" s="7">
        <v>270</v>
      </c>
      <c r="J97" s="7">
        <v>3.2</v>
      </c>
      <c r="K97" s="7">
        <v>566</v>
      </c>
      <c r="L97" s="7">
        <v>60</v>
      </c>
      <c r="N97" s="7">
        <v>48</v>
      </c>
      <c r="O97" s="7">
        <v>104</v>
      </c>
      <c r="P97" s="7">
        <v>0</v>
      </c>
      <c r="Q97" s="7">
        <v>4</v>
      </c>
      <c r="S97" s="7">
        <v>12</v>
      </c>
      <c r="T97" s="7">
        <v>40</v>
      </c>
      <c r="U97" s="7">
        <v>50</v>
      </c>
      <c r="W97" s="7">
        <v>36</v>
      </c>
      <c r="X97" s="7">
        <v>80</v>
      </c>
      <c r="Y97" s="7">
        <f>SUM(Table1[[#This Row],[Good Kernels  (g)]:[Husk  (g)]])</f>
        <v>1000</v>
      </c>
      <c r="Z97" s="9">
        <f>IFERROR(Table1[[#This Row],[Good Kernels  (g)]]/Table1[[#This Row],[Sample Qty  (g)]],"")</f>
        <v>0.56599999999999995</v>
      </c>
      <c r="AA97" s="9">
        <f>IFERROR(SUM(Table1[[#This Row],[Pieces  (g)]:[Butts (g)]])/Table1[[#This Row],[Sample Qty  (g)]],"")</f>
        <v>0.06</v>
      </c>
      <c r="AB97" s="9">
        <f>IFERROR(Table1[[#This Row],[Scorched (g)]]/Table1[[#This Row],[Sample Qty  (g)]],"")</f>
        <v>4.8000000000000001E-2</v>
      </c>
      <c r="AC97" s="9">
        <f>IFERROR(SUM(Table1[[#This Row],[Spotted  (g)]:[PUK3  (g)]])/Table1[[#This Row],[Sample Qty  (g)]],"")</f>
        <v>0.104</v>
      </c>
      <c r="AD97" s="9">
        <f>IFERROR(SUM(R97,Q97)/Table1[[#This Row],[Sample Qty  (g)]],"")</f>
        <v>4.0000000000000001E-3</v>
      </c>
      <c r="AE97" s="9">
        <f>IFERROR(Table1[[#This Row],[Dessert/NW  (g)]]/Table1[[#This Row],[Sample Qty  (g)]],"")</f>
        <v>1.2E-2</v>
      </c>
      <c r="AF97" s="9">
        <f>IFERROR(SUM(Table1[[#This Row],[Oil  (g)]:[Dirty  (g)]])/Table1[[#This Row],[Sample Qty  (g)]],"")</f>
        <v>0.09</v>
      </c>
      <c r="AG97" s="9">
        <f>IFERROR(Table1[[#This Row],[Rejection  (g)]]/Table1[[#This Row],[Sample Qty  (g)]],"")</f>
        <v>3.5999999999999997E-2</v>
      </c>
      <c r="AH97" s="9">
        <f>IFERROR(Table1[[#This Row],[Husk  (g)]]/Table1[[#This Row],[Sample Qty  (g)]],"")</f>
        <v>0.08</v>
      </c>
    </row>
    <row r="98" spans="2:34" ht="12" x14ac:dyDescent="0.25">
      <c r="B98" s="8">
        <v>46213</v>
      </c>
      <c r="C98" s="7">
        <f>WEEKNUM(Table1[[#This Row],[Date]])</f>
        <v>28</v>
      </c>
      <c r="D98" s="5" t="s">
        <v>78</v>
      </c>
      <c r="E98" s="10" t="s">
        <v>71</v>
      </c>
      <c r="F98" s="7" t="s">
        <v>21</v>
      </c>
      <c r="H98" s="7">
        <v>1000</v>
      </c>
      <c r="I98" s="7">
        <v>262</v>
      </c>
      <c r="J98" s="7">
        <v>3.3</v>
      </c>
      <c r="K98" s="7">
        <v>662</v>
      </c>
      <c r="L98" s="7">
        <v>80</v>
      </c>
      <c r="N98" s="7">
        <v>30</v>
      </c>
      <c r="O98" s="7">
        <v>64</v>
      </c>
      <c r="P98" s="7">
        <v>0</v>
      </c>
      <c r="Q98" s="7">
        <v>2</v>
      </c>
      <c r="S98" s="7">
        <v>12</v>
      </c>
      <c r="T98" s="7">
        <v>20</v>
      </c>
      <c r="U98" s="7">
        <v>36</v>
      </c>
      <c r="W98" s="7">
        <v>6</v>
      </c>
      <c r="X98" s="7">
        <v>88</v>
      </c>
      <c r="Y98" s="7">
        <f>SUM(Table1[[#This Row],[Good Kernels  (g)]:[Husk  (g)]])</f>
        <v>1000</v>
      </c>
      <c r="Z98" s="9">
        <f>IFERROR(Table1[[#This Row],[Good Kernels  (g)]]/Table1[[#This Row],[Sample Qty  (g)]],"")</f>
        <v>0.66200000000000003</v>
      </c>
      <c r="AA98" s="9">
        <f>IFERROR(SUM(Table1[[#This Row],[Pieces  (g)]:[Butts (g)]])/Table1[[#This Row],[Sample Qty  (g)]],"")</f>
        <v>0.08</v>
      </c>
      <c r="AB98" s="9">
        <f>IFERROR(Table1[[#This Row],[Scorched (g)]]/Table1[[#This Row],[Sample Qty  (g)]],"")</f>
        <v>0.03</v>
      </c>
      <c r="AC98" s="9">
        <f>IFERROR(SUM(Table1[[#This Row],[Spotted  (g)]:[PUK3  (g)]])/Table1[[#This Row],[Sample Qty  (g)]],"")</f>
        <v>6.4000000000000001E-2</v>
      </c>
      <c r="AD98" s="9">
        <f>IFERROR(SUM(R98,Q98)/Table1[[#This Row],[Sample Qty  (g)]],"")</f>
        <v>2E-3</v>
      </c>
      <c r="AE98" s="9">
        <f>IFERROR(Table1[[#This Row],[Dessert/NW  (g)]]/Table1[[#This Row],[Sample Qty  (g)]],"")</f>
        <v>1.2E-2</v>
      </c>
      <c r="AF98" s="9">
        <f>IFERROR(SUM(Table1[[#This Row],[Oil  (g)]:[Dirty  (g)]])/Table1[[#This Row],[Sample Qty  (g)]],"")</f>
        <v>5.6000000000000001E-2</v>
      </c>
      <c r="AG98" s="9">
        <f>IFERROR(Table1[[#This Row],[Rejection  (g)]]/Table1[[#This Row],[Sample Qty  (g)]],"")</f>
        <v>6.0000000000000001E-3</v>
      </c>
      <c r="AH98" s="9">
        <f>IFERROR(Table1[[#This Row],[Husk  (g)]]/Table1[[#This Row],[Sample Qty  (g)]],"")</f>
        <v>8.7999999999999995E-2</v>
      </c>
    </row>
    <row r="99" spans="2:34" ht="12" x14ac:dyDescent="0.25">
      <c r="B99" s="8">
        <v>46213</v>
      </c>
      <c r="C99" s="7">
        <f>WEEKNUM(Table1[[#This Row],[Date]])</f>
        <v>28</v>
      </c>
      <c r="D99" s="5" t="s">
        <v>78</v>
      </c>
      <c r="E99" s="10" t="s">
        <v>71</v>
      </c>
      <c r="F99" s="7" t="s">
        <v>21</v>
      </c>
      <c r="H99" s="7">
        <v>1000</v>
      </c>
      <c r="I99" s="7">
        <v>310</v>
      </c>
      <c r="J99" s="7">
        <v>3.2</v>
      </c>
      <c r="K99" s="7">
        <v>618</v>
      </c>
      <c r="L99" s="7">
        <v>80</v>
      </c>
      <c r="N99" s="7">
        <v>80</v>
      </c>
      <c r="O99" s="7">
        <v>72</v>
      </c>
      <c r="P99" s="7">
        <v>0</v>
      </c>
      <c r="Q99" s="7">
        <v>2</v>
      </c>
      <c r="S99" s="7">
        <v>4</v>
      </c>
      <c r="T99" s="7">
        <v>12</v>
      </c>
      <c r="U99" s="7">
        <v>28</v>
      </c>
      <c r="W99" s="7">
        <v>6</v>
      </c>
      <c r="X99" s="7">
        <v>98</v>
      </c>
      <c r="Y99" s="7">
        <f>SUM(Table1[[#This Row],[Good Kernels  (g)]:[Husk  (g)]])</f>
        <v>1000</v>
      </c>
      <c r="Z99" s="9">
        <f>IFERROR(Table1[[#This Row],[Good Kernels  (g)]]/Table1[[#This Row],[Sample Qty  (g)]],"")</f>
        <v>0.61799999999999999</v>
      </c>
      <c r="AA99" s="9">
        <f>IFERROR(SUM(Table1[[#This Row],[Pieces  (g)]:[Butts (g)]])/Table1[[#This Row],[Sample Qty  (g)]],"")</f>
        <v>0.08</v>
      </c>
      <c r="AB99" s="9">
        <f>IFERROR(Table1[[#This Row],[Scorched (g)]]/Table1[[#This Row],[Sample Qty  (g)]],"")</f>
        <v>0.08</v>
      </c>
      <c r="AC99" s="9">
        <f>IFERROR(SUM(Table1[[#This Row],[Spotted  (g)]:[PUK3  (g)]])/Table1[[#This Row],[Sample Qty  (g)]],"")</f>
        <v>7.1999999999999995E-2</v>
      </c>
      <c r="AD99" s="9">
        <f>IFERROR(SUM(R99,Q99)/Table1[[#This Row],[Sample Qty  (g)]],"")</f>
        <v>2E-3</v>
      </c>
      <c r="AE99" s="9">
        <f>IFERROR(Table1[[#This Row],[Dessert/NW  (g)]]/Table1[[#This Row],[Sample Qty  (g)]],"")</f>
        <v>4.0000000000000001E-3</v>
      </c>
      <c r="AF99" s="9">
        <f>IFERROR(SUM(Table1[[#This Row],[Oil  (g)]:[Dirty  (g)]])/Table1[[#This Row],[Sample Qty  (g)]],"")</f>
        <v>0.04</v>
      </c>
      <c r="AG99" s="9">
        <f>IFERROR(Table1[[#This Row],[Rejection  (g)]]/Table1[[#This Row],[Sample Qty  (g)]],"")</f>
        <v>6.0000000000000001E-3</v>
      </c>
      <c r="AH99" s="9">
        <f>IFERROR(Table1[[#This Row],[Husk  (g)]]/Table1[[#This Row],[Sample Qty  (g)]],"")</f>
        <v>9.8000000000000004E-2</v>
      </c>
    </row>
    <row r="100" spans="2:34" ht="12" x14ac:dyDescent="0.25">
      <c r="B100" s="8">
        <v>46213</v>
      </c>
      <c r="C100" s="7">
        <f>WEEKNUM(Table1[[#This Row],[Date]])</f>
        <v>28</v>
      </c>
      <c r="D100" s="5" t="s">
        <v>78</v>
      </c>
      <c r="E100" s="10" t="s">
        <v>71</v>
      </c>
      <c r="F100" s="7" t="s">
        <v>21</v>
      </c>
      <c r="H100" s="7">
        <v>1000</v>
      </c>
      <c r="I100" s="7">
        <v>278</v>
      </c>
      <c r="J100" s="7">
        <v>3.2</v>
      </c>
      <c r="K100" s="7">
        <v>613</v>
      </c>
      <c r="L100" s="7">
        <v>68</v>
      </c>
      <c r="N100" s="7">
        <v>52</v>
      </c>
      <c r="O100" s="7">
        <v>80</v>
      </c>
      <c r="P100" s="7">
        <v>0</v>
      </c>
      <c r="Q100" s="7">
        <v>3</v>
      </c>
      <c r="S100" s="7">
        <v>16</v>
      </c>
      <c r="T100" s="7">
        <v>28</v>
      </c>
      <c r="U100" s="7">
        <v>36</v>
      </c>
      <c r="W100" s="7">
        <v>16</v>
      </c>
      <c r="X100" s="7">
        <v>88</v>
      </c>
      <c r="Y100" s="7">
        <f>SUM(Table1[[#This Row],[Good Kernels  (g)]:[Husk  (g)]])</f>
        <v>1000</v>
      </c>
      <c r="Z100" s="9">
        <f>IFERROR(Table1[[#This Row],[Good Kernels  (g)]]/Table1[[#This Row],[Sample Qty  (g)]],"")</f>
        <v>0.61299999999999999</v>
      </c>
      <c r="AA100" s="9">
        <f>IFERROR(SUM(Table1[[#This Row],[Pieces  (g)]:[Butts (g)]])/Table1[[#This Row],[Sample Qty  (g)]],"")</f>
        <v>6.8000000000000005E-2</v>
      </c>
      <c r="AB100" s="9">
        <f>IFERROR(Table1[[#This Row],[Scorched (g)]]/Table1[[#This Row],[Sample Qty  (g)]],"")</f>
        <v>5.1999999999999998E-2</v>
      </c>
      <c r="AC100" s="9">
        <f>IFERROR(SUM(Table1[[#This Row],[Spotted  (g)]:[PUK3  (g)]])/Table1[[#This Row],[Sample Qty  (g)]],"")</f>
        <v>0.08</v>
      </c>
      <c r="AD100" s="9">
        <f>IFERROR(SUM(R100,Q100)/Table1[[#This Row],[Sample Qty  (g)]],"")</f>
        <v>3.0000000000000001E-3</v>
      </c>
      <c r="AE100" s="9">
        <f>IFERROR(Table1[[#This Row],[Dessert/NW  (g)]]/Table1[[#This Row],[Sample Qty  (g)]],"")</f>
        <v>1.6E-2</v>
      </c>
      <c r="AF100" s="9">
        <f>IFERROR(SUM(Table1[[#This Row],[Oil  (g)]:[Dirty  (g)]])/Table1[[#This Row],[Sample Qty  (g)]],"")</f>
        <v>6.4000000000000001E-2</v>
      </c>
      <c r="AG100" s="9">
        <f>IFERROR(Table1[[#This Row],[Rejection  (g)]]/Table1[[#This Row],[Sample Qty  (g)]],"")</f>
        <v>1.6E-2</v>
      </c>
      <c r="AH100" s="9">
        <f>IFERROR(Table1[[#This Row],[Husk  (g)]]/Table1[[#This Row],[Sample Qty  (g)]],"")</f>
        <v>8.7999999999999995E-2</v>
      </c>
    </row>
    <row r="101" spans="2:34" ht="12" x14ac:dyDescent="0.25">
      <c r="B101" s="8">
        <v>46213</v>
      </c>
      <c r="C101" s="7">
        <f>WEEKNUM(Table1[[#This Row],[Date]])</f>
        <v>28</v>
      </c>
      <c r="D101" s="5" t="s">
        <v>78</v>
      </c>
      <c r="E101" s="10" t="s">
        <v>71</v>
      </c>
      <c r="F101" s="7" t="s">
        <v>21</v>
      </c>
      <c r="H101" s="7">
        <v>1000</v>
      </c>
      <c r="I101" s="7">
        <v>298</v>
      </c>
      <c r="J101" s="7">
        <v>3.2</v>
      </c>
      <c r="K101" s="7">
        <v>671</v>
      </c>
      <c r="L101" s="7">
        <v>64</v>
      </c>
      <c r="N101" s="7">
        <v>48</v>
      </c>
      <c r="O101" s="7">
        <v>67</v>
      </c>
      <c r="P101" s="7">
        <v>0</v>
      </c>
      <c r="Q101" s="7">
        <v>12</v>
      </c>
      <c r="S101" s="7">
        <v>10</v>
      </c>
      <c r="T101" s="7">
        <v>12</v>
      </c>
      <c r="U101" s="7">
        <v>16</v>
      </c>
      <c r="W101" s="7">
        <v>16</v>
      </c>
      <c r="X101" s="7">
        <v>84</v>
      </c>
      <c r="Y101" s="7">
        <f>SUM(Table1[[#This Row],[Good Kernels  (g)]:[Husk  (g)]])</f>
        <v>1000</v>
      </c>
      <c r="Z101" s="9">
        <f>IFERROR(Table1[[#This Row],[Good Kernels  (g)]]/Table1[[#This Row],[Sample Qty  (g)]],"")</f>
        <v>0.67100000000000004</v>
      </c>
      <c r="AA101" s="9">
        <f>IFERROR(SUM(Table1[[#This Row],[Pieces  (g)]:[Butts (g)]])/Table1[[#This Row],[Sample Qty  (g)]],"")</f>
        <v>6.4000000000000001E-2</v>
      </c>
      <c r="AB101" s="9">
        <f>IFERROR(Table1[[#This Row],[Scorched (g)]]/Table1[[#This Row],[Sample Qty  (g)]],"")</f>
        <v>4.8000000000000001E-2</v>
      </c>
      <c r="AC101" s="9">
        <f>IFERROR(SUM(Table1[[#This Row],[Spotted  (g)]:[PUK3  (g)]])/Table1[[#This Row],[Sample Qty  (g)]],"")</f>
        <v>6.7000000000000004E-2</v>
      </c>
      <c r="AD101" s="9">
        <f>IFERROR(SUM(R101,Q101)/Table1[[#This Row],[Sample Qty  (g)]],"")</f>
        <v>1.2E-2</v>
      </c>
      <c r="AE101" s="9">
        <f>IFERROR(Table1[[#This Row],[Dessert/NW  (g)]]/Table1[[#This Row],[Sample Qty  (g)]],"")</f>
        <v>0.01</v>
      </c>
      <c r="AF101" s="9">
        <f>IFERROR(SUM(Table1[[#This Row],[Oil  (g)]:[Dirty  (g)]])/Table1[[#This Row],[Sample Qty  (g)]],"")</f>
        <v>2.8000000000000001E-2</v>
      </c>
      <c r="AG101" s="9">
        <f>IFERROR(Table1[[#This Row],[Rejection  (g)]]/Table1[[#This Row],[Sample Qty  (g)]],"")</f>
        <v>1.6E-2</v>
      </c>
      <c r="AH101" s="9">
        <f>IFERROR(Table1[[#This Row],[Husk  (g)]]/Table1[[#This Row],[Sample Qty  (g)]],"")</f>
        <v>8.4000000000000005E-2</v>
      </c>
    </row>
    <row r="102" spans="2:34" ht="12" x14ac:dyDescent="0.25">
      <c r="B102" s="8">
        <v>46213</v>
      </c>
      <c r="C102" s="7">
        <f>WEEKNUM(Table1[[#This Row],[Date]])</f>
        <v>28</v>
      </c>
      <c r="D102" s="5" t="s">
        <v>78</v>
      </c>
      <c r="E102" s="10" t="s">
        <v>71</v>
      </c>
      <c r="F102" s="7" t="s">
        <v>21</v>
      </c>
      <c r="H102" s="7">
        <v>1000</v>
      </c>
      <c r="I102" s="7">
        <v>278</v>
      </c>
      <c r="J102" s="7">
        <v>3.2</v>
      </c>
      <c r="K102" s="7">
        <v>707</v>
      </c>
      <c r="L102" s="7">
        <v>60</v>
      </c>
      <c r="N102" s="7">
        <v>56</v>
      </c>
      <c r="O102" s="7">
        <v>50</v>
      </c>
      <c r="P102" s="7">
        <v>0</v>
      </c>
      <c r="Q102" s="7">
        <v>24</v>
      </c>
      <c r="S102" s="7">
        <v>6</v>
      </c>
      <c r="T102" s="7">
        <v>4</v>
      </c>
      <c r="U102" s="7">
        <v>3</v>
      </c>
      <c r="W102" s="7">
        <v>6</v>
      </c>
      <c r="X102" s="7">
        <v>84</v>
      </c>
      <c r="Y102" s="7">
        <f>SUM(Table1[[#This Row],[Good Kernels  (g)]:[Husk  (g)]])</f>
        <v>1000</v>
      </c>
      <c r="Z102" s="9">
        <f>IFERROR(Table1[[#This Row],[Good Kernels  (g)]]/Table1[[#This Row],[Sample Qty  (g)]],"")</f>
        <v>0.70699999999999996</v>
      </c>
      <c r="AA102" s="9">
        <f>IFERROR(SUM(Table1[[#This Row],[Pieces  (g)]:[Butts (g)]])/Table1[[#This Row],[Sample Qty  (g)]],"")</f>
        <v>0.06</v>
      </c>
      <c r="AB102" s="9">
        <f>IFERROR(Table1[[#This Row],[Scorched (g)]]/Table1[[#This Row],[Sample Qty  (g)]],"")</f>
        <v>5.6000000000000001E-2</v>
      </c>
      <c r="AC102" s="9">
        <f>IFERROR(SUM(Table1[[#This Row],[Spotted  (g)]:[PUK3  (g)]])/Table1[[#This Row],[Sample Qty  (g)]],"")</f>
        <v>0.05</v>
      </c>
      <c r="AD102" s="9">
        <f>IFERROR(SUM(R102,Q102)/Table1[[#This Row],[Sample Qty  (g)]],"")</f>
        <v>2.4E-2</v>
      </c>
      <c r="AE102" s="9">
        <f>IFERROR(Table1[[#This Row],[Dessert/NW  (g)]]/Table1[[#This Row],[Sample Qty  (g)]],"")</f>
        <v>6.0000000000000001E-3</v>
      </c>
      <c r="AF102" s="9">
        <f>IFERROR(SUM(Table1[[#This Row],[Oil  (g)]:[Dirty  (g)]])/Table1[[#This Row],[Sample Qty  (g)]],"")</f>
        <v>7.0000000000000001E-3</v>
      </c>
      <c r="AG102" s="9">
        <f>IFERROR(Table1[[#This Row],[Rejection  (g)]]/Table1[[#This Row],[Sample Qty  (g)]],"")</f>
        <v>6.0000000000000001E-3</v>
      </c>
      <c r="AH102" s="9">
        <f>IFERROR(Table1[[#This Row],[Husk  (g)]]/Table1[[#This Row],[Sample Qty  (g)]],"")</f>
        <v>8.4000000000000005E-2</v>
      </c>
    </row>
    <row r="103" spans="2:34" ht="12" x14ac:dyDescent="0.25">
      <c r="B103" s="8">
        <v>46213</v>
      </c>
      <c r="C103" s="7">
        <f>WEEKNUM(Table1[[#This Row],[Date]])</f>
        <v>28</v>
      </c>
      <c r="D103" s="5" t="s">
        <v>78</v>
      </c>
      <c r="E103" s="10" t="s">
        <v>71</v>
      </c>
      <c r="F103" s="7" t="s">
        <v>21</v>
      </c>
      <c r="H103" s="7">
        <v>1000</v>
      </c>
      <c r="I103" s="7">
        <v>256</v>
      </c>
      <c r="J103" s="7">
        <v>3.3</v>
      </c>
      <c r="K103" s="7">
        <v>703</v>
      </c>
      <c r="L103" s="7">
        <v>28</v>
      </c>
      <c r="N103" s="7">
        <v>36</v>
      </c>
      <c r="O103" s="7">
        <v>108</v>
      </c>
      <c r="P103" s="7">
        <v>0</v>
      </c>
      <c r="Q103" s="7">
        <v>12</v>
      </c>
      <c r="S103" s="7">
        <v>12</v>
      </c>
      <c r="T103" s="7">
        <v>4</v>
      </c>
      <c r="U103" s="7">
        <v>3</v>
      </c>
      <c r="W103" s="7">
        <v>6</v>
      </c>
      <c r="X103" s="7">
        <v>88</v>
      </c>
      <c r="Y103" s="7">
        <f>SUM(Table1[[#This Row],[Good Kernels  (g)]:[Husk  (g)]])</f>
        <v>1000</v>
      </c>
      <c r="Z103" s="9">
        <f>IFERROR(Table1[[#This Row],[Good Kernels  (g)]]/Table1[[#This Row],[Sample Qty  (g)]],"")</f>
        <v>0.70299999999999996</v>
      </c>
      <c r="AA103" s="9">
        <f>IFERROR(SUM(Table1[[#This Row],[Pieces  (g)]:[Butts (g)]])/Table1[[#This Row],[Sample Qty  (g)]],"")</f>
        <v>2.8000000000000001E-2</v>
      </c>
      <c r="AB103" s="9">
        <f>IFERROR(Table1[[#This Row],[Scorched (g)]]/Table1[[#This Row],[Sample Qty  (g)]],"")</f>
        <v>3.5999999999999997E-2</v>
      </c>
      <c r="AC103" s="9">
        <f>IFERROR(SUM(Table1[[#This Row],[Spotted  (g)]:[PUK3  (g)]])/Table1[[#This Row],[Sample Qty  (g)]],"")</f>
        <v>0.108</v>
      </c>
      <c r="AD103" s="9">
        <f>IFERROR(SUM(R103,Q103)/Table1[[#This Row],[Sample Qty  (g)]],"")</f>
        <v>1.2E-2</v>
      </c>
      <c r="AE103" s="9">
        <f>IFERROR(Table1[[#This Row],[Dessert/NW  (g)]]/Table1[[#This Row],[Sample Qty  (g)]],"")</f>
        <v>1.2E-2</v>
      </c>
      <c r="AF103" s="9">
        <f>IFERROR(SUM(Table1[[#This Row],[Oil  (g)]:[Dirty  (g)]])/Table1[[#This Row],[Sample Qty  (g)]],"")</f>
        <v>7.0000000000000001E-3</v>
      </c>
      <c r="AG103" s="9">
        <f>IFERROR(Table1[[#This Row],[Rejection  (g)]]/Table1[[#This Row],[Sample Qty  (g)]],"")</f>
        <v>6.0000000000000001E-3</v>
      </c>
      <c r="AH103" s="9">
        <f>IFERROR(Table1[[#This Row],[Husk  (g)]]/Table1[[#This Row],[Sample Qty  (g)]],"")</f>
        <v>8.7999999999999995E-2</v>
      </c>
    </row>
    <row r="104" spans="2:34" ht="12" x14ac:dyDescent="0.25">
      <c r="B104" s="8">
        <v>46213</v>
      </c>
      <c r="C104" s="7">
        <f>WEEKNUM(Table1[[#This Row],[Date]])</f>
        <v>28</v>
      </c>
      <c r="D104" s="5" t="s">
        <v>78</v>
      </c>
      <c r="E104" s="10" t="s">
        <v>71</v>
      </c>
      <c r="F104" s="7" t="s">
        <v>21</v>
      </c>
      <c r="H104" s="7">
        <v>1000</v>
      </c>
      <c r="I104" s="7">
        <v>284</v>
      </c>
      <c r="J104" s="7">
        <v>3.3</v>
      </c>
      <c r="K104" s="7">
        <v>620</v>
      </c>
      <c r="L104" s="7">
        <v>76</v>
      </c>
      <c r="N104" s="7">
        <v>64</v>
      </c>
      <c r="O104" s="7">
        <v>76</v>
      </c>
      <c r="P104" s="7">
        <v>0</v>
      </c>
      <c r="Q104" s="7">
        <v>12</v>
      </c>
      <c r="S104" s="7">
        <v>8</v>
      </c>
      <c r="T104" s="7">
        <v>4</v>
      </c>
      <c r="U104" s="7">
        <v>12</v>
      </c>
      <c r="W104" s="7">
        <v>36</v>
      </c>
      <c r="X104" s="7">
        <v>92</v>
      </c>
      <c r="Y104" s="7">
        <f>SUM(Table1[[#This Row],[Good Kernels  (g)]:[Husk  (g)]])</f>
        <v>1000</v>
      </c>
      <c r="Z104" s="9">
        <f>IFERROR(Table1[[#This Row],[Good Kernels  (g)]]/Table1[[#This Row],[Sample Qty  (g)]],"")</f>
        <v>0.62</v>
      </c>
      <c r="AA104" s="9">
        <f>IFERROR(SUM(Table1[[#This Row],[Pieces  (g)]:[Butts (g)]])/Table1[[#This Row],[Sample Qty  (g)]],"")</f>
        <v>7.5999999999999998E-2</v>
      </c>
      <c r="AB104" s="9">
        <f>IFERROR(Table1[[#This Row],[Scorched (g)]]/Table1[[#This Row],[Sample Qty  (g)]],"")</f>
        <v>6.4000000000000001E-2</v>
      </c>
      <c r="AC104" s="9">
        <f>IFERROR(SUM(Table1[[#This Row],[Spotted  (g)]:[PUK3  (g)]])/Table1[[#This Row],[Sample Qty  (g)]],"")</f>
        <v>7.5999999999999998E-2</v>
      </c>
      <c r="AD104" s="9">
        <f>IFERROR(SUM(R104,Q104)/Table1[[#This Row],[Sample Qty  (g)]],"")</f>
        <v>1.2E-2</v>
      </c>
      <c r="AE104" s="9">
        <f>IFERROR(Table1[[#This Row],[Dessert/NW  (g)]]/Table1[[#This Row],[Sample Qty  (g)]],"")</f>
        <v>8.0000000000000002E-3</v>
      </c>
      <c r="AF104" s="9">
        <f>IFERROR(SUM(Table1[[#This Row],[Oil  (g)]:[Dirty  (g)]])/Table1[[#This Row],[Sample Qty  (g)]],"")</f>
        <v>1.6E-2</v>
      </c>
      <c r="AG104" s="9">
        <f>IFERROR(Table1[[#This Row],[Rejection  (g)]]/Table1[[#This Row],[Sample Qty  (g)]],"")</f>
        <v>3.5999999999999997E-2</v>
      </c>
      <c r="AH104" s="9">
        <f>IFERROR(Table1[[#This Row],[Husk  (g)]]/Table1[[#This Row],[Sample Qty  (g)]],"")</f>
        <v>9.1999999999999998E-2</v>
      </c>
    </row>
    <row r="105" spans="2:34" ht="12" x14ac:dyDescent="0.25">
      <c r="B105" s="8">
        <v>46213</v>
      </c>
      <c r="C105" s="7">
        <f>WEEKNUM(Table1[[#This Row],[Date]])</f>
        <v>28</v>
      </c>
      <c r="D105" s="5" t="s">
        <v>79</v>
      </c>
      <c r="E105" s="10" t="s">
        <v>71</v>
      </c>
      <c r="F105" s="7" t="s">
        <v>21</v>
      </c>
      <c r="H105" s="7">
        <v>1000</v>
      </c>
      <c r="I105" s="7">
        <v>252</v>
      </c>
      <c r="J105" s="7">
        <v>3.2</v>
      </c>
      <c r="K105" s="7">
        <v>615</v>
      </c>
      <c r="L105" s="7">
        <v>32</v>
      </c>
      <c r="N105" s="7">
        <v>60</v>
      </c>
      <c r="O105" s="7">
        <v>112</v>
      </c>
      <c r="P105" s="7">
        <v>0</v>
      </c>
      <c r="Q105" s="7">
        <v>44</v>
      </c>
      <c r="S105" s="7">
        <v>12</v>
      </c>
      <c r="T105" s="7">
        <v>6</v>
      </c>
      <c r="U105" s="7">
        <v>3</v>
      </c>
      <c r="W105" s="7">
        <v>12</v>
      </c>
      <c r="X105" s="7">
        <v>104</v>
      </c>
      <c r="Y105" s="7">
        <f>SUM(Table1[[#This Row],[Good Kernels  (g)]:[Husk  (g)]])</f>
        <v>1000</v>
      </c>
      <c r="Z105" s="9">
        <f>IFERROR(Table1[[#This Row],[Good Kernels  (g)]]/Table1[[#This Row],[Sample Qty  (g)]],"")</f>
        <v>0.61499999999999999</v>
      </c>
      <c r="AA105" s="9">
        <f>IFERROR(SUM(Table1[[#This Row],[Pieces  (g)]:[Butts (g)]])/Table1[[#This Row],[Sample Qty  (g)]],"")</f>
        <v>3.2000000000000001E-2</v>
      </c>
      <c r="AB105" s="9">
        <f>IFERROR(Table1[[#This Row],[Scorched (g)]]/Table1[[#This Row],[Sample Qty  (g)]],"")</f>
        <v>0.06</v>
      </c>
      <c r="AC105" s="9">
        <f>IFERROR(SUM(Table1[[#This Row],[Spotted  (g)]:[PUK3  (g)]])/Table1[[#This Row],[Sample Qty  (g)]],"")</f>
        <v>0.112</v>
      </c>
      <c r="AD105" s="9">
        <f>IFERROR(SUM(R105,Q105)/Table1[[#This Row],[Sample Qty  (g)]],"")</f>
        <v>4.3999999999999997E-2</v>
      </c>
      <c r="AE105" s="9">
        <f>IFERROR(Table1[[#This Row],[Dessert/NW  (g)]]/Table1[[#This Row],[Sample Qty  (g)]],"")</f>
        <v>1.2E-2</v>
      </c>
      <c r="AF105" s="9">
        <f>IFERROR(SUM(Table1[[#This Row],[Oil  (g)]:[Dirty  (g)]])/Table1[[#This Row],[Sample Qty  (g)]],"")</f>
        <v>8.9999999999999993E-3</v>
      </c>
      <c r="AG105" s="9">
        <f>IFERROR(Table1[[#This Row],[Rejection  (g)]]/Table1[[#This Row],[Sample Qty  (g)]],"")</f>
        <v>1.2E-2</v>
      </c>
      <c r="AH105" s="9">
        <f>IFERROR(Table1[[#This Row],[Husk  (g)]]/Table1[[#This Row],[Sample Qty  (g)]],"")</f>
        <v>0.104</v>
      </c>
    </row>
    <row r="106" spans="2:34" ht="12" x14ac:dyDescent="0.25">
      <c r="B106" s="8">
        <v>46213</v>
      </c>
      <c r="C106" s="7">
        <f>WEEKNUM(Table1[[#This Row],[Date]])</f>
        <v>28</v>
      </c>
      <c r="D106" s="5" t="s">
        <v>79</v>
      </c>
      <c r="E106" s="10" t="s">
        <v>71</v>
      </c>
      <c r="F106" s="7" t="s">
        <v>21</v>
      </c>
      <c r="H106" s="7">
        <v>1000</v>
      </c>
      <c r="I106" s="7">
        <v>278</v>
      </c>
      <c r="J106" s="7">
        <v>3.2</v>
      </c>
      <c r="K106" s="7">
        <v>648</v>
      </c>
      <c r="L106" s="7">
        <v>36</v>
      </c>
      <c r="N106" s="7">
        <v>48</v>
      </c>
      <c r="O106" s="7">
        <v>92</v>
      </c>
      <c r="P106" s="7">
        <v>0</v>
      </c>
      <c r="Q106" s="7">
        <v>40</v>
      </c>
      <c r="S106" s="7">
        <v>12</v>
      </c>
      <c r="T106" s="7">
        <v>12</v>
      </c>
      <c r="U106" s="7">
        <v>6</v>
      </c>
      <c r="W106" s="7">
        <v>10</v>
      </c>
      <c r="X106" s="7">
        <v>96</v>
      </c>
      <c r="Y106" s="7">
        <f>SUM(Table1[[#This Row],[Good Kernels  (g)]:[Husk  (g)]])</f>
        <v>1000</v>
      </c>
      <c r="Z106" s="9">
        <f>IFERROR(Table1[[#This Row],[Good Kernels  (g)]]/Table1[[#This Row],[Sample Qty  (g)]],"")</f>
        <v>0.64800000000000002</v>
      </c>
      <c r="AA106" s="9">
        <f>IFERROR(SUM(Table1[[#This Row],[Pieces  (g)]:[Butts (g)]])/Table1[[#This Row],[Sample Qty  (g)]],"")</f>
        <v>3.5999999999999997E-2</v>
      </c>
      <c r="AB106" s="9">
        <f>IFERROR(Table1[[#This Row],[Scorched (g)]]/Table1[[#This Row],[Sample Qty  (g)]],"")</f>
        <v>4.8000000000000001E-2</v>
      </c>
      <c r="AC106" s="9">
        <f>IFERROR(SUM(Table1[[#This Row],[Spotted  (g)]:[PUK3  (g)]])/Table1[[#This Row],[Sample Qty  (g)]],"")</f>
        <v>9.1999999999999998E-2</v>
      </c>
      <c r="AD106" s="9">
        <f>IFERROR(SUM(R106,Q106)/Table1[[#This Row],[Sample Qty  (g)]],"")</f>
        <v>0.04</v>
      </c>
      <c r="AE106" s="9">
        <f>IFERROR(Table1[[#This Row],[Dessert/NW  (g)]]/Table1[[#This Row],[Sample Qty  (g)]],"")</f>
        <v>1.2E-2</v>
      </c>
      <c r="AF106" s="9">
        <f>IFERROR(SUM(Table1[[#This Row],[Oil  (g)]:[Dirty  (g)]])/Table1[[#This Row],[Sample Qty  (g)]],"")</f>
        <v>1.7999999999999999E-2</v>
      </c>
      <c r="AG106" s="9">
        <f>IFERROR(Table1[[#This Row],[Rejection  (g)]]/Table1[[#This Row],[Sample Qty  (g)]],"")</f>
        <v>0.01</v>
      </c>
      <c r="AH106" s="9">
        <f>IFERROR(Table1[[#This Row],[Husk  (g)]]/Table1[[#This Row],[Sample Qty  (g)]],"")</f>
        <v>9.6000000000000002E-2</v>
      </c>
    </row>
    <row r="107" spans="2:34" ht="12" x14ac:dyDescent="0.25">
      <c r="B107" s="8">
        <v>46213</v>
      </c>
      <c r="C107" s="7">
        <f>WEEKNUM(Table1[[#This Row],[Date]])</f>
        <v>28</v>
      </c>
      <c r="D107" s="5" t="s">
        <v>79</v>
      </c>
      <c r="E107" s="10" t="s">
        <v>71</v>
      </c>
      <c r="F107" s="7" t="s">
        <v>21</v>
      </c>
      <c r="H107" s="7">
        <v>1000</v>
      </c>
      <c r="I107" s="7">
        <v>232</v>
      </c>
      <c r="J107" s="7">
        <v>3.3</v>
      </c>
      <c r="K107" s="7">
        <v>616</v>
      </c>
      <c r="L107" s="7">
        <v>34</v>
      </c>
      <c r="N107" s="7">
        <v>80</v>
      </c>
      <c r="O107" s="7">
        <v>88</v>
      </c>
      <c r="P107" s="7">
        <v>0</v>
      </c>
      <c r="Q107" s="7">
        <v>28</v>
      </c>
      <c r="S107" s="7">
        <v>10</v>
      </c>
      <c r="T107" s="7">
        <v>12</v>
      </c>
      <c r="U107" s="7">
        <v>12</v>
      </c>
      <c r="W107" s="7">
        <v>20</v>
      </c>
      <c r="X107" s="7">
        <v>100</v>
      </c>
      <c r="Y107" s="7">
        <f>SUM(Table1[[#This Row],[Good Kernels  (g)]:[Husk  (g)]])</f>
        <v>1000</v>
      </c>
      <c r="Z107" s="9">
        <f>IFERROR(Table1[[#This Row],[Good Kernels  (g)]]/Table1[[#This Row],[Sample Qty  (g)]],"")</f>
        <v>0.61599999999999999</v>
      </c>
      <c r="AA107" s="9">
        <f>IFERROR(SUM(Table1[[#This Row],[Pieces  (g)]:[Butts (g)]])/Table1[[#This Row],[Sample Qty  (g)]],"")</f>
        <v>3.4000000000000002E-2</v>
      </c>
      <c r="AB107" s="9">
        <f>IFERROR(Table1[[#This Row],[Scorched (g)]]/Table1[[#This Row],[Sample Qty  (g)]],"")</f>
        <v>0.08</v>
      </c>
      <c r="AC107" s="9">
        <f>IFERROR(SUM(Table1[[#This Row],[Spotted  (g)]:[PUK3  (g)]])/Table1[[#This Row],[Sample Qty  (g)]],"")</f>
        <v>8.7999999999999995E-2</v>
      </c>
      <c r="AD107" s="9">
        <f>IFERROR(SUM(R107,Q107)/Table1[[#This Row],[Sample Qty  (g)]],"")</f>
        <v>2.8000000000000001E-2</v>
      </c>
      <c r="AE107" s="9">
        <f>IFERROR(Table1[[#This Row],[Dessert/NW  (g)]]/Table1[[#This Row],[Sample Qty  (g)]],"")</f>
        <v>0.01</v>
      </c>
      <c r="AF107" s="9">
        <f>IFERROR(SUM(Table1[[#This Row],[Oil  (g)]:[Dirty  (g)]])/Table1[[#This Row],[Sample Qty  (g)]],"")</f>
        <v>2.4E-2</v>
      </c>
      <c r="AG107" s="9">
        <f>IFERROR(Table1[[#This Row],[Rejection  (g)]]/Table1[[#This Row],[Sample Qty  (g)]],"")</f>
        <v>0.02</v>
      </c>
      <c r="AH107" s="9">
        <f>IFERROR(Table1[[#This Row],[Husk  (g)]]/Table1[[#This Row],[Sample Qty  (g)]],"")</f>
        <v>0.1</v>
      </c>
    </row>
    <row r="108" spans="2:34" ht="12" x14ac:dyDescent="0.25">
      <c r="B108" s="8">
        <v>46214</v>
      </c>
      <c r="C108" s="7">
        <f>WEEKNUM(Table1[[#This Row],[Date]])</f>
        <v>28</v>
      </c>
      <c r="D108" s="5" t="s">
        <v>79</v>
      </c>
      <c r="E108" s="10" t="s">
        <v>71</v>
      </c>
      <c r="F108" s="7" t="s">
        <v>21</v>
      </c>
      <c r="H108" s="7">
        <v>1000</v>
      </c>
      <c r="I108" s="7">
        <v>270</v>
      </c>
      <c r="J108" s="7">
        <v>3.2</v>
      </c>
      <c r="K108" s="7">
        <v>661</v>
      </c>
      <c r="L108" s="7">
        <v>44</v>
      </c>
      <c r="N108" s="7">
        <v>80</v>
      </c>
      <c r="O108" s="7">
        <v>72</v>
      </c>
      <c r="P108" s="7">
        <v>0</v>
      </c>
      <c r="Q108" s="7">
        <v>20</v>
      </c>
      <c r="S108" s="7">
        <v>24</v>
      </c>
      <c r="T108" s="7">
        <v>4</v>
      </c>
      <c r="U108" s="7">
        <v>3</v>
      </c>
      <c r="W108" s="7">
        <v>4</v>
      </c>
      <c r="X108" s="7">
        <v>88</v>
      </c>
      <c r="Y108" s="7">
        <f>SUM(Table1[[#This Row],[Good Kernels  (g)]:[Husk  (g)]])</f>
        <v>1000</v>
      </c>
      <c r="Z108" s="9">
        <f>IFERROR(Table1[[#This Row],[Good Kernels  (g)]]/Table1[[#This Row],[Sample Qty  (g)]],"")</f>
        <v>0.66100000000000003</v>
      </c>
      <c r="AA108" s="9">
        <f>IFERROR(SUM(Table1[[#This Row],[Pieces  (g)]:[Butts (g)]])/Table1[[#This Row],[Sample Qty  (g)]],"")</f>
        <v>4.3999999999999997E-2</v>
      </c>
      <c r="AB108" s="9">
        <f>IFERROR(Table1[[#This Row],[Scorched (g)]]/Table1[[#This Row],[Sample Qty  (g)]],"")</f>
        <v>0.08</v>
      </c>
      <c r="AC108" s="9">
        <f>IFERROR(SUM(Table1[[#This Row],[Spotted  (g)]:[PUK3  (g)]])/Table1[[#This Row],[Sample Qty  (g)]],"")</f>
        <v>7.1999999999999995E-2</v>
      </c>
      <c r="AD108" s="9">
        <f>IFERROR(SUM(R108,Q108)/Table1[[#This Row],[Sample Qty  (g)]],"")</f>
        <v>0.02</v>
      </c>
      <c r="AE108" s="9">
        <f>IFERROR(Table1[[#This Row],[Dessert/NW  (g)]]/Table1[[#This Row],[Sample Qty  (g)]],"")</f>
        <v>2.4E-2</v>
      </c>
      <c r="AF108" s="9">
        <f>IFERROR(SUM(Table1[[#This Row],[Oil  (g)]:[Dirty  (g)]])/Table1[[#This Row],[Sample Qty  (g)]],"")</f>
        <v>7.0000000000000001E-3</v>
      </c>
      <c r="AG108" s="9">
        <f>IFERROR(Table1[[#This Row],[Rejection  (g)]]/Table1[[#This Row],[Sample Qty  (g)]],"")</f>
        <v>4.0000000000000001E-3</v>
      </c>
      <c r="AH108" s="9">
        <f>IFERROR(Table1[[#This Row],[Husk  (g)]]/Table1[[#This Row],[Sample Qty  (g)]],"")</f>
        <v>8.7999999999999995E-2</v>
      </c>
    </row>
    <row r="109" spans="2:34" ht="12" x14ac:dyDescent="0.25">
      <c r="B109" s="8">
        <v>46214</v>
      </c>
      <c r="C109" s="7">
        <f>WEEKNUM(Table1[[#This Row],[Date]])</f>
        <v>28</v>
      </c>
      <c r="D109" s="5" t="s">
        <v>79</v>
      </c>
      <c r="E109" s="10" t="s">
        <v>71</v>
      </c>
      <c r="F109" s="7" t="s">
        <v>21</v>
      </c>
      <c r="H109" s="7">
        <v>1000</v>
      </c>
      <c r="I109" s="7">
        <v>262</v>
      </c>
      <c r="J109" s="7">
        <v>3.1</v>
      </c>
      <c r="K109" s="7">
        <v>637</v>
      </c>
      <c r="L109" s="7">
        <v>30</v>
      </c>
      <c r="N109" s="7">
        <v>72</v>
      </c>
      <c r="O109" s="7">
        <v>104</v>
      </c>
      <c r="P109" s="7">
        <v>0</v>
      </c>
      <c r="Q109" s="7">
        <v>32</v>
      </c>
      <c r="S109" s="7">
        <v>4</v>
      </c>
      <c r="T109" s="7">
        <v>4</v>
      </c>
      <c r="U109" s="7">
        <v>3</v>
      </c>
      <c r="W109" s="7">
        <v>16</v>
      </c>
      <c r="X109" s="7">
        <v>98</v>
      </c>
      <c r="Y109" s="7">
        <f>SUM(Table1[[#This Row],[Good Kernels  (g)]:[Husk  (g)]])</f>
        <v>1000</v>
      </c>
      <c r="Z109" s="9">
        <f>IFERROR(Table1[[#This Row],[Good Kernels  (g)]]/Table1[[#This Row],[Sample Qty  (g)]],"")</f>
        <v>0.63700000000000001</v>
      </c>
      <c r="AA109" s="9">
        <f>IFERROR(SUM(Table1[[#This Row],[Pieces  (g)]:[Butts (g)]])/Table1[[#This Row],[Sample Qty  (g)]],"")</f>
        <v>0.03</v>
      </c>
      <c r="AB109" s="9">
        <f>IFERROR(Table1[[#This Row],[Scorched (g)]]/Table1[[#This Row],[Sample Qty  (g)]],"")</f>
        <v>7.1999999999999995E-2</v>
      </c>
      <c r="AC109" s="9">
        <f>IFERROR(SUM(Table1[[#This Row],[Spotted  (g)]:[PUK3  (g)]])/Table1[[#This Row],[Sample Qty  (g)]],"")</f>
        <v>0.104</v>
      </c>
      <c r="AD109" s="9">
        <f>IFERROR(SUM(R109,Q109)/Table1[[#This Row],[Sample Qty  (g)]],"")</f>
        <v>3.2000000000000001E-2</v>
      </c>
      <c r="AE109" s="9">
        <f>IFERROR(Table1[[#This Row],[Dessert/NW  (g)]]/Table1[[#This Row],[Sample Qty  (g)]],"")</f>
        <v>4.0000000000000001E-3</v>
      </c>
      <c r="AF109" s="9">
        <f>IFERROR(SUM(Table1[[#This Row],[Oil  (g)]:[Dirty  (g)]])/Table1[[#This Row],[Sample Qty  (g)]],"")</f>
        <v>7.0000000000000001E-3</v>
      </c>
      <c r="AG109" s="9">
        <f>IFERROR(Table1[[#This Row],[Rejection  (g)]]/Table1[[#This Row],[Sample Qty  (g)]],"")</f>
        <v>1.6E-2</v>
      </c>
      <c r="AH109" s="9">
        <f>IFERROR(Table1[[#This Row],[Husk  (g)]]/Table1[[#This Row],[Sample Qty  (g)]],"")</f>
        <v>9.8000000000000004E-2</v>
      </c>
    </row>
    <row r="110" spans="2:34" ht="12" x14ac:dyDescent="0.25">
      <c r="B110" s="8">
        <v>46214</v>
      </c>
      <c r="C110" s="7">
        <f>WEEKNUM(Table1[[#This Row],[Date]])</f>
        <v>28</v>
      </c>
      <c r="D110" s="5" t="s">
        <v>79</v>
      </c>
      <c r="E110" s="10" t="s">
        <v>71</v>
      </c>
      <c r="F110" s="7" t="s">
        <v>21</v>
      </c>
      <c r="H110" s="7">
        <v>1000</v>
      </c>
      <c r="I110" s="7">
        <v>254</v>
      </c>
      <c r="J110" s="7">
        <v>3.1</v>
      </c>
      <c r="K110" s="7">
        <v>657</v>
      </c>
      <c r="L110" s="7">
        <v>28</v>
      </c>
      <c r="N110" s="7">
        <v>76</v>
      </c>
      <c r="O110" s="7">
        <v>100</v>
      </c>
      <c r="P110" s="7">
        <v>0</v>
      </c>
      <c r="Q110" s="7">
        <v>20</v>
      </c>
      <c r="S110" s="7">
        <v>8</v>
      </c>
      <c r="T110" s="7">
        <v>10</v>
      </c>
      <c r="U110" s="7">
        <v>4</v>
      </c>
      <c r="W110" s="7">
        <v>7</v>
      </c>
      <c r="X110" s="7">
        <v>90</v>
      </c>
      <c r="Y110" s="7">
        <f>SUM(Table1[[#This Row],[Good Kernels  (g)]:[Husk  (g)]])</f>
        <v>1000</v>
      </c>
      <c r="Z110" s="9">
        <f>IFERROR(Table1[[#This Row],[Good Kernels  (g)]]/Table1[[#This Row],[Sample Qty  (g)]],"")</f>
        <v>0.65700000000000003</v>
      </c>
      <c r="AA110" s="9">
        <f>IFERROR(SUM(Table1[[#This Row],[Pieces  (g)]:[Butts (g)]])/Table1[[#This Row],[Sample Qty  (g)]],"")</f>
        <v>2.8000000000000001E-2</v>
      </c>
      <c r="AB110" s="9">
        <f>IFERROR(Table1[[#This Row],[Scorched (g)]]/Table1[[#This Row],[Sample Qty  (g)]],"")</f>
        <v>7.5999999999999998E-2</v>
      </c>
      <c r="AC110" s="9">
        <f>IFERROR(SUM(Table1[[#This Row],[Spotted  (g)]:[PUK3  (g)]])/Table1[[#This Row],[Sample Qty  (g)]],"")</f>
        <v>0.1</v>
      </c>
      <c r="AD110" s="9">
        <f>IFERROR(SUM(R110,Q110)/Table1[[#This Row],[Sample Qty  (g)]],"")</f>
        <v>0.02</v>
      </c>
      <c r="AE110" s="9">
        <f>IFERROR(Table1[[#This Row],[Dessert/NW  (g)]]/Table1[[#This Row],[Sample Qty  (g)]],"")</f>
        <v>8.0000000000000002E-3</v>
      </c>
      <c r="AF110" s="9">
        <f>IFERROR(SUM(Table1[[#This Row],[Oil  (g)]:[Dirty  (g)]])/Table1[[#This Row],[Sample Qty  (g)]],"")</f>
        <v>1.4E-2</v>
      </c>
      <c r="AG110" s="9">
        <f>IFERROR(Table1[[#This Row],[Rejection  (g)]]/Table1[[#This Row],[Sample Qty  (g)]],"")</f>
        <v>7.0000000000000001E-3</v>
      </c>
      <c r="AH110" s="9">
        <f>IFERROR(Table1[[#This Row],[Husk  (g)]]/Table1[[#This Row],[Sample Qty  (g)]],"")</f>
        <v>0.09</v>
      </c>
    </row>
    <row r="111" spans="2:34" ht="12" x14ac:dyDescent="0.25">
      <c r="B111" s="8">
        <v>46214</v>
      </c>
      <c r="C111" s="7">
        <f>WEEKNUM(Table1[[#This Row],[Date]])</f>
        <v>28</v>
      </c>
      <c r="D111" s="5" t="s">
        <v>79</v>
      </c>
      <c r="E111" s="10" t="s">
        <v>71</v>
      </c>
      <c r="F111" s="7" t="s">
        <v>21</v>
      </c>
      <c r="H111" s="7">
        <v>1000</v>
      </c>
      <c r="I111" s="7">
        <v>262</v>
      </c>
      <c r="J111" s="7">
        <v>3</v>
      </c>
      <c r="K111" s="7">
        <v>686</v>
      </c>
      <c r="L111" s="7">
        <v>48</v>
      </c>
      <c r="N111" s="7">
        <v>28</v>
      </c>
      <c r="O111" s="7">
        <v>100</v>
      </c>
      <c r="P111" s="7">
        <v>0</v>
      </c>
      <c r="Q111" s="7">
        <v>10</v>
      </c>
      <c r="S111" s="7">
        <v>12</v>
      </c>
      <c r="T111" s="7">
        <v>4</v>
      </c>
      <c r="U111" s="7">
        <v>2</v>
      </c>
      <c r="W111" s="7">
        <v>12</v>
      </c>
      <c r="X111" s="7">
        <v>98</v>
      </c>
      <c r="Y111" s="7">
        <f>SUM(Table1[[#This Row],[Good Kernels  (g)]:[Husk  (g)]])</f>
        <v>1000</v>
      </c>
      <c r="Z111" s="9">
        <f>IFERROR(Table1[[#This Row],[Good Kernels  (g)]]/Table1[[#This Row],[Sample Qty  (g)]],"")</f>
        <v>0.68600000000000005</v>
      </c>
      <c r="AA111" s="9">
        <f>IFERROR(SUM(Table1[[#This Row],[Pieces  (g)]:[Butts (g)]])/Table1[[#This Row],[Sample Qty  (g)]],"")</f>
        <v>4.8000000000000001E-2</v>
      </c>
      <c r="AB111" s="9">
        <f>IFERROR(Table1[[#This Row],[Scorched (g)]]/Table1[[#This Row],[Sample Qty  (g)]],"")</f>
        <v>2.8000000000000001E-2</v>
      </c>
      <c r="AC111" s="9">
        <f>IFERROR(SUM(Table1[[#This Row],[Spotted  (g)]:[PUK3  (g)]])/Table1[[#This Row],[Sample Qty  (g)]],"")</f>
        <v>0.1</v>
      </c>
      <c r="AD111" s="9">
        <f>IFERROR(SUM(R111,Q111)/Table1[[#This Row],[Sample Qty  (g)]],"")</f>
        <v>0.01</v>
      </c>
      <c r="AE111" s="9">
        <f>IFERROR(Table1[[#This Row],[Dessert/NW  (g)]]/Table1[[#This Row],[Sample Qty  (g)]],"")</f>
        <v>1.2E-2</v>
      </c>
      <c r="AF111" s="9">
        <f>IFERROR(SUM(Table1[[#This Row],[Oil  (g)]:[Dirty  (g)]])/Table1[[#This Row],[Sample Qty  (g)]],"")</f>
        <v>6.0000000000000001E-3</v>
      </c>
      <c r="AG111" s="9">
        <f>IFERROR(Table1[[#This Row],[Rejection  (g)]]/Table1[[#This Row],[Sample Qty  (g)]],"")</f>
        <v>1.2E-2</v>
      </c>
      <c r="AH111" s="9">
        <f>IFERROR(Table1[[#This Row],[Husk  (g)]]/Table1[[#This Row],[Sample Qty  (g)]],"")</f>
        <v>9.8000000000000004E-2</v>
      </c>
    </row>
    <row r="112" spans="2:34" ht="12" x14ac:dyDescent="0.25">
      <c r="B112" s="8">
        <v>46214</v>
      </c>
      <c r="C112" s="7">
        <f>WEEKNUM(Table1[[#This Row],[Date]])</f>
        <v>28</v>
      </c>
      <c r="D112" s="5" t="s">
        <v>79</v>
      </c>
      <c r="E112" s="10" t="s">
        <v>71</v>
      </c>
      <c r="F112" s="7" t="s">
        <v>21</v>
      </c>
      <c r="H112" s="7">
        <v>1000</v>
      </c>
      <c r="I112" s="7">
        <v>232</v>
      </c>
      <c r="J112" s="7">
        <v>3.1</v>
      </c>
      <c r="K112" s="7">
        <v>676</v>
      </c>
      <c r="L112" s="7">
        <v>28</v>
      </c>
      <c r="N112" s="7">
        <v>60</v>
      </c>
      <c r="O112" s="7">
        <v>92</v>
      </c>
      <c r="P112" s="7">
        <v>0</v>
      </c>
      <c r="Q112" s="7">
        <v>7</v>
      </c>
      <c r="S112" s="7">
        <v>36</v>
      </c>
      <c r="T112" s="7">
        <v>3</v>
      </c>
      <c r="U112" s="7">
        <v>2</v>
      </c>
      <c r="W112" s="7">
        <v>8</v>
      </c>
      <c r="X112" s="7">
        <v>88</v>
      </c>
      <c r="Y112" s="7">
        <f>SUM(Table1[[#This Row],[Good Kernels  (g)]:[Husk  (g)]])</f>
        <v>1000</v>
      </c>
      <c r="Z112" s="9">
        <f>IFERROR(Table1[[#This Row],[Good Kernels  (g)]]/Table1[[#This Row],[Sample Qty  (g)]],"")</f>
        <v>0.67600000000000005</v>
      </c>
      <c r="AA112" s="9">
        <f>IFERROR(SUM(Table1[[#This Row],[Pieces  (g)]:[Butts (g)]])/Table1[[#This Row],[Sample Qty  (g)]],"")</f>
        <v>2.8000000000000001E-2</v>
      </c>
      <c r="AB112" s="9">
        <f>IFERROR(Table1[[#This Row],[Scorched (g)]]/Table1[[#This Row],[Sample Qty  (g)]],"")</f>
        <v>0.06</v>
      </c>
      <c r="AC112" s="9">
        <f>IFERROR(SUM(Table1[[#This Row],[Spotted  (g)]:[PUK3  (g)]])/Table1[[#This Row],[Sample Qty  (g)]],"")</f>
        <v>9.1999999999999998E-2</v>
      </c>
      <c r="AD112" s="9">
        <f>IFERROR(SUM(R112,Q112)/Table1[[#This Row],[Sample Qty  (g)]],"")</f>
        <v>7.0000000000000001E-3</v>
      </c>
      <c r="AE112" s="9">
        <f>IFERROR(Table1[[#This Row],[Dessert/NW  (g)]]/Table1[[#This Row],[Sample Qty  (g)]],"")</f>
        <v>3.5999999999999997E-2</v>
      </c>
      <c r="AF112" s="9">
        <f>IFERROR(SUM(Table1[[#This Row],[Oil  (g)]:[Dirty  (g)]])/Table1[[#This Row],[Sample Qty  (g)]],"")</f>
        <v>5.0000000000000001E-3</v>
      </c>
      <c r="AG112" s="9">
        <f>IFERROR(Table1[[#This Row],[Rejection  (g)]]/Table1[[#This Row],[Sample Qty  (g)]],"")</f>
        <v>8.0000000000000002E-3</v>
      </c>
      <c r="AH112" s="9">
        <f>IFERROR(Table1[[#This Row],[Husk  (g)]]/Table1[[#This Row],[Sample Qty  (g)]],"")</f>
        <v>8.7999999999999995E-2</v>
      </c>
    </row>
    <row r="113" spans="2:34" ht="12" x14ac:dyDescent="0.25">
      <c r="B113" s="8">
        <v>46214</v>
      </c>
      <c r="C113" s="7">
        <f>WEEKNUM(Table1[[#This Row],[Date]])</f>
        <v>28</v>
      </c>
      <c r="D113" s="5" t="s">
        <v>79</v>
      </c>
      <c r="E113" s="10" t="s">
        <v>71</v>
      </c>
      <c r="F113" s="7" t="s">
        <v>21</v>
      </c>
      <c r="H113" s="7">
        <v>1000</v>
      </c>
      <c r="I113" s="7">
        <v>258</v>
      </c>
      <c r="J113" s="7">
        <v>3.2</v>
      </c>
      <c r="K113" s="7">
        <v>666</v>
      </c>
      <c r="L113" s="7">
        <v>60</v>
      </c>
      <c r="N113" s="7">
        <v>56</v>
      </c>
      <c r="O113" s="7">
        <v>84</v>
      </c>
      <c r="P113" s="7">
        <v>0</v>
      </c>
      <c r="Q113" s="7">
        <v>8</v>
      </c>
      <c r="S113" s="7">
        <v>6</v>
      </c>
      <c r="T113" s="7">
        <v>10</v>
      </c>
      <c r="U113" s="7">
        <v>12</v>
      </c>
      <c r="W113" s="7">
        <v>6</v>
      </c>
      <c r="X113" s="7">
        <v>92</v>
      </c>
      <c r="Y113" s="7">
        <f>SUM(Table1[[#This Row],[Good Kernels  (g)]:[Husk  (g)]])</f>
        <v>1000</v>
      </c>
      <c r="Z113" s="9">
        <f>IFERROR(Table1[[#This Row],[Good Kernels  (g)]]/Table1[[#This Row],[Sample Qty  (g)]],"")</f>
        <v>0.66600000000000004</v>
      </c>
      <c r="AA113" s="9">
        <f>IFERROR(SUM(Table1[[#This Row],[Pieces  (g)]:[Butts (g)]])/Table1[[#This Row],[Sample Qty  (g)]],"")</f>
        <v>0.06</v>
      </c>
      <c r="AB113" s="9">
        <f>IFERROR(Table1[[#This Row],[Scorched (g)]]/Table1[[#This Row],[Sample Qty  (g)]],"")</f>
        <v>5.6000000000000001E-2</v>
      </c>
      <c r="AC113" s="9">
        <f>IFERROR(SUM(Table1[[#This Row],[Spotted  (g)]:[PUK3  (g)]])/Table1[[#This Row],[Sample Qty  (g)]],"")</f>
        <v>8.4000000000000005E-2</v>
      </c>
      <c r="AD113" s="9">
        <f>IFERROR(SUM(R113,Q113)/Table1[[#This Row],[Sample Qty  (g)]],"")</f>
        <v>8.0000000000000002E-3</v>
      </c>
      <c r="AE113" s="9">
        <f>IFERROR(Table1[[#This Row],[Dessert/NW  (g)]]/Table1[[#This Row],[Sample Qty  (g)]],"")</f>
        <v>6.0000000000000001E-3</v>
      </c>
      <c r="AF113" s="9">
        <f>IFERROR(SUM(Table1[[#This Row],[Oil  (g)]:[Dirty  (g)]])/Table1[[#This Row],[Sample Qty  (g)]],"")</f>
        <v>2.1999999999999999E-2</v>
      </c>
      <c r="AG113" s="9">
        <f>IFERROR(Table1[[#This Row],[Rejection  (g)]]/Table1[[#This Row],[Sample Qty  (g)]],"")</f>
        <v>6.0000000000000001E-3</v>
      </c>
      <c r="AH113" s="9">
        <f>IFERROR(Table1[[#This Row],[Husk  (g)]]/Table1[[#This Row],[Sample Qty  (g)]],"")</f>
        <v>9.1999999999999998E-2</v>
      </c>
    </row>
    <row r="114" spans="2:34" ht="12" x14ac:dyDescent="0.25">
      <c r="B114" s="8">
        <v>46214</v>
      </c>
      <c r="C114" s="7">
        <f>WEEKNUM(Table1[[#This Row],[Date]])</f>
        <v>28</v>
      </c>
      <c r="D114" s="5" t="s">
        <v>79</v>
      </c>
      <c r="E114" s="10" t="s">
        <v>71</v>
      </c>
      <c r="F114" s="7" t="s">
        <v>21</v>
      </c>
      <c r="H114" s="7">
        <v>1000</v>
      </c>
      <c r="I114" s="7">
        <v>270</v>
      </c>
      <c r="J114" s="7">
        <v>3.7</v>
      </c>
      <c r="K114" s="7">
        <v>592</v>
      </c>
      <c r="L114" s="7">
        <v>96</v>
      </c>
      <c r="N114" s="7">
        <v>67</v>
      </c>
      <c r="O114" s="7">
        <v>80</v>
      </c>
      <c r="P114" s="7">
        <v>0</v>
      </c>
      <c r="Q114" s="7">
        <v>8</v>
      </c>
      <c r="S114" s="7">
        <v>20</v>
      </c>
      <c r="T114" s="7">
        <v>12</v>
      </c>
      <c r="U114" s="7">
        <v>13</v>
      </c>
      <c r="W114" s="7">
        <v>14</v>
      </c>
      <c r="X114" s="7">
        <v>98</v>
      </c>
      <c r="Y114" s="7">
        <f>SUM(Table1[[#This Row],[Good Kernels  (g)]:[Husk  (g)]])</f>
        <v>1000</v>
      </c>
      <c r="Z114" s="9">
        <f>IFERROR(Table1[[#This Row],[Good Kernels  (g)]]/Table1[[#This Row],[Sample Qty  (g)]],"")</f>
        <v>0.59199999999999997</v>
      </c>
      <c r="AA114" s="9">
        <f>IFERROR(SUM(Table1[[#This Row],[Pieces  (g)]:[Butts (g)]])/Table1[[#This Row],[Sample Qty  (g)]],"")</f>
        <v>9.6000000000000002E-2</v>
      </c>
      <c r="AB114" s="9">
        <f>IFERROR(Table1[[#This Row],[Scorched (g)]]/Table1[[#This Row],[Sample Qty  (g)]],"")</f>
        <v>6.7000000000000004E-2</v>
      </c>
      <c r="AC114" s="9">
        <f>IFERROR(SUM(Table1[[#This Row],[Spotted  (g)]:[PUK3  (g)]])/Table1[[#This Row],[Sample Qty  (g)]],"")</f>
        <v>0.08</v>
      </c>
      <c r="AD114" s="9">
        <f>IFERROR(SUM(R114,Q114)/Table1[[#This Row],[Sample Qty  (g)]],"")</f>
        <v>8.0000000000000002E-3</v>
      </c>
      <c r="AE114" s="9">
        <f>IFERROR(Table1[[#This Row],[Dessert/NW  (g)]]/Table1[[#This Row],[Sample Qty  (g)]],"")</f>
        <v>0.02</v>
      </c>
      <c r="AF114" s="9">
        <f>IFERROR(SUM(Table1[[#This Row],[Oil  (g)]:[Dirty  (g)]])/Table1[[#This Row],[Sample Qty  (g)]],"")</f>
        <v>2.5000000000000001E-2</v>
      </c>
      <c r="AG114" s="9">
        <f>IFERROR(Table1[[#This Row],[Rejection  (g)]]/Table1[[#This Row],[Sample Qty  (g)]],"")</f>
        <v>1.4E-2</v>
      </c>
      <c r="AH114" s="9">
        <f>IFERROR(Table1[[#This Row],[Husk  (g)]]/Table1[[#This Row],[Sample Qty  (g)]],"")</f>
        <v>9.8000000000000004E-2</v>
      </c>
    </row>
    <row r="115" spans="2:34" ht="12" x14ac:dyDescent="0.25">
      <c r="B115" s="8">
        <v>46214</v>
      </c>
      <c r="C115" s="7">
        <f>WEEKNUM(Table1[[#This Row],[Date]])</f>
        <v>28</v>
      </c>
      <c r="D115" s="5" t="s">
        <v>79</v>
      </c>
      <c r="E115" s="10" t="s">
        <v>71</v>
      </c>
      <c r="F115" s="7" t="s">
        <v>21</v>
      </c>
      <c r="H115" s="7">
        <v>1000</v>
      </c>
      <c r="I115" s="7">
        <v>262</v>
      </c>
      <c r="J115" s="7">
        <v>3</v>
      </c>
      <c r="K115" s="7">
        <v>605</v>
      </c>
      <c r="L115" s="7">
        <v>96</v>
      </c>
      <c r="N115" s="7">
        <v>66</v>
      </c>
      <c r="O115" s="7">
        <v>96</v>
      </c>
      <c r="P115" s="7">
        <v>0</v>
      </c>
      <c r="Q115" s="7">
        <v>6</v>
      </c>
      <c r="S115" s="7">
        <v>7</v>
      </c>
      <c r="T115" s="7">
        <v>10</v>
      </c>
      <c r="U115" s="7">
        <v>18</v>
      </c>
      <c r="W115" s="7">
        <v>8</v>
      </c>
      <c r="X115" s="7">
        <v>88</v>
      </c>
      <c r="Y115" s="7">
        <f>SUM(Table1[[#This Row],[Good Kernels  (g)]:[Husk  (g)]])</f>
        <v>1000</v>
      </c>
      <c r="Z115" s="9">
        <f>IFERROR(Table1[[#This Row],[Good Kernels  (g)]]/Table1[[#This Row],[Sample Qty  (g)]],"")</f>
        <v>0.60499999999999998</v>
      </c>
      <c r="AA115" s="9">
        <f>IFERROR(SUM(Table1[[#This Row],[Pieces  (g)]:[Butts (g)]])/Table1[[#This Row],[Sample Qty  (g)]],"")</f>
        <v>9.6000000000000002E-2</v>
      </c>
      <c r="AB115" s="9">
        <f>IFERROR(Table1[[#This Row],[Scorched (g)]]/Table1[[#This Row],[Sample Qty  (g)]],"")</f>
        <v>6.6000000000000003E-2</v>
      </c>
      <c r="AC115" s="9">
        <f>IFERROR(SUM(Table1[[#This Row],[Spotted  (g)]:[PUK3  (g)]])/Table1[[#This Row],[Sample Qty  (g)]],"")</f>
        <v>9.6000000000000002E-2</v>
      </c>
      <c r="AD115" s="9">
        <f>IFERROR(SUM(R115,Q115)/Table1[[#This Row],[Sample Qty  (g)]],"")</f>
        <v>6.0000000000000001E-3</v>
      </c>
      <c r="AE115" s="9">
        <f>IFERROR(Table1[[#This Row],[Dessert/NW  (g)]]/Table1[[#This Row],[Sample Qty  (g)]],"")</f>
        <v>7.0000000000000001E-3</v>
      </c>
      <c r="AF115" s="9">
        <f>IFERROR(SUM(Table1[[#This Row],[Oil  (g)]:[Dirty  (g)]])/Table1[[#This Row],[Sample Qty  (g)]],"")</f>
        <v>2.8000000000000001E-2</v>
      </c>
      <c r="AG115" s="9">
        <f>IFERROR(Table1[[#This Row],[Rejection  (g)]]/Table1[[#This Row],[Sample Qty  (g)]],"")</f>
        <v>8.0000000000000002E-3</v>
      </c>
      <c r="AH115" s="9">
        <f>IFERROR(Table1[[#This Row],[Husk  (g)]]/Table1[[#This Row],[Sample Qty  (g)]],"")</f>
        <v>8.7999999999999995E-2</v>
      </c>
    </row>
    <row r="116" spans="2:34" ht="12" x14ac:dyDescent="0.25">
      <c r="B116" s="8">
        <v>46214</v>
      </c>
      <c r="C116" s="7">
        <f>WEEKNUM(Table1[[#This Row],[Date]])</f>
        <v>28</v>
      </c>
      <c r="D116" s="5" t="s">
        <v>79</v>
      </c>
      <c r="E116" s="10" t="s">
        <v>71</v>
      </c>
      <c r="F116" s="7" t="s">
        <v>21</v>
      </c>
      <c r="H116" s="7">
        <v>1000</v>
      </c>
      <c r="I116" s="7">
        <v>264</v>
      </c>
      <c r="J116" s="7">
        <v>3.1</v>
      </c>
      <c r="K116" s="7">
        <v>652</v>
      </c>
      <c r="L116" s="7">
        <v>56</v>
      </c>
      <c r="N116" s="7">
        <v>56</v>
      </c>
      <c r="O116" s="7">
        <v>52</v>
      </c>
      <c r="P116" s="7">
        <v>0</v>
      </c>
      <c r="Q116" s="7">
        <v>6</v>
      </c>
      <c r="S116" s="7">
        <v>8</v>
      </c>
      <c r="T116" s="7">
        <v>24</v>
      </c>
      <c r="U116" s="7">
        <v>44</v>
      </c>
      <c r="W116" s="7">
        <v>10</v>
      </c>
      <c r="X116" s="7">
        <v>92</v>
      </c>
      <c r="Y116" s="7">
        <f>SUM(Table1[[#This Row],[Good Kernels  (g)]:[Husk  (g)]])</f>
        <v>1000</v>
      </c>
      <c r="Z116" s="9">
        <f>IFERROR(Table1[[#This Row],[Good Kernels  (g)]]/Table1[[#This Row],[Sample Qty  (g)]],"")</f>
        <v>0.65200000000000002</v>
      </c>
      <c r="AA116" s="9">
        <f>IFERROR(SUM(Table1[[#This Row],[Pieces  (g)]:[Butts (g)]])/Table1[[#This Row],[Sample Qty  (g)]],"")</f>
        <v>5.6000000000000001E-2</v>
      </c>
      <c r="AB116" s="9">
        <f>IFERROR(Table1[[#This Row],[Scorched (g)]]/Table1[[#This Row],[Sample Qty  (g)]],"")</f>
        <v>5.6000000000000001E-2</v>
      </c>
      <c r="AC116" s="9">
        <f>IFERROR(SUM(Table1[[#This Row],[Spotted  (g)]:[PUK3  (g)]])/Table1[[#This Row],[Sample Qty  (g)]],"")</f>
        <v>5.1999999999999998E-2</v>
      </c>
      <c r="AD116" s="9">
        <f>IFERROR(SUM(R116,Q116)/Table1[[#This Row],[Sample Qty  (g)]],"")</f>
        <v>6.0000000000000001E-3</v>
      </c>
      <c r="AE116" s="9">
        <f>IFERROR(Table1[[#This Row],[Dessert/NW  (g)]]/Table1[[#This Row],[Sample Qty  (g)]],"")</f>
        <v>8.0000000000000002E-3</v>
      </c>
      <c r="AF116" s="9">
        <f>IFERROR(SUM(Table1[[#This Row],[Oil  (g)]:[Dirty  (g)]])/Table1[[#This Row],[Sample Qty  (g)]],"")</f>
        <v>6.8000000000000005E-2</v>
      </c>
      <c r="AG116" s="9">
        <f>IFERROR(Table1[[#This Row],[Rejection  (g)]]/Table1[[#This Row],[Sample Qty  (g)]],"")</f>
        <v>0.01</v>
      </c>
      <c r="AH116" s="9">
        <f>IFERROR(Table1[[#This Row],[Husk  (g)]]/Table1[[#This Row],[Sample Qty  (g)]],"")</f>
        <v>9.1999999999999998E-2</v>
      </c>
    </row>
    <row r="117" spans="2:34" ht="12" x14ac:dyDescent="0.25">
      <c r="B117" s="8">
        <v>46214</v>
      </c>
      <c r="C117" s="7">
        <f>WEEKNUM(Table1[[#This Row],[Date]])</f>
        <v>28</v>
      </c>
      <c r="D117" s="5" t="s">
        <v>79</v>
      </c>
      <c r="E117" s="10" t="s">
        <v>71</v>
      </c>
      <c r="F117" s="7" t="s">
        <v>21</v>
      </c>
      <c r="H117" s="7">
        <v>1000</v>
      </c>
      <c r="I117" s="7">
        <v>263</v>
      </c>
      <c r="J117" s="7">
        <v>3.1</v>
      </c>
      <c r="K117" s="7">
        <v>636</v>
      </c>
      <c r="L117" s="7">
        <v>56</v>
      </c>
      <c r="N117" s="7">
        <v>84</v>
      </c>
      <c r="O117" s="7">
        <v>60</v>
      </c>
      <c r="P117" s="7">
        <v>0</v>
      </c>
      <c r="Q117" s="7">
        <v>12</v>
      </c>
      <c r="S117" s="7">
        <v>12</v>
      </c>
      <c r="T117" s="7">
        <v>12</v>
      </c>
      <c r="U117" s="7">
        <v>14</v>
      </c>
      <c r="W117" s="7">
        <v>16</v>
      </c>
      <c r="X117" s="7">
        <v>98</v>
      </c>
      <c r="Y117" s="7">
        <f>SUM(Table1[[#This Row],[Good Kernels  (g)]:[Husk  (g)]])</f>
        <v>1000</v>
      </c>
      <c r="Z117" s="9">
        <f>IFERROR(Table1[[#This Row],[Good Kernels  (g)]]/Table1[[#This Row],[Sample Qty  (g)]],"")</f>
        <v>0.63600000000000001</v>
      </c>
      <c r="AA117" s="9">
        <f>IFERROR(SUM(Table1[[#This Row],[Pieces  (g)]:[Butts (g)]])/Table1[[#This Row],[Sample Qty  (g)]],"")</f>
        <v>5.6000000000000001E-2</v>
      </c>
      <c r="AB117" s="9">
        <f>IFERROR(Table1[[#This Row],[Scorched (g)]]/Table1[[#This Row],[Sample Qty  (g)]],"")</f>
        <v>8.4000000000000005E-2</v>
      </c>
      <c r="AC117" s="9">
        <f>IFERROR(SUM(Table1[[#This Row],[Spotted  (g)]:[PUK3  (g)]])/Table1[[#This Row],[Sample Qty  (g)]],"")</f>
        <v>0.06</v>
      </c>
      <c r="AD117" s="9">
        <f>IFERROR(SUM(R117,Q117)/Table1[[#This Row],[Sample Qty  (g)]],"")</f>
        <v>1.2E-2</v>
      </c>
      <c r="AE117" s="9">
        <f>IFERROR(Table1[[#This Row],[Dessert/NW  (g)]]/Table1[[#This Row],[Sample Qty  (g)]],"")</f>
        <v>1.2E-2</v>
      </c>
      <c r="AF117" s="9">
        <f>IFERROR(SUM(Table1[[#This Row],[Oil  (g)]:[Dirty  (g)]])/Table1[[#This Row],[Sample Qty  (g)]],"")</f>
        <v>2.5999999999999999E-2</v>
      </c>
      <c r="AG117" s="9">
        <f>IFERROR(Table1[[#This Row],[Rejection  (g)]]/Table1[[#This Row],[Sample Qty  (g)]],"")</f>
        <v>1.6E-2</v>
      </c>
      <c r="AH117" s="9">
        <f>IFERROR(Table1[[#This Row],[Husk  (g)]]/Table1[[#This Row],[Sample Qty  (g)]],"")</f>
        <v>9.8000000000000004E-2</v>
      </c>
    </row>
    <row r="118" spans="2:34" ht="12" x14ac:dyDescent="0.25">
      <c r="B118" s="8">
        <v>46214</v>
      </c>
      <c r="C118" s="7">
        <f>WEEKNUM(Table1[[#This Row],[Date]])</f>
        <v>28</v>
      </c>
      <c r="D118" s="5" t="s">
        <v>79</v>
      </c>
      <c r="E118" s="10" t="s">
        <v>71</v>
      </c>
      <c r="F118" s="7" t="s">
        <v>21</v>
      </c>
      <c r="H118" s="7">
        <v>1000</v>
      </c>
      <c r="I118" s="7">
        <v>318</v>
      </c>
      <c r="J118" s="7">
        <v>3</v>
      </c>
      <c r="K118" s="7">
        <v>626</v>
      </c>
      <c r="L118" s="7">
        <v>56</v>
      </c>
      <c r="N118" s="7">
        <v>70</v>
      </c>
      <c r="O118" s="7">
        <v>62</v>
      </c>
      <c r="P118" s="7">
        <v>0</v>
      </c>
      <c r="Q118" s="7">
        <v>10</v>
      </c>
      <c r="S118" s="7">
        <v>16</v>
      </c>
      <c r="T118" s="7">
        <v>44</v>
      </c>
      <c r="U118" s="7">
        <v>12</v>
      </c>
      <c r="W118" s="7">
        <v>8</v>
      </c>
      <c r="X118" s="7">
        <v>96</v>
      </c>
      <c r="Y118" s="7">
        <f>SUM(Table1[[#This Row],[Good Kernels  (g)]:[Husk  (g)]])</f>
        <v>1000</v>
      </c>
      <c r="Z118" s="9">
        <f>IFERROR(Table1[[#This Row],[Good Kernels  (g)]]/Table1[[#This Row],[Sample Qty  (g)]],"")</f>
        <v>0.626</v>
      </c>
      <c r="AA118" s="9">
        <f>IFERROR(SUM(Table1[[#This Row],[Pieces  (g)]:[Butts (g)]])/Table1[[#This Row],[Sample Qty  (g)]],"")</f>
        <v>5.6000000000000001E-2</v>
      </c>
      <c r="AB118" s="9">
        <f>IFERROR(Table1[[#This Row],[Scorched (g)]]/Table1[[#This Row],[Sample Qty  (g)]],"")</f>
        <v>7.0000000000000007E-2</v>
      </c>
      <c r="AC118" s="9">
        <f>IFERROR(SUM(Table1[[#This Row],[Spotted  (g)]:[PUK3  (g)]])/Table1[[#This Row],[Sample Qty  (g)]],"")</f>
        <v>6.2E-2</v>
      </c>
      <c r="AD118" s="9">
        <f>IFERROR(SUM(R118,Q118)/Table1[[#This Row],[Sample Qty  (g)]],"")</f>
        <v>0.01</v>
      </c>
      <c r="AE118" s="9">
        <f>IFERROR(Table1[[#This Row],[Dessert/NW  (g)]]/Table1[[#This Row],[Sample Qty  (g)]],"")</f>
        <v>1.6E-2</v>
      </c>
      <c r="AF118" s="9">
        <f>IFERROR(SUM(Table1[[#This Row],[Oil  (g)]:[Dirty  (g)]])/Table1[[#This Row],[Sample Qty  (g)]],"")</f>
        <v>5.6000000000000001E-2</v>
      </c>
      <c r="AG118" s="9">
        <f>IFERROR(Table1[[#This Row],[Rejection  (g)]]/Table1[[#This Row],[Sample Qty  (g)]],"")</f>
        <v>8.0000000000000002E-3</v>
      </c>
      <c r="AH118" s="9">
        <f>IFERROR(Table1[[#This Row],[Husk  (g)]]/Table1[[#This Row],[Sample Qty  (g)]],"")</f>
        <v>9.6000000000000002E-2</v>
      </c>
    </row>
    <row r="119" spans="2:34" ht="12" x14ac:dyDescent="0.25">
      <c r="B119" s="8">
        <v>46216</v>
      </c>
      <c r="C119" s="7">
        <f>WEEKNUM(Table1[[#This Row],[Date]])</f>
        <v>29</v>
      </c>
      <c r="D119" s="5" t="s">
        <v>80</v>
      </c>
      <c r="E119" s="10" t="s">
        <v>71</v>
      </c>
      <c r="F119" s="7" t="s">
        <v>21</v>
      </c>
      <c r="H119" s="7">
        <v>1000</v>
      </c>
      <c r="I119" s="7">
        <v>282</v>
      </c>
      <c r="J119" s="7">
        <v>3.1</v>
      </c>
      <c r="K119" s="7">
        <v>534</v>
      </c>
      <c r="L119" s="7">
        <v>52</v>
      </c>
      <c r="N119" s="7">
        <v>68</v>
      </c>
      <c r="O119" s="7">
        <v>140</v>
      </c>
      <c r="P119" s="7">
        <v>0</v>
      </c>
      <c r="Q119" s="7">
        <v>32</v>
      </c>
      <c r="S119" s="7">
        <v>16</v>
      </c>
      <c r="T119" s="7">
        <v>8</v>
      </c>
      <c r="U119" s="7">
        <v>32</v>
      </c>
      <c r="W119" s="7">
        <v>10</v>
      </c>
      <c r="X119" s="7">
        <v>108</v>
      </c>
      <c r="Y119" s="7">
        <f>SUM(Table1[[#This Row],[Good Kernels  (g)]:[Husk  (g)]])</f>
        <v>1000</v>
      </c>
      <c r="Z119" s="9">
        <f>IFERROR(Table1[[#This Row],[Good Kernels  (g)]]/Table1[[#This Row],[Sample Qty  (g)]],"")</f>
        <v>0.53400000000000003</v>
      </c>
      <c r="AA119" s="9">
        <f>IFERROR(SUM(Table1[[#This Row],[Pieces  (g)]:[Butts (g)]])/Table1[[#This Row],[Sample Qty  (g)]],"")</f>
        <v>5.1999999999999998E-2</v>
      </c>
      <c r="AB119" s="9">
        <f>IFERROR(Table1[[#This Row],[Scorched (g)]]/Table1[[#This Row],[Sample Qty  (g)]],"")</f>
        <v>6.8000000000000005E-2</v>
      </c>
      <c r="AC119" s="9">
        <f>IFERROR(SUM(Table1[[#This Row],[Spotted  (g)]:[PUK3  (g)]])/Table1[[#This Row],[Sample Qty  (g)]],"")</f>
        <v>0.14000000000000001</v>
      </c>
      <c r="AD119" s="9">
        <f>IFERROR(SUM(R119,Q119)/Table1[[#This Row],[Sample Qty  (g)]],"")</f>
        <v>3.2000000000000001E-2</v>
      </c>
      <c r="AE119" s="9">
        <f>IFERROR(Table1[[#This Row],[Dessert/NW  (g)]]/Table1[[#This Row],[Sample Qty  (g)]],"")</f>
        <v>1.6E-2</v>
      </c>
      <c r="AF119" s="9">
        <f>IFERROR(SUM(Table1[[#This Row],[Oil  (g)]:[Dirty  (g)]])/Table1[[#This Row],[Sample Qty  (g)]],"")</f>
        <v>0.04</v>
      </c>
      <c r="AG119" s="9">
        <f>IFERROR(Table1[[#This Row],[Rejection  (g)]]/Table1[[#This Row],[Sample Qty  (g)]],"")</f>
        <v>0.01</v>
      </c>
      <c r="AH119" s="9">
        <f>IFERROR(Table1[[#This Row],[Husk  (g)]]/Table1[[#This Row],[Sample Qty  (g)]],"")</f>
        <v>0.108</v>
      </c>
    </row>
    <row r="120" spans="2:34" ht="12" x14ac:dyDescent="0.25">
      <c r="B120" s="8">
        <v>46216</v>
      </c>
      <c r="C120" s="7">
        <f>WEEKNUM(Table1[[#This Row],[Date]])</f>
        <v>29</v>
      </c>
      <c r="D120" s="5" t="s">
        <v>80</v>
      </c>
      <c r="E120" s="10" t="s">
        <v>71</v>
      </c>
      <c r="F120" s="7" t="s">
        <v>21</v>
      </c>
      <c r="H120" s="7">
        <v>1000</v>
      </c>
      <c r="I120" s="7">
        <v>292</v>
      </c>
      <c r="J120" s="7">
        <v>3.1</v>
      </c>
      <c r="K120" s="7">
        <v>563</v>
      </c>
      <c r="L120" s="7">
        <v>32</v>
      </c>
      <c r="N120" s="7">
        <v>96</v>
      </c>
      <c r="O120" s="7">
        <v>124</v>
      </c>
      <c r="P120" s="7">
        <v>0</v>
      </c>
      <c r="Q120" s="7">
        <v>20</v>
      </c>
      <c r="S120" s="7">
        <v>24</v>
      </c>
      <c r="T120" s="7">
        <v>9</v>
      </c>
      <c r="U120" s="7">
        <v>24</v>
      </c>
      <c r="W120" s="7">
        <v>8</v>
      </c>
      <c r="X120" s="7">
        <v>100</v>
      </c>
      <c r="Y120" s="7">
        <f>SUM(Table1[[#This Row],[Good Kernels  (g)]:[Husk  (g)]])</f>
        <v>1000</v>
      </c>
      <c r="Z120" s="9">
        <f>IFERROR(Table1[[#This Row],[Good Kernels  (g)]]/Table1[[#This Row],[Sample Qty  (g)]],"")</f>
        <v>0.56299999999999994</v>
      </c>
      <c r="AA120" s="9">
        <f>IFERROR(SUM(Table1[[#This Row],[Pieces  (g)]:[Butts (g)]])/Table1[[#This Row],[Sample Qty  (g)]],"")</f>
        <v>3.2000000000000001E-2</v>
      </c>
      <c r="AB120" s="9">
        <f>IFERROR(Table1[[#This Row],[Scorched (g)]]/Table1[[#This Row],[Sample Qty  (g)]],"")</f>
        <v>9.6000000000000002E-2</v>
      </c>
      <c r="AC120" s="9">
        <f>IFERROR(SUM(Table1[[#This Row],[Spotted  (g)]:[PUK3  (g)]])/Table1[[#This Row],[Sample Qty  (g)]],"")</f>
        <v>0.124</v>
      </c>
      <c r="AD120" s="9">
        <f>IFERROR(SUM(R120,Q120)/Table1[[#This Row],[Sample Qty  (g)]],"")</f>
        <v>0.02</v>
      </c>
      <c r="AE120" s="9">
        <f>IFERROR(Table1[[#This Row],[Dessert/NW  (g)]]/Table1[[#This Row],[Sample Qty  (g)]],"")</f>
        <v>2.4E-2</v>
      </c>
      <c r="AF120" s="9">
        <f>IFERROR(SUM(Table1[[#This Row],[Oil  (g)]:[Dirty  (g)]])/Table1[[#This Row],[Sample Qty  (g)]],"")</f>
        <v>3.3000000000000002E-2</v>
      </c>
      <c r="AG120" s="9">
        <f>IFERROR(Table1[[#This Row],[Rejection  (g)]]/Table1[[#This Row],[Sample Qty  (g)]],"")</f>
        <v>8.0000000000000002E-3</v>
      </c>
      <c r="AH120" s="9">
        <f>IFERROR(Table1[[#This Row],[Husk  (g)]]/Table1[[#This Row],[Sample Qty  (g)]],"")</f>
        <v>0.1</v>
      </c>
    </row>
    <row r="121" spans="2:34" ht="12" x14ac:dyDescent="0.25">
      <c r="B121" s="8">
        <v>46216</v>
      </c>
      <c r="C121" s="7">
        <f>WEEKNUM(Table1[[#This Row],[Date]])</f>
        <v>29</v>
      </c>
      <c r="D121" s="5" t="s">
        <v>80</v>
      </c>
      <c r="E121" s="10" t="s">
        <v>71</v>
      </c>
      <c r="F121" s="7" t="s">
        <v>21</v>
      </c>
      <c r="H121" s="7">
        <v>1000</v>
      </c>
      <c r="I121" s="7">
        <v>266</v>
      </c>
      <c r="J121" s="7">
        <v>3.2</v>
      </c>
      <c r="K121" s="7">
        <v>572</v>
      </c>
      <c r="L121" s="7">
        <v>36</v>
      </c>
      <c r="N121" s="7">
        <v>68</v>
      </c>
      <c r="O121" s="7">
        <v>132</v>
      </c>
      <c r="P121" s="7">
        <v>0</v>
      </c>
      <c r="Q121" s="7">
        <v>16</v>
      </c>
      <c r="S121" s="7">
        <v>8</v>
      </c>
      <c r="T121" s="7">
        <v>24</v>
      </c>
      <c r="U121" s="7">
        <v>28</v>
      </c>
      <c r="W121" s="7">
        <v>20</v>
      </c>
      <c r="X121" s="7">
        <v>96</v>
      </c>
      <c r="Y121" s="7">
        <f>SUM(Table1[[#This Row],[Good Kernels  (g)]:[Husk  (g)]])</f>
        <v>1000</v>
      </c>
      <c r="Z121" s="9">
        <f>IFERROR(Table1[[#This Row],[Good Kernels  (g)]]/Table1[[#This Row],[Sample Qty  (g)]],"")</f>
        <v>0.57199999999999995</v>
      </c>
      <c r="AA121" s="9">
        <f>IFERROR(SUM(Table1[[#This Row],[Pieces  (g)]:[Butts (g)]])/Table1[[#This Row],[Sample Qty  (g)]],"")</f>
        <v>3.5999999999999997E-2</v>
      </c>
      <c r="AB121" s="9">
        <f>IFERROR(Table1[[#This Row],[Scorched (g)]]/Table1[[#This Row],[Sample Qty  (g)]],"")</f>
        <v>6.8000000000000005E-2</v>
      </c>
      <c r="AC121" s="9">
        <f>IFERROR(SUM(Table1[[#This Row],[Spotted  (g)]:[PUK3  (g)]])/Table1[[#This Row],[Sample Qty  (g)]],"")</f>
        <v>0.13200000000000001</v>
      </c>
      <c r="AD121" s="9">
        <f>IFERROR(SUM(R121,Q121)/Table1[[#This Row],[Sample Qty  (g)]],"")</f>
        <v>1.6E-2</v>
      </c>
      <c r="AE121" s="9">
        <f>IFERROR(Table1[[#This Row],[Dessert/NW  (g)]]/Table1[[#This Row],[Sample Qty  (g)]],"")</f>
        <v>8.0000000000000002E-3</v>
      </c>
      <c r="AF121" s="9">
        <f>IFERROR(SUM(Table1[[#This Row],[Oil  (g)]:[Dirty  (g)]])/Table1[[#This Row],[Sample Qty  (g)]],"")</f>
        <v>5.1999999999999998E-2</v>
      </c>
      <c r="AG121" s="9">
        <f>IFERROR(Table1[[#This Row],[Rejection  (g)]]/Table1[[#This Row],[Sample Qty  (g)]],"")</f>
        <v>0.02</v>
      </c>
      <c r="AH121" s="9">
        <f>IFERROR(Table1[[#This Row],[Husk  (g)]]/Table1[[#This Row],[Sample Qty  (g)]],"")</f>
        <v>9.6000000000000002E-2</v>
      </c>
    </row>
    <row r="122" spans="2:34" ht="12" x14ac:dyDescent="0.25">
      <c r="B122" s="8">
        <v>46216</v>
      </c>
      <c r="C122" s="7">
        <f>WEEKNUM(Table1[[#This Row],[Date]])</f>
        <v>29</v>
      </c>
      <c r="D122" s="5" t="s">
        <v>80</v>
      </c>
      <c r="E122" s="10" t="s">
        <v>71</v>
      </c>
      <c r="F122" s="7" t="s">
        <v>21</v>
      </c>
      <c r="H122" s="7">
        <v>1000</v>
      </c>
      <c r="I122" s="7">
        <v>280</v>
      </c>
      <c r="J122" s="7">
        <v>3.1</v>
      </c>
      <c r="K122" s="7">
        <v>530</v>
      </c>
      <c r="L122" s="7">
        <v>40</v>
      </c>
      <c r="N122" s="7">
        <v>108</v>
      </c>
      <c r="O122" s="7">
        <v>110</v>
      </c>
      <c r="P122" s="7">
        <v>0</v>
      </c>
      <c r="Q122" s="7">
        <v>32</v>
      </c>
      <c r="S122" s="7">
        <v>8</v>
      </c>
      <c r="T122" s="7">
        <v>8</v>
      </c>
      <c r="U122" s="7">
        <v>24</v>
      </c>
      <c r="W122" s="7">
        <v>28</v>
      </c>
      <c r="X122" s="7">
        <v>112</v>
      </c>
      <c r="Y122" s="7">
        <f>SUM(Table1[[#This Row],[Good Kernels  (g)]:[Husk  (g)]])</f>
        <v>1000</v>
      </c>
      <c r="Z122" s="9">
        <f>IFERROR(Table1[[#This Row],[Good Kernels  (g)]]/Table1[[#This Row],[Sample Qty  (g)]],"")</f>
        <v>0.53</v>
      </c>
      <c r="AA122" s="9">
        <f>IFERROR(SUM(Table1[[#This Row],[Pieces  (g)]:[Butts (g)]])/Table1[[#This Row],[Sample Qty  (g)]],"")</f>
        <v>0.04</v>
      </c>
      <c r="AB122" s="9">
        <f>IFERROR(Table1[[#This Row],[Scorched (g)]]/Table1[[#This Row],[Sample Qty  (g)]],"")</f>
        <v>0.108</v>
      </c>
      <c r="AC122" s="9">
        <f>IFERROR(SUM(Table1[[#This Row],[Spotted  (g)]:[PUK3  (g)]])/Table1[[#This Row],[Sample Qty  (g)]],"")</f>
        <v>0.11</v>
      </c>
      <c r="AD122" s="9">
        <f>IFERROR(SUM(R122,Q122)/Table1[[#This Row],[Sample Qty  (g)]],"")</f>
        <v>3.2000000000000001E-2</v>
      </c>
      <c r="AE122" s="9">
        <f>IFERROR(Table1[[#This Row],[Dessert/NW  (g)]]/Table1[[#This Row],[Sample Qty  (g)]],"")</f>
        <v>8.0000000000000002E-3</v>
      </c>
      <c r="AF122" s="9">
        <f>IFERROR(SUM(Table1[[#This Row],[Oil  (g)]:[Dirty  (g)]])/Table1[[#This Row],[Sample Qty  (g)]],"")</f>
        <v>3.2000000000000001E-2</v>
      </c>
      <c r="AG122" s="9">
        <f>IFERROR(Table1[[#This Row],[Rejection  (g)]]/Table1[[#This Row],[Sample Qty  (g)]],"")</f>
        <v>2.8000000000000001E-2</v>
      </c>
      <c r="AH122" s="9">
        <f>IFERROR(Table1[[#This Row],[Husk  (g)]]/Table1[[#This Row],[Sample Qty  (g)]],"")</f>
        <v>0.112</v>
      </c>
    </row>
    <row r="123" spans="2:34" ht="12" x14ac:dyDescent="0.25">
      <c r="B123" s="8">
        <v>46216</v>
      </c>
      <c r="C123" s="7">
        <f>WEEKNUM(Table1[[#This Row],[Date]])</f>
        <v>29</v>
      </c>
      <c r="D123" s="5" t="s">
        <v>80</v>
      </c>
      <c r="E123" s="10" t="s">
        <v>71</v>
      </c>
      <c r="F123" s="7" t="s">
        <v>21</v>
      </c>
      <c r="H123" s="7">
        <v>1000</v>
      </c>
      <c r="I123" s="7">
        <v>268</v>
      </c>
      <c r="J123" s="7">
        <v>3.1</v>
      </c>
      <c r="K123" s="7">
        <v>558</v>
      </c>
      <c r="L123" s="7">
        <v>32</v>
      </c>
      <c r="N123" s="7">
        <v>36</v>
      </c>
      <c r="O123" s="7">
        <v>152</v>
      </c>
      <c r="P123" s="7">
        <v>0</v>
      </c>
      <c r="Q123" s="7">
        <v>48</v>
      </c>
      <c r="S123" s="7">
        <v>16</v>
      </c>
      <c r="T123" s="7">
        <v>8</v>
      </c>
      <c r="U123" s="7">
        <v>2</v>
      </c>
      <c r="W123" s="7">
        <v>40</v>
      </c>
      <c r="X123" s="7">
        <v>108</v>
      </c>
      <c r="Y123" s="7">
        <f>SUM(Table1[[#This Row],[Good Kernels  (g)]:[Husk  (g)]])</f>
        <v>1000</v>
      </c>
      <c r="Z123" s="9">
        <f>IFERROR(Table1[[#This Row],[Good Kernels  (g)]]/Table1[[#This Row],[Sample Qty  (g)]],"")</f>
        <v>0.55800000000000005</v>
      </c>
      <c r="AA123" s="9">
        <f>IFERROR(SUM(Table1[[#This Row],[Pieces  (g)]:[Butts (g)]])/Table1[[#This Row],[Sample Qty  (g)]],"")</f>
        <v>3.2000000000000001E-2</v>
      </c>
      <c r="AB123" s="9">
        <f>IFERROR(Table1[[#This Row],[Scorched (g)]]/Table1[[#This Row],[Sample Qty  (g)]],"")</f>
        <v>3.5999999999999997E-2</v>
      </c>
      <c r="AC123" s="9">
        <f>IFERROR(SUM(Table1[[#This Row],[Spotted  (g)]:[PUK3  (g)]])/Table1[[#This Row],[Sample Qty  (g)]],"")</f>
        <v>0.152</v>
      </c>
      <c r="AD123" s="9">
        <f>IFERROR(SUM(R123,Q123)/Table1[[#This Row],[Sample Qty  (g)]],"")</f>
        <v>4.8000000000000001E-2</v>
      </c>
      <c r="AE123" s="9">
        <f>IFERROR(Table1[[#This Row],[Dessert/NW  (g)]]/Table1[[#This Row],[Sample Qty  (g)]],"")</f>
        <v>1.6E-2</v>
      </c>
      <c r="AF123" s="9">
        <f>IFERROR(SUM(Table1[[#This Row],[Oil  (g)]:[Dirty  (g)]])/Table1[[#This Row],[Sample Qty  (g)]],"")</f>
        <v>0.01</v>
      </c>
      <c r="AG123" s="9">
        <f>IFERROR(Table1[[#This Row],[Rejection  (g)]]/Table1[[#This Row],[Sample Qty  (g)]],"")</f>
        <v>0.04</v>
      </c>
      <c r="AH123" s="9">
        <f>IFERROR(Table1[[#This Row],[Husk  (g)]]/Table1[[#This Row],[Sample Qty  (g)]],"")</f>
        <v>0.108</v>
      </c>
    </row>
    <row r="124" spans="2:34" ht="12" x14ac:dyDescent="0.25">
      <c r="B124" s="8">
        <v>46216</v>
      </c>
      <c r="C124" s="7">
        <f>WEEKNUM(Table1[[#This Row],[Date]])</f>
        <v>29</v>
      </c>
      <c r="D124" s="5" t="s">
        <v>80</v>
      </c>
      <c r="E124" s="10" t="s">
        <v>71</v>
      </c>
      <c r="F124" s="7" t="s">
        <v>21</v>
      </c>
      <c r="H124" s="7">
        <v>1000</v>
      </c>
      <c r="I124" s="7">
        <v>280</v>
      </c>
      <c r="J124" s="7">
        <v>3.1</v>
      </c>
      <c r="K124" s="7">
        <v>592</v>
      </c>
      <c r="L124" s="7">
        <v>50</v>
      </c>
      <c r="N124" s="7">
        <v>40</v>
      </c>
      <c r="O124" s="7">
        <v>105</v>
      </c>
      <c r="P124" s="7">
        <v>0</v>
      </c>
      <c r="Q124" s="7">
        <v>39</v>
      </c>
      <c r="S124" s="7">
        <v>20</v>
      </c>
      <c r="T124" s="7">
        <v>8</v>
      </c>
      <c r="U124" s="7">
        <v>1</v>
      </c>
      <c r="W124" s="7">
        <v>35</v>
      </c>
      <c r="X124" s="7">
        <v>110</v>
      </c>
      <c r="Y124" s="7">
        <f>SUM(Table1[[#This Row],[Good Kernels  (g)]:[Husk  (g)]])</f>
        <v>1000</v>
      </c>
      <c r="Z124" s="9">
        <f>IFERROR(Table1[[#This Row],[Good Kernels  (g)]]/Table1[[#This Row],[Sample Qty  (g)]],"")</f>
        <v>0.59199999999999997</v>
      </c>
      <c r="AA124" s="9">
        <f>IFERROR(SUM(Table1[[#This Row],[Pieces  (g)]:[Butts (g)]])/Table1[[#This Row],[Sample Qty  (g)]],"")</f>
        <v>0.05</v>
      </c>
      <c r="AB124" s="9">
        <f>IFERROR(Table1[[#This Row],[Scorched (g)]]/Table1[[#This Row],[Sample Qty  (g)]],"")</f>
        <v>0.04</v>
      </c>
      <c r="AC124" s="9">
        <f>IFERROR(SUM(Table1[[#This Row],[Spotted  (g)]:[PUK3  (g)]])/Table1[[#This Row],[Sample Qty  (g)]],"")</f>
        <v>0.105</v>
      </c>
      <c r="AD124" s="9">
        <f>IFERROR(SUM(R124,Q124)/Table1[[#This Row],[Sample Qty  (g)]],"")</f>
        <v>3.9E-2</v>
      </c>
      <c r="AE124" s="9">
        <f>IFERROR(Table1[[#This Row],[Dessert/NW  (g)]]/Table1[[#This Row],[Sample Qty  (g)]],"")</f>
        <v>0.02</v>
      </c>
      <c r="AF124" s="9">
        <f>IFERROR(SUM(Table1[[#This Row],[Oil  (g)]:[Dirty  (g)]])/Table1[[#This Row],[Sample Qty  (g)]],"")</f>
        <v>8.9999999999999993E-3</v>
      </c>
      <c r="AG124" s="9">
        <f>IFERROR(Table1[[#This Row],[Rejection  (g)]]/Table1[[#This Row],[Sample Qty  (g)]],"")</f>
        <v>3.5000000000000003E-2</v>
      </c>
      <c r="AH124" s="9">
        <f>IFERROR(Table1[[#This Row],[Husk  (g)]]/Table1[[#This Row],[Sample Qty  (g)]],"")</f>
        <v>0.11</v>
      </c>
    </row>
    <row r="125" spans="2:34" ht="12" x14ac:dyDescent="0.25">
      <c r="B125" s="8">
        <v>46216</v>
      </c>
      <c r="C125" s="7">
        <f>WEEKNUM(Table1[[#This Row],[Date]])</f>
        <v>29</v>
      </c>
      <c r="D125" s="5" t="s">
        <v>80</v>
      </c>
      <c r="E125" s="10" t="s">
        <v>71</v>
      </c>
      <c r="F125" s="7" t="s">
        <v>21</v>
      </c>
      <c r="H125" s="7">
        <v>1000</v>
      </c>
      <c r="I125" s="7">
        <v>254</v>
      </c>
      <c r="J125" s="7">
        <v>3.1</v>
      </c>
      <c r="K125" s="7">
        <v>691</v>
      </c>
      <c r="L125" s="7">
        <v>36</v>
      </c>
      <c r="N125" s="7">
        <v>68</v>
      </c>
      <c r="O125" s="7">
        <v>128</v>
      </c>
      <c r="P125" s="7">
        <v>0</v>
      </c>
      <c r="Q125" s="7">
        <v>28</v>
      </c>
      <c r="S125" s="7">
        <v>8</v>
      </c>
      <c r="T125" s="7">
        <v>3</v>
      </c>
      <c r="U125" s="7">
        <v>2</v>
      </c>
      <c r="W125" s="7">
        <v>10</v>
      </c>
      <c r="X125" s="7">
        <v>26</v>
      </c>
      <c r="Y125" s="7">
        <f>SUM(Table1[[#This Row],[Good Kernels  (g)]:[Husk  (g)]])</f>
        <v>1000</v>
      </c>
      <c r="Z125" s="9">
        <f>IFERROR(Table1[[#This Row],[Good Kernels  (g)]]/Table1[[#This Row],[Sample Qty  (g)]],"")</f>
        <v>0.69099999999999995</v>
      </c>
      <c r="AA125" s="9">
        <f>IFERROR(SUM(Table1[[#This Row],[Pieces  (g)]:[Butts (g)]])/Table1[[#This Row],[Sample Qty  (g)]],"")</f>
        <v>3.5999999999999997E-2</v>
      </c>
      <c r="AB125" s="9">
        <f>IFERROR(Table1[[#This Row],[Scorched (g)]]/Table1[[#This Row],[Sample Qty  (g)]],"")</f>
        <v>6.8000000000000005E-2</v>
      </c>
      <c r="AC125" s="9">
        <f>IFERROR(SUM(Table1[[#This Row],[Spotted  (g)]:[PUK3  (g)]])/Table1[[#This Row],[Sample Qty  (g)]],"")</f>
        <v>0.128</v>
      </c>
      <c r="AD125" s="9">
        <f>IFERROR(SUM(R125,Q125)/Table1[[#This Row],[Sample Qty  (g)]],"")</f>
        <v>2.8000000000000001E-2</v>
      </c>
      <c r="AE125" s="9">
        <f>IFERROR(Table1[[#This Row],[Dessert/NW  (g)]]/Table1[[#This Row],[Sample Qty  (g)]],"")</f>
        <v>8.0000000000000002E-3</v>
      </c>
      <c r="AF125" s="9">
        <f>IFERROR(SUM(Table1[[#This Row],[Oil  (g)]:[Dirty  (g)]])/Table1[[#This Row],[Sample Qty  (g)]],"")</f>
        <v>5.0000000000000001E-3</v>
      </c>
      <c r="AG125" s="9">
        <f>IFERROR(Table1[[#This Row],[Rejection  (g)]]/Table1[[#This Row],[Sample Qty  (g)]],"")</f>
        <v>0.01</v>
      </c>
      <c r="AH125" s="9">
        <f>IFERROR(Table1[[#This Row],[Husk  (g)]]/Table1[[#This Row],[Sample Qty  (g)]],"")</f>
        <v>2.5999999999999999E-2</v>
      </c>
    </row>
    <row r="126" spans="2:34" ht="12" x14ac:dyDescent="0.25">
      <c r="B126" s="8">
        <v>46216</v>
      </c>
      <c r="C126" s="7">
        <f>WEEKNUM(Table1[[#This Row],[Date]])</f>
        <v>29</v>
      </c>
      <c r="D126" s="5" t="s">
        <v>80</v>
      </c>
      <c r="E126" s="10" t="s">
        <v>71</v>
      </c>
      <c r="F126" s="7" t="s">
        <v>21</v>
      </c>
      <c r="H126" s="7">
        <v>1000</v>
      </c>
      <c r="I126" s="7">
        <v>278</v>
      </c>
      <c r="J126" s="7">
        <v>3.1</v>
      </c>
      <c r="K126" s="7">
        <v>660</v>
      </c>
      <c r="L126" s="7">
        <v>32</v>
      </c>
      <c r="N126" s="7">
        <v>64</v>
      </c>
      <c r="O126" s="7">
        <v>80</v>
      </c>
      <c r="P126" s="7">
        <v>0</v>
      </c>
      <c r="Q126" s="7">
        <v>8</v>
      </c>
      <c r="S126" s="7">
        <v>20</v>
      </c>
      <c r="T126" s="7">
        <v>12</v>
      </c>
      <c r="U126" s="7">
        <v>20</v>
      </c>
      <c r="W126" s="7">
        <v>12</v>
      </c>
      <c r="X126" s="7">
        <v>92</v>
      </c>
      <c r="Y126" s="7">
        <f>SUM(Table1[[#This Row],[Good Kernels  (g)]:[Husk  (g)]])</f>
        <v>1000</v>
      </c>
      <c r="Z126" s="9">
        <f>IFERROR(Table1[[#This Row],[Good Kernels  (g)]]/Table1[[#This Row],[Sample Qty  (g)]],"")</f>
        <v>0.66</v>
      </c>
      <c r="AA126" s="9">
        <f>IFERROR(SUM(Table1[[#This Row],[Pieces  (g)]:[Butts (g)]])/Table1[[#This Row],[Sample Qty  (g)]],"")</f>
        <v>3.2000000000000001E-2</v>
      </c>
      <c r="AB126" s="9">
        <f>IFERROR(Table1[[#This Row],[Scorched (g)]]/Table1[[#This Row],[Sample Qty  (g)]],"")</f>
        <v>6.4000000000000001E-2</v>
      </c>
      <c r="AC126" s="9">
        <f>IFERROR(SUM(Table1[[#This Row],[Spotted  (g)]:[PUK3  (g)]])/Table1[[#This Row],[Sample Qty  (g)]],"")</f>
        <v>0.08</v>
      </c>
      <c r="AD126" s="9">
        <f>IFERROR(SUM(R126,Q126)/Table1[[#This Row],[Sample Qty  (g)]],"")</f>
        <v>8.0000000000000002E-3</v>
      </c>
      <c r="AE126" s="9">
        <f>IFERROR(Table1[[#This Row],[Dessert/NW  (g)]]/Table1[[#This Row],[Sample Qty  (g)]],"")</f>
        <v>0.02</v>
      </c>
      <c r="AF126" s="9">
        <f>IFERROR(SUM(Table1[[#This Row],[Oil  (g)]:[Dirty  (g)]])/Table1[[#This Row],[Sample Qty  (g)]],"")</f>
        <v>3.2000000000000001E-2</v>
      </c>
      <c r="AG126" s="9">
        <f>IFERROR(Table1[[#This Row],[Rejection  (g)]]/Table1[[#This Row],[Sample Qty  (g)]],"")</f>
        <v>1.2E-2</v>
      </c>
      <c r="AH126" s="9">
        <f>IFERROR(Table1[[#This Row],[Husk  (g)]]/Table1[[#This Row],[Sample Qty  (g)]],"")</f>
        <v>9.1999999999999998E-2</v>
      </c>
    </row>
    <row r="127" spans="2:34" ht="12" x14ac:dyDescent="0.25">
      <c r="B127" s="8">
        <v>46216</v>
      </c>
      <c r="C127" s="7">
        <f>WEEKNUM(Table1[[#This Row],[Date]])</f>
        <v>29</v>
      </c>
      <c r="D127" s="5" t="s">
        <v>80</v>
      </c>
      <c r="E127" s="10" t="s">
        <v>71</v>
      </c>
      <c r="F127" s="7" t="s">
        <v>21</v>
      </c>
      <c r="H127" s="7">
        <v>1000</v>
      </c>
      <c r="I127" s="7">
        <v>248</v>
      </c>
      <c r="J127" s="7">
        <v>3.1</v>
      </c>
      <c r="K127" s="7">
        <v>679</v>
      </c>
      <c r="L127" s="7">
        <v>40</v>
      </c>
      <c r="N127" s="7">
        <v>60</v>
      </c>
      <c r="O127" s="7">
        <v>70</v>
      </c>
      <c r="P127" s="7">
        <v>0</v>
      </c>
      <c r="Q127" s="7">
        <v>5</v>
      </c>
      <c r="S127" s="7">
        <v>15</v>
      </c>
      <c r="T127" s="7">
        <v>10</v>
      </c>
      <c r="U127" s="7">
        <v>13</v>
      </c>
      <c r="W127" s="7">
        <v>14</v>
      </c>
      <c r="X127" s="7">
        <v>94</v>
      </c>
      <c r="Y127" s="7">
        <f>SUM(Table1[[#This Row],[Good Kernels  (g)]:[Husk  (g)]])</f>
        <v>1000</v>
      </c>
      <c r="Z127" s="9">
        <f>IFERROR(Table1[[#This Row],[Good Kernels  (g)]]/Table1[[#This Row],[Sample Qty  (g)]],"")</f>
        <v>0.67900000000000005</v>
      </c>
      <c r="AA127" s="9">
        <f>IFERROR(SUM(Table1[[#This Row],[Pieces  (g)]:[Butts (g)]])/Table1[[#This Row],[Sample Qty  (g)]],"")</f>
        <v>0.04</v>
      </c>
      <c r="AB127" s="9">
        <f>IFERROR(Table1[[#This Row],[Scorched (g)]]/Table1[[#This Row],[Sample Qty  (g)]],"")</f>
        <v>0.06</v>
      </c>
      <c r="AC127" s="9">
        <f>IFERROR(SUM(Table1[[#This Row],[Spotted  (g)]:[PUK3  (g)]])/Table1[[#This Row],[Sample Qty  (g)]],"")</f>
        <v>7.0000000000000007E-2</v>
      </c>
      <c r="AD127" s="9">
        <f>IFERROR(SUM(R127,Q127)/Table1[[#This Row],[Sample Qty  (g)]],"")</f>
        <v>5.0000000000000001E-3</v>
      </c>
      <c r="AE127" s="9">
        <f>IFERROR(Table1[[#This Row],[Dessert/NW  (g)]]/Table1[[#This Row],[Sample Qty  (g)]],"")</f>
        <v>1.4999999999999999E-2</v>
      </c>
      <c r="AF127" s="9">
        <f>IFERROR(SUM(Table1[[#This Row],[Oil  (g)]:[Dirty  (g)]])/Table1[[#This Row],[Sample Qty  (g)]],"")</f>
        <v>2.3E-2</v>
      </c>
      <c r="AG127" s="9">
        <f>IFERROR(Table1[[#This Row],[Rejection  (g)]]/Table1[[#This Row],[Sample Qty  (g)]],"")</f>
        <v>1.4E-2</v>
      </c>
      <c r="AH127" s="9">
        <f>IFERROR(Table1[[#This Row],[Husk  (g)]]/Table1[[#This Row],[Sample Qty  (g)]],"")</f>
        <v>9.4E-2</v>
      </c>
    </row>
    <row r="128" spans="2:34" ht="12" x14ac:dyDescent="0.25">
      <c r="B128" s="8">
        <v>46216</v>
      </c>
      <c r="C128" s="7">
        <f>WEEKNUM(Table1[[#This Row],[Date]])</f>
        <v>29</v>
      </c>
      <c r="D128" s="5" t="s">
        <v>80</v>
      </c>
      <c r="E128" s="10" t="s">
        <v>71</v>
      </c>
      <c r="F128" s="7" t="s">
        <v>21</v>
      </c>
      <c r="H128" s="7">
        <v>1000</v>
      </c>
      <c r="I128" s="7">
        <v>264</v>
      </c>
      <c r="J128" s="7">
        <v>3.4</v>
      </c>
      <c r="K128" s="7">
        <v>642</v>
      </c>
      <c r="L128" s="7">
        <v>49</v>
      </c>
      <c r="N128" s="7">
        <v>57</v>
      </c>
      <c r="O128" s="7">
        <v>74</v>
      </c>
      <c r="P128" s="7">
        <v>0</v>
      </c>
      <c r="Q128" s="7">
        <v>10</v>
      </c>
      <c r="S128" s="7">
        <v>10</v>
      </c>
      <c r="T128" s="7">
        <v>20</v>
      </c>
      <c r="U128" s="7">
        <v>32</v>
      </c>
      <c r="W128" s="7">
        <v>12</v>
      </c>
      <c r="X128" s="7">
        <v>94</v>
      </c>
      <c r="Y128" s="7">
        <f>SUM(Table1[[#This Row],[Good Kernels  (g)]:[Husk  (g)]])</f>
        <v>1000</v>
      </c>
      <c r="Z128" s="9">
        <f>IFERROR(Table1[[#This Row],[Good Kernels  (g)]]/Table1[[#This Row],[Sample Qty  (g)]],"")</f>
        <v>0.64200000000000002</v>
      </c>
      <c r="AA128" s="9">
        <f>IFERROR(SUM(Table1[[#This Row],[Pieces  (g)]:[Butts (g)]])/Table1[[#This Row],[Sample Qty  (g)]],"")</f>
        <v>4.9000000000000002E-2</v>
      </c>
      <c r="AB128" s="9">
        <f>IFERROR(Table1[[#This Row],[Scorched (g)]]/Table1[[#This Row],[Sample Qty  (g)]],"")</f>
        <v>5.7000000000000002E-2</v>
      </c>
      <c r="AC128" s="9">
        <f>IFERROR(SUM(Table1[[#This Row],[Spotted  (g)]:[PUK3  (g)]])/Table1[[#This Row],[Sample Qty  (g)]],"")</f>
        <v>7.3999999999999996E-2</v>
      </c>
      <c r="AD128" s="9">
        <f>IFERROR(SUM(R128,Q128)/Table1[[#This Row],[Sample Qty  (g)]],"")</f>
        <v>0.01</v>
      </c>
      <c r="AE128" s="9">
        <f>IFERROR(Table1[[#This Row],[Dessert/NW  (g)]]/Table1[[#This Row],[Sample Qty  (g)]],"")</f>
        <v>0.01</v>
      </c>
      <c r="AF128" s="9">
        <f>IFERROR(SUM(Table1[[#This Row],[Oil  (g)]:[Dirty  (g)]])/Table1[[#This Row],[Sample Qty  (g)]],"")</f>
        <v>5.1999999999999998E-2</v>
      </c>
      <c r="AG128" s="9">
        <f>IFERROR(Table1[[#This Row],[Rejection  (g)]]/Table1[[#This Row],[Sample Qty  (g)]],"")</f>
        <v>1.2E-2</v>
      </c>
      <c r="AH128" s="9">
        <f>IFERROR(Table1[[#This Row],[Husk  (g)]]/Table1[[#This Row],[Sample Qty  (g)]],"")</f>
        <v>9.4E-2</v>
      </c>
    </row>
    <row r="129" spans="2:34" ht="12" x14ac:dyDescent="0.25">
      <c r="B129" s="8">
        <v>46216</v>
      </c>
      <c r="C129" s="7">
        <f>WEEKNUM(Table1[[#This Row],[Date]])</f>
        <v>29</v>
      </c>
      <c r="D129" s="5" t="s">
        <v>80</v>
      </c>
      <c r="E129" s="10" t="s">
        <v>71</v>
      </c>
      <c r="F129" s="7" t="s">
        <v>21</v>
      </c>
      <c r="H129" s="7">
        <v>1000</v>
      </c>
      <c r="I129" s="7">
        <v>268</v>
      </c>
      <c r="J129" s="7">
        <v>3.4</v>
      </c>
      <c r="K129" s="7">
        <v>651</v>
      </c>
      <c r="L129" s="7">
        <v>34</v>
      </c>
      <c r="N129" s="7">
        <v>68</v>
      </c>
      <c r="O129" s="7">
        <v>64</v>
      </c>
      <c r="P129" s="7">
        <v>0</v>
      </c>
      <c r="Q129" s="7">
        <v>10</v>
      </c>
      <c r="S129" s="7">
        <v>8</v>
      </c>
      <c r="T129" s="7">
        <v>18</v>
      </c>
      <c r="U129" s="7">
        <v>37</v>
      </c>
      <c r="W129" s="7">
        <v>14</v>
      </c>
      <c r="X129" s="7">
        <v>96</v>
      </c>
      <c r="Y129" s="7">
        <f>SUM(Table1[[#This Row],[Good Kernels  (g)]:[Husk  (g)]])</f>
        <v>1000</v>
      </c>
      <c r="Z129" s="9">
        <f>IFERROR(Table1[[#This Row],[Good Kernels  (g)]]/Table1[[#This Row],[Sample Qty  (g)]],"")</f>
        <v>0.65100000000000002</v>
      </c>
      <c r="AA129" s="9">
        <f>IFERROR(SUM(Table1[[#This Row],[Pieces  (g)]:[Butts (g)]])/Table1[[#This Row],[Sample Qty  (g)]],"")</f>
        <v>3.4000000000000002E-2</v>
      </c>
      <c r="AB129" s="9">
        <f>IFERROR(Table1[[#This Row],[Scorched (g)]]/Table1[[#This Row],[Sample Qty  (g)]],"")</f>
        <v>6.8000000000000005E-2</v>
      </c>
      <c r="AC129" s="9">
        <f>IFERROR(SUM(Table1[[#This Row],[Spotted  (g)]:[PUK3  (g)]])/Table1[[#This Row],[Sample Qty  (g)]],"")</f>
        <v>6.4000000000000001E-2</v>
      </c>
      <c r="AD129" s="9">
        <f>IFERROR(SUM(R129,Q129)/Table1[[#This Row],[Sample Qty  (g)]],"")</f>
        <v>0.01</v>
      </c>
      <c r="AE129" s="9">
        <f>IFERROR(Table1[[#This Row],[Dessert/NW  (g)]]/Table1[[#This Row],[Sample Qty  (g)]],"")</f>
        <v>8.0000000000000002E-3</v>
      </c>
      <c r="AF129" s="9">
        <f>IFERROR(SUM(Table1[[#This Row],[Oil  (g)]:[Dirty  (g)]])/Table1[[#This Row],[Sample Qty  (g)]],"")</f>
        <v>5.5E-2</v>
      </c>
      <c r="AG129" s="9">
        <f>IFERROR(Table1[[#This Row],[Rejection  (g)]]/Table1[[#This Row],[Sample Qty  (g)]],"")</f>
        <v>1.4E-2</v>
      </c>
      <c r="AH129" s="9">
        <f>IFERROR(Table1[[#This Row],[Husk  (g)]]/Table1[[#This Row],[Sample Qty  (g)]],"")</f>
        <v>9.6000000000000002E-2</v>
      </c>
    </row>
    <row r="130" spans="2:34" ht="12" x14ac:dyDescent="0.25">
      <c r="B130" s="8">
        <v>46216</v>
      </c>
      <c r="C130" s="7">
        <f>WEEKNUM(Table1[[#This Row],[Date]])</f>
        <v>29</v>
      </c>
      <c r="D130" s="5" t="s">
        <v>80</v>
      </c>
      <c r="E130" s="10" t="s">
        <v>71</v>
      </c>
      <c r="F130" s="7" t="s">
        <v>21</v>
      </c>
      <c r="H130" s="7">
        <v>1000</v>
      </c>
      <c r="I130" s="7">
        <v>278</v>
      </c>
      <c r="J130" s="7">
        <v>3.3</v>
      </c>
      <c r="K130" s="7">
        <v>654</v>
      </c>
      <c r="L130" s="7">
        <v>32</v>
      </c>
      <c r="N130" s="7">
        <v>68</v>
      </c>
      <c r="O130" s="7">
        <v>88</v>
      </c>
      <c r="P130" s="7">
        <v>0</v>
      </c>
      <c r="Q130" s="7">
        <v>12</v>
      </c>
      <c r="S130" s="7">
        <v>12</v>
      </c>
      <c r="T130" s="7">
        <v>10</v>
      </c>
      <c r="U130" s="7">
        <v>20</v>
      </c>
      <c r="W130" s="7">
        <v>6</v>
      </c>
      <c r="X130" s="7">
        <v>98</v>
      </c>
      <c r="Y130" s="7">
        <f>SUM(Table1[[#This Row],[Good Kernels  (g)]:[Husk  (g)]])</f>
        <v>1000</v>
      </c>
      <c r="Z130" s="9">
        <f>IFERROR(Table1[[#This Row],[Good Kernels  (g)]]/Table1[[#This Row],[Sample Qty  (g)]],"")</f>
        <v>0.65400000000000003</v>
      </c>
      <c r="AA130" s="9">
        <f>IFERROR(SUM(Table1[[#This Row],[Pieces  (g)]:[Butts (g)]])/Table1[[#This Row],[Sample Qty  (g)]],"")</f>
        <v>3.2000000000000001E-2</v>
      </c>
      <c r="AB130" s="9">
        <f>IFERROR(Table1[[#This Row],[Scorched (g)]]/Table1[[#This Row],[Sample Qty  (g)]],"")</f>
        <v>6.8000000000000005E-2</v>
      </c>
      <c r="AC130" s="9">
        <f>IFERROR(SUM(Table1[[#This Row],[Spotted  (g)]:[PUK3  (g)]])/Table1[[#This Row],[Sample Qty  (g)]],"")</f>
        <v>8.7999999999999995E-2</v>
      </c>
      <c r="AD130" s="9">
        <f>IFERROR(SUM(R130,Q130)/Table1[[#This Row],[Sample Qty  (g)]],"")</f>
        <v>1.2E-2</v>
      </c>
      <c r="AE130" s="9">
        <f>IFERROR(Table1[[#This Row],[Dessert/NW  (g)]]/Table1[[#This Row],[Sample Qty  (g)]],"")</f>
        <v>1.2E-2</v>
      </c>
      <c r="AF130" s="9">
        <f>IFERROR(SUM(Table1[[#This Row],[Oil  (g)]:[Dirty  (g)]])/Table1[[#This Row],[Sample Qty  (g)]],"")</f>
        <v>0.03</v>
      </c>
      <c r="AG130" s="9">
        <f>IFERROR(Table1[[#This Row],[Rejection  (g)]]/Table1[[#This Row],[Sample Qty  (g)]],"")</f>
        <v>6.0000000000000001E-3</v>
      </c>
      <c r="AH130" s="9">
        <f>IFERROR(Table1[[#This Row],[Husk  (g)]]/Table1[[#This Row],[Sample Qty  (g)]],"")</f>
        <v>9.8000000000000004E-2</v>
      </c>
    </row>
    <row r="131" spans="2:34" ht="12" x14ac:dyDescent="0.25">
      <c r="B131" s="8">
        <v>46217</v>
      </c>
      <c r="C131" s="7">
        <f>WEEKNUM(Table1[[#This Row],[Date]])</f>
        <v>29</v>
      </c>
      <c r="D131" s="5" t="s">
        <v>81</v>
      </c>
      <c r="E131" s="10" t="s">
        <v>71</v>
      </c>
      <c r="F131" s="7" t="s">
        <v>21</v>
      </c>
      <c r="H131" s="7">
        <v>1000</v>
      </c>
      <c r="I131" s="7">
        <v>292</v>
      </c>
      <c r="J131" s="7">
        <v>3.1</v>
      </c>
      <c r="K131" s="7">
        <v>440</v>
      </c>
      <c r="L131" s="7">
        <v>176</v>
      </c>
      <c r="N131" s="7">
        <v>68</v>
      </c>
      <c r="O131" s="7">
        <v>92</v>
      </c>
      <c r="P131" s="7">
        <v>0</v>
      </c>
      <c r="Q131" s="7">
        <v>20</v>
      </c>
      <c r="S131" s="7">
        <v>8</v>
      </c>
      <c r="T131" s="7">
        <v>48</v>
      </c>
      <c r="U131" s="7">
        <v>44</v>
      </c>
      <c r="W131" s="7">
        <v>8</v>
      </c>
      <c r="X131" s="7">
        <v>96</v>
      </c>
      <c r="Y131" s="7">
        <f>SUM(Table1[[#This Row],[Good Kernels  (g)]:[Husk  (g)]])</f>
        <v>1000</v>
      </c>
      <c r="Z131" s="9">
        <f>IFERROR(Table1[[#This Row],[Good Kernels  (g)]]/Table1[[#This Row],[Sample Qty  (g)]],"")</f>
        <v>0.44</v>
      </c>
      <c r="AA131" s="9">
        <f>IFERROR(SUM(Table1[[#This Row],[Pieces  (g)]:[Butts (g)]])/Table1[[#This Row],[Sample Qty  (g)]],"")</f>
        <v>0.17599999999999999</v>
      </c>
      <c r="AB131" s="9">
        <f>IFERROR(Table1[[#This Row],[Scorched (g)]]/Table1[[#This Row],[Sample Qty  (g)]],"")</f>
        <v>6.8000000000000005E-2</v>
      </c>
      <c r="AC131" s="9">
        <f>IFERROR(SUM(Table1[[#This Row],[Spotted  (g)]:[PUK3  (g)]])/Table1[[#This Row],[Sample Qty  (g)]],"")</f>
        <v>9.1999999999999998E-2</v>
      </c>
      <c r="AD131" s="9">
        <f>IFERROR(SUM(R131,Q131)/Table1[[#This Row],[Sample Qty  (g)]],"")</f>
        <v>0.02</v>
      </c>
      <c r="AE131" s="9">
        <f>IFERROR(Table1[[#This Row],[Dessert/NW  (g)]]/Table1[[#This Row],[Sample Qty  (g)]],"")</f>
        <v>8.0000000000000002E-3</v>
      </c>
      <c r="AF131" s="9">
        <f>IFERROR(SUM(Table1[[#This Row],[Oil  (g)]:[Dirty  (g)]])/Table1[[#This Row],[Sample Qty  (g)]],"")</f>
        <v>9.1999999999999998E-2</v>
      </c>
      <c r="AG131" s="9">
        <f>IFERROR(Table1[[#This Row],[Rejection  (g)]]/Table1[[#This Row],[Sample Qty  (g)]],"")</f>
        <v>8.0000000000000002E-3</v>
      </c>
      <c r="AH131" s="9">
        <f>IFERROR(Table1[[#This Row],[Husk  (g)]]/Table1[[#This Row],[Sample Qty  (g)]],"")</f>
        <v>9.6000000000000002E-2</v>
      </c>
    </row>
    <row r="132" spans="2:34" ht="12" x14ac:dyDescent="0.25">
      <c r="B132" s="8">
        <v>46217</v>
      </c>
      <c r="C132" s="7">
        <f>WEEKNUM(Table1[[#This Row],[Date]])</f>
        <v>29</v>
      </c>
      <c r="D132" s="5" t="s">
        <v>81</v>
      </c>
      <c r="E132" s="10" t="s">
        <v>71</v>
      </c>
      <c r="F132" s="7" t="s">
        <v>21</v>
      </c>
      <c r="H132" s="7">
        <v>1000</v>
      </c>
      <c r="I132" s="7">
        <v>260</v>
      </c>
      <c r="J132" s="7">
        <v>3.1</v>
      </c>
      <c r="K132" s="7">
        <v>649</v>
      </c>
      <c r="L132" s="7">
        <v>16</v>
      </c>
      <c r="N132" s="7">
        <v>52</v>
      </c>
      <c r="O132" s="7">
        <v>124</v>
      </c>
      <c r="P132" s="7">
        <v>0</v>
      </c>
      <c r="Q132" s="7">
        <v>40</v>
      </c>
      <c r="S132" s="7">
        <v>8</v>
      </c>
      <c r="T132" s="7">
        <v>16</v>
      </c>
      <c r="U132" s="7">
        <v>9</v>
      </c>
      <c r="W132" s="7">
        <v>2</v>
      </c>
      <c r="X132" s="7">
        <v>84</v>
      </c>
      <c r="Y132" s="7">
        <f>SUM(Table1[[#This Row],[Good Kernels  (g)]:[Husk  (g)]])</f>
        <v>1000</v>
      </c>
      <c r="Z132" s="9">
        <f>IFERROR(Table1[[#This Row],[Good Kernels  (g)]]/Table1[[#This Row],[Sample Qty  (g)]],"")</f>
        <v>0.64900000000000002</v>
      </c>
      <c r="AA132" s="9">
        <f>IFERROR(SUM(Table1[[#This Row],[Pieces  (g)]:[Butts (g)]])/Table1[[#This Row],[Sample Qty  (g)]],"")</f>
        <v>1.6E-2</v>
      </c>
      <c r="AB132" s="9">
        <f>IFERROR(Table1[[#This Row],[Scorched (g)]]/Table1[[#This Row],[Sample Qty  (g)]],"")</f>
        <v>5.1999999999999998E-2</v>
      </c>
      <c r="AC132" s="9">
        <f>IFERROR(SUM(Table1[[#This Row],[Spotted  (g)]:[PUK3  (g)]])/Table1[[#This Row],[Sample Qty  (g)]],"")</f>
        <v>0.124</v>
      </c>
      <c r="AD132" s="9">
        <f>IFERROR(SUM(R132,Q132)/Table1[[#This Row],[Sample Qty  (g)]],"")</f>
        <v>0.04</v>
      </c>
      <c r="AE132" s="9">
        <f>IFERROR(Table1[[#This Row],[Dessert/NW  (g)]]/Table1[[#This Row],[Sample Qty  (g)]],"")</f>
        <v>8.0000000000000002E-3</v>
      </c>
      <c r="AF132" s="9">
        <f>IFERROR(SUM(Table1[[#This Row],[Oil  (g)]:[Dirty  (g)]])/Table1[[#This Row],[Sample Qty  (g)]],"")</f>
        <v>2.5000000000000001E-2</v>
      </c>
      <c r="AG132" s="9">
        <f>IFERROR(Table1[[#This Row],[Rejection  (g)]]/Table1[[#This Row],[Sample Qty  (g)]],"")</f>
        <v>2E-3</v>
      </c>
      <c r="AH132" s="9">
        <f>IFERROR(Table1[[#This Row],[Husk  (g)]]/Table1[[#This Row],[Sample Qty  (g)]],"")</f>
        <v>8.4000000000000005E-2</v>
      </c>
    </row>
    <row r="133" spans="2:34" ht="12" x14ac:dyDescent="0.25">
      <c r="B133" s="8">
        <v>46217</v>
      </c>
      <c r="C133" s="7">
        <f>WEEKNUM(Table1[[#This Row],[Date]])</f>
        <v>29</v>
      </c>
      <c r="D133" s="5" t="s">
        <v>81</v>
      </c>
      <c r="E133" s="10" t="s">
        <v>71</v>
      </c>
      <c r="F133" s="7" t="s">
        <v>21</v>
      </c>
      <c r="H133" s="7">
        <v>1000</v>
      </c>
      <c r="I133" s="7">
        <v>278</v>
      </c>
      <c r="J133" s="7">
        <v>3.1</v>
      </c>
      <c r="K133" s="7">
        <v>656</v>
      </c>
      <c r="L133" s="7">
        <v>36</v>
      </c>
      <c r="N133" s="7">
        <v>52</v>
      </c>
      <c r="O133" s="7">
        <v>96</v>
      </c>
      <c r="P133" s="7">
        <v>0</v>
      </c>
      <c r="Q133" s="7">
        <v>32</v>
      </c>
      <c r="S133" s="7">
        <v>0</v>
      </c>
      <c r="T133" s="7">
        <v>12</v>
      </c>
      <c r="U133" s="7">
        <v>28</v>
      </c>
      <c r="W133" s="7">
        <v>4</v>
      </c>
      <c r="X133" s="7">
        <v>84</v>
      </c>
      <c r="Y133" s="7">
        <f>SUM(Table1[[#This Row],[Good Kernels  (g)]:[Husk  (g)]])</f>
        <v>1000</v>
      </c>
      <c r="Z133" s="9">
        <f>IFERROR(Table1[[#This Row],[Good Kernels  (g)]]/Table1[[#This Row],[Sample Qty  (g)]],"")</f>
        <v>0.65600000000000003</v>
      </c>
      <c r="AA133" s="9">
        <f>IFERROR(SUM(Table1[[#This Row],[Pieces  (g)]:[Butts (g)]])/Table1[[#This Row],[Sample Qty  (g)]],"")</f>
        <v>3.5999999999999997E-2</v>
      </c>
      <c r="AB133" s="9">
        <f>IFERROR(Table1[[#This Row],[Scorched (g)]]/Table1[[#This Row],[Sample Qty  (g)]],"")</f>
        <v>5.1999999999999998E-2</v>
      </c>
      <c r="AC133" s="9">
        <f>IFERROR(SUM(Table1[[#This Row],[Spotted  (g)]:[PUK3  (g)]])/Table1[[#This Row],[Sample Qty  (g)]],"")</f>
        <v>9.6000000000000002E-2</v>
      </c>
      <c r="AD133" s="9">
        <f>IFERROR(SUM(R133,Q133)/Table1[[#This Row],[Sample Qty  (g)]],"")</f>
        <v>3.2000000000000001E-2</v>
      </c>
      <c r="AE133" s="9">
        <f>IFERROR(Table1[[#This Row],[Dessert/NW  (g)]]/Table1[[#This Row],[Sample Qty  (g)]],"")</f>
        <v>0</v>
      </c>
      <c r="AF133" s="9">
        <f>IFERROR(SUM(Table1[[#This Row],[Oil  (g)]:[Dirty  (g)]])/Table1[[#This Row],[Sample Qty  (g)]],"")</f>
        <v>0.04</v>
      </c>
      <c r="AG133" s="9">
        <f>IFERROR(Table1[[#This Row],[Rejection  (g)]]/Table1[[#This Row],[Sample Qty  (g)]],"")</f>
        <v>4.0000000000000001E-3</v>
      </c>
      <c r="AH133" s="9">
        <f>IFERROR(Table1[[#This Row],[Husk  (g)]]/Table1[[#This Row],[Sample Qty  (g)]],"")</f>
        <v>8.4000000000000005E-2</v>
      </c>
    </row>
    <row r="134" spans="2:34" ht="12" x14ac:dyDescent="0.25">
      <c r="B134" s="8">
        <v>46217</v>
      </c>
      <c r="C134" s="7">
        <f>WEEKNUM(Table1[[#This Row],[Date]])</f>
        <v>29</v>
      </c>
      <c r="D134" s="5" t="s">
        <v>81</v>
      </c>
      <c r="E134" s="10" t="s">
        <v>71</v>
      </c>
      <c r="F134" s="7" t="s">
        <v>21</v>
      </c>
      <c r="H134" s="7">
        <v>1000</v>
      </c>
      <c r="I134" s="7">
        <v>270</v>
      </c>
      <c r="J134" s="7">
        <v>3.4</v>
      </c>
      <c r="K134" s="7">
        <v>670</v>
      </c>
      <c r="L134" s="7">
        <v>38</v>
      </c>
      <c r="N134" s="7">
        <v>48</v>
      </c>
      <c r="O134" s="7">
        <v>76</v>
      </c>
      <c r="P134" s="7">
        <v>0</v>
      </c>
      <c r="Q134" s="7">
        <v>24</v>
      </c>
      <c r="S134" s="7">
        <v>12</v>
      </c>
      <c r="T134" s="7">
        <v>12</v>
      </c>
      <c r="U134" s="7">
        <v>8</v>
      </c>
      <c r="W134" s="7">
        <v>12</v>
      </c>
      <c r="X134" s="7">
        <v>100</v>
      </c>
      <c r="Y134" s="7">
        <f>SUM(Table1[[#This Row],[Good Kernels  (g)]:[Husk  (g)]])</f>
        <v>1000</v>
      </c>
      <c r="Z134" s="9">
        <f>IFERROR(Table1[[#This Row],[Good Kernels  (g)]]/Table1[[#This Row],[Sample Qty  (g)]],"")</f>
        <v>0.67</v>
      </c>
      <c r="AA134" s="9">
        <f>IFERROR(SUM(Table1[[#This Row],[Pieces  (g)]:[Butts (g)]])/Table1[[#This Row],[Sample Qty  (g)]],"")</f>
        <v>3.7999999999999999E-2</v>
      </c>
      <c r="AB134" s="9">
        <f>IFERROR(Table1[[#This Row],[Scorched (g)]]/Table1[[#This Row],[Sample Qty  (g)]],"")</f>
        <v>4.8000000000000001E-2</v>
      </c>
      <c r="AC134" s="9">
        <f>IFERROR(SUM(Table1[[#This Row],[Spotted  (g)]:[PUK3  (g)]])/Table1[[#This Row],[Sample Qty  (g)]],"")</f>
        <v>7.5999999999999998E-2</v>
      </c>
      <c r="AD134" s="9">
        <f>IFERROR(SUM(R134,Q134)/Table1[[#This Row],[Sample Qty  (g)]],"")</f>
        <v>2.4E-2</v>
      </c>
      <c r="AE134" s="9">
        <f>IFERROR(Table1[[#This Row],[Dessert/NW  (g)]]/Table1[[#This Row],[Sample Qty  (g)]],"")</f>
        <v>1.2E-2</v>
      </c>
      <c r="AF134" s="9">
        <f>IFERROR(SUM(Table1[[#This Row],[Oil  (g)]:[Dirty  (g)]])/Table1[[#This Row],[Sample Qty  (g)]],"")</f>
        <v>0.02</v>
      </c>
      <c r="AG134" s="9">
        <f>IFERROR(Table1[[#This Row],[Rejection  (g)]]/Table1[[#This Row],[Sample Qty  (g)]],"")</f>
        <v>1.2E-2</v>
      </c>
      <c r="AH134" s="9">
        <f>IFERROR(Table1[[#This Row],[Husk  (g)]]/Table1[[#This Row],[Sample Qty  (g)]],"")</f>
        <v>0.1</v>
      </c>
    </row>
    <row r="135" spans="2:34" ht="12" x14ac:dyDescent="0.25">
      <c r="B135" s="8">
        <v>46217</v>
      </c>
      <c r="C135" s="7">
        <f>WEEKNUM(Table1[[#This Row],[Date]])</f>
        <v>29</v>
      </c>
      <c r="D135" s="5" t="s">
        <v>81</v>
      </c>
      <c r="E135" s="10" t="s">
        <v>71</v>
      </c>
      <c r="F135" s="7" t="s">
        <v>21</v>
      </c>
      <c r="H135" s="7">
        <v>1000</v>
      </c>
      <c r="I135" s="7">
        <v>266</v>
      </c>
      <c r="J135" s="7">
        <v>4</v>
      </c>
      <c r="K135" s="7">
        <v>691</v>
      </c>
      <c r="L135" s="7">
        <v>37</v>
      </c>
      <c r="N135" s="7">
        <v>40</v>
      </c>
      <c r="O135" s="7">
        <v>68</v>
      </c>
      <c r="P135" s="7">
        <v>0</v>
      </c>
      <c r="Q135" s="7">
        <v>32</v>
      </c>
      <c r="S135" s="7">
        <v>0</v>
      </c>
      <c r="T135" s="7">
        <v>8</v>
      </c>
      <c r="U135" s="7">
        <v>4</v>
      </c>
      <c r="W135" s="7">
        <v>24</v>
      </c>
      <c r="X135" s="7">
        <v>96</v>
      </c>
      <c r="Y135" s="7">
        <f>SUM(Table1[[#This Row],[Good Kernels  (g)]:[Husk  (g)]])</f>
        <v>1000</v>
      </c>
      <c r="Z135" s="9">
        <f>IFERROR(Table1[[#This Row],[Good Kernels  (g)]]/Table1[[#This Row],[Sample Qty  (g)]],"")</f>
        <v>0.69099999999999995</v>
      </c>
      <c r="AA135" s="9">
        <f>IFERROR(SUM(Table1[[#This Row],[Pieces  (g)]:[Butts (g)]])/Table1[[#This Row],[Sample Qty  (g)]],"")</f>
        <v>3.6999999999999998E-2</v>
      </c>
      <c r="AB135" s="9">
        <f>IFERROR(Table1[[#This Row],[Scorched (g)]]/Table1[[#This Row],[Sample Qty  (g)]],"")</f>
        <v>0.04</v>
      </c>
      <c r="AC135" s="9">
        <f>IFERROR(SUM(Table1[[#This Row],[Spotted  (g)]:[PUK3  (g)]])/Table1[[#This Row],[Sample Qty  (g)]],"")</f>
        <v>6.8000000000000005E-2</v>
      </c>
      <c r="AD135" s="9">
        <f>IFERROR(SUM(R135,Q135)/Table1[[#This Row],[Sample Qty  (g)]],"")</f>
        <v>3.2000000000000001E-2</v>
      </c>
      <c r="AE135" s="9">
        <f>IFERROR(Table1[[#This Row],[Dessert/NW  (g)]]/Table1[[#This Row],[Sample Qty  (g)]],"")</f>
        <v>0</v>
      </c>
      <c r="AF135" s="9">
        <f>IFERROR(SUM(Table1[[#This Row],[Oil  (g)]:[Dirty  (g)]])/Table1[[#This Row],[Sample Qty  (g)]],"")</f>
        <v>1.2E-2</v>
      </c>
      <c r="AG135" s="9">
        <f>IFERROR(Table1[[#This Row],[Rejection  (g)]]/Table1[[#This Row],[Sample Qty  (g)]],"")</f>
        <v>2.4E-2</v>
      </c>
      <c r="AH135" s="9">
        <f>IFERROR(Table1[[#This Row],[Husk  (g)]]/Table1[[#This Row],[Sample Qty  (g)]],"")</f>
        <v>9.6000000000000002E-2</v>
      </c>
    </row>
    <row r="136" spans="2:34" ht="12" x14ac:dyDescent="0.25">
      <c r="B136" s="8">
        <v>46217</v>
      </c>
      <c r="C136" s="7">
        <f>WEEKNUM(Table1[[#This Row],[Date]])</f>
        <v>29</v>
      </c>
      <c r="D136" s="5" t="s">
        <v>81</v>
      </c>
      <c r="E136" s="10" t="s">
        <v>71</v>
      </c>
      <c r="F136" s="7" t="s">
        <v>21</v>
      </c>
      <c r="H136" s="7">
        <v>1000</v>
      </c>
      <c r="I136" s="7">
        <v>282</v>
      </c>
      <c r="J136" s="7">
        <v>3.3</v>
      </c>
      <c r="K136" s="7">
        <v>608</v>
      </c>
      <c r="L136" s="7">
        <v>20</v>
      </c>
      <c r="N136" s="7">
        <v>48</v>
      </c>
      <c r="O136" s="7">
        <v>140</v>
      </c>
      <c r="P136" s="7">
        <v>0</v>
      </c>
      <c r="Q136" s="7">
        <v>28</v>
      </c>
      <c r="S136" s="7">
        <v>4</v>
      </c>
      <c r="T136" s="7">
        <v>20</v>
      </c>
      <c r="U136" s="7">
        <v>36</v>
      </c>
      <c r="W136" s="7">
        <v>12</v>
      </c>
      <c r="X136" s="7">
        <v>84</v>
      </c>
      <c r="Y136" s="7">
        <f>SUM(Table1[[#This Row],[Good Kernels  (g)]:[Husk  (g)]])</f>
        <v>1000</v>
      </c>
      <c r="Z136" s="9">
        <f>IFERROR(Table1[[#This Row],[Good Kernels  (g)]]/Table1[[#This Row],[Sample Qty  (g)]],"")</f>
        <v>0.60799999999999998</v>
      </c>
      <c r="AA136" s="9">
        <f>IFERROR(SUM(Table1[[#This Row],[Pieces  (g)]:[Butts (g)]])/Table1[[#This Row],[Sample Qty  (g)]],"")</f>
        <v>0.02</v>
      </c>
      <c r="AB136" s="9">
        <f>IFERROR(Table1[[#This Row],[Scorched (g)]]/Table1[[#This Row],[Sample Qty  (g)]],"")</f>
        <v>4.8000000000000001E-2</v>
      </c>
      <c r="AC136" s="9">
        <f>IFERROR(SUM(Table1[[#This Row],[Spotted  (g)]:[PUK3  (g)]])/Table1[[#This Row],[Sample Qty  (g)]],"")</f>
        <v>0.14000000000000001</v>
      </c>
      <c r="AD136" s="9">
        <f>IFERROR(SUM(R136,Q136)/Table1[[#This Row],[Sample Qty  (g)]],"")</f>
        <v>2.8000000000000001E-2</v>
      </c>
      <c r="AE136" s="9">
        <f>IFERROR(Table1[[#This Row],[Dessert/NW  (g)]]/Table1[[#This Row],[Sample Qty  (g)]],"")</f>
        <v>4.0000000000000001E-3</v>
      </c>
      <c r="AF136" s="9">
        <f>IFERROR(SUM(Table1[[#This Row],[Oil  (g)]:[Dirty  (g)]])/Table1[[#This Row],[Sample Qty  (g)]],"")</f>
        <v>5.6000000000000001E-2</v>
      </c>
      <c r="AG136" s="9">
        <f>IFERROR(Table1[[#This Row],[Rejection  (g)]]/Table1[[#This Row],[Sample Qty  (g)]],"")</f>
        <v>1.2E-2</v>
      </c>
      <c r="AH136" s="9">
        <f>IFERROR(Table1[[#This Row],[Husk  (g)]]/Table1[[#This Row],[Sample Qty  (g)]],"")</f>
        <v>8.4000000000000005E-2</v>
      </c>
    </row>
    <row r="137" spans="2:34" ht="12" x14ac:dyDescent="0.25">
      <c r="B137" s="8">
        <v>46217</v>
      </c>
      <c r="C137" s="7">
        <f>WEEKNUM(Table1[[#This Row],[Date]])</f>
        <v>29</v>
      </c>
      <c r="D137" s="5" t="s">
        <v>81</v>
      </c>
      <c r="E137" s="10" t="s">
        <v>71</v>
      </c>
      <c r="F137" s="7" t="s">
        <v>21</v>
      </c>
      <c r="H137" s="7">
        <v>1000</v>
      </c>
      <c r="I137" s="7">
        <v>282</v>
      </c>
      <c r="J137" s="7">
        <v>3.2</v>
      </c>
      <c r="K137" s="7">
        <v>688</v>
      </c>
      <c r="L137" s="7">
        <v>38</v>
      </c>
      <c r="N137" s="7">
        <v>38</v>
      </c>
      <c r="O137" s="7">
        <v>70</v>
      </c>
      <c r="P137" s="7">
        <v>0</v>
      </c>
      <c r="Q137" s="7">
        <v>28</v>
      </c>
      <c r="S137" s="7">
        <v>3</v>
      </c>
      <c r="T137" s="7">
        <v>5</v>
      </c>
      <c r="U137" s="7">
        <v>8</v>
      </c>
      <c r="W137" s="7">
        <v>27</v>
      </c>
      <c r="X137" s="7">
        <v>95</v>
      </c>
      <c r="Y137" s="7">
        <f>SUM(Table1[[#This Row],[Good Kernels  (g)]:[Husk  (g)]])</f>
        <v>1000</v>
      </c>
      <c r="Z137" s="9">
        <f>IFERROR(Table1[[#This Row],[Good Kernels  (g)]]/Table1[[#This Row],[Sample Qty  (g)]],"")</f>
        <v>0.68799999999999994</v>
      </c>
      <c r="AA137" s="9">
        <f>IFERROR(SUM(Table1[[#This Row],[Pieces  (g)]:[Butts (g)]])/Table1[[#This Row],[Sample Qty  (g)]],"")</f>
        <v>3.7999999999999999E-2</v>
      </c>
      <c r="AB137" s="9">
        <f>IFERROR(Table1[[#This Row],[Scorched (g)]]/Table1[[#This Row],[Sample Qty  (g)]],"")</f>
        <v>3.7999999999999999E-2</v>
      </c>
      <c r="AC137" s="9">
        <f>IFERROR(SUM(Table1[[#This Row],[Spotted  (g)]:[PUK3  (g)]])/Table1[[#This Row],[Sample Qty  (g)]],"")</f>
        <v>7.0000000000000007E-2</v>
      </c>
      <c r="AD137" s="9">
        <f>IFERROR(SUM(R137,Q137)/Table1[[#This Row],[Sample Qty  (g)]],"")</f>
        <v>2.8000000000000001E-2</v>
      </c>
      <c r="AE137" s="9">
        <f>IFERROR(Table1[[#This Row],[Dessert/NW  (g)]]/Table1[[#This Row],[Sample Qty  (g)]],"")</f>
        <v>3.0000000000000001E-3</v>
      </c>
      <c r="AF137" s="9">
        <f>IFERROR(SUM(Table1[[#This Row],[Oil  (g)]:[Dirty  (g)]])/Table1[[#This Row],[Sample Qty  (g)]],"")</f>
        <v>1.2999999999999999E-2</v>
      </c>
      <c r="AG137" s="9">
        <f>IFERROR(Table1[[#This Row],[Rejection  (g)]]/Table1[[#This Row],[Sample Qty  (g)]],"")</f>
        <v>2.7E-2</v>
      </c>
      <c r="AH137" s="9">
        <f>IFERROR(Table1[[#This Row],[Husk  (g)]]/Table1[[#This Row],[Sample Qty  (g)]],"")</f>
        <v>9.5000000000000001E-2</v>
      </c>
    </row>
    <row r="138" spans="2:34" ht="12" x14ac:dyDescent="0.25">
      <c r="B138" s="8">
        <v>46217</v>
      </c>
      <c r="C138" s="7">
        <f>WEEKNUM(Table1[[#This Row],[Date]])</f>
        <v>29</v>
      </c>
      <c r="D138" s="5" t="s">
        <v>81</v>
      </c>
      <c r="E138" s="10" t="s">
        <v>71</v>
      </c>
      <c r="F138" s="7" t="s">
        <v>21</v>
      </c>
      <c r="H138" s="7">
        <v>1000</v>
      </c>
      <c r="I138" s="7">
        <v>260</v>
      </c>
      <c r="J138" s="7">
        <v>3.1</v>
      </c>
      <c r="K138" s="7">
        <v>624</v>
      </c>
      <c r="L138" s="7">
        <v>36</v>
      </c>
      <c r="N138" s="7">
        <v>60</v>
      </c>
      <c r="O138" s="7">
        <v>92</v>
      </c>
      <c r="P138" s="7">
        <v>0</v>
      </c>
      <c r="Q138" s="7">
        <v>36</v>
      </c>
      <c r="S138" s="7">
        <v>8</v>
      </c>
      <c r="T138" s="7">
        <v>12</v>
      </c>
      <c r="U138" s="7">
        <v>8</v>
      </c>
      <c r="W138" s="7">
        <v>24</v>
      </c>
      <c r="X138" s="7">
        <v>100</v>
      </c>
      <c r="Y138" s="7">
        <f>SUM(Table1[[#This Row],[Good Kernels  (g)]:[Husk  (g)]])</f>
        <v>1000</v>
      </c>
      <c r="Z138" s="9">
        <f>IFERROR(Table1[[#This Row],[Good Kernels  (g)]]/Table1[[#This Row],[Sample Qty  (g)]],"")</f>
        <v>0.624</v>
      </c>
      <c r="AA138" s="9">
        <f>IFERROR(SUM(Table1[[#This Row],[Pieces  (g)]:[Butts (g)]])/Table1[[#This Row],[Sample Qty  (g)]],"")</f>
        <v>3.5999999999999997E-2</v>
      </c>
      <c r="AB138" s="9">
        <f>IFERROR(Table1[[#This Row],[Scorched (g)]]/Table1[[#This Row],[Sample Qty  (g)]],"")</f>
        <v>0.06</v>
      </c>
      <c r="AC138" s="9">
        <f>IFERROR(SUM(Table1[[#This Row],[Spotted  (g)]:[PUK3  (g)]])/Table1[[#This Row],[Sample Qty  (g)]],"")</f>
        <v>9.1999999999999998E-2</v>
      </c>
      <c r="AD138" s="9">
        <f>IFERROR(SUM(R138,Q138)/Table1[[#This Row],[Sample Qty  (g)]],"")</f>
        <v>3.5999999999999997E-2</v>
      </c>
      <c r="AE138" s="9">
        <f>IFERROR(Table1[[#This Row],[Dessert/NW  (g)]]/Table1[[#This Row],[Sample Qty  (g)]],"")</f>
        <v>8.0000000000000002E-3</v>
      </c>
      <c r="AF138" s="9">
        <f>IFERROR(SUM(Table1[[#This Row],[Oil  (g)]:[Dirty  (g)]])/Table1[[#This Row],[Sample Qty  (g)]],"")</f>
        <v>0.02</v>
      </c>
      <c r="AG138" s="9">
        <f>IFERROR(Table1[[#This Row],[Rejection  (g)]]/Table1[[#This Row],[Sample Qty  (g)]],"")</f>
        <v>2.4E-2</v>
      </c>
      <c r="AH138" s="9">
        <f>IFERROR(Table1[[#This Row],[Husk  (g)]]/Table1[[#This Row],[Sample Qty  (g)]],"")</f>
        <v>0.1</v>
      </c>
    </row>
    <row r="139" spans="2:34" ht="12" x14ac:dyDescent="0.25">
      <c r="B139" s="8">
        <v>46217</v>
      </c>
      <c r="C139" s="7">
        <f>WEEKNUM(Table1[[#This Row],[Date]])</f>
        <v>29</v>
      </c>
      <c r="D139" s="5" t="s">
        <v>81</v>
      </c>
      <c r="E139" s="10" t="s">
        <v>71</v>
      </c>
      <c r="F139" s="7" t="s">
        <v>21</v>
      </c>
      <c r="H139" s="7">
        <v>1000</v>
      </c>
      <c r="I139" s="7">
        <v>286</v>
      </c>
      <c r="J139" s="7">
        <v>3.1</v>
      </c>
      <c r="K139" s="7">
        <v>649</v>
      </c>
      <c r="L139" s="7">
        <v>40</v>
      </c>
      <c r="N139" s="7">
        <v>60</v>
      </c>
      <c r="O139" s="7">
        <v>104</v>
      </c>
      <c r="P139" s="7">
        <v>0</v>
      </c>
      <c r="Q139" s="7">
        <v>6</v>
      </c>
      <c r="S139" s="7">
        <v>12</v>
      </c>
      <c r="T139" s="7">
        <v>8</v>
      </c>
      <c r="U139" s="7">
        <v>5</v>
      </c>
      <c r="W139" s="7">
        <v>16</v>
      </c>
      <c r="X139" s="7">
        <v>100</v>
      </c>
      <c r="Y139" s="7">
        <f>SUM(Table1[[#This Row],[Good Kernels  (g)]:[Husk  (g)]])</f>
        <v>1000</v>
      </c>
      <c r="Z139" s="9">
        <f>IFERROR(Table1[[#This Row],[Good Kernels  (g)]]/Table1[[#This Row],[Sample Qty  (g)]],"")</f>
        <v>0.64900000000000002</v>
      </c>
      <c r="AA139" s="9">
        <f>IFERROR(SUM(Table1[[#This Row],[Pieces  (g)]:[Butts (g)]])/Table1[[#This Row],[Sample Qty  (g)]],"")</f>
        <v>0.04</v>
      </c>
      <c r="AB139" s="9">
        <f>IFERROR(Table1[[#This Row],[Scorched (g)]]/Table1[[#This Row],[Sample Qty  (g)]],"")</f>
        <v>0.06</v>
      </c>
      <c r="AC139" s="9">
        <f>IFERROR(SUM(Table1[[#This Row],[Spotted  (g)]:[PUK3  (g)]])/Table1[[#This Row],[Sample Qty  (g)]],"")</f>
        <v>0.104</v>
      </c>
      <c r="AD139" s="9">
        <f>IFERROR(SUM(R139,Q139)/Table1[[#This Row],[Sample Qty  (g)]],"")</f>
        <v>6.0000000000000001E-3</v>
      </c>
      <c r="AE139" s="9">
        <f>IFERROR(Table1[[#This Row],[Dessert/NW  (g)]]/Table1[[#This Row],[Sample Qty  (g)]],"")</f>
        <v>1.2E-2</v>
      </c>
      <c r="AF139" s="9">
        <f>IFERROR(SUM(Table1[[#This Row],[Oil  (g)]:[Dirty  (g)]])/Table1[[#This Row],[Sample Qty  (g)]],"")</f>
        <v>1.2999999999999999E-2</v>
      </c>
      <c r="AG139" s="9">
        <f>IFERROR(Table1[[#This Row],[Rejection  (g)]]/Table1[[#This Row],[Sample Qty  (g)]],"")</f>
        <v>1.6E-2</v>
      </c>
      <c r="AH139" s="9">
        <f>IFERROR(Table1[[#This Row],[Husk  (g)]]/Table1[[#This Row],[Sample Qty  (g)]],"")</f>
        <v>0.1</v>
      </c>
    </row>
    <row r="140" spans="2:34" ht="12" x14ac:dyDescent="0.25">
      <c r="B140" s="8">
        <v>46217</v>
      </c>
      <c r="C140" s="7">
        <f>WEEKNUM(Table1[[#This Row],[Date]])</f>
        <v>29</v>
      </c>
      <c r="D140" s="5" t="s">
        <v>81</v>
      </c>
      <c r="E140" s="10" t="s">
        <v>71</v>
      </c>
      <c r="F140" s="7" t="s">
        <v>21</v>
      </c>
      <c r="H140" s="7">
        <v>1000</v>
      </c>
      <c r="I140" s="7">
        <v>246</v>
      </c>
      <c r="J140" s="7">
        <v>3</v>
      </c>
      <c r="K140" s="7">
        <v>572</v>
      </c>
      <c r="L140" s="7">
        <v>36</v>
      </c>
      <c r="N140" s="7">
        <v>80</v>
      </c>
      <c r="O140" s="7">
        <v>128</v>
      </c>
      <c r="P140" s="7">
        <v>0</v>
      </c>
      <c r="Q140" s="7">
        <v>44</v>
      </c>
      <c r="S140" s="7">
        <v>2</v>
      </c>
      <c r="T140" s="7">
        <v>20</v>
      </c>
      <c r="U140" s="7">
        <v>8</v>
      </c>
      <c r="W140" s="7">
        <v>2</v>
      </c>
      <c r="X140" s="7">
        <v>108</v>
      </c>
      <c r="Y140" s="7">
        <f>SUM(Table1[[#This Row],[Good Kernels  (g)]:[Husk  (g)]])</f>
        <v>1000</v>
      </c>
      <c r="Z140" s="9">
        <f>IFERROR(Table1[[#This Row],[Good Kernels  (g)]]/Table1[[#This Row],[Sample Qty  (g)]],"")</f>
        <v>0.57199999999999995</v>
      </c>
      <c r="AA140" s="9">
        <f>IFERROR(SUM(Table1[[#This Row],[Pieces  (g)]:[Butts (g)]])/Table1[[#This Row],[Sample Qty  (g)]],"")</f>
        <v>3.5999999999999997E-2</v>
      </c>
      <c r="AB140" s="9">
        <f>IFERROR(Table1[[#This Row],[Scorched (g)]]/Table1[[#This Row],[Sample Qty  (g)]],"")</f>
        <v>0.08</v>
      </c>
      <c r="AC140" s="9">
        <f>IFERROR(SUM(Table1[[#This Row],[Spotted  (g)]:[PUK3  (g)]])/Table1[[#This Row],[Sample Qty  (g)]],"")</f>
        <v>0.128</v>
      </c>
      <c r="AD140" s="9">
        <f>IFERROR(SUM(R140,Q140)/Table1[[#This Row],[Sample Qty  (g)]],"")</f>
        <v>4.3999999999999997E-2</v>
      </c>
      <c r="AE140" s="9">
        <f>IFERROR(Table1[[#This Row],[Dessert/NW  (g)]]/Table1[[#This Row],[Sample Qty  (g)]],"")</f>
        <v>2E-3</v>
      </c>
      <c r="AF140" s="9">
        <f>IFERROR(SUM(Table1[[#This Row],[Oil  (g)]:[Dirty  (g)]])/Table1[[#This Row],[Sample Qty  (g)]],"")</f>
        <v>2.8000000000000001E-2</v>
      </c>
      <c r="AG140" s="9">
        <f>IFERROR(Table1[[#This Row],[Rejection  (g)]]/Table1[[#This Row],[Sample Qty  (g)]],"")</f>
        <v>2E-3</v>
      </c>
      <c r="AH140" s="9">
        <f>IFERROR(Table1[[#This Row],[Husk  (g)]]/Table1[[#This Row],[Sample Qty  (g)]],"")</f>
        <v>0.108</v>
      </c>
    </row>
    <row r="141" spans="2:34" ht="12" x14ac:dyDescent="0.25">
      <c r="B141" s="8">
        <v>46217</v>
      </c>
      <c r="C141" s="7">
        <f>WEEKNUM(Table1[[#This Row],[Date]])</f>
        <v>29</v>
      </c>
      <c r="D141" s="5" t="s">
        <v>81</v>
      </c>
      <c r="E141" s="10" t="s">
        <v>71</v>
      </c>
      <c r="F141" s="7" t="s">
        <v>21</v>
      </c>
      <c r="H141" s="7">
        <v>1000</v>
      </c>
      <c r="I141" s="7">
        <v>262</v>
      </c>
      <c r="J141" s="7">
        <v>3.1</v>
      </c>
      <c r="K141" s="7">
        <v>608</v>
      </c>
      <c r="L141" s="7">
        <v>12</v>
      </c>
      <c r="N141" s="7">
        <v>40</v>
      </c>
      <c r="O141" s="7">
        <v>112</v>
      </c>
      <c r="P141" s="7">
        <v>0</v>
      </c>
      <c r="Q141" s="7">
        <v>52</v>
      </c>
      <c r="S141" s="7">
        <v>8</v>
      </c>
      <c r="T141" s="7">
        <v>22</v>
      </c>
      <c r="U141" s="7">
        <v>22</v>
      </c>
      <c r="W141" s="7">
        <v>24</v>
      </c>
      <c r="X141" s="7">
        <v>100</v>
      </c>
      <c r="Y141" s="7">
        <f>SUM(Table1[[#This Row],[Good Kernels  (g)]:[Husk  (g)]])</f>
        <v>1000</v>
      </c>
      <c r="Z141" s="9">
        <f>IFERROR(Table1[[#This Row],[Good Kernels  (g)]]/Table1[[#This Row],[Sample Qty  (g)]],"")</f>
        <v>0.60799999999999998</v>
      </c>
      <c r="AA141" s="9">
        <f>IFERROR(SUM(Table1[[#This Row],[Pieces  (g)]:[Butts (g)]])/Table1[[#This Row],[Sample Qty  (g)]],"")</f>
        <v>1.2E-2</v>
      </c>
      <c r="AB141" s="9">
        <f>IFERROR(Table1[[#This Row],[Scorched (g)]]/Table1[[#This Row],[Sample Qty  (g)]],"")</f>
        <v>0.04</v>
      </c>
      <c r="AC141" s="9">
        <f>IFERROR(SUM(Table1[[#This Row],[Spotted  (g)]:[PUK3  (g)]])/Table1[[#This Row],[Sample Qty  (g)]],"")</f>
        <v>0.112</v>
      </c>
      <c r="AD141" s="9">
        <f>IFERROR(SUM(R141,Q141)/Table1[[#This Row],[Sample Qty  (g)]],"")</f>
        <v>5.1999999999999998E-2</v>
      </c>
      <c r="AE141" s="9">
        <f>IFERROR(Table1[[#This Row],[Dessert/NW  (g)]]/Table1[[#This Row],[Sample Qty  (g)]],"")</f>
        <v>8.0000000000000002E-3</v>
      </c>
      <c r="AF141" s="9">
        <f>IFERROR(SUM(Table1[[#This Row],[Oil  (g)]:[Dirty  (g)]])/Table1[[#This Row],[Sample Qty  (g)]],"")</f>
        <v>4.3999999999999997E-2</v>
      </c>
      <c r="AG141" s="9">
        <f>IFERROR(Table1[[#This Row],[Rejection  (g)]]/Table1[[#This Row],[Sample Qty  (g)]],"")</f>
        <v>2.4E-2</v>
      </c>
      <c r="AH141" s="9">
        <f>IFERROR(Table1[[#This Row],[Husk  (g)]]/Table1[[#This Row],[Sample Qty  (g)]],"")</f>
        <v>0.1</v>
      </c>
    </row>
    <row r="142" spans="2:34" ht="12" x14ac:dyDescent="0.25">
      <c r="B142" s="8">
        <v>46217</v>
      </c>
      <c r="C142" s="7">
        <f>WEEKNUM(Table1[[#This Row],[Date]])</f>
        <v>29</v>
      </c>
      <c r="D142" s="5" t="s">
        <v>81</v>
      </c>
      <c r="E142" s="10" t="s">
        <v>71</v>
      </c>
      <c r="F142" s="7" t="s">
        <v>21</v>
      </c>
      <c r="H142" s="7">
        <v>1000</v>
      </c>
      <c r="I142" s="7">
        <v>262</v>
      </c>
      <c r="J142" s="7">
        <v>3.1</v>
      </c>
      <c r="K142" s="7">
        <v>475</v>
      </c>
      <c r="L142" s="7">
        <v>132</v>
      </c>
      <c r="N142" s="7">
        <v>78</v>
      </c>
      <c r="O142" s="7">
        <v>88</v>
      </c>
      <c r="P142" s="7">
        <v>0</v>
      </c>
      <c r="Q142" s="7">
        <v>5</v>
      </c>
      <c r="S142" s="7">
        <v>6</v>
      </c>
      <c r="T142" s="7">
        <v>68</v>
      </c>
      <c r="U142" s="7">
        <v>30</v>
      </c>
      <c r="W142" s="7">
        <v>26</v>
      </c>
      <c r="X142" s="7">
        <v>92</v>
      </c>
      <c r="Y142" s="7">
        <f>SUM(Table1[[#This Row],[Good Kernels  (g)]:[Husk  (g)]])</f>
        <v>1000</v>
      </c>
      <c r="Z142" s="9">
        <f>IFERROR(Table1[[#This Row],[Good Kernels  (g)]]/Table1[[#This Row],[Sample Qty  (g)]],"")</f>
        <v>0.47499999999999998</v>
      </c>
      <c r="AA142" s="9">
        <f>IFERROR(SUM(Table1[[#This Row],[Pieces  (g)]:[Butts (g)]])/Table1[[#This Row],[Sample Qty  (g)]],"")</f>
        <v>0.13200000000000001</v>
      </c>
      <c r="AB142" s="9">
        <f>IFERROR(Table1[[#This Row],[Scorched (g)]]/Table1[[#This Row],[Sample Qty  (g)]],"")</f>
        <v>7.8E-2</v>
      </c>
      <c r="AC142" s="9">
        <f>IFERROR(SUM(Table1[[#This Row],[Spotted  (g)]:[PUK3  (g)]])/Table1[[#This Row],[Sample Qty  (g)]],"")</f>
        <v>8.7999999999999995E-2</v>
      </c>
      <c r="AD142" s="9">
        <f>IFERROR(SUM(R142,Q142)/Table1[[#This Row],[Sample Qty  (g)]],"")</f>
        <v>5.0000000000000001E-3</v>
      </c>
      <c r="AE142" s="9">
        <f>IFERROR(Table1[[#This Row],[Dessert/NW  (g)]]/Table1[[#This Row],[Sample Qty  (g)]],"")</f>
        <v>6.0000000000000001E-3</v>
      </c>
      <c r="AF142" s="9">
        <f>IFERROR(SUM(Table1[[#This Row],[Oil  (g)]:[Dirty  (g)]])/Table1[[#This Row],[Sample Qty  (g)]],"")</f>
        <v>9.8000000000000004E-2</v>
      </c>
      <c r="AG142" s="9">
        <f>IFERROR(Table1[[#This Row],[Rejection  (g)]]/Table1[[#This Row],[Sample Qty  (g)]],"")</f>
        <v>2.5999999999999999E-2</v>
      </c>
      <c r="AH142" s="9">
        <f>IFERROR(Table1[[#This Row],[Husk  (g)]]/Table1[[#This Row],[Sample Qty  (g)]],"")</f>
        <v>9.1999999999999998E-2</v>
      </c>
    </row>
    <row r="143" spans="2:34" ht="12" x14ac:dyDescent="0.25">
      <c r="B143" s="8">
        <v>46217</v>
      </c>
      <c r="C143" s="7">
        <f>WEEKNUM(Table1[[#This Row],[Date]])</f>
        <v>29</v>
      </c>
      <c r="D143" s="5" t="s">
        <v>81</v>
      </c>
      <c r="E143" s="10" t="s">
        <v>71</v>
      </c>
      <c r="F143" s="7" t="s">
        <v>21</v>
      </c>
      <c r="H143" s="7">
        <v>1000</v>
      </c>
      <c r="I143" s="7">
        <v>252</v>
      </c>
      <c r="J143" s="7">
        <v>3.3</v>
      </c>
      <c r="K143" s="7">
        <v>645</v>
      </c>
      <c r="L143" s="7">
        <v>48</v>
      </c>
      <c r="N143" s="7">
        <v>68</v>
      </c>
      <c r="O143" s="7">
        <v>108</v>
      </c>
      <c r="P143" s="7">
        <v>0</v>
      </c>
      <c r="Q143" s="7">
        <v>5</v>
      </c>
      <c r="S143" s="7">
        <v>4</v>
      </c>
      <c r="T143" s="7">
        <v>6</v>
      </c>
      <c r="U143" s="7">
        <v>12</v>
      </c>
      <c r="W143" s="7">
        <v>8</v>
      </c>
      <c r="X143" s="7">
        <v>96</v>
      </c>
      <c r="Y143" s="7">
        <f>SUM(Table1[[#This Row],[Good Kernels  (g)]:[Husk  (g)]])</f>
        <v>1000</v>
      </c>
      <c r="Z143" s="9">
        <f>IFERROR(Table1[[#This Row],[Good Kernels  (g)]]/Table1[[#This Row],[Sample Qty  (g)]],"")</f>
        <v>0.64500000000000002</v>
      </c>
      <c r="AA143" s="9">
        <f>IFERROR(SUM(Table1[[#This Row],[Pieces  (g)]:[Butts (g)]])/Table1[[#This Row],[Sample Qty  (g)]],"")</f>
        <v>4.8000000000000001E-2</v>
      </c>
      <c r="AB143" s="9">
        <f>IFERROR(Table1[[#This Row],[Scorched (g)]]/Table1[[#This Row],[Sample Qty  (g)]],"")</f>
        <v>6.8000000000000005E-2</v>
      </c>
      <c r="AC143" s="9">
        <f>IFERROR(SUM(Table1[[#This Row],[Spotted  (g)]:[PUK3  (g)]])/Table1[[#This Row],[Sample Qty  (g)]],"")</f>
        <v>0.108</v>
      </c>
      <c r="AD143" s="9">
        <f>IFERROR(SUM(R143,Q143)/Table1[[#This Row],[Sample Qty  (g)]],"")</f>
        <v>5.0000000000000001E-3</v>
      </c>
      <c r="AE143" s="9">
        <f>IFERROR(Table1[[#This Row],[Dessert/NW  (g)]]/Table1[[#This Row],[Sample Qty  (g)]],"")</f>
        <v>4.0000000000000001E-3</v>
      </c>
      <c r="AF143" s="9">
        <f>IFERROR(SUM(Table1[[#This Row],[Oil  (g)]:[Dirty  (g)]])/Table1[[#This Row],[Sample Qty  (g)]],"")</f>
        <v>1.7999999999999999E-2</v>
      </c>
      <c r="AG143" s="9">
        <f>IFERROR(Table1[[#This Row],[Rejection  (g)]]/Table1[[#This Row],[Sample Qty  (g)]],"")</f>
        <v>8.0000000000000002E-3</v>
      </c>
      <c r="AH143" s="9">
        <f>IFERROR(Table1[[#This Row],[Husk  (g)]]/Table1[[#This Row],[Sample Qty  (g)]],"")</f>
        <v>9.6000000000000002E-2</v>
      </c>
    </row>
    <row r="144" spans="2:34" ht="12" x14ac:dyDescent="0.25">
      <c r="B144" s="8">
        <v>46217</v>
      </c>
      <c r="C144" s="7">
        <f>WEEKNUM(Table1[[#This Row],[Date]])</f>
        <v>29</v>
      </c>
      <c r="D144" s="5" t="s">
        <v>81</v>
      </c>
      <c r="E144" s="10" t="s">
        <v>71</v>
      </c>
      <c r="F144" s="7" t="s">
        <v>21</v>
      </c>
      <c r="H144" s="7">
        <v>1000</v>
      </c>
      <c r="I144" s="7">
        <v>262</v>
      </c>
      <c r="J144" s="7">
        <v>3.1</v>
      </c>
      <c r="K144" s="7">
        <v>704</v>
      </c>
      <c r="L144" s="7">
        <v>36</v>
      </c>
      <c r="N144" s="7">
        <v>68</v>
      </c>
      <c r="O144" s="7">
        <v>70</v>
      </c>
      <c r="P144" s="7">
        <v>0</v>
      </c>
      <c r="Q144" s="7">
        <v>8</v>
      </c>
      <c r="S144" s="7">
        <v>10</v>
      </c>
      <c r="T144" s="7">
        <v>4</v>
      </c>
      <c r="U144" s="7">
        <v>3</v>
      </c>
      <c r="W144" s="7">
        <v>7</v>
      </c>
      <c r="X144" s="7">
        <v>90</v>
      </c>
      <c r="Y144" s="7">
        <f>SUM(Table1[[#This Row],[Good Kernels  (g)]:[Husk  (g)]])</f>
        <v>1000</v>
      </c>
      <c r="Z144" s="9">
        <f>IFERROR(Table1[[#This Row],[Good Kernels  (g)]]/Table1[[#This Row],[Sample Qty  (g)]],"")</f>
        <v>0.70399999999999996</v>
      </c>
      <c r="AA144" s="9">
        <f>IFERROR(SUM(Table1[[#This Row],[Pieces  (g)]:[Butts (g)]])/Table1[[#This Row],[Sample Qty  (g)]],"")</f>
        <v>3.5999999999999997E-2</v>
      </c>
      <c r="AB144" s="9">
        <f>IFERROR(Table1[[#This Row],[Scorched (g)]]/Table1[[#This Row],[Sample Qty  (g)]],"")</f>
        <v>6.8000000000000005E-2</v>
      </c>
      <c r="AC144" s="9">
        <f>IFERROR(SUM(Table1[[#This Row],[Spotted  (g)]:[PUK3  (g)]])/Table1[[#This Row],[Sample Qty  (g)]],"")</f>
        <v>7.0000000000000007E-2</v>
      </c>
      <c r="AD144" s="9">
        <f>IFERROR(SUM(R144,Q144)/Table1[[#This Row],[Sample Qty  (g)]],"")</f>
        <v>8.0000000000000002E-3</v>
      </c>
      <c r="AE144" s="9">
        <f>IFERROR(Table1[[#This Row],[Dessert/NW  (g)]]/Table1[[#This Row],[Sample Qty  (g)]],"")</f>
        <v>0.01</v>
      </c>
      <c r="AF144" s="9">
        <f>IFERROR(SUM(Table1[[#This Row],[Oil  (g)]:[Dirty  (g)]])/Table1[[#This Row],[Sample Qty  (g)]],"")</f>
        <v>7.0000000000000001E-3</v>
      </c>
      <c r="AG144" s="9">
        <f>IFERROR(Table1[[#This Row],[Rejection  (g)]]/Table1[[#This Row],[Sample Qty  (g)]],"")</f>
        <v>7.0000000000000001E-3</v>
      </c>
      <c r="AH144" s="9">
        <f>IFERROR(Table1[[#This Row],[Husk  (g)]]/Table1[[#This Row],[Sample Qty  (g)]],"")</f>
        <v>0.09</v>
      </c>
    </row>
    <row r="145" spans="2:34" ht="12" x14ac:dyDescent="0.25">
      <c r="B145" s="8">
        <v>46217</v>
      </c>
      <c r="C145" s="7">
        <f>WEEKNUM(Table1[[#This Row],[Date]])</f>
        <v>29</v>
      </c>
      <c r="D145" s="5" t="s">
        <v>81</v>
      </c>
      <c r="E145" s="10" t="s">
        <v>71</v>
      </c>
      <c r="F145" s="7" t="s">
        <v>21</v>
      </c>
      <c r="H145" s="7">
        <v>1000</v>
      </c>
      <c r="I145" s="7">
        <v>280</v>
      </c>
      <c r="J145" s="7">
        <v>3.4</v>
      </c>
      <c r="K145" s="7">
        <v>470</v>
      </c>
      <c r="L145" s="7">
        <v>88</v>
      </c>
      <c r="N145" s="7">
        <v>76</v>
      </c>
      <c r="O145" s="7">
        <v>60</v>
      </c>
      <c r="P145" s="7">
        <v>0</v>
      </c>
      <c r="Q145" s="7">
        <v>10</v>
      </c>
      <c r="S145" s="7">
        <v>8</v>
      </c>
      <c r="T145" s="7">
        <v>52</v>
      </c>
      <c r="U145" s="7">
        <v>136</v>
      </c>
      <c r="W145" s="7">
        <v>12</v>
      </c>
      <c r="X145" s="7">
        <v>88</v>
      </c>
      <c r="Y145" s="7">
        <f>SUM(Table1[[#This Row],[Good Kernels  (g)]:[Husk  (g)]])</f>
        <v>1000</v>
      </c>
      <c r="Z145" s="9">
        <f>IFERROR(Table1[[#This Row],[Good Kernels  (g)]]/Table1[[#This Row],[Sample Qty  (g)]],"")</f>
        <v>0.47</v>
      </c>
      <c r="AA145" s="9">
        <f>IFERROR(SUM(Table1[[#This Row],[Pieces  (g)]:[Butts (g)]])/Table1[[#This Row],[Sample Qty  (g)]],"")</f>
        <v>8.7999999999999995E-2</v>
      </c>
      <c r="AB145" s="9">
        <f>IFERROR(Table1[[#This Row],[Scorched (g)]]/Table1[[#This Row],[Sample Qty  (g)]],"")</f>
        <v>7.5999999999999998E-2</v>
      </c>
      <c r="AC145" s="9">
        <f>IFERROR(SUM(Table1[[#This Row],[Spotted  (g)]:[PUK3  (g)]])/Table1[[#This Row],[Sample Qty  (g)]],"")</f>
        <v>0.06</v>
      </c>
      <c r="AD145" s="9">
        <f>IFERROR(SUM(R145,Q145)/Table1[[#This Row],[Sample Qty  (g)]],"")</f>
        <v>0.01</v>
      </c>
      <c r="AE145" s="9">
        <f>IFERROR(Table1[[#This Row],[Dessert/NW  (g)]]/Table1[[#This Row],[Sample Qty  (g)]],"")</f>
        <v>8.0000000000000002E-3</v>
      </c>
      <c r="AF145" s="9">
        <f>IFERROR(SUM(Table1[[#This Row],[Oil  (g)]:[Dirty  (g)]])/Table1[[#This Row],[Sample Qty  (g)]],"")</f>
        <v>0.188</v>
      </c>
      <c r="AG145" s="9">
        <f>IFERROR(Table1[[#This Row],[Rejection  (g)]]/Table1[[#This Row],[Sample Qty  (g)]],"")</f>
        <v>1.2E-2</v>
      </c>
      <c r="AH145" s="9">
        <f>IFERROR(Table1[[#This Row],[Husk  (g)]]/Table1[[#This Row],[Sample Qty  (g)]],"")</f>
        <v>8.7999999999999995E-2</v>
      </c>
    </row>
    <row r="146" spans="2:34" ht="12" x14ac:dyDescent="0.25">
      <c r="B146" s="8">
        <v>46218</v>
      </c>
      <c r="C146" s="7">
        <f>WEEKNUM(Table1[[#This Row],[Date]])</f>
        <v>29</v>
      </c>
      <c r="D146" s="5" t="s">
        <v>82</v>
      </c>
      <c r="E146" s="10" t="s">
        <v>71</v>
      </c>
      <c r="F146" s="7" t="s">
        <v>21</v>
      </c>
      <c r="H146" s="7">
        <v>1000</v>
      </c>
      <c r="I146" s="7">
        <v>264</v>
      </c>
      <c r="J146" s="7">
        <v>3</v>
      </c>
      <c r="K146" s="7">
        <v>616</v>
      </c>
      <c r="L146" s="7">
        <v>32</v>
      </c>
      <c r="N146" s="7">
        <v>68</v>
      </c>
      <c r="O146" s="7">
        <v>92</v>
      </c>
      <c r="P146" s="7">
        <v>0</v>
      </c>
      <c r="Q146" s="7">
        <v>52</v>
      </c>
      <c r="S146" s="7">
        <v>4</v>
      </c>
      <c r="T146" s="7">
        <v>8</v>
      </c>
      <c r="U146" s="7">
        <v>16</v>
      </c>
      <c r="W146" s="7">
        <v>12</v>
      </c>
      <c r="X146" s="7">
        <v>100</v>
      </c>
      <c r="Y146" s="7">
        <f>SUM(Table1[[#This Row],[Good Kernels  (g)]:[Husk  (g)]])</f>
        <v>1000</v>
      </c>
      <c r="Z146" s="9">
        <f>IFERROR(Table1[[#This Row],[Good Kernels  (g)]]/Table1[[#This Row],[Sample Qty  (g)]],"")</f>
        <v>0.61599999999999999</v>
      </c>
      <c r="AA146" s="9">
        <f>IFERROR(SUM(Table1[[#This Row],[Pieces  (g)]:[Butts (g)]])/Table1[[#This Row],[Sample Qty  (g)]],"")</f>
        <v>3.2000000000000001E-2</v>
      </c>
      <c r="AB146" s="9">
        <f>IFERROR(Table1[[#This Row],[Scorched (g)]]/Table1[[#This Row],[Sample Qty  (g)]],"")</f>
        <v>6.8000000000000005E-2</v>
      </c>
      <c r="AC146" s="9">
        <f>IFERROR(SUM(Table1[[#This Row],[Spotted  (g)]:[PUK3  (g)]])/Table1[[#This Row],[Sample Qty  (g)]],"")</f>
        <v>9.1999999999999998E-2</v>
      </c>
      <c r="AD146" s="9">
        <f>IFERROR(SUM(R146,Q146)/Table1[[#This Row],[Sample Qty  (g)]],"")</f>
        <v>5.1999999999999998E-2</v>
      </c>
      <c r="AE146" s="9">
        <f>IFERROR(Table1[[#This Row],[Dessert/NW  (g)]]/Table1[[#This Row],[Sample Qty  (g)]],"")</f>
        <v>4.0000000000000001E-3</v>
      </c>
      <c r="AF146" s="9">
        <f>IFERROR(SUM(Table1[[#This Row],[Oil  (g)]:[Dirty  (g)]])/Table1[[#This Row],[Sample Qty  (g)]],"")</f>
        <v>2.4E-2</v>
      </c>
      <c r="AG146" s="9">
        <f>IFERROR(Table1[[#This Row],[Rejection  (g)]]/Table1[[#This Row],[Sample Qty  (g)]],"")</f>
        <v>1.2E-2</v>
      </c>
      <c r="AH146" s="9">
        <f>IFERROR(Table1[[#This Row],[Husk  (g)]]/Table1[[#This Row],[Sample Qty  (g)]],"")</f>
        <v>0.1</v>
      </c>
    </row>
    <row r="147" spans="2:34" ht="12" x14ac:dyDescent="0.25">
      <c r="B147" s="8">
        <v>46218</v>
      </c>
      <c r="C147" s="7">
        <f>WEEKNUM(Table1[[#This Row],[Date]])</f>
        <v>29</v>
      </c>
      <c r="D147" s="5" t="s">
        <v>82</v>
      </c>
      <c r="E147" s="10" t="s">
        <v>71</v>
      </c>
      <c r="F147" s="7" t="s">
        <v>21</v>
      </c>
      <c r="H147" s="7">
        <v>1000</v>
      </c>
      <c r="I147" s="7">
        <v>288</v>
      </c>
      <c r="J147" s="7">
        <v>3.2</v>
      </c>
      <c r="K147" s="7">
        <v>634</v>
      </c>
      <c r="L147" s="7">
        <v>32</v>
      </c>
      <c r="N147" s="7">
        <v>44</v>
      </c>
      <c r="O147" s="7">
        <v>140</v>
      </c>
      <c r="P147" s="7">
        <v>0</v>
      </c>
      <c r="Q147" s="7">
        <v>20</v>
      </c>
      <c r="S147" s="7">
        <v>0</v>
      </c>
      <c r="T147" s="7">
        <v>6</v>
      </c>
      <c r="U147" s="7">
        <v>16</v>
      </c>
      <c r="W147" s="7">
        <v>8</v>
      </c>
      <c r="X147" s="7">
        <v>100</v>
      </c>
      <c r="Y147" s="7">
        <f>SUM(Table1[[#This Row],[Good Kernels  (g)]:[Husk  (g)]])</f>
        <v>1000</v>
      </c>
      <c r="Z147" s="9">
        <f>IFERROR(Table1[[#This Row],[Good Kernels  (g)]]/Table1[[#This Row],[Sample Qty  (g)]],"")</f>
        <v>0.63400000000000001</v>
      </c>
      <c r="AA147" s="9">
        <f>IFERROR(SUM(Table1[[#This Row],[Pieces  (g)]:[Butts (g)]])/Table1[[#This Row],[Sample Qty  (g)]],"")</f>
        <v>3.2000000000000001E-2</v>
      </c>
      <c r="AB147" s="9">
        <f>IFERROR(Table1[[#This Row],[Scorched (g)]]/Table1[[#This Row],[Sample Qty  (g)]],"")</f>
        <v>4.3999999999999997E-2</v>
      </c>
      <c r="AC147" s="9">
        <f>IFERROR(SUM(Table1[[#This Row],[Spotted  (g)]:[PUK3  (g)]])/Table1[[#This Row],[Sample Qty  (g)]],"")</f>
        <v>0.14000000000000001</v>
      </c>
      <c r="AD147" s="9">
        <f>IFERROR(SUM(R147,Q147)/Table1[[#This Row],[Sample Qty  (g)]],"")</f>
        <v>0.02</v>
      </c>
      <c r="AE147" s="9">
        <f>IFERROR(Table1[[#This Row],[Dessert/NW  (g)]]/Table1[[#This Row],[Sample Qty  (g)]],"")</f>
        <v>0</v>
      </c>
      <c r="AF147" s="9">
        <f>IFERROR(SUM(Table1[[#This Row],[Oil  (g)]:[Dirty  (g)]])/Table1[[#This Row],[Sample Qty  (g)]],"")</f>
        <v>2.1999999999999999E-2</v>
      </c>
      <c r="AG147" s="9">
        <f>IFERROR(Table1[[#This Row],[Rejection  (g)]]/Table1[[#This Row],[Sample Qty  (g)]],"")</f>
        <v>8.0000000000000002E-3</v>
      </c>
      <c r="AH147" s="9">
        <f>IFERROR(Table1[[#This Row],[Husk  (g)]]/Table1[[#This Row],[Sample Qty  (g)]],"")</f>
        <v>0.1</v>
      </c>
    </row>
    <row r="148" spans="2:34" ht="12" x14ac:dyDescent="0.25">
      <c r="B148" s="8">
        <v>46218</v>
      </c>
      <c r="C148" s="7">
        <f>WEEKNUM(Table1[[#This Row],[Date]])</f>
        <v>29</v>
      </c>
      <c r="D148" s="5" t="s">
        <v>82</v>
      </c>
      <c r="E148" s="10" t="s">
        <v>71</v>
      </c>
      <c r="F148" s="7" t="s">
        <v>21</v>
      </c>
      <c r="H148" s="7">
        <v>1000</v>
      </c>
      <c r="I148" s="7">
        <v>312</v>
      </c>
      <c r="J148" s="7">
        <v>3.2</v>
      </c>
      <c r="K148" s="7">
        <v>560</v>
      </c>
      <c r="L148" s="7">
        <v>35</v>
      </c>
      <c r="N148" s="7">
        <v>96</v>
      </c>
      <c r="O148" s="7">
        <v>84</v>
      </c>
      <c r="P148" s="7">
        <v>0</v>
      </c>
      <c r="Q148" s="7">
        <v>44</v>
      </c>
      <c r="S148" s="7">
        <v>5</v>
      </c>
      <c r="T148" s="7">
        <v>12</v>
      </c>
      <c r="U148" s="7">
        <v>28</v>
      </c>
      <c r="W148" s="7">
        <v>28</v>
      </c>
      <c r="X148" s="7">
        <v>108</v>
      </c>
      <c r="Y148" s="7">
        <f>SUM(Table1[[#This Row],[Good Kernels  (g)]:[Husk  (g)]])</f>
        <v>1000</v>
      </c>
      <c r="Z148" s="9">
        <f>IFERROR(Table1[[#This Row],[Good Kernels  (g)]]/Table1[[#This Row],[Sample Qty  (g)]],"")</f>
        <v>0.56000000000000005</v>
      </c>
      <c r="AA148" s="9">
        <f>IFERROR(SUM(Table1[[#This Row],[Pieces  (g)]:[Butts (g)]])/Table1[[#This Row],[Sample Qty  (g)]],"")</f>
        <v>3.5000000000000003E-2</v>
      </c>
      <c r="AB148" s="9">
        <f>IFERROR(Table1[[#This Row],[Scorched (g)]]/Table1[[#This Row],[Sample Qty  (g)]],"")</f>
        <v>9.6000000000000002E-2</v>
      </c>
      <c r="AC148" s="9">
        <f>IFERROR(SUM(Table1[[#This Row],[Spotted  (g)]:[PUK3  (g)]])/Table1[[#This Row],[Sample Qty  (g)]],"")</f>
        <v>8.4000000000000005E-2</v>
      </c>
      <c r="AD148" s="9">
        <f>IFERROR(SUM(R148,Q148)/Table1[[#This Row],[Sample Qty  (g)]],"")</f>
        <v>4.3999999999999997E-2</v>
      </c>
      <c r="AE148" s="9">
        <f>IFERROR(Table1[[#This Row],[Dessert/NW  (g)]]/Table1[[#This Row],[Sample Qty  (g)]],"")</f>
        <v>5.0000000000000001E-3</v>
      </c>
      <c r="AF148" s="9">
        <f>IFERROR(SUM(Table1[[#This Row],[Oil  (g)]:[Dirty  (g)]])/Table1[[#This Row],[Sample Qty  (g)]],"")</f>
        <v>0.04</v>
      </c>
      <c r="AG148" s="9">
        <f>IFERROR(Table1[[#This Row],[Rejection  (g)]]/Table1[[#This Row],[Sample Qty  (g)]],"")</f>
        <v>2.8000000000000001E-2</v>
      </c>
      <c r="AH148" s="9">
        <f>IFERROR(Table1[[#This Row],[Husk  (g)]]/Table1[[#This Row],[Sample Qty  (g)]],"")</f>
        <v>0.108</v>
      </c>
    </row>
    <row r="149" spans="2:34" ht="12" x14ac:dyDescent="0.25">
      <c r="B149" s="8">
        <v>46218</v>
      </c>
      <c r="C149" s="7">
        <f>WEEKNUM(Table1[[#This Row],[Date]])</f>
        <v>29</v>
      </c>
      <c r="D149" s="5" t="s">
        <v>82</v>
      </c>
      <c r="E149" s="10" t="s">
        <v>71</v>
      </c>
      <c r="F149" s="7" t="s">
        <v>21</v>
      </c>
      <c r="H149" s="7">
        <v>1000</v>
      </c>
      <c r="I149" s="7">
        <v>262</v>
      </c>
      <c r="J149" s="7">
        <v>3</v>
      </c>
      <c r="K149" s="7">
        <v>636</v>
      </c>
      <c r="L149" s="7">
        <v>32</v>
      </c>
      <c r="N149" s="7">
        <v>60</v>
      </c>
      <c r="O149" s="7">
        <v>80</v>
      </c>
      <c r="P149" s="7">
        <v>0</v>
      </c>
      <c r="Q149" s="7">
        <v>36</v>
      </c>
      <c r="S149" s="7">
        <v>4</v>
      </c>
      <c r="T149" s="7">
        <v>12</v>
      </c>
      <c r="U149" s="7">
        <v>24</v>
      </c>
      <c r="W149" s="7">
        <v>20</v>
      </c>
      <c r="X149" s="7">
        <v>96</v>
      </c>
      <c r="Y149" s="7">
        <f>SUM(Table1[[#This Row],[Good Kernels  (g)]:[Husk  (g)]])</f>
        <v>1000</v>
      </c>
      <c r="Z149" s="9">
        <f>IFERROR(Table1[[#This Row],[Good Kernels  (g)]]/Table1[[#This Row],[Sample Qty  (g)]],"")</f>
        <v>0.63600000000000001</v>
      </c>
      <c r="AA149" s="9">
        <f>IFERROR(SUM(Table1[[#This Row],[Pieces  (g)]:[Butts (g)]])/Table1[[#This Row],[Sample Qty  (g)]],"")</f>
        <v>3.2000000000000001E-2</v>
      </c>
      <c r="AB149" s="9">
        <f>IFERROR(Table1[[#This Row],[Scorched (g)]]/Table1[[#This Row],[Sample Qty  (g)]],"")</f>
        <v>0.06</v>
      </c>
      <c r="AC149" s="9">
        <f>IFERROR(SUM(Table1[[#This Row],[Spotted  (g)]:[PUK3  (g)]])/Table1[[#This Row],[Sample Qty  (g)]],"")</f>
        <v>0.08</v>
      </c>
      <c r="AD149" s="9">
        <f>IFERROR(SUM(R149,Q149)/Table1[[#This Row],[Sample Qty  (g)]],"")</f>
        <v>3.5999999999999997E-2</v>
      </c>
      <c r="AE149" s="9">
        <f>IFERROR(Table1[[#This Row],[Dessert/NW  (g)]]/Table1[[#This Row],[Sample Qty  (g)]],"")</f>
        <v>4.0000000000000001E-3</v>
      </c>
      <c r="AF149" s="9">
        <f>IFERROR(SUM(Table1[[#This Row],[Oil  (g)]:[Dirty  (g)]])/Table1[[#This Row],[Sample Qty  (g)]],"")</f>
        <v>3.5999999999999997E-2</v>
      </c>
      <c r="AG149" s="9">
        <f>IFERROR(Table1[[#This Row],[Rejection  (g)]]/Table1[[#This Row],[Sample Qty  (g)]],"")</f>
        <v>0.02</v>
      </c>
      <c r="AH149" s="9">
        <f>IFERROR(Table1[[#This Row],[Husk  (g)]]/Table1[[#This Row],[Sample Qty  (g)]],"")</f>
        <v>9.6000000000000002E-2</v>
      </c>
    </row>
    <row r="150" spans="2:34" ht="12" x14ac:dyDescent="0.25">
      <c r="B150" s="8">
        <v>46218</v>
      </c>
      <c r="C150" s="7">
        <f>WEEKNUM(Table1[[#This Row],[Date]])</f>
        <v>29</v>
      </c>
      <c r="D150" s="5" t="s">
        <v>82</v>
      </c>
      <c r="E150" s="10" t="s">
        <v>71</v>
      </c>
      <c r="F150" s="7" t="s">
        <v>21</v>
      </c>
      <c r="H150" s="7">
        <v>1000</v>
      </c>
      <c r="I150" s="7">
        <v>240</v>
      </c>
      <c r="J150" s="7">
        <v>3.1</v>
      </c>
      <c r="K150" s="7">
        <v>654</v>
      </c>
      <c r="L150" s="7">
        <v>38</v>
      </c>
      <c r="N150" s="7">
        <v>52</v>
      </c>
      <c r="O150" s="7">
        <v>90</v>
      </c>
      <c r="P150" s="7">
        <v>0</v>
      </c>
      <c r="Q150" s="7">
        <v>21</v>
      </c>
      <c r="S150" s="7">
        <v>4</v>
      </c>
      <c r="T150" s="7">
        <v>10</v>
      </c>
      <c r="U150" s="7">
        <v>18</v>
      </c>
      <c r="W150" s="7">
        <v>15</v>
      </c>
      <c r="X150" s="7">
        <v>98</v>
      </c>
      <c r="Y150" s="7">
        <f>SUM(Table1[[#This Row],[Good Kernels  (g)]:[Husk  (g)]])</f>
        <v>1000</v>
      </c>
      <c r="Z150" s="9">
        <f>IFERROR(Table1[[#This Row],[Good Kernels  (g)]]/Table1[[#This Row],[Sample Qty  (g)]],"")</f>
        <v>0.65400000000000003</v>
      </c>
      <c r="AA150" s="9">
        <f>IFERROR(SUM(Table1[[#This Row],[Pieces  (g)]:[Butts (g)]])/Table1[[#This Row],[Sample Qty  (g)]],"")</f>
        <v>3.7999999999999999E-2</v>
      </c>
      <c r="AB150" s="9">
        <f>IFERROR(Table1[[#This Row],[Scorched (g)]]/Table1[[#This Row],[Sample Qty  (g)]],"")</f>
        <v>5.1999999999999998E-2</v>
      </c>
      <c r="AC150" s="9">
        <f>IFERROR(SUM(Table1[[#This Row],[Spotted  (g)]:[PUK3  (g)]])/Table1[[#This Row],[Sample Qty  (g)]],"")</f>
        <v>0.09</v>
      </c>
      <c r="AD150" s="9">
        <f>IFERROR(SUM(R150,Q150)/Table1[[#This Row],[Sample Qty  (g)]],"")</f>
        <v>2.1000000000000001E-2</v>
      </c>
      <c r="AE150" s="9">
        <f>IFERROR(Table1[[#This Row],[Dessert/NW  (g)]]/Table1[[#This Row],[Sample Qty  (g)]],"")</f>
        <v>4.0000000000000001E-3</v>
      </c>
      <c r="AF150" s="9">
        <f>IFERROR(SUM(Table1[[#This Row],[Oil  (g)]:[Dirty  (g)]])/Table1[[#This Row],[Sample Qty  (g)]],"")</f>
        <v>2.8000000000000001E-2</v>
      </c>
      <c r="AG150" s="9">
        <f>IFERROR(Table1[[#This Row],[Rejection  (g)]]/Table1[[#This Row],[Sample Qty  (g)]],"")</f>
        <v>1.4999999999999999E-2</v>
      </c>
      <c r="AH150" s="9">
        <f>IFERROR(Table1[[#This Row],[Husk  (g)]]/Table1[[#This Row],[Sample Qty  (g)]],"")</f>
        <v>9.8000000000000004E-2</v>
      </c>
    </row>
    <row r="151" spans="2:34" ht="12" x14ac:dyDescent="0.25">
      <c r="B151" s="8">
        <v>46218</v>
      </c>
      <c r="C151" s="7">
        <f>WEEKNUM(Table1[[#This Row],[Date]])</f>
        <v>29</v>
      </c>
      <c r="D151" s="5" t="s">
        <v>82</v>
      </c>
      <c r="E151" s="10" t="s">
        <v>71</v>
      </c>
      <c r="F151" s="7" t="s">
        <v>21</v>
      </c>
      <c r="H151" s="7">
        <v>1000</v>
      </c>
      <c r="I151" s="7">
        <v>252</v>
      </c>
      <c r="J151" s="7">
        <v>3.1</v>
      </c>
      <c r="K151" s="7">
        <v>650</v>
      </c>
      <c r="L151" s="7">
        <v>39</v>
      </c>
      <c r="N151" s="7">
        <v>72</v>
      </c>
      <c r="O151" s="7">
        <v>82</v>
      </c>
      <c r="P151" s="7">
        <v>0</v>
      </c>
      <c r="Q151" s="7">
        <v>10</v>
      </c>
      <c r="S151" s="7">
        <v>21</v>
      </c>
      <c r="T151" s="7">
        <v>5</v>
      </c>
      <c r="U151" s="7">
        <v>3</v>
      </c>
      <c r="W151" s="7">
        <v>22</v>
      </c>
      <c r="X151" s="7">
        <v>96</v>
      </c>
      <c r="Y151" s="7">
        <f>SUM(Table1[[#This Row],[Good Kernels  (g)]:[Husk  (g)]])</f>
        <v>1000</v>
      </c>
      <c r="Z151" s="9">
        <f>IFERROR(Table1[[#This Row],[Good Kernels  (g)]]/Table1[[#This Row],[Sample Qty  (g)]],"")</f>
        <v>0.65</v>
      </c>
      <c r="AA151" s="9">
        <f>IFERROR(SUM(Table1[[#This Row],[Pieces  (g)]:[Butts (g)]])/Table1[[#This Row],[Sample Qty  (g)]],"")</f>
        <v>3.9E-2</v>
      </c>
      <c r="AB151" s="9">
        <f>IFERROR(Table1[[#This Row],[Scorched (g)]]/Table1[[#This Row],[Sample Qty  (g)]],"")</f>
        <v>7.1999999999999995E-2</v>
      </c>
      <c r="AC151" s="9">
        <f>IFERROR(SUM(Table1[[#This Row],[Spotted  (g)]:[PUK3  (g)]])/Table1[[#This Row],[Sample Qty  (g)]],"")</f>
        <v>8.2000000000000003E-2</v>
      </c>
      <c r="AD151" s="9">
        <f>IFERROR(SUM(R151,Q151)/Table1[[#This Row],[Sample Qty  (g)]],"")</f>
        <v>0.01</v>
      </c>
      <c r="AE151" s="9">
        <f>IFERROR(Table1[[#This Row],[Dessert/NW  (g)]]/Table1[[#This Row],[Sample Qty  (g)]],"")</f>
        <v>2.1000000000000001E-2</v>
      </c>
      <c r="AF151" s="9">
        <f>IFERROR(SUM(Table1[[#This Row],[Oil  (g)]:[Dirty  (g)]])/Table1[[#This Row],[Sample Qty  (g)]],"")</f>
        <v>8.0000000000000002E-3</v>
      </c>
      <c r="AG151" s="9">
        <f>IFERROR(Table1[[#This Row],[Rejection  (g)]]/Table1[[#This Row],[Sample Qty  (g)]],"")</f>
        <v>2.1999999999999999E-2</v>
      </c>
      <c r="AH151" s="9">
        <f>IFERROR(Table1[[#This Row],[Husk  (g)]]/Table1[[#This Row],[Sample Qty  (g)]],"")</f>
        <v>9.6000000000000002E-2</v>
      </c>
    </row>
    <row r="152" spans="2:34" ht="12" x14ac:dyDescent="0.25">
      <c r="B152" s="8">
        <v>46218</v>
      </c>
      <c r="C152" s="7">
        <f>WEEKNUM(Table1[[#This Row],[Date]])</f>
        <v>29</v>
      </c>
      <c r="D152" s="5" t="s">
        <v>82</v>
      </c>
      <c r="E152" s="10" t="s">
        <v>71</v>
      </c>
      <c r="F152" s="7" t="s">
        <v>21</v>
      </c>
      <c r="H152" s="7">
        <v>1000</v>
      </c>
      <c r="I152" s="7">
        <v>252</v>
      </c>
      <c r="J152" s="7">
        <v>3</v>
      </c>
      <c r="K152" s="7">
        <v>635</v>
      </c>
      <c r="L152" s="7">
        <v>64</v>
      </c>
      <c r="N152" s="7">
        <v>80</v>
      </c>
      <c r="O152" s="7">
        <v>68</v>
      </c>
      <c r="P152" s="7">
        <v>0</v>
      </c>
      <c r="Q152" s="7">
        <v>24</v>
      </c>
      <c r="S152" s="7">
        <v>8</v>
      </c>
      <c r="T152" s="7">
        <v>2</v>
      </c>
      <c r="U152" s="7">
        <v>3</v>
      </c>
      <c r="W152" s="7">
        <v>28</v>
      </c>
      <c r="X152" s="7">
        <v>88</v>
      </c>
      <c r="Y152" s="7">
        <f>SUM(Table1[[#This Row],[Good Kernels  (g)]:[Husk  (g)]])</f>
        <v>1000</v>
      </c>
      <c r="Z152" s="9">
        <f>IFERROR(Table1[[#This Row],[Good Kernels  (g)]]/Table1[[#This Row],[Sample Qty  (g)]],"")</f>
        <v>0.63500000000000001</v>
      </c>
      <c r="AA152" s="9">
        <f>IFERROR(SUM(Table1[[#This Row],[Pieces  (g)]:[Butts (g)]])/Table1[[#This Row],[Sample Qty  (g)]],"")</f>
        <v>6.4000000000000001E-2</v>
      </c>
      <c r="AB152" s="9">
        <f>IFERROR(Table1[[#This Row],[Scorched (g)]]/Table1[[#This Row],[Sample Qty  (g)]],"")</f>
        <v>0.08</v>
      </c>
      <c r="AC152" s="9">
        <f>IFERROR(SUM(Table1[[#This Row],[Spotted  (g)]:[PUK3  (g)]])/Table1[[#This Row],[Sample Qty  (g)]],"")</f>
        <v>6.8000000000000005E-2</v>
      </c>
      <c r="AD152" s="9">
        <f>IFERROR(SUM(R152,Q152)/Table1[[#This Row],[Sample Qty  (g)]],"")</f>
        <v>2.4E-2</v>
      </c>
      <c r="AE152" s="9">
        <f>IFERROR(Table1[[#This Row],[Dessert/NW  (g)]]/Table1[[#This Row],[Sample Qty  (g)]],"")</f>
        <v>8.0000000000000002E-3</v>
      </c>
      <c r="AF152" s="9">
        <f>IFERROR(SUM(Table1[[#This Row],[Oil  (g)]:[Dirty  (g)]])/Table1[[#This Row],[Sample Qty  (g)]],"")</f>
        <v>5.0000000000000001E-3</v>
      </c>
      <c r="AG152" s="9">
        <f>IFERROR(Table1[[#This Row],[Rejection  (g)]]/Table1[[#This Row],[Sample Qty  (g)]],"")</f>
        <v>2.8000000000000001E-2</v>
      </c>
      <c r="AH152" s="9">
        <f>IFERROR(Table1[[#This Row],[Husk  (g)]]/Table1[[#This Row],[Sample Qty  (g)]],"")</f>
        <v>8.7999999999999995E-2</v>
      </c>
    </row>
    <row r="153" spans="2:34" ht="12" x14ac:dyDescent="0.25">
      <c r="B153" s="8">
        <v>46218</v>
      </c>
      <c r="C153" s="7">
        <f>WEEKNUM(Table1[[#This Row],[Date]])</f>
        <v>29</v>
      </c>
      <c r="D153" s="5" t="s">
        <v>82</v>
      </c>
      <c r="E153" s="10" t="s">
        <v>71</v>
      </c>
      <c r="F153" s="7" t="s">
        <v>21</v>
      </c>
      <c r="H153" s="7">
        <v>1000</v>
      </c>
      <c r="I153" s="7">
        <v>284</v>
      </c>
      <c r="J153" s="7">
        <v>3.1</v>
      </c>
      <c r="K153" s="7">
        <v>636</v>
      </c>
      <c r="L153" s="7">
        <v>20</v>
      </c>
      <c r="N153" s="7">
        <v>96</v>
      </c>
      <c r="O153" s="7">
        <v>80</v>
      </c>
      <c r="P153" s="7">
        <v>0</v>
      </c>
      <c r="Q153" s="7">
        <v>6</v>
      </c>
      <c r="S153" s="7">
        <v>12</v>
      </c>
      <c r="T153" s="7">
        <v>10</v>
      </c>
      <c r="U153" s="7">
        <v>12</v>
      </c>
      <c r="W153" s="7">
        <v>32</v>
      </c>
      <c r="X153" s="7">
        <v>96</v>
      </c>
      <c r="Y153" s="7">
        <f>SUM(Table1[[#This Row],[Good Kernels  (g)]:[Husk  (g)]])</f>
        <v>1000</v>
      </c>
      <c r="Z153" s="9">
        <f>IFERROR(Table1[[#This Row],[Good Kernels  (g)]]/Table1[[#This Row],[Sample Qty  (g)]],"")</f>
        <v>0.63600000000000001</v>
      </c>
      <c r="AA153" s="9">
        <f>IFERROR(SUM(Table1[[#This Row],[Pieces  (g)]:[Butts (g)]])/Table1[[#This Row],[Sample Qty  (g)]],"")</f>
        <v>0.02</v>
      </c>
      <c r="AB153" s="9">
        <f>IFERROR(Table1[[#This Row],[Scorched (g)]]/Table1[[#This Row],[Sample Qty  (g)]],"")</f>
        <v>9.6000000000000002E-2</v>
      </c>
      <c r="AC153" s="9">
        <f>IFERROR(SUM(Table1[[#This Row],[Spotted  (g)]:[PUK3  (g)]])/Table1[[#This Row],[Sample Qty  (g)]],"")</f>
        <v>0.08</v>
      </c>
      <c r="AD153" s="9">
        <f>IFERROR(SUM(R153,Q153)/Table1[[#This Row],[Sample Qty  (g)]],"")</f>
        <v>6.0000000000000001E-3</v>
      </c>
      <c r="AE153" s="9">
        <f>IFERROR(Table1[[#This Row],[Dessert/NW  (g)]]/Table1[[#This Row],[Sample Qty  (g)]],"")</f>
        <v>1.2E-2</v>
      </c>
      <c r="AF153" s="9">
        <f>IFERROR(SUM(Table1[[#This Row],[Oil  (g)]:[Dirty  (g)]])/Table1[[#This Row],[Sample Qty  (g)]],"")</f>
        <v>2.1999999999999999E-2</v>
      </c>
      <c r="AG153" s="9">
        <f>IFERROR(Table1[[#This Row],[Rejection  (g)]]/Table1[[#This Row],[Sample Qty  (g)]],"")</f>
        <v>3.2000000000000001E-2</v>
      </c>
      <c r="AH153" s="9">
        <f>IFERROR(Table1[[#This Row],[Husk  (g)]]/Table1[[#This Row],[Sample Qty  (g)]],"")</f>
        <v>9.6000000000000002E-2</v>
      </c>
    </row>
    <row r="154" spans="2:34" ht="12" x14ac:dyDescent="0.25">
      <c r="B154" s="8">
        <v>46218</v>
      </c>
      <c r="C154" s="7">
        <f>WEEKNUM(Table1[[#This Row],[Date]])</f>
        <v>29</v>
      </c>
      <c r="D154" s="5" t="s">
        <v>82</v>
      </c>
      <c r="E154" s="10" t="s">
        <v>71</v>
      </c>
      <c r="F154" s="7" t="s">
        <v>21</v>
      </c>
      <c r="H154" s="7">
        <v>1000</v>
      </c>
      <c r="I154" s="7">
        <v>266</v>
      </c>
      <c r="J154" s="7">
        <v>3.1</v>
      </c>
      <c r="K154" s="7">
        <v>695</v>
      </c>
      <c r="L154" s="7">
        <v>24</v>
      </c>
      <c r="N154" s="7">
        <v>44</v>
      </c>
      <c r="O154" s="7">
        <v>84</v>
      </c>
      <c r="P154" s="7">
        <v>0</v>
      </c>
      <c r="Q154" s="7">
        <v>20</v>
      </c>
      <c r="S154" s="7">
        <v>5</v>
      </c>
      <c r="T154" s="7">
        <v>12</v>
      </c>
      <c r="U154" s="7">
        <v>4</v>
      </c>
      <c r="W154" s="7">
        <v>24</v>
      </c>
      <c r="X154" s="7">
        <v>88</v>
      </c>
      <c r="Y154" s="7">
        <f>SUM(Table1[[#This Row],[Good Kernels  (g)]:[Husk  (g)]])</f>
        <v>1000</v>
      </c>
      <c r="Z154" s="9">
        <f>IFERROR(Table1[[#This Row],[Good Kernels  (g)]]/Table1[[#This Row],[Sample Qty  (g)]],"")</f>
        <v>0.69499999999999995</v>
      </c>
      <c r="AA154" s="9">
        <f>IFERROR(SUM(Table1[[#This Row],[Pieces  (g)]:[Butts (g)]])/Table1[[#This Row],[Sample Qty  (g)]],"")</f>
        <v>2.4E-2</v>
      </c>
      <c r="AB154" s="9">
        <f>IFERROR(Table1[[#This Row],[Scorched (g)]]/Table1[[#This Row],[Sample Qty  (g)]],"")</f>
        <v>4.3999999999999997E-2</v>
      </c>
      <c r="AC154" s="9">
        <f>IFERROR(SUM(Table1[[#This Row],[Spotted  (g)]:[PUK3  (g)]])/Table1[[#This Row],[Sample Qty  (g)]],"")</f>
        <v>8.4000000000000005E-2</v>
      </c>
      <c r="AD154" s="9">
        <f>IFERROR(SUM(R154,Q154)/Table1[[#This Row],[Sample Qty  (g)]],"")</f>
        <v>0.02</v>
      </c>
      <c r="AE154" s="9">
        <f>IFERROR(Table1[[#This Row],[Dessert/NW  (g)]]/Table1[[#This Row],[Sample Qty  (g)]],"")</f>
        <v>5.0000000000000001E-3</v>
      </c>
      <c r="AF154" s="9">
        <f>IFERROR(SUM(Table1[[#This Row],[Oil  (g)]:[Dirty  (g)]])/Table1[[#This Row],[Sample Qty  (g)]],"")</f>
        <v>1.6E-2</v>
      </c>
      <c r="AG154" s="9">
        <f>IFERROR(Table1[[#This Row],[Rejection  (g)]]/Table1[[#This Row],[Sample Qty  (g)]],"")</f>
        <v>2.4E-2</v>
      </c>
      <c r="AH154" s="9">
        <f>IFERROR(Table1[[#This Row],[Husk  (g)]]/Table1[[#This Row],[Sample Qty  (g)]],"")</f>
        <v>8.7999999999999995E-2</v>
      </c>
    </row>
    <row r="155" spans="2:34" ht="12" x14ac:dyDescent="0.25">
      <c r="B155" s="8">
        <v>46218</v>
      </c>
      <c r="C155" s="7">
        <f>WEEKNUM(Table1[[#This Row],[Date]])</f>
        <v>29</v>
      </c>
      <c r="D155" s="5" t="s">
        <v>82</v>
      </c>
      <c r="E155" s="10" t="s">
        <v>71</v>
      </c>
      <c r="F155" s="7" t="s">
        <v>21</v>
      </c>
      <c r="H155" s="7">
        <v>1000</v>
      </c>
      <c r="I155" s="7">
        <v>256</v>
      </c>
      <c r="J155" s="7">
        <v>3.1</v>
      </c>
      <c r="K155" s="7">
        <v>682</v>
      </c>
      <c r="L155" s="7">
        <v>40</v>
      </c>
      <c r="N155" s="7">
        <v>60</v>
      </c>
      <c r="O155" s="7">
        <v>36</v>
      </c>
      <c r="P155" s="7">
        <v>0</v>
      </c>
      <c r="Q155" s="7">
        <v>52</v>
      </c>
      <c r="S155" s="7">
        <v>8</v>
      </c>
      <c r="T155" s="7">
        <v>4</v>
      </c>
      <c r="U155" s="7">
        <v>3</v>
      </c>
      <c r="W155" s="7">
        <v>16</v>
      </c>
      <c r="X155" s="7">
        <v>99</v>
      </c>
      <c r="Y155" s="7">
        <f>SUM(Table1[[#This Row],[Good Kernels  (g)]:[Husk  (g)]])</f>
        <v>1000</v>
      </c>
      <c r="Z155" s="9">
        <f>IFERROR(Table1[[#This Row],[Good Kernels  (g)]]/Table1[[#This Row],[Sample Qty  (g)]],"")</f>
        <v>0.68200000000000005</v>
      </c>
      <c r="AA155" s="9">
        <f>IFERROR(SUM(Table1[[#This Row],[Pieces  (g)]:[Butts (g)]])/Table1[[#This Row],[Sample Qty  (g)]],"")</f>
        <v>0.04</v>
      </c>
      <c r="AB155" s="9">
        <f>IFERROR(Table1[[#This Row],[Scorched (g)]]/Table1[[#This Row],[Sample Qty  (g)]],"")</f>
        <v>0.06</v>
      </c>
      <c r="AC155" s="9">
        <f>IFERROR(SUM(Table1[[#This Row],[Spotted  (g)]:[PUK3  (g)]])/Table1[[#This Row],[Sample Qty  (g)]],"")</f>
        <v>3.5999999999999997E-2</v>
      </c>
      <c r="AD155" s="9">
        <f>IFERROR(SUM(R155,Q155)/Table1[[#This Row],[Sample Qty  (g)]],"")</f>
        <v>5.1999999999999998E-2</v>
      </c>
      <c r="AE155" s="9">
        <f>IFERROR(Table1[[#This Row],[Dessert/NW  (g)]]/Table1[[#This Row],[Sample Qty  (g)]],"")</f>
        <v>8.0000000000000002E-3</v>
      </c>
      <c r="AF155" s="9">
        <f>IFERROR(SUM(Table1[[#This Row],[Oil  (g)]:[Dirty  (g)]])/Table1[[#This Row],[Sample Qty  (g)]],"")</f>
        <v>7.0000000000000001E-3</v>
      </c>
      <c r="AG155" s="9">
        <f>IFERROR(Table1[[#This Row],[Rejection  (g)]]/Table1[[#This Row],[Sample Qty  (g)]],"")</f>
        <v>1.6E-2</v>
      </c>
      <c r="AH155" s="9">
        <f>IFERROR(Table1[[#This Row],[Husk  (g)]]/Table1[[#This Row],[Sample Qty  (g)]],"")</f>
        <v>9.9000000000000005E-2</v>
      </c>
    </row>
    <row r="156" spans="2:34" ht="12" x14ac:dyDescent="0.25">
      <c r="B156" s="8">
        <v>46218</v>
      </c>
      <c r="C156" s="7">
        <f>WEEKNUM(Table1[[#This Row],[Date]])</f>
        <v>29</v>
      </c>
      <c r="D156" s="5" t="s">
        <v>82</v>
      </c>
      <c r="E156" s="10" t="s">
        <v>71</v>
      </c>
      <c r="F156" s="7" t="s">
        <v>21</v>
      </c>
      <c r="H156" s="7">
        <v>1000</v>
      </c>
      <c r="I156" s="7">
        <v>240</v>
      </c>
      <c r="J156" s="7">
        <v>3.1</v>
      </c>
      <c r="K156" s="7">
        <v>639</v>
      </c>
      <c r="L156" s="7">
        <v>16</v>
      </c>
      <c r="N156" s="7">
        <v>84</v>
      </c>
      <c r="O156" s="7">
        <v>116</v>
      </c>
      <c r="P156" s="7">
        <v>0</v>
      </c>
      <c r="Q156" s="7">
        <v>28</v>
      </c>
      <c r="S156" s="7">
        <v>5</v>
      </c>
      <c r="T156" s="7">
        <v>6</v>
      </c>
      <c r="U156" s="7">
        <v>3</v>
      </c>
      <c r="W156" s="7">
        <v>15</v>
      </c>
      <c r="X156" s="7">
        <v>88</v>
      </c>
      <c r="Y156" s="7">
        <f>SUM(Table1[[#This Row],[Good Kernels  (g)]:[Husk  (g)]])</f>
        <v>1000</v>
      </c>
      <c r="Z156" s="9">
        <f>IFERROR(Table1[[#This Row],[Good Kernels  (g)]]/Table1[[#This Row],[Sample Qty  (g)]],"")</f>
        <v>0.63900000000000001</v>
      </c>
      <c r="AA156" s="9">
        <f>IFERROR(SUM(Table1[[#This Row],[Pieces  (g)]:[Butts (g)]])/Table1[[#This Row],[Sample Qty  (g)]],"")</f>
        <v>1.6E-2</v>
      </c>
      <c r="AB156" s="9">
        <f>IFERROR(Table1[[#This Row],[Scorched (g)]]/Table1[[#This Row],[Sample Qty  (g)]],"")</f>
        <v>8.4000000000000005E-2</v>
      </c>
      <c r="AC156" s="9">
        <f>IFERROR(SUM(Table1[[#This Row],[Spotted  (g)]:[PUK3  (g)]])/Table1[[#This Row],[Sample Qty  (g)]],"")</f>
        <v>0.11600000000000001</v>
      </c>
      <c r="AD156" s="9">
        <f>IFERROR(SUM(R156,Q156)/Table1[[#This Row],[Sample Qty  (g)]],"")</f>
        <v>2.8000000000000001E-2</v>
      </c>
      <c r="AE156" s="9">
        <f>IFERROR(Table1[[#This Row],[Dessert/NW  (g)]]/Table1[[#This Row],[Sample Qty  (g)]],"")</f>
        <v>5.0000000000000001E-3</v>
      </c>
      <c r="AF156" s="9">
        <f>IFERROR(SUM(Table1[[#This Row],[Oil  (g)]:[Dirty  (g)]])/Table1[[#This Row],[Sample Qty  (g)]],"")</f>
        <v>8.9999999999999993E-3</v>
      </c>
      <c r="AG156" s="9">
        <f>IFERROR(Table1[[#This Row],[Rejection  (g)]]/Table1[[#This Row],[Sample Qty  (g)]],"")</f>
        <v>1.4999999999999999E-2</v>
      </c>
      <c r="AH156" s="9">
        <f>IFERROR(Table1[[#This Row],[Husk  (g)]]/Table1[[#This Row],[Sample Qty  (g)]],"")</f>
        <v>8.7999999999999995E-2</v>
      </c>
    </row>
    <row r="157" spans="2:34" ht="12" x14ac:dyDescent="0.25">
      <c r="B157" s="8">
        <v>46218</v>
      </c>
      <c r="C157" s="7">
        <f>WEEKNUM(Table1[[#This Row],[Date]])</f>
        <v>29</v>
      </c>
      <c r="D157" s="5" t="s">
        <v>82</v>
      </c>
      <c r="E157" s="10" t="s">
        <v>71</v>
      </c>
      <c r="F157" s="7" t="s">
        <v>21</v>
      </c>
      <c r="H157" s="7">
        <v>1000</v>
      </c>
      <c r="I157" s="7">
        <v>264</v>
      </c>
      <c r="J157" s="7">
        <v>3.1</v>
      </c>
      <c r="K157" s="7">
        <v>762</v>
      </c>
      <c r="L157" s="7">
        <v>16</v>
      </c>
      <c r="N157" s="7">
        <v>56</v>
      </c>
      <c r="O157" s="7">
        <v>8</v>
      </c>
      <c r="P157" s="7">
        <v>0</v>
      </c>
      <c r="Q157" s="7">
        <v>6</v>
      </c>
      <c r="S157" s="7">
        <v>16</v>
      </c>
      <c r="T157" s="7">
        <v>4</v>
      </c>
      <c r="U157" s="7">
        <v>12</v>
      </c>
      <c r="W157" s="7">
        <v>20</v>
      </c>
      <c r="X157" s="7">
        <v>100</v>
      </c>
      <c r="Y157" s="7">
        <f>SUM(Table1[[#This Row],[Good Kernels  (g)]:[Husk  (g)]])</f>
        <v>1000</v>
      </c>
      <c r="Z157" s="9">
        <f>IFERROR(Table1[[#This Row],[Good Kernels  (g)]]/Table1[[#This Row],[Sample Qty  (g)]],"")</f>
        <v>0.76200000000000001</v>
      </c>
      <c r="AA157" s="9">
        <f>IFERROR(SUM(Table1[[#This Row],[Pieces  (g)]:[Butts (g)]])/Table1[[#This Row],[Sample Qty  (g)]],"")</f>
        <v>1.6E-2</v>
      </c>
      <c r="AB157" s="9">
        <f>IFERROR(Table1[[#This Row],[Scorched (g)]]/Table1[[#This Row],[Sample Qty  (g)]],"")</f>
        <v>5.6000000000000001E-2</v>
      </c>
      <c r="AC157" s="9">
        <f>IFERROR(SUM(Table1[[#This Row],[Spotted  (g)]:[PUK3  (g)]])/Table1[[#This Row],[Sample Qty  (g)]],"")</f>
        <v>8.0000000000000002E-3</v>
      </c>
      <c r="AD157" s="9">
        <f>IFERROR(SUM(R157,Q157)/Table1[[#This Row],[Sample Qty  (g)]],"")</f>
        <v>6.0000000000000001E-3</v>
      </c>
      <c r="AE157" s="9">
        <f>IFERROR(Table1[[#This Row],[Dessert/NW  (g)]]/Table1[[#This Row],[Sample Qty  (g)]],"")</f>
        <v>1.6E-2</v>
      </c>
      <c r="AF157" s="9">
        <f>IFERROR(SUM(Table1[[#This Row],[Oil  (g)]:[Dirty  (g)]])/Table1[[#This Row],[Sample Qty  (g)]],"")</f>
        <v>1.6E-2</v>
      </c>
      <c r="AG157" s="9">
        <f>IFERROR(Table1[[#This Row],[Rejection  (g)]]/Table1[[#This Row],[Sample Qty  (g)]],"")</f>
        <v>0.02</v>
      </c>
      <c r="AH157" s="9">
        <f>IFERROR(Table1[[#This Row],[Husk  (g)]]/Table1[[#This Row],[Sample Qty  (g)]],"")</f>
        <v>0.1</v>
      </c>
    </row>
    <row r="158" spans="2:34" ht="12" x14ac:dyDescent="0.25">
      <c r="B158" s="8">
        <v>46218</v>
      </c>
      <c r="C158" s="7">
        <f>WEEKNUM(Table1[[#This Row],[Date]])</f>
        <v>29</v>
      </c>
      <c r="D158" s="5" t="s">
        <v>82</v>
      </c>
      <c r="E158" s="10" t="s">
        <v>71</v>
      </c>
      <c r="F158" s="7" t="s">
        <v>21</v>
      </c>
      <c r="H158" s="7">
        <v>1000</v>
      </c>
      <c r="I158" s="7">
        <v>286</v>
      </c>
      <c r="J158" s="7">
        <v>3.1</v>
      </c>
      <c r="K158" s="7">
        <v>598</v>
      </c>
      <c r="L158" s="7">
        <v>68</v>
      </c>
      <c r="N158" s="7">
        <v>44</v>
      </c>
      <c r="O158" s="7">
        <v>128</v>
      </c>
      <c r="P158" s="7">
        <v>0</v>
      </c>
      <c r="Q158" s="7">
        <v>8</v>
      </c>
      <c r="S158" s="7">
        <v>16</v>
      </c>
      <c r="T158" s="7">
        <v>12</v>
      </c>
      <c r="U158" s="7">
        <v>20</v>
      </c>
      <c r="W158" s="7">
        <v>10</v>
      </c>
      <c r="X158" s="7">
        <v>96</v>
      </c>
      <c r="Y158" s="7">
        <f>SUM(Table1[[#This Row],[Good Kernels  (g)]:[Husk  (g)]])</f>
        <v>1000</v>
      </c>
      <c r="Z158" s="9">
        <f>IFERROR(Table1[[#This Row],[Good Kernels  (g)]]/Table1[[#This Row],[Sample Qty  (g)]],"")</f>
        <v>0.59799999999999998</v>
      </c>
      <c r="AA158" s="9">
        <f>IFERROR(SUM(Table1[[#This Row],[Pieces  (g)]:[Butts (g)]])/Table1[[#This Row],[Sample Qty  (g)]],"")</f>
        <v>6.8000000000000005E-2</v>
      </c>
      <c r="AB158" s="9">
        <f>IFERROR(Table1[[#This Row],[Scorched (g)]]/Table1[[#This Row],[Sample Qty  (g)]],"")</f>
        <v>4.3999999999999997E-2</v>
      </c>
      <c r="AC158" s="9">
        <f>IFERROR(SUM(Table1[[#This Row],[Spotted  (g)]:[PUK3  (g)]])/Table1[[#This Row],[Sample Qty  (g)]],"")</f>
        <v>0.128</v>
      </c>
      <c r="AD158" s="9">
        <f>IFERROR(SUM(R158,Q158)/Table1[[#This Row],[Sample Qty  (g)]],"")</f>
        <v>8.0000000000000002E-3</v>
      </c>
      <c r="AE158" s="9">
        <f>IFERROR(Table1[[#This Row],[Dessert/NW  (g)]]/Table1[[#This Row],[Sample Qty  (g)]],"")</f>
        <v>1.6E-2</v>
      </c>
      <c r="AF158" s="9">
        <f>IFERROR(SUM(Table1[[#This Row],[Oil  (g)]:[Dirty  (g)]])/Table1[[#This Row],[Sample Qty  (g)]],"")</f>
        <v>3.2000000000000001E-2</v>
      </c>
      <c r="AG158" s="9">
        <f>IFERROR(Table1[[#This Row],[Rejection  (g)]]/Table1[[#This Row],[Sample Qty  (g)]],"")</f>
        <v>0.01</v>
      </c>
      <c r="AH158" s="9">
        <f>IFERROR(Table1[[#This Row],[Husk  (g)]]/Table1[[#This Row],[Sample Qty  (g)]],"")</f>
        <v>9.6000000000000002E-2</v>
      </c>
    </row>
    <row r="159" spans="2:34" ht="12" x14ac:dyDescent="0.25">
      <c r="B159" s="8">
        <v>46218</v>
      </c>
      <c r="C159" s="7">
        <f>WEEKNUM(Table1[[#This Row],[Date]])</f>
        <v>29</v>
      </c>
      <c r="D159" s="5" t="s">
        <v>82</v>
      </c>
      <c r="E159" s="10" t="s">
        <v>71</v>
      </c>
      <c r="F159" s="7" t="s">
        <v>21</v>
      </c>
      <c r="H159" s="7">
        <v>1000</v>
      </c>
      <c r="I159" s="7">
        <v>284</v>
      </c>
      <c r="J159" s="7">
        <v>3.1</v>
      </c>
      <c r="K159" s="7">
        <v>691</v>
      </c>
      <c r="L159" s="7">
        <v>32</v>
      </c>
      <c r="N159" s="7">
        <v>54</v>
      </c>
      <c r="O159" s="7">
        <v>68</v>
      </c>
      <c r="P159" s="7">
        <v>0</v>
      </c>
      <c r="Q159" s="7">
        <v>7</v>
      </c>
      <c r="S159" s="7">
        <v>6</v>
      </c>
      <c r="T159" s="7">
        <v>12</v>
      </c>
      <c r="U159" s="7">
        <v>20</v>
      </c>
      <c r="W159" s="7">
        <v>12</v>
      </c>
      <c r="X159" s="7">
        <v>98</v>
      </c>
      <c r="Y159" s="7">
        <f>SUM(Table1[[#This Row],[Good Kernels  (g)]:[Husk  (g)]])</f>
        <v>1000</v>
      </c>
      <c r="Z159" s="9">
        <f>IFERROR(Table1[[#This Row],[Good Kernels  (g)]]/Table1[[#This Row],[Sample Qty  (g)]],"")</f>
        <v>0.69099999999999995</v>
      </c>
      <c r="AA159" s="9">
        <f>IFERROR(SUM(Table1[[#This Row],[Pieces  (g)]:[Butts (g)]])/Table1[[#This Row],[Sample Qty  (g)]],"")</f>
        <v>3.2000000000000001E-2</v>
      </c>
      <c r="AB159" s="9">
        <f>IFERROR(Table1[[#This Row],[Scorched (g)]]/Table1[[#This Row],[Sample Qty  (g)]],"")</f>
        <v>5.3999999999999999E-2</v>
      </c>
      <c r="AC159" s="9">
        <f>IFERROR(SUM(Table1[[#This Row],[Spotted  (g)]:[PUK3  (g)]])/Table1[[#This Row],[Sample Qty  (g)]],"")</f>
        <v>6.8000000000000005E-2</v>
      </c>
      <c r="AD159" s="9">
        <f>IFERROR(SUM(R159,Q159)/Table1[[#This Row],[Sample Qty  (g)]],"")</f>
        <v>7.0000000000000001E-3</v>
      </c>
      <c r="AE159" s="9">
        <f>IFERROR(Table1[[#This Row],[Dessert/NW  (g)]]/Table1[[#This Row],[Sample Qty  (g)]],"")</f>
        <v>6.0000000000000001E-3</v>
      </c>
      <c r="AF159" s="9">
        <f>IFERROR(SUM(Table1[[#This Row],[Oil  (g)]:[Dirty  (g)]])/Table1[[#This Row],[Sample Qty  (g)]],"")</f>
        <v>3.2000000000000001E-2</v>
      </c>
      <c r="AG159" s="9">
        <f>IFERROR(Table1[[#This Row],[Rejection  (g)]]/Table1[[#This Row],[Sample Qty  (g)]],"")</f>
        <v>1.2E-2</v>
      </c>
      <c r="AH159" s="9">
        <f>IFERROR(Table1[[#This Row],[Husk  (g)]]/Table1[[#This Row],[Sample Qty  (g)]],"")</f>
        <v>9.8000000000000004E-2</v>
      </c>
    </row>
    <row r="160" spans="2:34" ht="12" x14ac:dyDescent="0.25">
      <c r="B160" s="8">
        <v>46218</v>
      </c>
      <c r="C160" s="7">
        <f>WEEKNUM(Table1[[#This Row],[Date]])</f>
        <v>29</v>
      </c>
      <c r="D160" s="5" t="s">
        <v>82</v>
      </c>
      <c r="E160" s="10" t="s">
        <v>71</v>
      </c>
      <c r="F160" s="7" t="s">
        <v>21</v>
      </c>
      <c r="H160" s="7">
        <v>1000</v>
      </c>
      <c r="I160" s="7">
        <v>284</v>
      </c>
      <c r="J160" s="7">
        <v>2.9</v>
      </c>
      <c r="K160" s="7">
        <v>629</v>
      </c>
      <c r="L160" s="7">
        <v>54</v>
      </c>
      <c r="N160" s="7">
        <v>67</v>
      </c>
      <c r="O160" s="7">
        <v>74</v>
      </c>
      <c r="P160" s="7">
        <v>0</v>
      </c>
      <c r="Q160" s="7">
        <v>7</v>
      </c>
      <c r="S160" s="7">
        <v>6</v>
      </c>
      <c r="T160" s="7">
        <v>26</v>
      </c>
      <c r="U160" s="7">
        <v>22</v>
      </c>
      <c r="W160" s="7">
        <v>19</v>
      </c>
      <c r="X160" s="7">
        <v>96</v>
      </c>
      <c r="Y160" s="7">
        <f>SUM(Table1[[#This Row],[Good Kernels  (g)]:[Husk  (g)]])</f>
        <v>1000</v>
      </c>
      <c r="Z160" s="9">
        <f>IFERROR(Table1[[#This Row],[Good Kernels  (g)]]/Table1[[#This Row],[Sample Qty  (g)]],"")</f>
        <v>0.629</v>
      </c>
      <c r="AA160" s="9">
        <f>IFERROR(SUM(Table1[[#This Row],[Pieces  (g)]:[Butts (g)]])/Table1[[#This Row],[Sample Qty  (g)]],"")</f>
        <v>5.3999999999999999E-2</v>
      </c>
      <c r="AB160" s="9">
        <f>IFERROR(Table1[[#This Row],[Scorched (g)]]/Table1[[#This Row],[Sample Qty  (g)]],"")</f>
        <v>6.7000000000000004E-2</v>
      </c>
      <c r="AC160" s="9">
        <f>IFERROR(SUM(Table1[[#This Row],[Spotted  (g)]:[PUK3  (g)]])/Table1[[#This Row],[Sample Qty  (g)]],"")</f>
        <v>7.3999999999999996E-2</v>
      </c>
      <c r="AD160" s="9">
        <f>IFERROR(SUM(R160,Q160)/Table1[[#This Row],[Sample Qty  (g)]],"")</f>
        <v>7.0000000000000001E-3</v>
      </c>
      <c r="AE160" s="9">
        <f>IFERROR(Table1[[#This Row],[Dessert/NW  (g)]]/Table1[[#This Row],[Sample Qty  (g)]],"")</f>
        <v>6.0000000000000001E-3</v>
      </c>
      <c r="AF160" s="9">
        <f>IFERROR(SUM(Table1[[#This Row],[Oil  (g)]:[Dirty  (g)]])/Table1[[#This Row],[Sample Qty  (g)]],"")</f>
        <v>4.8000000000000001E-2</v>
      </c>
      <c r="AG160" s="9">
        <f>IFERROR(Table1[[#This Row],[Rejection  (g)]]/Table1[[#This Row],[Sample Qty  (g)]],"")</f>
        <v>1.9E-2</v>
      </c>
      <c r="AH160" s="9">
        <f>IFERROR(Table1[[#This Row],[Husk  (g)]]/Table1[[#This Row],[Sample Qty  (g)]],"")</f>
        <v>9.6000000000000002E-2</v>
      </c>
    </row>
    <row r="161" spans="2:34" ht="12" x14ac:dyDescent="0.25">
      <c r="B161" s="8">
        <v>46218</v>
      </c>
      <c r="C161" s="7">
        <f>WEEKNUM(Table1[[#This Row],[Date]])</f>
        <v>29</v>
      </c>
      <c r="D161" s="5" t="s">
        <v>82</v>
      </c>
      <c r="E161" s="10" t="s">
        <v>71</v>
      </c>
      <c r="F161" s="7" t="s">
        <v>21</v>
      </c>
      <c r="H161" s="7">
        <v>1000</v>
      </c>
      <c r="I161" s="7">
        <v>304</v>
      </c>
      <c r="J161" s="7">
        <v>3.3</v>
      </c>
      <c r="K161" s="7">
        <v>604</v>
      </c>
      <c r="L161" s="7">
        <v>60</v>
      </c>
      <c r="N161" s="7">
        <v>68</v>
      </c>
      <c r="O161" s="7">
        <v>80</v>
      </c>
      <c r="P161" s="7">
        <v>0</v>
      </c>
      <c r="Q161" s="7">
        <v>20</v>
      </c>
      <c r="S161" s="7">
        <v>8</v>
      </c>
      <c r="T161" s="7">
        <v>20</v>
      </c>
      <c r="U161" s="7">
        <v>24</v>
      </c>
      <c r="W161" s="7">
        <v>32</v>
      </c>
      <c r="X161" s="7">
        <v>84</v>
      </c>
      <c r="Y161" s="7">
        <f>SUM(Table1[[#This Row],[Good Kernels  (g)]:[Husk  (g)]])</f>
        <v>1000</v>
      </c>
      <c r="Z161" s="9">
        <f>IFERROR(Table1[[#This Row],[Good Kernels  (g)]]/Table1[[#This Row],[Sample Qty  (g)]],"")</f>
        <v>0.60399999999999998</v>
      </c>
      <c r="AA161" s="9">
        <f>IFERROR(SUM(Table1[[#This Row],[Pieces  (g)]:[Butts (g)]])/Table1[[#This Row],[Sample Qty  (g)]],"")</f>
        <v>0.06</v>
      </c>
      <c r="AB161" s="9">
        <f>IFERROR(Table1[[#This Row],[Scorched (g)]]/Table1[[#This Row],[Sample Qty  (g)]],"")</f>
        <v>6.8000000000000005E-2</v>
      </c>
      <c r="AC161" s="9">
        <f>IFERROR(SUM(Table1[[#This Row],[Spotted  (g)]:[PUK3  (g)]])/Table1[[#This Row],[Sample Qty  (g)]],"")</f>
        <v>0.08</v>
      </c>
      <c r="AD161" s="9">
        <f>IFERROR(SUM(R161,Q161)/Table1[[#This Row],[Sample Qty  (g)]],"")</f>
        <v>0.02</v>
      </c>
      <c r="AE161" s="9">
        <f>IFERROR(Table1[[#This Row],[Dessert/NW  (g)]]/Table1[[#This Row],[Sample Qty  (g)]],"")</f>
        <v>8.0000000000000002E-3</v>
      </c>
      <c r="AF161" s="9">
        <f>IFERROR(SUM(Table1[[#This Row],[Oil  (g)]:[Dirty  (g)]])/Table1[[#This Row],[Sample Qty  (g)]],"")</f>
        <v>4.3999999999999997E-2</v>
      </c>
      <c r="AG161" s="9">
        <f>IFERROR(Table1[[#This Row],[Rejection  (g)]]/Table1[[#This Row],[Sample Qty  (g)]],"")</f>
        <v>3.2000000000000001E-2</v>
      </c>
      <c r="AH161" s="9">
        <f>IFERROR(Table1[[#This Row],[Husk  (g)]]/Table1[[#This Row],[Sample Qty  (g)]],"")</f>
        <v>8.4000000000000005E-2</v>
      </c>
    </row>
    <row r="162" spans="2:34" ht="12" x14ac:dyDescent="0.25">
      <c r="B162" s="8">
        <v>46218</v>
      </c>
      <c r="C162" s="7">
        <f>WEEKNUM(Table1[[#This Row],[Date]])</f>
        <v>29</v>
      </c>
      <c r="D162" s="5" t="s">
        <v>82</v>
      </c>
      <c r="E162" s="10" t="s">
        <v>71</v>
      </c>
      <c r="F162" s="7" t="s">
        <v>21</v>
      </c>
      <c r="H162" s="7">
        <v>1000</v>
      </c>
      <c r="I162" s="7">
        <v>262</v>
      </c>
      <c r="J162" s="7">
        <v>3.3</v>
      </c>
      <c r="K162" s="7">
        <v>596</v>
      </c>
      <c r="L162" s="7">
        <v>64</v>
      </c>
      <c r="N162" s="7">
        <v>52</v>
      </c>
      <c r="O162" s="7">
        <v>68</v>
      </c>
      <c r="P162" s="7">
        <v>0</v>
      </c>
      <c r="Q162" s="7">
        <v>28</v>
      </c>
      <c r="S162" s="7">
        <v>8</v>
      </c>
      <c r="T162" s="7">
        <v>24</v>
      </c>
      <c r="U162" s="7">
        <v>32</v>
      </c>
      <c r="W162" s="7">
        <v>36</v>
      </c>
      <c r="X162" s="7">
        <v>92</v>
      </c>
      <c r="Y162" s="7">
        <f>SUM(Table1[[#This Row],[Good Kernels  (g)]:[Husk  (g)]])</f>
        <v>1000</v>
      </c>
      <c r="Z162" s="9">
        <f>IFERROR(Table1[[#This Row],[Good Kernels  (g)]]/Table1[[#This Row],[Sample Qty  (g)]],"")</f>
        <v>0.59599999999999997</v>
      </c>
      <c r="AA162" s="9">
        <f>IFERROR(SUM(Table1[[#This Row],[Pieces  (g)]:[Butts (g)]])/Table1[[#This Row],[Sample Qty  (g)]],"")</f>
        <v>6.4000000000000001E-2</v>
      </c>
      <c r="AB162" s="9">
        <f>IFERROR(Table1[[#This Row],[Scorched (g)]]/Table1[[#This Row],[Sample Qty  (g)]],"")</f>
        <v>5.1999999999999998E-2</v>
      </c>
      <c r="AC162" s="9">
        <f>IFERROR(SUM(Table1[[#This Row],[Spotted  (g)]:[PUK3  (g)]])/Table1[[#This Row],[Sample Qty  (g)]],"")</f>
        <v>6.8000000000000005E-2</v>
      </c>
      <c r="AD162" s="9">
        <f>IFERROR(SUM(R162,Q162)/Table1[[#This Row],[Sample Qty  (g)]],"")</f>
        <v>2.8000000000000001E-2</v>
      </c>
      <c r="AE162" s="9">
        <f>IFERROR(Table1[[#This Row],[Dessert/NW  (g)]]/Table1[[#This Row],[Sample Qty  (g)]],"")</f>
        <v>8.0000000000000002E-3</v>
      </c>
      <c r="AF162" s="9">
        <f>IFERROR(SUM(Table1[[#This Row],[Oil  (g)]:[Dirty  (g)]])/Table1[[#This Row],[Sample Qty  (g)]],"")</f>
        <v>5.6000000000000001E-2</v>
      </c>
      <c r="AG162" s="9">
        <f>IFERROR(Table1[[#This Row],[Rejection  (g)]]/Table1[[#This Row],[Sample Qty  (g)]],"")</f>
        <v>3.5999999999999997E-2</v>
      </c>
      <c r="AH162" s="9">
        <f>IFERROR(Table1[[#This Row],[Husk  (g)]]/Table1[[#This Row],[Sample Qty  (g)]],"")</f>
        <v>9.1999999999999998E-2</v>
      </c>
    </row>
    <row r="163" spans="2:34" ht="12" x14ac:dyDescent="0.25">
      <c r="B163" s="8">
        <v>46219</v>
      </c>
      <c r="C163" s="7">
        <f>WEEKNUM(Table1[[#This Row],[Date]])</f>
        <v>29</v>
      </c>
      <c r="D163" s="5" t="s">
        <v>83</v>
      </c>
      <c r="E163" s="10" t="s">
        <v>71</v>
      </c>
      <c r="F163" s="7" t="s">
        <v>21</v>
      </c>
      <c r="H163" s="7">
        <v>1000</v>
      </c>
      <c r="I163" s="7">
        <v>312</v>
      </c>
      <c r="J163" s="7">
        <v>3.3</v>
      </c>
      <c r="K163" s="7">
        <v>629</v>
      </c>
      <c r="L163" s="7">
        <v>39</v>
      </c>
      <c r="N163" s="7">
        <v>76</v>
      </c>
      <c r="O163" s="7">
        <v>92</v>
      </c>
      <c r="P163" s="7">
        <v>0</v>
      </c>
      <c r="Q163" s="7">
        <v>32</v>
      </c>
      <c r="S163" s="7">
        <v>8</v>
      </c>
      <c r="T163" s="7">
        <v>16</v>
      </c>
      <c r="U163" s="7">
        <v>4</v>
      </c>
      <c r="W163" s="7">
        <v>4</v>
      </c>
      <c r="X163" s="7">
        <v>100</v>
      </c>
      <c r="Y163" s="7">
        <f>SUM(Table1[[#This Row],[Good Kernels  (g)]:[Husk  (g)]])</f>
        <v>1000</v>
      </c>
      <c r="Z163" s="9">
        <f>IFERROR(Table1[[#This Row],[Good Kernels  (g)]]/Table1[[#This Row],[Sample Qty  (g)]],"")</f>
        <v>0.629</v>
      </c>
      <c r="AA163" s="9">
        <f>IFERROR(SUM(Table1[[#This Row],[Pieces  (g)]:[Butts (g)]])/Table1[[#This Row],[Sample Qty  (g)]],"")</f>
        <v>3.9E-2</v>
      </c>
      <c r="AB163" s="9">
        <f>IFERROR(Table1[[#This Row],[Scorched (g)]]/Table1[[#This Row],[Sample Qty  (g)]],"")</f>
        <v>7.5999999999999998E-2</v>
      </c>
      <c r="AC163" s="9">
        <f>IFERROR(SUM(Table1[[#This Row],[Spotted  (g)]:[PUK3  (g)]])/Table1[[#This Row],[Sample Qty  (g)]],"")</f>
        <v>9.1999999999999998E-2</v>
      </c>
      <c r="AD163" s="9">
        <f>IFERROR(SUM(R163,Q163)/Table1[[#This Row],[Sample Qty  (g)]],"")</f>
        <v>3.2000000000000001E-2</v>
      </c>
      <c r="AE163" s="9">
        <f>IFERROR(Table1[[#This Row],[Dessert/NW  (g)]]/Table1[[#This Row],[Sample Qty  (g)]],"")</f>
        <v>8.0000000000000002E-3</v>
      </c>
      <c r="AF163" s="9">
        <f>IFERROR(SUM(Table1[[#This Row],[Oil  (g)]:[Dirty  (g)]])/Table1[[#This Row],[Sample Qty  (g)]],"")</f>
        <v>0.02</v>
      </c>
      <c r="AG163" s="9">
        <f>IFERROR(Table1[[#This Row],[Rejection  (g)]]/Table1[[#This Row],[Sample Qty  (g)]],"")</f>
        <v>4.0000000000000001E-3</v>
      </c>
      <c r="AH163" s="9">
        <f>IFERROR(Table1[[#This Row],[Husk  (g)]]/Table1[[#This Row],[Sample Qty  (g)]],"")</f>
        <v>0.1</v>
      </c>
    </row>
    <row r="164" spans="2:34" ht="12" x14ac:dyDescent="0.25">
      <c r="B164" s="8">
        <v>46219</v>
      </c>
      <c r="C164" s="7">
        <f>WEEKNUM(Table1[[#This Row],[Date]])</f>
        <v>29</v>
      </c>
      <c r="D164" s="5" t="s">
        <v>83</v>
      </c>
      <c r="E164" s="10" t="s">
        <v>71</v>
      </c>
      <c r="F164" s="7" t="s">
        <v>21</v>
      </c>
      <c r="H164" s="7">
        <v>1000</v>
      </c>
      <c r="I164" s="7">
        <v>240</v>
      </c>
      <c r="J164" s="7">
        <v>3.1</v>
      </c>
      <c r="K164" s="7">
        <v>601</v>
      </c>
      <c r="L164" s="7">
        <v>60</v>
      </c>
      <c r="N164" s="7">
        <v>20</v>
      </c>
      <c r="O164" s="7">
        <v>164</v>
      </c>
      <c r="P164" s="7">
        <v>0</v>
      </c>
      <c r="Q164" s="7">
        <v>24</v>
      </c>
      <c r="S164" s="7">
        <v>8</v>
      </c>
      <c r="T164" s="7">
        <v>20</v>
      </c>
      <c r="U164" s="7">
        <v>15</v>
      </c>
      <c r="W164" s="7">
        <v>8</v>
      </c>
      <c r="X164" s="7">
        <v>80</v>
      </c>
      <c r="Y164" s="7">
        <f>SUM(Table1[[#This Row],[Good Kernels  (g)]:[Husk  (g)]])</f>
        <v>1000</v>
      </c>
      <c r="Z164" s="9">
        <f>IFERROR(Table1[[#This Row],[Good Kernels  (g)]]/Table1[[#This Row],[Sample Qty  (g)]],"")</f>
        <v>0.60099999999999998</v>
      </c>
      <c r="AA164" s="9">
        <f>IFERROR(SUM(Table1[[#This Row],[Pieces  (g)]:[Butts (g)]])/Table1[[#This Row],[Sample Qty  (g)]],"")</f>
        <v>0.06</v>
      </c>
      <c r="AB164" s="9">
        <f>IFERROR(Table1[[#This Row],[Scorched (g)]]/Table1[[#This Row],[Sample Qty  (g)]],"")</f>
        <v>0.02</v>
      </c>
      <c r="AC164" s="9">
        <f>IFERROR(SUM(Table1[[#This Row],[Spotted  (g)]:[PUK3  (g)]])/Table1[[#This Row],[Sample Qty  (g)]],"")</f>
        <v>0.16400000000000001</v>
      </c>
      <c r="AD164" s="9">
        <f>IFERROR(SUM(R164,Q164)/Table1[[#This Row],[Sample Qty  (g)]],"")</f>
        <v>2.4E-2</v>
      </c>
      <c r="AE164" s="9">
        <f>IFERROR(Table1[[#This Row],[Dessert/NW  (g)]]/Table1[[#This Row],[Sample Qty  (g)]],"")</f>
        <v>8.0000000000000002E-3</v>
      </c>
      <c r="AF164" s="9">
        <f>IFERROR(SUM(Table1[[#This Row],[Oil  (g)]:[Dirty  (g)]])/Table1[[#This Row],[Sample Qty  (g)]],"")</f>
        <v>3.5000000000000003E-2</v>
      </c>
      <c r="AG164" s="9">
        <f>IFERROR(Table1[[#This Row],[Rejection  (g)]]/Table1[[#This Row],[Sample Qty  (g)]],"")</f>
        <v>8.0000000000000002E-3</v>
      </c>
      <c r="AH164" s="9">
        <f>IFERROR(Table1[[#This Row],[Husk  (g)]]/Table1[[#This Row],[Sample Qty  (g)]],"")</f>
        <v>0.08</v>
      </c>
    </row>
    <row r="165" spans="2:34" ht="12" x14ac:dyDescent="0.25">
      <c r="B165" s="8">
        <v>46219</v>
      </c>
      <c r="C165" s="7">
        <f>WEEKNUM(Table1[[#This Row],[Date]])</f>
        <v>29</v>
      </c>
      <c r="D165" s="5" t="s">
        <v>83</v>
      </c>
      <c r="E165" s="10" t="s">
        <v>71</v>
      </c>
      <c r="F165" s="7" t="s">
        <v>21</v>
      </c>
      <c r="H165" s="7">
        <v>1000</v>
      </c>
      <c r="I165" s="7">
        <v>284</v>
      </c>
      <c r="J165" s="7">
        <v>3.3</v>
      </c>
      <c r="K165" s="7">
        <v>650</v>
      </c>
      <c r="L165" s="7">
        <v>28</v>
      </c>
      <c r="N165" s="7">
        <v>44</v>
      </c>
      <c r="O165" s="7">
        <v>120</v>
      </c>
      <c r="P165" s="7">
        <v>0</v>
      </c>
      <c r="Q165" s="7">
        <v>16</v>
      </c>
      <c r="S165" s="7">
        <v>4</v>
      </c>
      <c r="T165" s="7">
        <v>12</v>
      </c>
      <c r="U165" s="7">
        <v>10</v>
      </c>
      <c r="W165" s="7">
        <v>16</v>
      </c>
      <c r="X165" s="7">
        <v>100</v>
      </c>
      <c r="Y165" s="7">
        <f>SUM(Table1[[#This Row],[Good Kernels  (g)]:[Husk  (g)]])</f>
        <v>1000</v>
      </c>
      <c r="Z165" s="9">
        <f>IFERROR(Table1[[#This Row],[Good Kernels  (g)]]/Table1[[#This Row],[Sample Qty  (g)]],"")</f>
        <v>0.65</v>
      </c>
      <c r="AA165" s="9">
        <f>IFERROR(SUM(Table1[[#This Row],[Pieces  (g)]:[Butts (g)]])/Table1[[#This Row],[Sample Qty  (g)]],"")</f>
        <v>2.8000000000000001E-2</v>
      </c>
      <c r="AB165" s="9">
        <f>IFERROR(Table1[[#This Row],[Scorched (g)]]/Table1[[#This Row],[Sample Qty  (g)]],"")</f>
        <v>4.3999999999999997E-2</v>
      </c>
      <c r="AC165" s="9">
        <f>IFERROR(SUM(Table1[[#This Row],[Spotted  (g)]:[PUK3  (g)]])/Table1[[#This Row],[Sample Qty  (g)]],"")</f>
        <v>0.12</v>
      </c>
      <c r="AD165" s="9">
        <f>IFERROR(SUM(R165,Q165)/Table1[[#This Row],[Sample Qty  (g)]],"")</f>
        <v>1.6E-2</v>
      </c>
      <c r="AE165" s="9">
        <f>IFERROR(Table1[[#This Row],[Dessert/NW  (g)]]/Table1[[#This Row],[Sample Qty  (g)]],"")</f>
        <v>4.0000000000000001E-3</v>
      </c>
      <c r="AF165" s="9">
        <f>IFERROR(SUM(Table1[[#This Row],[Oil  (g)]:[Dirty  (g)]])/Table1[[#This Row],[Sample Qty  (g)]],"")</f>
        <v>2.1999999999999999E-2</v>
      </c>
      <c r="AG165" s="9">
        <f>IFERROR(Table1[[#This Row],[Rejection  (g)]]/Table1[[#This Row],[Sample Qty  (g)]],"")</f>
        <v>1.6E-2</v>
      </c>
      <c r="AH165" s="9">
        <f>IFERROR(Table1[[#This Row],[Husk  (g)]]/Table1[[#This Row],[Sample Qty  (g)]],"")</f>
        <v>0.1</v>
      </c>
    </row>
    <row r="166" spans="2:34" ht="12" x14ac:dyDescent="0.25">
      <c r="B166" s="8">
        <v>46219</v>
      </c>
      <c r="C166" s="7">
        <f>WEEKNUM(Table1[[#This Row],[Date]])</f>
        <v>29</v>
      </c>
      <c r="D166" s="5" t="s">
        <v>83</v>
      </c>
      <c r="E166" s="10" t="s">
        <v>71</v>
      </c>
      <c r="F166" s="7" t="s">
        <v>21</v>
      </c>
      <c r="H166" s="7">
        <v>1000</v>
      </c>
      <c r="I166" s="7">
        <v>258</v>
      </c>
      <c r="J166" s="7">
        <v>3.3</v>
      </c>
      <c r="K166" s="7">
        <v>782</v>
      </c>
      <c r="L166" s="7">
        <v>16</v>
      </c>
      <c r="N166" s="7">
        <v>32</v>
      </c>
      <c r="O166" s="7">
        <v>92</v>
      </c>
      <c r="P166" s="7">
        <v>0</v>
      </c>
      <c r="Q166" s="7">
        <v>16</v>
      </c>
      <c r="S166" s="7">
        <v>20</v>
      </c>
      <c r="T166" s="7">
        <v>8</v>
      </c>
      <c r="U166" s="7">
        <v>8</v>
      </c>
      <c r="W166" s="7">
        <v>16</v>
      </c>
      <c r="X166" s="7">
        <v>10</v>
      </c>
      <c r="Y166" s="7">
        <f>SUM(Table1[[#This Row],[Good Kernels  (g)]:[Husk  (g)]])</f>
        <v>1000</v>
      </c>
      <c r="Z166" s="9">
        <f>IFERROR(Table1[[#This Row],[Good Kernels  (g)]]/Table1[[#This Row],[Sample Qty  (g)]],"")</f>
        <v>0.78200000000000003</v>
      </c>
      <c r="AA166" s="9">
        <f>IFERROR(SUM(Table1[[#This Row],[Pieces  (g)]:[Butts (g)]])/Table1[[#This Row],[Sample Qty  (g)]],"")</f>
        <v>1.6E-2</v>
      </c>
      <c r="AB166" s="9">
        <f>IFERROR(Table1[[#This Row],[Scorched (g)]]/Table1[[#This Row],[Sample Qty  (g)]],"")</f>
        <v>3.2000000000000001E-2</v>
      </c>
      <c r="AC166" s="9">
        <f>IFERROR(SUM(Table1[[#This Row],[Spotted  (g)]:[PUK3  (g)]])/Table1[[#This Row],[Sample Qty  (g)]],"")</f>
        <v>9.1999999999999998E-2</v>
      </c>
      <c r="AD166" s="9">
        <f>IFERROR(SUM(R166,Q166)/Table1[[#This Row],[Sample Qty  (g)]],"")</f>
        <v>1.6E-2</v>
      </c>
      <c r="AE166" s="9">
        <f>IFERROR(Table1[[#This Row],[Dessert/NW  (g)]]/Table1[[#This Row],[Sample Qty  (g)]],"")</f>
        <v>0.02</v>
      </c>
      <c r="AF166" s="9">
        <f>IFERROR(SUM(Table1[[#This Row],[Oil  (g)]:[Dirty  (g)]])/Table1[[#This Row],[Sample Qty  (g)]],"")</f>
        <v>1.6E-2</v>
      </c>
      <c r="AG166" s="9">
        <f>IFERROR(Table1[[#This Row],[Rejection  (g)]]/Table1[[#This Row],[Sample Qty  (g)]],"")</f>
        <v>1.6E-2</v>
      </c>
      <c r="AH166" s="9">
        <f>IFERROR(Table1[[#This Row],[Husk  (g)]]/Table1[[#This Row],[Sample Qty  (g)]],"")</f>
        <v>0.01</v>
      </c>
    </row>
    <row r="167" spans="2:34" ht="12" x14ac:dyDescent="0.25">
      <c r="B167" s="8">
        <v>46219</v>
      </c>
      <c r="C167" s="7">
        <f>WEEKNUM(Table1[[#This Row],[Date]])</f>
        <v>29</v>
      </c>
      <c r="D167" s="5" t="s">
        <v>83</v>
      </c>
      <c r="E167" s="10" t="s">
        <v>71</v>
      </c>
      <c r="F167" s="7" t="s">
        <v>21</v>
      </c>
      <c r="H167" s="7">
        <v>1000</v>
      </c>
      <c r="I167" s="7">
        <v>284</v>
      </c>
      <c r="J167" s="7">
        <v>3.1</v>
      </c>
      <c r="K167" s="7">
        <v>567</v>
      </c>
      <c r="L167" s="7">
        <v>54</v>
      </c>
      <c r="N167" s="7">
        <v>76</v>
      </c>
      <c r="O167" s="7">
        <v>124</v>
      </c>
      <c r="P167" s="7">
        <v>0</v>
      </c>
      <c r="Q167" s="7">
        <v>10</v>
      </c>
      <c r="S167" s="7">
        <v>6</v>
      </c>
      <c r="T167" s="7">
        <v>28</v>
      </c>
      <c r="U167" s="7">
        <v>15</v>
      </c>
      <c r="W167" s="7">
        <v>24</v>
      </c>
      <c r="X167" s="7">
        <v>96</v>
      </c>
      <c r="Y167" s="7">
        <f>SUM(Table1[[#This Row],[Good Kernels  (g)]:[Husk  (g)]])</f>
        <v>1000</v>
      </c>
      <c r="Z167" s="9">
        <f>IFERROR(Table1[[#This Row],[Good Kernels  (g)]]/Table1[[#This Row],[Sample Qty  (g)]],"")</f>
        <v>0.56699999999999995</v>
      </c>
      <c r="AA167" s="9">
        <f>IFERROR(SUM(Table1[[#This Row],[Pieces  (g)]:[Butts (g)]])/Table1[[#This Row],[Sample Qty  (g)]],"")</f>
        <v>5.3999999999999999E-2</v>
      </c>
      <c r="AB167" s="9">
        <f>IFERROR(Table1[[#This Row],[Scorched (g)]]/Table1[[#This Row],[Sample Qty  (g)]],"")</f>
        <v>7.5999999999999998E-2</v>
      </c>
      <c r="AC167" s="9">
        <f>IFERROR(SUM(Table1[[#This Row],[Spotted  (g)]:[PUK3  (g)]])/Table1[[#This Row],[Sample Qty  (g)]],"")</f>
        <v>0.124</v>
      </c>
      <c r="AD167" s="9">
        <f>IFERROR(SUM(R167,Q167)/Table1[[#This Row],[Sample Qty  (g)]],"")</f>
        <v>0.01</v>
      </c>
      <c r="AE167" s="9">
        <f>IFERROR(Table1[[#This Row],[Dessert/NW  (g)]]/Table1[[#This Row],[Sample Qty  (g)]],"")</f>
        <v>6.0000000000000001E-3</v>
      </c>
      <c r="AF167" s="9">
        <f>IFERROR(SUM(Table1[[#This Row],[Oil  (g)]:[Dirty  (g)]])/Table1[[#This Row],[Sample Qty  (g)]],"")</f>
        <v>4.2999999999999997E-2</v>
      </c>
      <c r="AG167" s="9">
        <f>IFERROR(Table1[[#This Row],[Rejection  (g)]]/Table1[[#This Row],[Sample Qty  (g)]],"")</f>
        <v>2.4E-2</v>
      </c>
      <c r="AH167" s="9">
        <f>IFERROR(Table1[[#This Row],[Husk  (g)]]/Table1[[#This Row],[Sample Qty  (g)]],"")</f>
        <v>9.6000000000000002E-2</v>
      </c>
    </row>
    <row r="168" spans="2:34" ht="12" x14ac:dyDescent="0.25">
      <c r="B168" s="8">
        <v>46219</v>
      </c>
      <c r="C168" s="7">
        <f>WEEKNUM(Table1[[#This Row],[Date]])</f>
        <v>29</v>
      </c>
      <c r="D168" s="5" t="s">
        <v>83</v>
      </c>
      <c r="E168" s="10" t="s">
        <v>71</v>
      </c>
      <c r="F168" s="7" t="s">
        <v>21</v>
      </c>
      <c r="H168" s="7">
        <v>1000</v>
      </c>
      <c r="I168" s="7">
        <v>298</v>
      </c>
      <c r="J168" s="7">
        <v>3.1</v>
      </c>
      <c r="K168" s="7">
        <v>701</v>
      </c>
      <c r="L168" s="7">
        <v>52</v>
      </c>
      <c r="N168" s="7">
        <v>28</v>
      </c>
      <c r="O168" s="7">
        <v>84</v>
      </c>
      <c r="P168" s="7">
        <v>0</v>
      </c>
      <c r="Q168" s="7">
        <v>4</v>
      </c>
      <c r="S168" s="7">
        <v>8</v>
      </c>
      <c r="T168" s="7">
        <v>12</v>
      </c>
      <c r="U168" s="7">
        <v>3</v>
      </c>
      <c r="W168" s="7">
        <v>16</v>
      </c>
      <c r="X168" s="7">
        <v>92</v>
      </c>
      <c r="Y168" s="7">
        <f>SUM(Table1[[#This Row],[Good Kernels  (g)]:[Husk  (g)]])</f>
        <v>1000</v>
      </c>
      <c r="Z168" s="9">
        <f>IFERROR(Table1[[#This Row],[Good Kernels  (g)]]/Table1[[#This Row],[Sample Qty  (g)]],"")</f>
        <v>0.70099999999999996</v>
      </c>
      <c r="AA168" s="9">
        <f>IFERROR(SUM(Table1[[#This Row],[Pieces  (g)]:[Butts (g)]])/Table1[[#This Row],[Sample Qty  (g)]],"")</f>
        <v>5.1999999999999998E-2</v>
      </c>
      <c r="AB168" s="9">
        <f>IFERROR(Table1[[#This Row],[Scorched (g)]]/Table1[[#This Row],[Sample Qty  (g)]],"")</f>
        <v>2.8000000000000001E-2</v>
      </c>
      <c r="AC168" s="9">
        <f>IFERROR(SUM(Table1[[#This Row],[Spotted  (g)]:[PUK3  (g)]])/Table1[[#This Row],[Sample Qty  (g)]],"")</f>
        <v>8.4000000000000005E-2</v>
      </c>
      <c r="AD168" s="9">
        <f>IFERROR(SUM(R168,Q168)/Table1[[#This Row],[Sample Qty  (g)]],"")</f>
        <v>4.0000000000000001E-3</v>
      </c>
      <c r="AE168" s="9">
        <f>IFERROR(Table1[[#This Row],[Dessert/NW  (g)]]/Table1[[#This Row],[Sample Qty  (g)]],"")</f>
        <v>8.0000000000000002E-3</v>
      </c>
      <c r="AF168" s="9">
        <f>IFERROR(SUM(Table1[[#This Row],[Oil  (g)]:[Dirty  (g)]])/Table1[[#This Row],[Sample Qty  (g)]],"")</f>
        <v>1.4999999999999999E-2</v>
      </c>
      <c r="AG168" s="9">
        <f>IFERROR(Table1[[#This Row],[Rejection  (g)]]/Table1[[#This Row],[Sample Qty  (g)]],"")</f>
        <v>1.6E-2</v>
      </c>
      <c r="AH168" s="9">
        <f>IFERROR(Table1[[#This Row],[Husk  (g)]]/Table1[[#This Row],[Sample Qty  (g)]],"")</f>
        <v>9.1999999999999998E-2</v>
      </c>
    </row>
    <row r="169" spans="2:34" ht="12" x14ac:dyDescent="0.25">
      <c r="B169" s="8">
        <v>46219</v>
      </c>
      <c r="C169" s="7">
        <f>WEEKNUM(Table1[[#This Row],[Date]])</f>
        <v>29</v>
      </c>
      <c r="D169" s="5" t="s">
        <v>83</v>
      </c>
      <c r="E169" s="10" t="s">
        <v>71</v>
      </c>
      <c r="F169" s="7" t="s">
        <v>21</v>
      </c>
      <c r="H169" s="7">
        <v>1000</v>
      </c>
      <c r="I169" s="7">
        <v>318</v>
      </c>
      <c r="J169" s="7">
        <v>3.1</v>
      </c>
      <c r="K169" s="7">
        <v>614</v>
      </c>
      <c r="L169" s="7">
        <v>60</v>
      </c>
      <c r="N169" s="7">
        <v>67</v>
      </c>
      <c r="O169" s="7">
        <v>84</v>
      </c>
      <c r="P169" s="7">
        <v>0</v>
      </c>
      <c r="Q169" s="7">
        <v>14</v>
      </c>
      <c r="S169" s="7">
        <v>13</v>
      </c>
      <c r="T169" s="7">
        <v>15</v>
      </c>
      <c r="U169" s="7">
        <v>20</v>
      </c>
      <c r="W169" s="7">
        <v>17</v>
      </c>
      <c r="X169" s="7">
        <v>96</v>
      </c>
      <c r="Y169" s="7">
        <f>SUM(Table1[[#This Row],[Good Kernels  (g)]:[Husk  (g)]])</f>
        <v>1000</v>
      </c>
      <c r="Z169" s="9">
        <f>IFERROR(Table1[[#This Row],[Good Kernels  (g)]]/Table1[[#This Row],[Sample Qty  (g)]],"")</f>
        <v>0.61399999999999999</v>
      </c>
      <c r="AA169" s="9">
        <f>IFERROR(SUM(Table1[[#This Row],[Pieces  (g)]:[Butts (g)]])/Table1[[#This Row],[Sample Qty  (g)]],"")</f>
        <v>0.06</v>
      </c>
      <c r="AB169" s="9">
        <f>IFERROR(Table1[[#This Row],[Scorched (g)]]/Table1[[#This Row],[Sample Qty  (g)]],"")</f>
        <v>6.7000000000000004E-2</v>
      </c>
      <c r="AC169" s="9">
        <f>IFERROR(SUM(Table1[[#This Row],[Spotted  (g)]:[PUK3  (g)]])/Table1[[#This Row],[Sample Qty  (g)]],"")</f>
        <v>8.4000000000000005E-2</v>
      </c>
      <c r="AD169" s="9">
        <f>IFERROR(SUM(R169,Q169)/Table1[[#This Row],[Sample Qty  (g)]],"")</f>
        <v>1.4E-2</v>
      </c>
      <c r="AE169" s="9">
        <f>IFERROR(Table1[[#This Row],[Dessert/NW  (g)]]/Table1[[#This Row],[Sample Qty  (g)]],"")</f>
        <v>1.2999999999999999E-2</v>
      </c>
      <c r="AF169" s="9">
        <f>IFERROR(SUM(Table1[[#This Row],[Oil  (g)]:[Dirty  (g)]])/Table1[[#This Row],[Sample Qty  (g)]],"")</f>
        <v>3.5000000000000003E-2</v>
      </c>
      <c r="AG169" s="9">
        <f>IFERROR(Table1[[#This Row],[Rejection  (g)]]/Table1[[#This Row],[Sample Qty  (g)]],"")</f>
        <v>1.7000000000000001E-2</v>
      </c>
      <c r="AH169" s="9">
        <f>IFERROR(Table1[[#This Row],[Husk  (g)]]/Table1[[#This Row],[Sample Qty  (g)]],"")</f>
        <v>9.6000000000000002E-2</v>
      </c>
    </row>
    <row r="170" spans="2:34" ht="12" x14ac:dyDescent="0.25">
      <c r="B170" s="8">
        <v>46219</v>
      </c>
      <c r="C170" s="7">
        <f>WEEKNUM(Table1[[#This Row],[Date]])</f>
        <v>29</v>
      </c>
      <c r="D170" s="5" t="s">
        <v>83</v>
      </c>
      <c r="E170" s="10" t="s">
        <v>71</v>
      </c>
      <c r="F170" s="7" t="s">
        <v>21</v>
      </c>
      <c r="H170" s="7">
        <v>1000</v>
      </c>
      <c r="I170" s="7">
        <v>284</v>
      </c>
      <c r="J170" s="7">
        <v>3.1</v>
      </c>
      <c r="K170" s="7">
        <v>703</v>
      </c>
      <c r="L170" s="7">
        <v>40</v>
      </c>
      <c r="N170" s="7">
        <v>84</v>
      </c>
      <c r="O170" s="7">
        <v>42</v>
      </c>
      <c r="P170" s="7">
        <v>0</v>
      </c>
      <c r="Q170" s="7">
        <v>4</v>
      </c>
      <c r="S170" s="7">
        <v>3</v>
      </c>
      <c r="T170" s="7">
        <v>20</v>
      </c>
      <c r="U170" s="7">
        <v>2</v>
      </c>
      <c r="W170" s="7">
        <v>18</v>
      </c>
      <c r="X170" s="7">
        <v>84</v>
      </c>
      <c r="Y170" s="7">
        <f>SUM(Table1[[#This Row],[Good Kernels  (g)]:[Husk  (g)]])</f>
        <v>1000</v>
      </c>
      <c r="Z170" s="9">
        <f>IFERROR(Table1[[#This Row],[Good Kernels  (g)]]/Table1[[#This Row],[Sample Qty  (g)]],"")</f>
        <v>0.70299999999999996</v>
      </c>
      <c r="AA170" s="9">
        <f>IFERROR(SUM(Table1[[#This Row],[Pieces  (g)]:[Butts (g)]])/Table1[[#This Row],[Sample Qty  (g)]],"")</f>
        <v>0.04</v>
      </c>
      <c r="AB170" s="9">
        <f>IFERROR(Table1[[#This Row],[Scorched (g)]]/Table1[[#This Row],[Sample Qty  (g)]],"")</f>
        <v>8.4000000000000005E-2</v>
      </c>
      <c r="AC170" s="9">
        <f>IFERROR(SUM(Table1[[#This Row],[Spotted  (g)]:[PUK3  (g)]])/Table1[[#This Row],[Sample Qty  (g)]],"")</f>
        <v>4.2000000000000003E-2</v>
      </c>
      <c r="AD170" s="9">
        <f>IFERROR(SUM(R170,Q170)/Table1[[#This Row],[Sample Qty  (g)]],"")</f>
        <v>4.0000000000000001E-3</v>
      </c>
      <c r="AE170" s="9">
        <f>IFERROR(Table1[[#This Row],[Dessert/NW  (g)]]/Table1[[#This Row],[Sample Qty  (g)]],"")</f>
        <v>3.0000000000000001E-3</v>
      </c>
      <c r="AF170" s="9">
        <f>IFERROR(SUM(Table1[[#This Row],[Oil  (g)]:[Dirty  (g)]])/Table1[[#This Row],[Sample Qty  (g)]],"")</f>
        <v>2.1999999999999999E-2</v>
      </c>
      <c r="AG170" s="9">
        <f>IFERROR(Table1[[#This Row],[Rejection  (g)]]/Table1[[#This Row],[Sample Qty  (g)]],"")</f>
        <v>1.7999999999999999E-2</v>
      </c>
      <c r="AH170" s="9">
        <f>IFERROR(Table1[[#This Row],[Husk  (g)]]/Table1[[#This Row],[Sample Qty  (g)]],"")</f>
        <v>8.4000000000000005E-2</v>
      </c>
    </row>
    <row r="171" spans="2:34" ht="12" x14ac:dyDescent="0.25">
      <c r="B171" s="8">
        <v>46219</v>
      </c>
      <c r="C171" s="7">
        <f>WEEKNUM(Table1[[#This Row],[Date]])</f>
        <v>29</v>
      </c>
      <c r="D171" s="5" t="s">
        <v>83</v>
      </c>
      <c r="E171" s="10" t="s">
        <v>71</v>
      </c>
      <c r="F171" s="7" t="s">
        <v>21</v>
      </c>
      <c r="H171" s="7">
        <v>1000</v>
      </c>
      <c r="I171" s="7">
        <v>260</v>
      </c>
      <c r="J171" s="7">
        <v>3.1</v>
      </c>
      <c r="K171" s="7">
        <v>610</v>
      </c>
      <c r="L171" s="7">
        <v>48</v>
      </c>
      <c r="N171" s="7">
        <v>90</v>
      </c>
      <c r="O171" s="7">
        <v>100</v>
      </c>
      <c r="P171" s="7">
        <v>0</v>
      </c>
      <c r="Q171" s="7">
        <v>10</v>
      </c>
      <c r="S171" s="7">
        <v>5</v>
      </c>
      <c r="T171" s="7">
        <v>10</v>
      </c>
      <c r="U171" s="7">
        <v>5</v>
      </c>
      <c r="W171" s="7">
        <v>26</v>
      </c>
      <c r="X171" s="7">
        <v>96</v>
      </c>
      <c r="Y171" s="7">
        <f>SUM(Table1[[#This Row],[Good Kernels  (g)]:[Husk  (g)]])</f>
        <v>1000</v>
      </c>
      <c r="Z171" s="9">
        <f>IFERROR(Table1[[#This Row],[Good Kernels  (g)]]/Table1[[#This Row],[Sample Qty  (g)]],"")</f>
        <v>0.61</v>
      </c>
      <c r="AA171" s="9">
        <f>IFERROR(SUM(Table1[[#This Row],[Pieces  (g)]:[Butts (g)]])/Table1[[#This Row],[Sample Qty  (g)]],"")</f>
        <v>4.8000000000000001E-2</v>
      </c>
      <c r="AB171" s="9">
        <f>IFERROR(Table1[[#This Row],[Scorched (g)]]/Table1[[#This Row],[Sample Qty  (g)]],"")</f>
        <v>0.09</v>
      </c>
      <c r="AC171" s="9">
        <f>IFERROR(SUM(Table1[[#This Row],[Spotted  (g)]:[PUK3  (g)]])/Table1[[#This Row],[Sample Qty  (g)]],"")</f>
        <v>0.1</v>
      </c>
      <c r="AD171" s="9">
        <f>IFERROR(SUM(R171,Q171)/Table1[[#This Row],[Sample Qty  (g)]],"")</f>
        <v>0.01</v>
      </c>
      <c r="AE171" s="9">
        <f>IFERROR(Table1[[#This Row],[Dessert/NW  (g)]]/Table1[[#This Row],[Sample Qty  (g)]],"")</f>
        <v>5.0000000000000001E-3</v>
      </c>
      <c r="AF171" s="9">
        <f>IFERROR(SUM(Table1[[#This Row],[Oil  (g)]:[Dirty  (g)]])/Table1[[#This Row],[Sample Qty  (g)]],"")</f>
        <v>1.4999999999999999E-2</v>
      </c>
      <c r="AG171" s="9">
        <f>IFERROR(Table1[[#This Row],[Rejection  (g)]]/Table1[[#This Row],[Sample Qty  (g)]],"")</f>
        <v>2.5999999999999999E-2</v>
      </c>
      <c r="AH171" s="9">
        <f>IFERROR(Table1[[#This Row],[Husk  (g)]]/Table1[[#This Row],[Sample Qty  (g)]],"")</f>
        <v>9.6000000000000002E-2</v>
      </c>
    </row>
    <row r="172" spans="2:34" ht="12" x14ac:dyDescent="0.25">
      <c r="B172" s="8">
        <v>46219</v>
      </c>
      <c r="C172" s="7">
        <f>WEEKNUM(Table1[[#This Row],[Date]])</f>
        <v>29</v>
      </c>
      <c r="D172" s="5" t="s">
        <v>83</v>
      </c>
      <c r="E172" s="10" t="s">
        <v>71</v>
      </c>
      <c r="F172" s="7" t="s">
        <v>21</v>
      </c>
      <c r="H172" s="7">
        <v>1000</v>
      </c>
      <c r="I172" s="7">
        <v>262</v>
      </c>
      <c r="J172" s="7">
        <v>3.1</v>
      </c>
      <c r="K172" s="7">
        <v>612</v>
      </c>
      <c r="L172" s="7">
        <v>52</v>
      </c>
      <c r="N172" s="7">
        <v>80</v>
      </c>
      <c r="O172" s="7">
        <v>100</v>
      </c>
      <c r="P172" s="7">
        <v>0</v>
      </c>
      <c r="Q172" s="7">
        <v>10</v>
      </c>
      <c r="S172" s="7">
        <v>8</v>
      </c>
      <c r="T172" s="7">
        <v>18</v>
      </c>
      <c r="U172" s="7">
        <v>4</v>
      </c>
      <c r="W172" s="7">
        <v>20</v>
      </c>
      <c r="X172" s="7">
        <v>96</v>
      </c>
      <c r="Y172" s="7">
        <f>SUM(Table1[[#This Row],[Good Kernels  (g)]:[Husk  (g)]])</f>
        <v>1000</v>
      </c>
      <c r="Z172" s="9">
        <f>IFERROR(Table1[[#This Row],[Good Kernels  (g)]]/Table1[[#This Row],[Sample Qty  (g)]],"")</f>
        <v>0.61199999999999999</v>
      </c>
      <c r="AA172" s="9">
        <f>IFERROR(SUM(Table1[[#This Row],[Pieces  (g)]:[Butts (g)]])/Table1[[#This Row],[Sample Qty  (g)]],"")</f>
        <v>5.1999999999999998E-2</v>
      </c>
      <c r="AB172" s="9">
        <f>IFERROR(Table1[[#This Row],[Scorched (g)]]/Table1[[#This Row],[Sample Qty  (g)]],"")</f>
        <v>0.08</v>
      </c>
      <c r="AC172" s="9">
        <f>IFERROR(SUM(Table1[[#This Row],[Spotted  (g)]:[PUK3  (g)]])/Table1[[#This Row],[Sample Qty  (g)]],"")</f>
        <v>0.1</v>
      </c>
      <c r="AD172" s="9">
        <f>IFERROR(SUM(R172,Q172)/Table1[[#This Row],[Sample Qty  (g)]],"")</f>
        <v>0.01</v>
      </c>
      <c r="AE172" s="9">
        <f>IFERROR(Table1[[#This Row],[Dessert/NW  (g)]]/Table1[[#This Row],[Sample Qty  (g)]],"")</f>
        <v>8.0000000000000002E-3</v>
      </c>
      <c r="AF172" s="9">
        <f>IFERROR(SUM(Table1[[#This Row],[Oil  (g)]:[Dirty  (g)]])/Table1[[#This Row],[Sample Qty  (g)]],"")</f>
        <v>2.1999999999999999E-2</v>
      </c>
      <c r="AG172" s="9">
        <f>IFERROR(Table1[[#This Row],[Rejection  (g)]]/Table1[[#This Row],[Sample Qty  (g)]],"")</f>
        <v>0.02</v>
      </c>
      <c r="AH172" s="9">
        <f>IFERROR(Table1[[#This Row],[Husk  (g)]]/Table1[[#This Row],[Sample Qty  (g)]],"")</f>
        <v>9.6000000000000002E-2</v>
      </c>
    </row>
    <row r="173" spans="2:34" ht="12" x14ac:dyDescent="0.25">
      <c r="B173" s="8">
        <v>46219</v>
      </c>
      <c r="C173" s="7">
        <f>WEEKNUM(Table1[[#This Row],[Date]])</f>
        <v>29</v>
      </c>
      <c r="D173" s="5" t="s">
        <v>83</v>
      </c>
      <c r="E173" s="10" t="s">
        <v>71</v>
      </c>
      <c r="F173" s="7" t="s">
        <v>21</v>
      </c>
      <c r="H173" s="7">
        <v>1000</v>
      </c>
      <c r="I173" s="7">
        <v>262</v>
      </c>
      <c r="J173" s="7">
        <v>3.1</v>
      </c>
      <c r="K173" s="7">
        <v>650</v>
      </c>
      <c r="L173" s="7">
        <v>84</v>
      </c>
      <c r="N173" s="7">
        <v>40</v>
      </c>
      <c r="O173" s="7">
        <v>40</v>
      </c>
      <c r="P173" s="7">
        <v>0</v>
      </c>
      <c r="Q173" s="7">
        <v>12</v>
      </c>
      <c r="S173" s="7">
        <v>4</v>
      </c>
      <c r="T173" s="7">
        <v>20</v>
      </c>
      <c r="U173" s="7">
        <v>44</v>
      </c>
      <c r="W173" s="7">
        <v>14</v>
      </c>
      <c r="X173" s="7">
        <v>92</v>
      </c>
      <c r="Y173" s="7">
        <f>SUM(Table1[[#This Row],[Good Kernels  (g)]:[Husk  (g)]])</f>
        <v>1000</v>
      </c>
      <c r="Z173" s="9">
        <f>IFERROR(Table1[[#This Row],[Good Kernels  (g)]]/Table1[[#This Row],[Sample Qty  (g)]],"")</f>
        <v>0.65</v>
      </c>
      <c r="AA173" s="9">
        <f>IFERROR(SUM(Table1[[#This Row],[Pieces  (g)]:[Butts (g)]])/Table1[[#This Row],[Sample Qty  (g)]],"")</f>
        <v>8.4000000000000005E-2</v>
      </c>
      <c r="AB173" s="9">
        <f>IFERROR(Table1[[#This Row],[Scorched (g)]]/Table1[[#This Row],[Sample Qty  (g)]],"")</f>
        <v>0.04</v>
      </c>
      <c r="AC173" s="9">
        <f>IFERROR(SUM(Table1[[#This Row],[Spotted  (g)]:[PUK3  (g)]])/Table1[[#This Row],[Sample Qty  (g)]],"")</f>
        <v>0.04</v>
      </c>
      <c r="AD173" s="9">
        <f>IFERROR(SUM(R173,Q173)/Table1[[#This Row],[Sample Qty  (g)]],"")</f>
        <v>1.2E-2</v>
      </c>
      <c r="AE173" s="9">
        <f>IFERROR(Table1[[#This Row],[Dessert/NW  (g)]]/Table1[[#This Row],[Sample Qty  (g)]],"")</f>
        <v>4.0000000000000001E-3</v>
      </c>
      <c r="AF173" s="9">
        <f>IFERROR(SUM(Table1[[#This Row],[Oil  (g)]:[Dirty  (g)]])/Table1[[#This Row],[Sample Qty  (g)]],"")</f>
        <v>6.4000000000000001E-2</v>
      </c>
      <c r="AG173" s="9">
        <f>IFERROR(Table1[[#This Row],[Rejection  (g)]]/Table1[[#This Row],[Sample Qty  (g)]],"")</f>
        <v>1.4E-2</v>
      </c>
      <c r="AH173" s="9">
        <f>IFERROR(Table1[[#This Row],[Husk  (g)]]/Table1[[#This Row],[Sample Qty  (g)]],"")</f>
        <v>9.1999999999999998E-2</v>
      </c>
    </row>
    <row r="174" spans="2:34" ht="12" x14ac:dyDescent="0.25">
      <c r="B174" s="8">
        <v>46219</v>
      </c>
      <c r="C174" s="7">
        <f>WEEKNUM(Table1[[#This Row],[Date]])</f>
        <v>29</v>
      </c>
      <c r="D174" s="5" t="s">
        <v>83</v>
      </c>
      <c r="E174" s="10" t="s">
        <v>71</v>
      </c>
      <c r="F174" s="7" t="s">
        <v>21</v>
      </c>
      <c r="H174" s="7">
        <v>1000</v>
      </c>
      <c r="I174" s="7">
        <v>274</v>
      </c>
      <c r="J174" s="7">
        <v>3</v>
      </c>
      <c r="K174" s="7">
        <v>584</v>
      </c>
      <c r="L174" s="7">
        <v>89</v>
      </c>
      <c r="N174" s="7">
        <v>68</v>
      </c>
      <c r="O174" s="7">
        <v>64</v>
      </c>
      <c r="P174" s="7">
        <v>0</v>
      </c>
      <c r="Q174" s="7">
        <v>8</v>
      </c>
      <c r="S174" s="7">
        <v>6</v>
      </c>
      <c r="T174" s="7">
        <v>22</v>
      </c>
      <c r="U174" s="7">
        <v>59</v>
      </c>
      <c r="W174" s="7">
        <v>10</v>
      </c>
      <c r="X174" s="7">
        <v>90</v>
      </c>
      <c r="Y174" s="7">
        <f>SUM(Table1[[#This Row],[Good Kernels  (g)]:[Husk  (g)]])</f>
        <v>1000</v>
      </c>
      <c r="Z174" s="9">
        <f>IFERROR(Table1[[#This Row],[Good Kernels  (g)]]/Table1[[#This Row],[Sample Qty  (g)]],"")</f>
        <v>0.58399999999999996</v>
      </c>
      <c r="AA174" s="9">
        <f>IFERROR(SUM(Table1[[#This Row],[Pieces  (g)]:[Butts (g)]])/Table1[[#This Row],[Sample Qty  (g)]],"")</f>
        <v>8.8999999999999996E-2</v>
      </c>
      <c r="AB174" s="9">
        <f>IFERROR(Table1[[#This Row],[Scorched (g)]]/Table1[[#This Row],[Sample Qty  (g)]],"")</f>
        <v>6.8000000000000005E-2</v>
      </c>
      <c r="AC174" s="9">
        <f>IFERROR(SUM(Table1[[#This Row],[Spotted  (g)]:[PUK3  (g)]])/Table1[[#This Row],[Sample Qty  (g)]],"")</f>
        <v>6.4000000000000001E-2</v>
      </c>
      <c r="AD174" s="9">
        <f>IFERROR(SUM(R174,Q174)/Table1[[#This Row],[Sample Qty  (g)]],"")</f>
        <v>8.0000000000000002E-3</v>
      </c>
      <c r="AE174" s="9">
        <f>IFERROR(Table1[[#This Row],[Dessert/NW  (g)]]/Table1[[#This Row],[Sample Qty  (g)]],"")</f>
        <v>6.0000000000000001E-3</v>
      </c>
      <c r="AF174" s="9">
        <f>IFERROR(SUM(Table1[[#This Row],[Oil  (g)]:[Dirty  (g)]])/Table1[[#This Row],[Sample Qty  (g)]],"")</f>
        <v>8.1000000000000003E-2</v>
      </c>
      <c r="AG174" s="9">
        <f>IFERROR(Table1[[#This Row],[Rejection  (g)]]/Table1[[#This Row],[Sample Qty  (g)]],"")</f>
        <v>0.01</v>
      </c>
      <c r="AH174" s="9">
        <f>IFERROR(Table1[[#This Row],[Husk  (g)]]/Table1[[#This Row],[Sample Qty  (g)]],"")</f>
        <v>0.09</v>
      </c>
    </row>
    <row r="175" spans="2:34" ht="12" x14ac:dyDescent="0.25">
      <c r="B175" s="8">
        <v>46219</v>
      </c>
      <c r="C175" s="7">
        <f>WEEKNUM(Table1[[#This Row],[Date]])</f>
        <v>29</v>
      </c>
      <c r="D175" s="5" t="s">
        <v>84</v>
      </c>
      <c r="E175" s="10" t="s">
        <v>71</v>
      </c>
      <c r="F175" s="7" t="s">
        <v>21</v>
      </c>
      <c r="H175" s="7">
        <v>1000</v>
      </c>
      <c r="I175" s="7">
        <v>266</v>
      </c>
      <c r="J175" s="7">
        <v>3.3</v>
      </c>
      <c r="K175" s="7">
        <v>700</v>
      </c>
      <c r="L175" s="7">
        <v>40</v>
      </c>
      <c r="N175" s="7">
        <v>60</v>
      </c>
      <c r="O175" s="7">
        <v>80</v>
      </c>
      <c r="P175" s="7">
        <v>0</v>
      </c>
      <c r="Q175" s="7">
        <v>8</v>
      </c>
      <c r="S175" s="7">
        <v>4</v>
      </c>
      <c r="T175" s="7">
        <v>3</v>
      </c>
      <c r="U175" s="7">
        <v>4</v>
      </c>
      <c r="W175" s="7">
        <v>20</v>
      </c>
      <c r="X175" s="7">
        <v>81</v>
      </c>
      <c r="Y175" s="7">
        <f>SUM(Table1[[#This Row],[Good Kernels  (g)]:[Husk  (g)]])</f>
        <v>1000</v>
      </c>
      <c r="Z175" s="9">
        <f>IFERROR(Table1[[#This Row],[Good Kernels  (g)]]/Table1[[#This Row],[Sample Qty  (g)]],"")</f>
        <v>0.7</v>
      </c>
      <c r="AA175" s="9">
        <f>IFERROR(SUM(Table1[[#This Row],[Pieces  (g)]:[Butts (g)]])/Table1[[#This Row],[Sample Qty  (g)]],"")</f>
        <v>0.04</v>
      </c>
      <c r="AB175" s="9">
        <f>IFERROR(Table1[[#This Row],[Scorched (g)]]/Table1[[#This Row],[Sample Qty  (g)]],"")</f>
        <v>0.06</v>
      </c>
      <c r="AC175" s="9">
        <f>IFERROR(SUM(Table1[[#This Row],[Spotted  (g)]:[PUK3  (g)]])/Table1[[#This Row],[Sample Qty  (g)]],"")</f>
        <v>0.08</v>
      </c>
      <c r="AD175" s="9">
        <f>IFERROR(SUM(R175,Q175)/Table1[[#This Row],[Sample Qty  (g)]],"")</f>
        <v>8.0000000000000002E-3</v>
      </c>
      <c r="AE175" s="9">
        <f>IFERROR(Table1[[#This Row],[Dessert/NW  (g)]]/Table1[[#This Row],[Sample Qty  (g)]],"")</f>
        <v>4.0000000000000001E-3</v>
      </c>
      <c r="AF175" s="9">
        <f>IFERROR(SUM(Table1[[#This Row],[Oil  (g)]:[Dirty  (g)]])/Table1[[#This Row],[Sample Qty  (g)]],"")</f>
        <v>7.0000000000000001E-3</v>
      </c>
      <c r="AG175" s="9">
        <f>IFERROR(Table1[[#This Row],[Rejection  (g)]]/Table1[[#This Row],[Sample Qty  (g)]],"")</f>
        <v>0.02</v>
      </c>
      <c r="AH175" s="9">
        <f>IFERROR(Table1[[#This Row],[Husk  (g)]]/Table1[[#This Row],[Sample Qty  (g)]],"")</f>
        <v>8.1000000000000003E-2</v>
      </c>
    </row>
    <row r="176" spans="2:34" ht="12" x14ac:dyDescent="0.25">
      <c r="B176" s="8">
        <v>46219</v>
      </c>
      <c r="C176" s="7">
        <f>WEEKNUM(Table1[[#This Row],[Date]])</f>
        <v>29</v>
      </c>
      <c r="D176" s="5" t="s">
        <v>84</v>
      </c>
      <c r="E176" s="10" t="s">
        <v>71</v>
      </c>
      <c r="F176" s="7" t="s">
        <v>21</v>
      </c>
      <c r="H176" s="7">
        <v>1000</v>
      </c>
      <c r="I176" s="7">
        <v>276</v>
      </c>
      <c r="J176" s="7">
        <v>3.2</v>
      </c>
      <c r="K176" s="7">
        <v>679</v>
      </c>
      <c r="L176" s="7">
        <v>28</v>
      </c>
      <c r="N176" s="7">
        <v>60</v>
      </c>
      <c r="O176" s="7">
        <v>88</v>
      </c>
      <c r="P176" s="7">
        <v>0</v>
      </c>
      <c r="Q176" s="7">
        <v>8</v>
      </c>
      <c r="S176" s="7">
        <v>7</v>
      </c>
      <c r="T176" s="7">
        <v>4</v>
      </c>
      <c r="U176" s="7">
        <v>10</v>
      </c>
      <c r="W176" s="7">
        <v>36</v>
      </c>
      <c r="X176" s="7">
        <v>80</v>
      </c>
      <c r="Y176" s="7">
        <f>SUM(Table1[[#This Row],[Good Kernels  (g)]:[Husk  (g)]])</f>
        <v>1000</v>
      </c>
      <c r="Z176" s="9">
        <f>IFERROR(Table1[[#This Row],[Good Kernels  (g)]]/Table1[[#This Row],[Sample Qty  (g)]],"")</f>
        <v>0.67900000000000005</v>
      </c>
      <c r="AA176" s="9">
        <f>IFERROR(SUM(Table1[[#This Row],[Pieces  (g)]:[Butts (g)]])/Table1[[#This Row],[Sample Qty  (g)]],"")</f>
        <v>2.8000000000000001E-2</v>
      </c>
      <c r="AB176" s="9">
        <f>IFERROR(Table1[[#This Row],[Scorched (g)]]/Table1[[#This Row],[Sample Qty  (g)]],"")</f>
        <v>0.06</v>
      </c>
      <c r="AC176" s="9">
        <f>IFERROR(SUM(Table1[[#This Row],[Spotted  (g)]:[PUK3  (g)]])/Table1[[#This Row],[Sample Qty  (g)]],"")</f>
        <v>8.7999999999999995E-2</v>
      </c>
      <c r="AD176" s="9">
        <f>IFERROR(SUM(R176,Q176)/Table1[[#This Row],[Sample Qty  (g)]],"")</f>
        <v>8.0000000000000002E-3</v>
      </c>
      <c r="AE176" s="9">
        <f>IFERROR(Table1[[#This Row],[Dessert/NW  (g)]]/Table1[[#This Row],[Sample Qty  (g)]],"")</f>
        <v>7.0000000000000001E-3</v>
      </c>
      <c r="AF176" s="9">
        <f>IFERROR(SUM(Table1[[#This Row],[Oil  (g)]:[Dirty  (g)]])/Table1[[#This Row],[Sample Qty  (g)]],"")</f>
        <v>1.4E-2</v>
      </c>
      <c r="AG176" s="9">
        <f>IFERROR(Table1[[#This Row],[Rejection  (g)]]/Table1[[#This Row],[Sample Qty  (g)]],"")</f>
        <v>3.5999999999999997E-2</v>
      </c>
      <c r="AH176" s="9">
        <f>IFERROR(Table1[[#This Row],[Husk  (g)]]/Table1[[#This Row],[Sample Qty  (g)]],"")</f>
        <v>0.08</v>
      </c>
    </row>
    <row r="177" spans="2:34" ht="12" x14ac:dyDescent="0.25">
      <c r="B177" s="8">
        <v>46219</v>
      </c>
      <c r="C177" s="7">
        <f>WEEKNUM(Table1[[#This Row],[Date]])</f>
        <v>29</v>
      </c>
      <c r="D177" s="5" t="s">
        <v>84</v>
      </c>
      <c r="E177" s="10" t="s">
        <v>71</v>
      </c>
      <c r="F177" s="7" t="s">
        <v>21</v>
      </c>
      <c r="H177" s="7">
        <v>1000</v>
      </c>
      <c r="I177" s="7">
        <v>264</v>
      </c>
      <c r="J177" s="7">
        <v>3.2</v>
      </c>
      <c r="K177" s="7">
        <v>715</v>
      </c>
      <c r="L177" s="7">
        <v>44</v>
      </c>
      <c r="N177" s="7">
        <v>36</v>
      </c>
      <c r="O177" s="7">
        <v>88</v>
      </c>
      <c r="P177" s="7">
        <v>0</v>
      </c>
      <c r="Q177" s="7">
        <v>6</v>
      </c>
      <c r="S177" s="7">
        <v>4</v>
      </c>
      <c r="T177" s="7">
        <v>3</v>
      </c>
      <c r="U177" s="7">
        <v>4</v>
      </c>
      <c r="W177" s="7">
        <v>10</v>
      </c>
      <c r="X177" s="7">
        <v>90</v>
      </c>
      <c r="Y177" s="7">
        <f>SUM(Table1[[#This Row],[Good Kernels  (g)]:[Husk  (g)]])</f>
        <v>1000</v>
      </c>
      <c r="Z177" s="9">
        <f>IFERROR(Table1[[#This Row],[Good Kernels  (g)]]/Table1[[#This Row],[Sample Qty  (g)]],"")</f>
        <v>0.71499999999999997</v>
      </c>
      <c r="AA177" s="9">
        <f>IFERROR(SUM(Table1[[#This Row],[Pieces  (g)]:[Butts (g)]])/Table1[[#This Row],[Sample Qty  (g)]],"")</f>
        <v>4.3999999999999997E-2</v>
      </c>
      <c r="AB177" s="9">
        <f>IFERROR(Table1[[#This Row],[Scorched (g)]]/Table1[[#This Row],[Sample Qty  (g)]],"")</f>
        <v>3.5999999999999997E-2</v>
      </c>
      <c r="AC177" s="9">
        <f>IFERROR(SUM(Table1[[#This Row],[Spotted  (g)]:[PUK3  (g)]])/Table1[[#This Row],[Sample Qty  (g)]],"")</f>
        <v>8.7999999999999995E-2</v>
      </c>
      <c r="AD177" s="9">
        <f>IFERROR(SUM(R177,Q177)/Table1[[#This Row],[Sample Qty  (g)]],"")</f>
        <v>6.0000000000000001E-3</v>
      </c>
      <c r="AE177" s="9">
        <f>IFERROR(Table1[[#This Row],[Dessert/NW  (g)]]/Table1[[#This Row],[Sample Qty  (g)]],"")</f>
        <v>4.0000000000000001E-3</v>
      </c>
      <c r="AF177" s="9">
        <f>IFERROR(SUM(Table1[[#This Row],[Oil  (g)]:[Dirty  (g)]])/Table1[[#This Row],[Sample Qty  (g)]],"")</f>
        <v>7.0000000000000001E-3</v>
      </c>
      <c r="AG177" s="9">
        <f>IFERROR(Table1[[#This Row],[Rejection  (g)]]/Table1[[#This Row],[Sample Qty  (g)]],"")</f>
        <v>0.01</v>
      </c>
      <c r="AH177" s="9">
        <f>IFERROR(Table1[[#This Row],[Husk  (g)]]/Table1[[#This Row],[Sample Qty  (g)]],"")</f>
        <v>0.09</v>
      </c>
    </row>
    <row r="178" spans="2:34" ht="12" x14ac:dyDescent="0.25">
      <c r="B178" s="8">
        <v>46220</v>
      </c>
      <c r="C178" s="7">
        <f>WEEKNUM(Table1[[#This Row],[Date]])</f>
        <v>29</v>
      </c>
      <c r="D178" s="5" t="s">
        <v>84</v>
      </c>
      <c r="E178" s="10" t="s">
        <v>71</v>
      </c>
      <c r="F178" s="7" t="s">
        <v>21</v>
      </c>
      <c r="H178" s="7">
        <v>1000</v>
      </c>
      <c r="I178" s="7">
        <v>248</v>
      </c>
      <c r="J178" s="7">
        <v>3.2</v>
      </c>
      <c r="K178" s="7">
        <v>632</v>
      </c>
      <c r="L178" s="7">
        <v>56</v>
      </c>
      <c r="N178" s="7">
        <v>92</v>
      </c>
      <c r="O178" s="7">
        <v>68</v>
      </c>
      <c r="P178" s="7">
        <v>0</v>
      </c>
      <c r="Q178" s="7">
        <v>10</v>
      </c>
      <c r="S178" s="7">
        <v>8</v>
      </c>
      <c r="T178" s="7">
        <v>24</v>
      </c>
      <c r="U178" s="7">
        <v>6</v>
      </c>
      <c r="W178" s="7">
        <v>4</v>
      </c>
      <c r="X178" s="7">
        <v>100</v>
      </c>
      <c r="Y178" s="7">
        <f>SUM(Table1[[#This Row],[Good Kernels  (g)]:[Husk  (g)]])</f>
        <v>1000</v>
      </c>
      <c r="Z178" s="9">
        <f>IFERROR(Table1[[#This Row],[Good Kernels  (g)]]/Table1[[#This Row],[Sample Qty  (g)]],"")</f>
        <v>0.63200000000000001</v>
      </c>
      <c r="AA178" s="9">
        <f>IFERROR(SUM(Table1[[#This Row],[Pieces  (g)]:[Butts (g)]])/Table1[[#This Row],[Sample Qty  (g)]],"")</f>
        <v>5.6000000000000001E-2</v>
      </c>
      <c r="AB178" s="9">
        <f>IFERROR(Table1[[#This Row],[Scorched (g)]]/Table1[[#This Row],[Sample Qty  (g)]],"")</f>
        <v>9.1999999999999998E-2</v>
      </c>
      <c r="AC178" s="9">
        <f>IFERROR(SUM(Table1[[#This Row],[Spotted  (g)]:[PUK3  (g)]])/Table1[[#This Row],[Sample Qty  (g)]],"")</f>
        <v>6.8000000000000005E-2</v>
      </c>
      <c r="AD178" s="9">
        <f>IFERROR(SUM(R178,Q178)/Table1[[#This Row],[Sample Qty  (g)]],"")</f>
        <v>0.01</v>
      </c>
      <c r="AE178" s="9">
        <f>IFERROR(Table1[[#This Row],[Dessert/NW  (g)]]/Table1[[#This Row],[Sample Qty  (g)]],"")</f>
        <v>8.0000000000000002E-3</v>
      </c>
      <c r="AF178" s="9">
        <f>IFERROR(SUM(Table1[[#This Row],[Oil  (g)]:[Dirty  (g)]])/Table1[[#This Row],[Sample Qty  (g)]],"")</f>
        <v>0.03</v>
      </c>
      <c r="AG178" s="9">
        <f>IFERROR(Table1[[#This Row],[Rejection  (g)]]/Table1[[#This Row],[Sample Qty  (g)]],"")</f>
        <v>4.0000000000000001E-3</v>
      </c>
      <c r="AH178" s="9">
        <f>IFERROR(Table1[[#This Row],[Husk  (g)]]/Table1[[#This Row],[Sample Qty  (g)]],"")</f>
        <v>0.1</v>
      </c>
    </row>
    <row r="179" spans="2:34" ht="12" x14ac:dyDescent="0.25">
      <c r="B179" s="8">
        <v>46220</v>
      </c>
      <c r="C179" s="7">
        <f>WEEKNUM(Table1[[#This Row],[Date]])</f>
        <v>29</v>
      </c>
      <c r="D179" s="5" t="s">
        <v>84</v>
      </c>
      <c r="E179" s="10" t="s">
        <v>71</v>
      </c>
      <c r="F179" s="7" t="s">
        <v>21</v>
      </c>
      <c r="H179" s="7">
        <v>1000</v>
      </c>
      <c r="I179" s="7">
        <v>250</v>
      </c>
      <c r="J179" s="7">
        <v>3.1</v>
      </c>
      <c r="K179" s="7">
        <v>685</v>
      </c>
      <c r="L179" s="7">
        <v>44</v>
      </c>
      <c r="N179" s="7">
        <v>56</v>
      </c>
      <c r="O179" s="7">
        <v>96</v>
      </c>
      <c r="P179" s="7">
        <v>0</v>
      </c>
      <c r="Q179" s="7">
        <v>11</v>
      </c>
      <c r="S179" s="7">
        <v>2</v>
      </c>
      <c r="T179" s="7">
        <v>4</v>
      </c>
      <c r="U179" s="7">
        <v>1</v>
      </c>
      <c r="W179" s="7">
        <v>5</v>
      </c>
      <c r="X179" s="7">
        <v>96</v>
      </c>
      <c r="Y179" s="7">
        <f>SUM(Table1[[#This Row],[Good Kernels  (g)]:[Husk  (g)]])</f>
        <v>1000</v>
      </c>
      <c r="Z179" s="9">
        <f>IFERROR(Table1[[#This Row],[Good Kernels  (g)]]/Table1[[#This Row],[Sample Qty  (g)]],"")</f>
        <v>0.68500000000000005</v>
      </c>
      <c r="AA179" s="9">
        <f>IFERROR(SUM(Table1[[#This Row],[Pieces  (g)]:[Butts (g)]])/Table1[[#This Row],[Sample Qty  (g)]],"")</f>
        <v>4.3999999999999997E-2</v>
      </c>
      <c r="AB179" s="9">
        <f>IFERROR(Table1[[#This Row],[Scorched (g)]]/Table1[[#This Row],[Sample Qty  (g)]],"")</f>
        <v>5.6000000000000001E-2</v>
      </c>
      <c r="AC179" s="9">
        <f>IFERROR(SUM(Table1[[#This Row],[Spotted  (g)]:[PUK3  (g)]])/Table1[[#This Row],[Sample Qty  (g)]],"")</f>
        <v>9.6000000000000002E-2</v>
      </c>
      <c r="AD179" s="9">
        <f>IFERROR(SUM(R179,Q179)/Table1[[#This Row],[Sample Qty  (g)]],"")</f>
        <v>1.0999999999999999E-2</v>
      </c>
      <c r="AE179" s="9">
        <f>IFERROR(Table1[[#This Row],[Dessert/NW  (g)]]/Table1[[#This Row],[Sample Qty  (g)]],"")</f>
        <v>2E-3</v>
      </c>
      <c r="AF179" s="9">
        <f>IFERROR(SUM(Table1[[#This Row],[Oil  (g)]:[Dirty  (g)]])/Table1[[#This Row],[Sample Qty  (g)]],"")</f>
        <v>5.0000000000000001E-3</v>
      </c>
      <c r="AG179" s="9">
        <f>IFERROR(Table1[[#This Row],[Rejection  (g)]]/Table1[[#This Row],[Sample Qty  (g)]],"")</f>
        <v>5.0000000000000001E-3</v>
      </c>
      <c r="AH179" s="9">
        <f>IFERROR(Table1[[#This Row],[Husk  (g)]]/Table1[[#This Row],[Sample Qty  (g)]],"")</f>
        <v>9.6000000000000002E-2</v>
      </c>
    </row>
    <row r="180" spans="2:34" ht="12" x14ac:dyDescent="0.25">
      <c r="B180" s="8">
        <v>46220</v>
      </c>
      <c r="C180" s="7">
        <f>WEEKNUM(Table1[[#This Row],[Date]])</f>
        <v>29</v>
      </c>
      <c r="D180" s="5" t="s">
        <v>84</v>
      </c>
      <c r="E180" s="10" t="s">
        <v>71</v>
      </c>
      <c r="F180" s="7" t="s">
        <v>21</v>
      </c>
      <c r="H180" s="7">
        <v>1000</v>
      </c>
      <c r="I180" s="7">
        <v>320</v>
      </c>
      <c r="J180" s="7">
        <v>3.2</v>
      </c>
      <c r="K180" s="7">
        <v>631</v>
      </c>
      <c r="L180" s="7">
        <v>48</v>
      </c>
      <c r="N180" s="7">
        <v>68</v>
      </c>
      <c r="O180" s="7">
        <v>88</v>
      </c>
      <c r="P180" s="7">
        <v>0</v>
      </c>
      <c r="Q180" s="7">
        <v>11</v>
      </c>
      <c r="S180" s="7">
        <v>6</v>
      </c>
      <c r="T180" s="7">
        <v>16</v>
      </c>
      <c r="U180" s="7">
        <v>20</v>
      </c>
      <c r="W180" s="7">
        <v>12</v>
      </c>
      <c r="X180" s="7">
        <v>100</v>
      </c>
      <c r="Y180" s="7">
        <f>SUM(Table1[[#This Row],[Good Kernels  (g)]:[Husk  (g)]])</f>
        <v>1000</v>
      </c>
      <c r="Z180" s="9">
        <f>IFERROR(Table1[[#This Row],[Good Kernels  (g)]]/Table1[[#This Row],[Sample Qty  (g)]],"")</f>
        <v>0.63100000000000001</v>
      </c>
      <c r="AA180" s="9">
        <f>IFERROR(SUM(Table1[[#This Row],[Pieces  (g)]:[Butts (g)]])/Table1[[#This Row],[Sample Qty  (g)]],"")</f>
        <v>4.8000000000000001E-2</v>
      </c>
      <c r="AB180" s="9">
        <f>IFERROR(Table1[[#This Row],[Scorched (g)]]/Table1[[#This Row],[Sample Qty  (g)]],"")</f>
        <v>6.8000000000000005E-2</v>
      </c>
      <c r="AC180" s="9">
        <f>IFERROR(SUM(Table1[[#This Row],[Spotted  (g)]:[PUK3  (g)]])/Table1[[#This Row],[Sample Qty  (g)]],"")</f>
        <v>8.7999999999999995E-2</v>
      </c>
      <c r="AD180" s="9">
        <f>IFERROR(SUM(R180,Q180)/Table1[[#This Row],[Sample Qty  (g)]],"")</f>
        <v>1.0999999999999999E-2</v>
      </c>
      <c r="AE180" s="9">
        <f>IFERROR(Table1[[#This Row],[Dessert/NW  (g)]]/Table1[[#This Row],[Sample Qty  (g)]],"")</f>
        <v>6.0000000000000001E-3</v>
      </c>
      <c r="AF180" s="9">
        <f>IFERROR(SUM(Table1[[#This Row],[Oil  (g)]:[Dirty  (g)]])/Table1[[#This Row],[Sample Qty  (g)]],"")</f>
        <v>3.5999999999999997E-2</v>
      </c>
      <c r="AG180" s="9">
        <f>IFERROR(Table1[[#This Row],[Rejection  (g)]]/Table1[[#This Row],[Sample Qty  (g)]],"")</f>
        <v>1.2E-2</v>
      </c>
      <c r="AH180" s="9">
        <f>IFERROR(Table1[[#This Row],[Husk  (g)]]/Table1[[#This Row],[Sample Qty  (g)]],"")</f>
        <v>0.1</v>
      </c>
    </row>
    <row r="181" spans="2:34" ht="12" x14ac:dyDescent="0.25">
      <c r="B181" s="8">
        <v>46220</v>
      </c>
      <c r="C181" s="7">
        <f>WEEKNUM(Table1[[#This Row],[Date]])</f>
        <v>29</v>
      </c>
      <c r="D181" s="5" t="s">
        <v>84</v>
      </c>
      <c r="E181" s="10" t="s">
        <v>71</v>
      </c>
      <c r="F181" s="7" t="s">
        <v>21</v>
      </c>
      <c r="H181" s="7">
        <v>1000</v>
      </c>
      <c r="I181" s="7">
        <v>320</v>
      </c>
      <c r="J181" s="7">
        <v>3.1</v>
      </c>
      <c r="K181" s="7">
        <v>633</v>
      </c>
      <c r="L181" s="7">
        <v>68</v>
      </c>
      <c r="N181" s="7">
        <v>64</v>
      </c>
      <c r="O181" s="7">
        <v>72</v>
      </c>
      <c r="P181" s="7">
        <v>0</v>
      </c>
      <c r="Q181" s="7">
        <v>32</v>
      </c>
      <c r="S181" s="7">
        <v>4</v>
      </c>
      <c r="T181" s="7">
        <v>7</v>
      </c>
      <c r="U181" s="7">
        <v>16</v>
      </c>
      <c r="W181" s="7">
        <v>4</v>
      </c>
      <c r="X181" s="7">
        <v>100</v>
      </c>
      <c r="Y181" s="7">
        <f>SUM(Table1[[#This Row],[Good Kernels  (g)]:[Husk  (g)]])</f>
        <v>1000</v>
      </c>
      <c r="Z181" s="9">
        <f>IFERROR(Table1[[#This Row],[Good Kernels  (g)]]/Table1[[#This Row],[Sample Qty  (g)]],"")</f>
        <v>0.63300000000000001</v>
      </c>
      <c r="AA181" s="9">
        <f>IFERROR(SUM(Table1[[#This Row],[Pieces  (g)]:[Butts (g)]])/Table1[[#This Row],[Sample Qty  (g)]],"")</f>
        <v>6.8000000000000005E-2</v>
      </c>
      <c r="AB181" s="9">
        <f>IFERROR(Table1[[#This Row],[Scorched (g)]]/Table1[[#This Row],[Sample Qty  (g)]],"")</f>
        <v>6.4000000000000001E-2</v>
      </c>
      <c r="AC181" s="9">
        <f>IFERROR(SUM(Table1[[#This Row],[Spotted  (g)]:[PUK3  (g)]])/Table1[[#This Row],[Sample Qty  (g)]],"")</f>
        <v>7.1999999999999995E-2</v>
      </c>
      <c r="AD181" s="9">
        <f>IFERROR(SUM(R181,Q181)/Table1[[#This Row],[Sample Qty  (g)]],"")</f>
        <v>3.2000000000000001E-2</v>
      </c>
      <c r="AE181" s="9">
        <f>IFERROR(Table1[[#This Row],[Dessert/NW  (g)]]/Table1[[#This Row],[Sample Qty  (g)]],"")</f>
        <v>4.0000000000000001E-3</v>
      </c>
      <c r="AF181" s="9">
        <f>IFERROR(SUM(Table1[[#This Row],[Oil  (g)]:[Dirty  (g)]])/Table1[[#This Row],[Sample Qty  (g)]],"")</f>
        <v>2.3E-2</v>
      </c>
      <c r="AG181" s="9">
        <f>IFERROR(Table1[[#This Row],[Rejection  (g)]]/Table1[[#This Row],[Sample Qty  (g)]],"")</f>
        <v>4.0000000000000001E-3</v>
      </c>
      <c r="AH181" s="9">
        <f>IFERROR(Table1[[#This Row],[Husk  (g)]]/Table1[[#This Row],[Sample Qty  (g)]],"")</f>
        <v>0.1</v>
      </c>
    </row>
    <row r="182" spans="2:34" ht="12" x14ac:dyDescent="0.25">
      <c r="B182" s="8">
        <v>46220</v>
      </c>
      <c r="C182" s="7">
        <f>WEEKNUM(Table1[[#This Row],[Date]])</f>
        <v>29</v>
      </c>
      <c r="D182" s="5" t="s">
        <v>84</v>
      </c>
      <c r="E182" s="10" t="s">
        <v>71</v>
      </c>
      <c r="F182" s="7" t="s">
        <v>21</v>
      </c>
      <c r="H182" s="7">
        <v>1000</v>
      </c>
      <c r="I182" s="7">
        <v>320</v>
      </c>
      <c r="J182" s="7">
        <v>3.2</v>
      </c>
      <c r="K182" s="7">
        <v>544</v>
      </c>
      <c r="L182" s="7">
        <v>36</v>
      </c>
      <c r="N182" s="7">
        <v>64</v>
      </c>
      <c r="O182" s="7">
        <v>116</v>
      </c>
      <c r="P182" s="7">
        <v>0</v>
      </c>
      <c r="Q182" s="7">
        <v>28</v>
      </c>
      <c r="S182" s="7">
        <v>4</v>
      </c>
      <c r="T182" s="7">
        <v>36</v>
      </c>
      <c r="U182" s="7">
        <v>64</v>
      </c>
      <c r="W182" s="7">
        <v>4</v>
      </c>
      <c r="X182" s="7">
        <v>104</v>
      </c>
      <c r="Y182" s="7">
        <f>SUM(Table1[[#This Row],[Good Kernels  (g)]:[Husk  (g)]])</f>
        <v>1000</v>
      </c>
      <c r="Z182" s="9">
        <f>IFERROR(Table1[[#This Row],[Good Kernels  (g)]]/Table1[[#This Row],[Sample Qty  (g)]],"")</f>
        <v>0.54400000000000004</v>
      </c>
      <c r="AA182" s="9">
        <f>IFERROR(SUM(Table1[[#This Row],[Pieces  (g)]:[Butts (g)]])/Table1[[#This Row],[Sample Qty  (g)]],"")</f>
        <v>3.5999999999999997E-2</v>
      </c>
      <c r="AB182" s="9">
        <f>IFERROR(Table1[[#This Row],[Scorched (g)]]/Table1[[#This Row],[Sample Qty  (g)]],"")</f>
        <v>6.4000000000000001E-2</v>
      </c>
      <c r="AC182" s="9">
        <f>IFERROR(SUM(Table1[[#This Row],[Spotted  (g)]:[PUK3  (g)]])/Table1[[#This Row],[Sample Qty  (g)]],"")</f>
        <v>0.11600000000000001</v>
      </c>
      <c r="AD182" s="9">
        <f>IFERROR(SUM(R182,Q182)/Table1[[#This Row],[Sample Qty  (g)]],"")</f>
        <v>2.8000000000000001E-2</v>
      </c>
      <c r="AE182" s="9">
        <f>IFERROR(Table1[[#This Row],[Dessert/NW  (g)]]/Table1[[#This Row],[Sample Qty  (g)]],"")</f>
        <v>4.0000000000000001E-3</v>
      </c>
      <c r="AF182" s="9">
        <f>IFERROR(SUM(Table1[[#This Row],[Oil  (g)]:[Dirty  (g)]])/Table1[[#This Row],[Sample Qty  (g)]],"")</f>
        <v>0.1</v>
      </c>
      <c r="AG182" s="9">
        <f>IFERROR(Table1[[#This Row],[Rejection  (g)]]/Table1[[#This Row],[Sample Qty  (g)]],"")</f>
        <v>4.0000000000000001E-3</v>
      </c>
      <c r="AH182" s="9">
        <f>IFERROR(Table1[[#This Row],[Husk  (g)]]/Table1[[#This Row],[Sample Qty  (g)]],"")</f>
        <v>0.104</v>
      </c>
    </row>
    <row r="183" spans="2:34" ht="12" x14ac:dyDescent="0.25">
      <c r="B183" s="8">
        <v>46220</v>
      </c>
      <c r="C183" s="7">
        <f>WEEKNUM(Table1[[#This Row],[Date]])</f>
        <v>29</v>
      </c>
      <c r="D183" s="5" t="s">
        <v>84</v>
      </c>
      <c r="E183" s="10" t="s">
        <v>71</v>
      </c>
      <c r="F183" s="7" t="s">
        <v>21</v>
      </c>
      <c r="H183" s="7">
        <v>1000</v>
      </c>
      <c r="I183" s="7">
        <v>320</v>
      </c>
      <c r="J183" s="7">
        <v>3.3</v>
      </c>
      <c r="K183" s="7">
        <v>698</v>
      </c>
      <c r="L183" s="7">
        <v>4</v>
      </c>
      <c r="N183" s="7">
        <v>44</v>
      </c>
      <c r="O183" s="7">
        <v>112</v>
      </c>
      <c r="P183" s="7">
        <v>0</v>
      </c>
      <c r="Q183" s="7">
        <v>24</v>
      </c>
      <c r="S183" s="7">
        <v>8</v>
      </c>
      <c r="T183" s="7">
        <v>4</v>
      </c>
      <c r="U183" s="7">
        <v>2</v>
      </c>
      <c r="W183" s="7">
        <v>8</v>
      </c>
      <c r="X183" s="7">
        <v>96</v>
      </c>
      <c r="Y183" s="7">
        <f>SUM(Table1[[#This Row],[Good Kernels  (g)]:[Husk  (g)]])</f>
        <v>1000</v>
      </c>
      <c r="Z183" s="9">
        <f>IFERROR(Table1[[#This Row],[Good Kernels  (g)]]/Table1[[#This Row],[Sample Qty  (g)]],"")</f>
        <v>0.69799999999999995</v>
      </c>
      <c r="AA183" s="9">
        <f>IFERROR(SUM(Table1[[#This Row],[Pieces  (g)]:[Butts (g)]])/Table1[[#This Row],[Sample Qty  (g)]],"")</f>
        <v>4.0000000000000001E-3</v>
      </c>
      <c r="AB183" s="9">
        <f>IFERROR(Table1[[#This Row],[Scorched (g)]]/Table1[[#This Row],[Sample Qty  (g)]],"")</f>
        <v>4.3999999999999997E-2</v>
      </c>
      <c r="AC183" s="9">
        <f>IFERROR(SUM(Table1[[#This Row],[Spotted  (g)]:[PUK3  (g)]])/Table1[[#This Row],[Sample Qty  (g)]],"")</f>
        <v>0.112</v>
      </c>
      <c r="AD183" s="9">
        <f>IFERROR(SUM(R183,Q183)/Table1[[#This Row],[Sample Qty  (g)]],"")</f>
        <v>2.4E-2</v>
      </c>
      <c r="AE183" s="9">
        <f>IFERROR(Table1[[#This Row],[Dessert/NW  (g)]]/Table1[[#This Row],[Sample Qty  (g)]],"")</f>
        <v>8.0000000000000002E-3</v>
      </c>
      <c r="AF183" s="9">
        <f>IFERROR(SUM(Table1[[#This Row],[Oil  (g)]:[Dirty  (g)]])/Table1[[#This Row],[Sample Qty  (g)]],"")</f>
        <v>6.0000000000000001E-3</v>
      </c>
      <c r="AG183" s="9">
        <f>IFERROR(Table1[[#This Row],[Rejection  (g)]]/Table1[[#This Row],[Sample Qty  (g)]],"")</f>
        <v>8.0000000000000002E-3</v>
      </c>
      <c r="AH183" s="9">
        <f>IFERROR(Table1[[#This Row],[Husk  (g)]]/Table1[[#This Row],[Sample Qty  (g)]],"")</f>
        <v>9.6000000000000002E-2</v>
      </c>
    </row>
    <row r="184" spans="2:34" ht="12" x14ac:dyDescent="0.25">
      <c r="B184" s="8">
        <v>46220</v>
      </c>
      <c r="C184" s="7">
        <f>WEEKNUM(Table1[[#This Row],[Date]])</f>
        <v>29</v>
      </c>
      <c r="D184" s="5" t="s">
        <v>84</v>
      </c>
      <c r="E184" s="10" t="s">
        <v>71</v>
      </c>
      <c r="F184" s="7" t="s">
        <v>21</v>
      </c>
      <c r="H184" s="7">
        <v>1000</v>
      </c>
      <c r="I184" s="7">
        <v>220</v>
      </c>
      <c r="J184" s="7">
        <v>3.1</v>
      </c>
      <c r="K184" s="7">
        <v>641</v>
      </c>
      <c r="L184" s="7">
        <v>40</v>
      </c>
      <c r="N184" s="7">
        <v>84</v>
      </c>
      <c r="O184" s="7">
        <v>84</v>
      </c>
      <c r="P184" s="7">
        <v>0</v>
      </c>
      <c r="Q184" s="7">
        <v>36</v>
      </c>
      <c r="S184" s="7">
        <v>4</v>
      </c>
      <c r="T184" s="7">
        <v>2</v>
      </c>
      <c r="U184" s="7">
        <v>4</v>
      </c>
      <c r="W184" s="7">
        <v>5</v>
      </c>
      <c r="X184" s="7">
        <v>100</v>
      </c>
      <c r="Y184" s="7">
        <f>SUM(Table1[[#This Row],[Good Kernels  (g)]:[Husk  (g)]])</f>
        <v>1000</v>
      </c>
      <c r="Z184" s="9">
        <f>IFERROR(Table1[[#This Row],[Good Kernels  (g)]]/Table1[[#This Row],[Sample Qty  (g)]],"")</f>
        <v>0.64100000000000001</v>
      </c>
      <c r="AA184" s="9">
        <f>IFERROR(SUM(Table1[[#This Row],[Pieces  (g)]:[Butts (g)]])/Table1[[#This Row],[Sample Qty  (g)]],"")</f>
        <v>0.04</v>
      </c>
      <c r="AB184" s="9">
        <f>IFERROR(Table1[[#This Row],[Scorched (g)]]/Table1[[#This Row],[Sample Qty  (g)]],"")</f>
        <v>8.4000000000000005E-2</v>
      </c>
      <c r="AC184" s="9">
        <f>IFERROR(SUM(Table1[[#This Row],[Spotted  (g)]:[PUK3  (g)]])/Table1[[#This Row],[Sample Qty  (g)]],"")</f>
        <v>8.4000000000000005E-2</v>
      </c>
      <c r="AD184" s="9">
        <f>IFERROR(SUM(R184,Q184)/Table1[[#This Row],[Sample Qty  (g)]],"")</f>
        <v>3.5999999999999997E-2</v>
      </c>
      <c r="AE184" s="9">
        <f>IFERROR(Table1[[#This Row],[Dessert/NW  (g)]]/Table1[[#This Row],[Sample Qty  (g)]],"")</f>
        <v>4.0000000000000001E-3</v>
      </c>
      <c r="AF184" s="9">
        <f>IFERROR(SUM(Table1[[#This Row],[Oil  (g)]:[Dirty  (g)]])/Table1[[#This Row],[Sample Qty  (g)]],"")</f>
        <v>6.0000000000000001E-3</v>
      </c>
      <c r="AG184" s="9">
        <f>IFERROR(Table1[[#This Row],[Rejection  (g)]]/Table1[[#This Row],[Sample Qty  (g)]],"")</f>
        <v>5.0000000000000001E-3</v>
      </c>
      <c r="AH184" s="9">
        <f>IFERROR(Table1[[#This Row],[Husk  (g)]]/Table1[[#This Row],[Sample Qty  (g)]],"")</f>
        <v>0.1</v>
      </c>
    </row>
    <row r="185" spans="2:34" ht="12" x14ac:dyDescent="0.25">
      <c r="B185" s="8">
        <v>46220</v>
      </c>
      <c r="C185" s="7">
        <f>WEEKNUM(Table1[[#This Row],[Date]])</f>
        <v>29</v>
      </c>
      <c r="D185" s="5" t="s">
        <v>84</v>
      </c>
      <c r="E185" s="10" t="s">
        <v>71</v>
      </c>
      <c r="F185" s="7" t="s">
        <v>21</v>
      </c>
      <c r="H185" s="7">
        <v>1000</v>
      </c>
      <c r="I185" s="7">
        <v>320</v>
      </c>
      <c r="J185" s="7">
        <v>3.1</v>
      </c>
      <c r="K185" s="7">
        <v>711</v>
      </c>
      <c r="L185" s="7">
        <v>28</v>
      </c>
      <c r="N185" s="7">
        <v>44</v>
      </c>
      <c r="O185" s="7">
        <v>84</v>
      </c>
      <c r="P185" s="7">
        <v>0</v>
      </c>
      <c r="Q185" s="7">
        <v>12</v>
      </c>
      <c r="S185" s="7">
        <v>8</v>
      </c>
      <c r="T185" s="7">
        <v>1</v>
      </c>
      <c r="U185" s="7">
        <v>4</v>
      </c>
      <c r="W185" s="7">
        <v>8</v>
      </c>
      <c r="X185" s="7">
        <v>100</v>
      </c>
      <c r="Y185" s="7">
        <f>SUM(Table1[[#This Row],[Good Kernels  (g)]:[Husk  (g)]])</f>
        <v>1000</v>
      </c>
      <c r="Z185" s="9">
        <f>IFERROR(Table1[[#This Row],[Good Kernels  (g)]]/Table1[[#This Row],[Sample Qty  (g)]],"")</f>
        <v>0.71099999999999997</v>
      </c>
      <c r="AA185" s="9">
        <f>IFERROR(SUM(Table1[[#This Row],[Pieces  (g)]:[Butts (g)]])/Table1[[#This Row],[Sample Qty  (g)]],"")</f>
        <v>2.8000000000000001E-2</v>
      </c>
      <c r="AB185" s="9">
        <f>IFERROR(Table1[[#This Row],[Scorched (g)]]/Table1[[#This Row],[Sample Qty  (g)]],"")</f>
        <v>4.3999999999999997E-2</v>
      </c>
      <c r="AC185" s="9">
        <f>IFERROR(SUM(Table1[[#This Row],[Spotted  (g)]:[PUK3  (g)]])/Table1[[#This Row],[Sample Qty  (g)]],"")</f>
        <v>8.4000000000000005E-2</v>
      </c>
      <c r="AD185" s="9">
        <f>IFERROR(SUM(R185,Q185)/Table1[[#This Row],[Sample Qty  (g)]],"")</f>
        <v>1.2E-2</v>
      </c>
      <c r="AE185" s="9">
        <f>IFERROR(Table1[[#This Row],[Dessert/NW  (g)]]/Table1[[#This Row],[Sample Qty  (g)]],"")</f>
        <v>8.0000000000000002E-3</v>
      </c>
      <c r="AF185" s="9">
        <f>IFERROR(SUM(Table1[[#This Row],[Oil  (g)]:[Dirty  (g)]])/Table1[[#This Row],[Sample Qty  (g)]],"")</f>
        <v>5.0000000000000001E-3</v>
      </c>
      <c r="AG185" s="9">
        <f>IFERROR(Table1[[#This Row],[Rejection  (g)]]/Table1[[#This Row],[Sample Qty  (g)]],"")</f>
        <v>8.0000000000000002E-3</v>
      </c>
      <c r="AH185" s="9">
        <f>IFERROR(Table1[[#This Row],[Husk  (g)]]/Table1[[#This Row],[Sample Qty  (g)]],"")</f>
        <v>0.1</v>
      </c>
    </row>
    <row r="186" spans="2:34" ht="12" x14ac:dyDescent="0.25">
      <c r="B186" s="8">
        <v>46220</v>
      </c>
      <c r="C186" s="7">
        <f>WEEKNUM(Table1[[#This Row],[Date]])</f>
        <v>29</v>
      </c>
      <c r="D186" s="5" t="s">
        <v>84</v>
      </c>
      <c r="E186" s="10" t="s">
        <v>71</v>
      </c>
      <c r="F186" s="7" t="s">
        <v>21</v>
      </c>
      <c r="H186" s="7">
        <v>1000</v>
      </c>
      <c r="I186" s="7">
        <v>340</v>
      </c>
      <c r="J186" s="7">
        <v>3.2</v>
      </c>
      <c r="K186" s="7">
        <v>704</v>
      </c>
      <c r="L186" s="7">
        <v>32</v>
      </c>
      <c r="N186" s="7">
        <v>56</v>
      </c>
      <c r="O186" s="7">
        <v>48</v>
      </c>
      <c r="P186" s="7">
        <v>0</v>
      </c>
      <c r="Q186" s="7">
        <v>24</v>
      </c>
      <c r="S186" s="7">
        <v>4</v>
      </c>
      <c r="T186" s="7">
        <v>2</v>
      </c>
      <c r="U186" s="7">
        <v>20</v>
      </c>
      <c r="W186" s="7">
        <v>6</v>
      </c>
      <c r="X186" s="7">
        <v>104</v>
      </c>
      <c r="Y186" s="7">
        <f>SUM(Table1[[#This Row],[Good Kernels  (g)]:[Husk  (g)]])</f>
        <v>1000</v>
      </c>
      <c r="Z186" s="9">
        <f>IFERROR(Table1[[#This Row],[Good Kernels  (g)]]/Table1[[#This Row],[Sample Qty  (g)]],"")</f>
        <v>0.70399999999999996</v>
      </c>
      <c r="AA186" s="9">
        <f>IFERROR(SUM(Table1[[#This Row],[Pieces  (g)]:[Butts (g)]])/Table1[[#This Row],[Sample Qty  (g)]],"")</f>
        <v>3.2000000000000001E-2</v>
      </c>
      <c r="AB186" s="9">
        <f>IFERROR(Table1[[#This Row],[Scorched (g)]]/Table1[[#This Row],[Sample Qty  (g)]],"")</f>
        <v>5.6000000000000001E-2</v>
      </c>
      <c r="AC186" s="9">
        <f>IFERROR(SUM(Table1[[#This Row],[Spotted  (g)]:[PUK3  (g)]])/Table1[[#This Row],[Sample Qty  (g)]],"")</f>
        <v>4.8000000000000001E-2</v>
      </c>
      <c r="AD186" s="9">
        <f>IFERROR(SUM(R186,Q186)/Table1[[#This Row],[Sample Qty  (g)]],"")</f>
        <v>2.4E-2</v>
      </c>
      <c r="AE186" s="9">
        <f>IFERROR(Table1[[#This Row],[Dessert/NW  (g)]]/Table1[[#This Row],[Sample Qty  (g)]],"")</f>
        <v>4.0000000000000001E-3</v>
      </c>
      <c r="AF186" s="9">
        <f>IFERROR(SUM(Table1[[#This Row],[Oil  (g)]:[Dirty  (g)]])/Table1[[#This Row],[Sample Qty  (g)]],"")</f>
        <v>2.1999999999999999E-2</v>
      </c>
      <c r="AG186" s="9">
        <f>IFERROR(Table1[[#This Row],[Rejection  (g)]]/Table1[[#This Row],[Sample Qty  (g)]],"")</f>
        <v>6.0000000000000001E-3</v>
      </c>
      <c r="AH186" s="9">
        <f>IFERROR(Table1[[#This Row],[Husk  (g)]]/Table1[[#This Row],[Sample Qty  (g)]],"")</f>
        <v>0.104</v>
      </c>
    </row>
    <row r="187" spans="2:34" ht="12" x14ac:dyDescent="0.25">
      <c r="B187" s="8">
        <v>46220</v>
      </c>
      <c r="C187" s="7">
        <f>WEEKNUM(Table1[[#This Row],[Date]])</f>
        <v>29</v>
      </c>
      <c r="D187" s="5" t="s">
        <v>84</v>
      </c>
      <c r="E187" s="10" t="s">
        <v>71</v>
      </c>
      <c r="F187" s="7" t="s">
        <v>21</v>
      </c>
      <c r="H187" s="7">
        <v>1000</v>
      </c>
      <c r="I187" s="7">
        <v>320</v>
      </c>
      <c r="J187" s="7">
        <v>3.1</v>
      </c>
      <c r="K187" s="7">
        <v>712</v>
      </c>
      <c r="L187" s="7">
        <v>20</v>
      </c>
      <c r="N187" s="7">
        <v>48</v>
      </c>
      <c r="O187" s="7">
        <v>76</v>
      </c>
      <c r="P187" s="7">
        <v>0</v>
      </c>
      <c r="Q187" s="7">
        <v>24</v>
      </c>
      <c r="S187" s="7">
        <v>4</v>
      </c>
      <c r="T187" s="7">
        <v>0</v>
      </c>
      <c r="U187" s="7">
        <v>20</v>
      </c>
      <c r="W187" s="7">
        <v>8</v>
      </c>
      <c r="X187" s="7">
        <v>88</v>
      </c>
      <c r="Y187" s="7">
        <f>SUM(Table1[[#This Row],[Good Kernels  (g)]:[Husk  (g)]])</f>
        <v>1000</v>
      </c>
      <c r="Z187" s="9">
        <f>IFERROR(Table1[[#This Row],[Good Kernels  (g)]]/Table1[[#This Row],[Sample Qty  (g)]],"")</f>
        <v>0.71199999999999997</v>
      </c>
      <c r="AA187" s="9">
        <f>IFERROR(SUM(Table1[[#This Row],[Pieces  (g)]:[Butts (g)]])/Table1[[#This Row],[Sample Qty  (g)]],"")</f>
        <v>0.02</v>
      </c>
      <c r="AB187" s="9">
        <f>IFERROR(Table1[[#This Row],[Scorched (g)]]/Table1[[#This Row],[Sample Qty  (g)]],"")</f>
        <v>4.8000000000000001E-2</v>
      </c>
      <c r="AC187" s="9">
        <f>IFERROR(SUM(Table1[[#This Row],[Spotted  (g)]:[PUK3  (g)]])/Table1[[#This Row],[Sample Qty  (g)]],"")</f>
        <v>7.5999999999999998E-2</v>
      </c>
      <c r="AD187" s="9">
        <f>IFERROR(SUM(R187,Q187)/Table1[[#This Row],[Sample Qty  (g)]],"")</f>
        <v>2.4E-2</v>
      </c>
      <c r="AE187" s="9">
        <f>IFERROR(Table1[[#This Row],[Dessert/NW  (g)]]/Table1[[#This Row],[Sample Qty  (g)]],"")</f>
        <v>4.0000000000000001E-3</v>
      </c>
      <c r="AF187" s="9">
        <f>IFERROR(SUM(Table1[[#This Row],[Oil  (g)]:[Dirty  (g)]])/Table1[[#This Row],[Sample Qty  (g)]],"")</f>
        <v>0.02</v>
      </c>
      <c r="AG187" s="9">
        <f>IFERROR(Table1[[#This Row],[Rejection  (g)]]/Table1[[#This Row],[Sample Qty  (g)]],"")</f>
        <v>8.0000000000000002E-3</v>
      </c>
      <c r="AH187" s="9">
        <f>IFERROR(Table1[[#This Row],[Husk  (g)]]/Table1[[#This Row],[Sample Qty  (g)]],"")</f>
        <v>8.7999999999999995E-2</v>
      </c>
    </row>
    <row r="188" spans="2:34" ht="12" x14ac:dyDescent="0.25">
      <c r="B188" s="8">
        <v>46220</v>
      </c>
      <c r="C188" s="7">
        <f>WEEKNUM(Table1[[#This Row],[Date]])</f>
        <v>29</v>
      </c>
      <c r="D188" s="5" t="s">
        <v>84</v>
      </c>
      <c r="E188" s="10" t="s">
        <v>71</v>
      </c>
      <c r="F188" s="7" t="s">
        <v>21</v>
      </c>
      <c r="H188" s="7">
        <v>1000</v>
      </c>
      <c r="I188" s="7">
        <v>320</v>
      </c>
      <c r="J188" s="7">
        <v>3.2</v>
      </c>
      <c r="K188" s="7">
        <v>677</v>
      </c>
      <c r="L188" s="7">
        <v>40</v>
      </c>
      <c r="N188" s="7">
        <v>76</v>
      </c>
      <c r="O188" s="7">
        <v>77</v>
      </c>
      <c r="P188" s="7">
        <v>0</v>
      </c>
      <c r="Q188" s="7">
        <v>12</v>
      </c>
      <c r="S188" s="7">
        <v>2</v>
      </c>
      <c r="T188" s="7">
        <v>2</v>
      </c>
      <c r="U188" s="7">
        <v>5</v>
      </c>
      <c r="W188" s="7">
        <v>5</v>
      </c>
      <c r="X188" s="7">
        <v>104</v>
      </c>
      <c r="Y188" s="7">
        <f>SUM(Table1[[#This Row],[Good Kernels  (g)]:[Husk  (g)]])</f>
        <v>1000</v>
      </c>
      <c r="Z188" s="9">
        <f>IFERROR(Table1[[#This Row],[Good Kernels  (g)]]/Table1[[#This Row],[Sample Qty  (g)]],"")</f>
        <v>0.67700000000000005</v>
      </c>
      <c r="AA188" s="9">
        <f>IFERROR(SUM(Table1[[#This Row],[Pieces  (g)]:[Butts (g)]])/Table1[[#This Row],[Sample Qty  (g)]],"")</f>
        <v>0.04</v>
      </c>
      <c r="AB188" s="9">
        <f>IFERROR(Table1[[#This Row],[Scorched (g)]]/Table1[[#This Row],[Sample Qty  (g)]],"")</f>
        <v>7.5999999999999998E-2</v>
      </c>
      <c r="AC188" s="9">
        <f>IFERROR(SUM(Table1[[#This Row],[Spotted  (g)]:[PUK3  (g)]])/Table1[[#This Row],[Sample Qty  (g)]],"")</f>
        <v>7.6999999999999999E-2</v>
      </c>
      <c r="AD188" s="9">
        <f>IFERROR(SUM(R188,Q188)/Table1[[#This Row],[Sample Qty  (g)]],"")</f>
        <v>1.2E-2</v>
      </c>
      <c r="AE188" s="9">
        <f>IFERROR(Table1[[#This Row],[Dessert/NW  (g)]]/Table1[[#This Row],[Sample Qty  (g)]],"")</f>
        <v>2E-3</v>
      </c>
      <c r="AF188" s="9">
        <f>IFERROR(SUM(Table1[[#This Row],[Oil  (g)]:[Dirty  (g)]])/Table1[[#This Row],[Sample Qty  (g)]],"")</f>
        <v>7.0000000000000001E-3</v>
      </c>
      <c r="AG188" s="9">
        <f>IFERROR(Table1[[#This Row],[Rejection  (g)]]/Table1[[#This Row],[Sample Qty  (g)]],"")</f>
        <v>5.0000000000000001E-3</v>
      </c>
      <c r="AH188" s="9">
        <f>IFERROR(Table1[[#This Row],[Husk  (g)]]/Table1[[#This Row],[Sample Qty  (g)]],"")</f>
        <v>0.104</v>
      </c>
    </row>
    <row r="189" spans="2:34" ht="12" x14ac:dyDescent="0.25">
      <c r="B189" s="8">
        <v>46220</v>
      </c>
      <c r="C189" s="7">
        <f>WEEKNUM(Table1[[#This Row],[Date]])</f>
        <v>29</v>
      </c>
      <c r="D189" s="5" t="s">
        <v>84</v>
      </c>
      <c r="E189" s="10" t="s">
        <v>71</v>
      </c>
      <c r="F189" s="7" t="s">
        <v>21</v>
      </c>
      <c r="H189" s="7">
        <v>1000</v>
      </c>
      <c r="I189" s="7">
        <v>288</v>
      </c>
      <c r="J189" s="7">
        <v>3.4</v>
      </c>
      <c r="K189" s="7">
        <v>523</v>
      </c>
      <c r="L189" s="7">
        <v>150</v>
      </c>
      <c r="N189" s="7">
        <v>48</v>
      </c>
      <c r="O189" s="7">
        <v>64</v>
      </c>
      <c r="P189" s="7">
        <v>0</v>
      </c>
      <c r="Q189" s="7">
        <v>8</v>
      </c>
      <c r="S189" s="7">
        <v>10</v>
      </c>
      <c r="T189" s="7">
        <v>40</v>
      </c>
      <c r="U189" s="7">
        <v>62</v>
      </c>
      <c r="W189" s="7">
        <v>11</v>
      </c>
      <c r="X189" s="7">
        <v>84</v>
      </c>
      <c r="Y189" s="7">
        <f>SUM(Table1[[#This Row],[Good Kernels  (g)]:[Husk  (g)]])</f>
        <v>1000</v>
      </c>
      <c r="Z189" s="9">
        <f>IFERROR(Table1[[#This Row],[Good Kernels  (g)]]/Table1[[#This Row],[Sample Qty  (g)]],"")</f>
        <v>0.52300000000000002</v>
      </c>
      <c r="AA189" s="9">
        <f>IFERROR(SUM(Table1[[#This Row],[Pieces  (g)]:[Butts (g)]])/Table1[[#This Row],[Sample Qty  (g)]],"")</f>
        <v>0.15</v>
      </c>
      <c r="AB189" s="9">
        <f>IFERROR(Table1[[#This Row],[Scorched (g)]]/Table1[[#This Row],[Sample Qty  (g)]],"")</f>
        <v>4.8000000000000001E-2</v>
      </c>
      <c r="AC189" s="9">
        <f>IFERROR(SUM(Table1[[#This Row],[Spotted  (g)]:[PUK3  (g)]])/Table1[[#This Row],[Sample Qty  (g)]],"")</f>
        <v>6.4000000000000001E-2</v>
      </c>
      <c r="AD189" s="9">
        <f>IFERROR(SUM(R189,Q189)/Table1[[#This Row],[Sample Qty  (g)]],"")</f>
        <v>8.0000000000000002E-3</v>
      </c>
      <c r="AE189" s="9">
        <f>IFERROR(Table1[[#This Row],[Dessert/NW  (g)]]/Table1[[#This Row],[Sample Qty  (g)]],"")</f>
        <v>0.01</v>
      </c>
      <c r="AF189" s="9">
        <f>IFERROR(SUM(Table1[[#This Row],[Oil  (g)]:[Dirty  (g)]])/Table1[[#This Row],[Sample Qty  (g)]],"")</f>
        <v>0.10199999999999999</v>
      </c>
      <c r="AG189" s="9">
        <f>IFERROR(Table1[[#This Row],[Rejection  (g)]]/Table1[[#This Row],[Sample Qty  (g)]],"")</f>
        <v>1.0999999999999999E-2</v>
      </c>
      <c r="AH189" s="9">
        <f>IFERROR(Table1[[#This Row],[Husk  (g)]]/Table1[[#This Row],[Sample Qty  (g)]],"")</f>
        <v>8.4000000000000005E-2</v>
      </c>
    </row>
    <row r="190" spans="2:34" ht="12" x14ac:dyDescent="0.25">
      <c r="B190" s="8">
        <v>46220</v>
      </c>
      <c r="C190" s="7">
        <f>WEEKNUM(Table1[[#This Row],[Date]])</f>
        <v>29</v>
      </c>
      <c r="D190" s="5" t="s">
        <v>85</v>
      </c>
      <c r="E190" s="10" t="s">
        <v>71</v>
      </c>
      <c r="F190" s="7" t="s">
        <v>21</v>
      </c>
      <c r="H190" s="7">
        <v>1000</v>
      </c>
      <c r="I190" s="7">
        <v>272</v>
      </c>
      <c r="J190" s="7">
        <v>3.3</v>
      </c>
      <c r="K190" s="7">
        <v>719</v>
      </c>
      <c r="L190" s="7">
        <v>28</v>
      </c>
      <c r="N190" s="7">
        <v>52</v>
      </c>
      <c r="O190" s="7">
        <v>82</v>
      </c>
      <c r="P190" s="7">
        <v>0</v>
      </c>
      <c r="Q190" s="7">
        <v>6</v>
      </c>
      <c r="S190" s="7">
        <v>4</v>
      </c>
      <c r="T190" s="7">
        <v>2</v>
      </c>
      <c r="U190" s="7">
        <v>3</v>
      </c>
      <c r="W190" s="7">
        <v>6</v>
      </c>
      <c r="X190" s="7">
        <v>98</v>
      </c>
      <c r="Y190" s="7">
        <f>SUM(Table1[[#This Row],[Good Kernels  (g)]:[Husk  (g)]])</f>
        <v>1000</v>
      </c>
      <c r="Z190" s="9">
        <f>IFERROR(Table1[[#This Row],[Good Kernels  (g)]]/Table1[[#This Row],[Sample Qty  (g)]],"")</f>
        <v>0.71899999999999997</v>
      </c>
      <c r="AA190" s="9">
        <f>IFERROR(SUM(Table1[[#This Row],[Pieces  (g)]:[Butts (g)]])/Table1[[#This Row],[Sample Qty  (g)]],"")</f>
        <v>2.8000000000000001E-2</v>
      </c>
      <c r="AB190" s="9">
        <f>IFERROR(Table1[[#This Row],[Scorched (g)]]/Table1[[#This Row],[Sample Qty  (g)]],"")</f>
        <v>5.1999999999999998E-2</v>
      </c>
      <c r="AC190" s="9">
        <f>IFERROR(SUM(Table1[[#This Row],[Spotted  (g)]:[PUK3  (g)]])/Table1[[#This Row],[Sample Qty  (g)]],"")</f>
        <v>8.2000000000000003E-2</v>
      </c>
      <c r="AD190" s="9">
        <f>IFERROR(SUM(R190,Q190)/Table1[[#This Row],[Sample Qty  (g)]],"")</f>
        <v>6.0000000000000001E-3</v>
      </c>
      <c r="AE190" s="9">
        <f>IFERROR(Table1[[#This Row],[Dessert/NW  (g)]]/Table1[[#This Row],[Sample Qty  (g)]],"")</f>
        <v>4.0000000000000001E-3</v>
      </c>
      <c r="AF190" s="9">
        <f>IFERROR(SUM(Table1[[#This Row],[Oil  (g)]:[Dirty  (g)]])/Table1[[#This Row],[Sample Qty  (g)]],"")</f>
        <v>5.0000000000000001E-3</v>
      </c>
      <c r="AG190" s="9">
        <f>IFERROR(Table1[[#This Row],[Rejection  (g)]]/Table1[[#This Row],[Sample Qty  (g)]],"")</f>
        <v>6.0000000000000001E-3</v>
      </c>
      <c r="AH190" s="9">
        <f>IFERROR(Table1[[#This Row],[Husk  (g)]]/Table1[[#This Row],[Sample Qty  (g)]],"")</f>
        <v>9.8000000000000004E-2</v>
      </c>
    </row>
    <row r="191" spans="2:34" ht="12" x14ac:dyDescent="0.25">
      <c r="B191" s="8">
        <v>46220</v>
      </c>
      <c r="C191" s="7">
        <f>WEEKNUM(Table1[[#This Row],[Date]])</f>
        <v>29</v>
      </c>
      <c r="D191" s="5" t="s">
        <v>85</v>
      </c>
      <c r="E191" s="10" t="s">
        <v>71</v>
      </c>
      <c r="F191" s="7" t="s">
        <v>21</v>
      </c>
      <c r="H191" s="7">
        <v>1000</v>
      </c>
      <c r="I191" s="7">
        <v>246</v>
      </c>
      <c r="J191" s="7">
        <v>3.1</v>
      </c>
      <c r="K191" s="7">
        <v>712</v>
      </c>
      <c r="L191" s="7">
        <v>32</v>
      </c>
      <c r="N191" s="7">
        <v>52</v>
      </c>
      <c r="O191" s="7">
        <v>84</v>
      </c>
      <c r="P191" s="7">
        <v>0</v>
      </c>
      <c r="Q191" s="7">
        <v>10</v>
      </c>
      <c r="S191" s="7">
        <v>6</v>
      </c>
      <c r="T191" s="7">
        <v>8</v>
      </c>
      <c r="U191" s="7">
        <v>4</v>
      </c>
      <c r="W191" s="7">
        <v>10</v>
      </c>
      <c r="X191" s="7">
        <v>82</v>
      </c>
      <c r="Y191" s="7">
        <f>SUM(Table1[[#This Row],[Good Kernels  (g)]:[Husk  (g)]])</f>
        <v>1000</v>
      </c>
      <c r="Z191" s="9">
        <f>IFERROR(Table1[[#This Row],[Good Kernels  (g)]]/Table1[[#This Row],[Sample Qty  (g)]],"")</f>
        <v>0.71199999999999997</v>
      </c>
      <c r="AA191" s="9">
        <f>IFERROR(SUM(Table1[[#This Row],[Pieces  (g)]:[Butts (g)]])/Table1[[#This Row],[Sample Qty  (g)]],"")</f>
        <v>3.2000000000000001E-2</v>
      </c>
      <c r="AB191" s="9">
        <f>IFERROR(Table1[[#This Row],[Scorched (g)]]/Table1[[#This Row],[Sample Qty  (g)]],"")</f>
        <v>5.1999999999999998E-2</v>
      </c>
      <c r="AC191" s="9">
        <f>IFERROR(SUM(Table1[[#This Row],[Spotted  (g)]:[PUK3  (g)]])/Table1[[#This Row],[Sample Qty  (g)]],"")</f>
        <v>8.4000000000000005E-2</v>
      </c>
      <c r="AD191" s="9">
        <f>IFERROR(SUM(R191,Q191)/Table1[[#This Row],[Sample Qty  (g)]],"")</f>
        <v>0.01</v>
      </c>
      <c r="AE191" s="9">
        <f>IFERROR(Table1[[#This Row],[Dessert/NW  (g)]]/Table1[[#This Row],[Sample Qty  (g)]],"")</f>
        <v>6.0000000000000001E-3</v>
      </c>
      <c r="AF191" s="9">
        <f>IFERROR(SUM(Table1[[#This Row],[Oil  (g)]:[Dirty  (g)]])/Table1[[#This Row],[Sample Qty  (g)]],"")</f>
        <v>1.2E-2</v>
      </c>
      <c r="AG191" s="9">
        <f>IFERROR(Table1[[#This Row],[Rejection  (g)]]/Table1[[#This Row],[Sample Qty  (g)]],"")</f>
        <v>0.01</v>
      </c>
      <c r="AH191" s="9">
        <f>IFERROR(Table1[[#This Row],[Husk  (g)]]/Table1[[#This Row],[Sample Qty  (g)]],"")</f>
        <v>8.2000000000000003E-2</v>
      </c>
    </row>
    <row r="192" spans="2:34" ht="12" x14ac:dyDescent="0.25">
      <c r="B192" s="8">
        <v>46220</v>
      </c>
      <c r="C192" s="7">
        <f>WEEKNUM(Table1[[#This Row],[Date]])</f>
        <v>29</v>
      </c>
      <c r="D192" s="5" t="s">
        <v>85</v>
      </c>
      <c r="E192" s="10" t="s">
        <v>71</v>
      </c>
      <c r="F192" s="7" t="s">
        <v>21</v>
      </c>
      <c r="H192" s="7">
        <v>1000</v>
      </c>
      <c r="I192" s="7">
        <v>256</v>
      </c>
      <c r="J192" s="7">
        <v>3.3</v>
      </c>
      <c r="K192" s="7">
        <v>720</v>
      </c>
      <c r="L192" s="7">
        <v>14</v>
      </c>
      <c r="N192" s="7">
        <v>54</v>
      </c>
      <c r="O192" s="7">
        <v>74</v>
      </c>
      <c r="P192" s="7">
        <v>0</v>
      </c>
      <c r="Q192" s="7">
        <v>16</v>
      </c>
      <c r="S192" s="7">
        <v>10</v>
      </c>
      <c r="T192" s="7">
        <v>6</v>
      </c>
      <c r="U192" s="7">
        <v>10</v>
      </c>
      <c r="W192" s="7">
        <v>16</v>
      </c>
      <c r="X192" s="7">
        <v>80</v>
      </c>
      <c r="Y192" s="7">
        <f>SUM(Table1[[#This Row],[Good Kernels  (g)]:[Husk  (g)]])</f>
        <v>1000</v>
      </c>
      <c r="Z192" s="9">
        <f>IFERROR(Table1[[#This Row],[Good Kernels  (g)]]/Table1[[#This Row],[Sample Qty  (g)]],"")</f>
        <v>0.72</v>
      </c>
      <c r="AA192" s="9">
        <f>IFERROR(SUM(Table1[[#This Row],[Pieces  (g)]:[Butts (g)]])/Table1[[#This Row],[Sample Qty  (g)]],"")</f>
        <v>1.4E-2</v>
      </c>
      <c r="AB192" s="9">
        <f>IFERROR(Table1[[#This Row],[Scorched (g)]]/Table1[[#This Row],[Sample Qty  (g)]],"")</f>
        <v>5.3999999999999999E-2</v>
      </c>
      <c r="AC192" s="9">
        <f>IFERROR(SUM(Table1[[#This Row],[Spotted  (g)]:[PUK3  (g)]])/Table1[[#This Row],[Sample Qty  (g)]],"")</f>
        <v>7.3999999999999996E-2</v>
      </c>
      <c r="AD192" s="9">
        <f>IFERROR(SUM(R192,Q192)/Table1[[#This Row],[Sample Qty  (g)]],"")</f>
        <v>1.6E-2</v>
      </c>
      <c r="AE192" s="9">
        <f>IFERROR(Table1[[#This Row],[Dessert/NW  (g)]]/Table1[[#This Row],[Sample Qty  (g)]],"")</f>
        <v>0.01</v>
      </c>
      <c r="AF192" s="9">
        <f>IFERROR(SUM(Table1[[#This Row],[Oil  (g)]:[Dirty  (g)]])/Table1[[#This Row],[Sample Qty  (g)]],"")</f>
        <v>1.6E-2</v>
      </c>
      <c r="AG192" s="9">
        <f>IFERROR(Table1[[#This Row],[Rejection  (g)]]/Table1[[#This Row],[Sample Qty  (g)]],"")</f>
        <v>1.6E-2</v>
      </c>
      <c r="AH192" s="9">
        <f>IFERROR(Table1[[#This Row],[Husk  (g)]]/Table1[[#This Row],[Sample Qty  (g)]],"")</f>
        <v>0.08</v>
      </c>
    </row>
    <row r="193" spans="2:34" ht="12" x14ac:dyDescent="0.25">
      <c r="B193" s="8">
        <v>46220</v>
      </c>
      <c r="C193" s="7">
        <f>WEEKNUM(Table1[[#This Row],[Date]])</f>
        <v>29</v>
      </c>
      <c r="D193" s="5" t="s">
        <v>85</v>
      </c>
      <c r="E193" s="10" t="s">
        <v>71</v>
      </c>
      <c r="F193" s="7" t="s">
        <v>21</v>
      </c>
      <c r="H193" s="7">
        <v>1000</v>
      </c>
      <c r="I193" s="7">
        <v>266</v>
      </c>
      <c r="J193" s="7">
        <v>3.4</v>
      </c>
      <c r="K193" s="7">
        <v>719</v>
      </c>
      <c r="L193" s="7">
        <v>52</v>
      </c>
      <c r="N193" s="7">
        <v>38</v>
      </c>
      <c r="O193" s="7">
        <v>40</v>
      </c>
      <c r="P193" s="7">
        <v>0</v>
      </c>
      <c r="Q193" s="7">
        <v>6</v>
      </c>
      <c r="S193" s="7">
        <v>12</v>
      </c>
      <c r="T193" s="7">
        <v>10</v>
      </c>
      <c r="U193" s="7">
        <v>16</v>
      </c>
      <c r="W193" s="7">
        <v>11</v>
      </c>
      <c r="X193" s="7">
        <v>96</v>
      </c>
      <c r="Y193" s="7">
        <f>SUM(Table1[[#This Row],[Good Kernels  (g)]:[Husk  (g)]])</f>
        <v>1000</v>
      </c>
      <c r="Z193" s="9">
        <f>IFERROR(Table1[[#This Row],[Good Kernels  (g)]]/Table1[[#This Row],[Sample Qty  (g)]],"")</f>
        <v>0.71899999999999997</v>
      </c>
      <c r="AA193" s="9">
        <f>IFERROR(SUM(Table1[[#This Row],[Pieces  (g)]:[Butts (g)]])/Table1[[#This Row],[Sample Qty  (g)]],"")</f>
        <v>5.1999999999999998E-2</v>
      </c>
      <c r="AB193" s="9">
        <f>IFERROR(Table1[[#This Row],[Scorched (g)]]/Table1[[#This Row],[Sample Qty  (g)]],"")</f>
        <v>3.7999999999999999E-2</v>
      </c>
      <c r="AC193" s="9">
        <f>IFERROR(SUM(Table1[[#This Row],[Spotted  (g)]:[PUK3  (g)]])/Table1[[#This Row],[Sample Qty  (g)]],"")</f>
        <v>0.04</v>
      </c>
      <c r="AD193" s="9">
        <f>IFERROR(SUM(R193,Q193)/Table1[[#This Row],[Sample Qty  (g)]],"")</f>
        <v>6.0000000000000001E-3</v>
      </c>
      <c r="AE193" s="9">
        <f>IFERROR(Table1[[#This Row],[Dessert/NW  (g)]]/Table1[[#This Row],[Sample Qty  (g)]],"")</f>
        <v>1.2E-2</v>
      </c>
      <c r="AF193" s="9">
        <f>IFERROR(SUM(Table1[[#This Row],[Oil  (g)]:[Dirty  (g)]])/Table1[[#This Row],[Sample Qty  (g)]],"")</f>
        <v>2.5999999999999999E-2</v>
      </c>
      <c r="AG193" s="9">
        <f>IFERROR(Table1[[#This Row],[Rejection  (g)]]/Table1[[#This Row],[Sample Qty  (g)]],"")</f>
        <v>1.0999999999999999E-2</v>
      </c>
      <c r="AH193" s="9">
        <f>IFERROR(Table1[[#This Row],[Husk  (g)]]/Table1[[#This Row],[Sample Qty  (g)]],"")</f>
        <v>9.6000000000000002E-2</v>
      </c>
    </row>
    <row r="194" spans="2:34" ht="12" x14ac:dyDescent="0.25">
      <c r="B194" s="8">
        <v>46221</v>
      </c>
      <c r="C194" s="7">
        <f>WEEKNUM(Table1[[#This Row],[Date]])</f>
        <v>29</v>
      </c>
      <c r="D194" s="5" t="s">
        <v>85</v>
      </c>
      <c r="E194" s="10" t="s">
        <v>71</v>
      </c>
      <c r="F194" s="7" t="s">
        <v>21</v>
      </c>
      <c r="H194" s="7">
        <v>1000</v>
      </c>
      <c r="I194" s="7">
        <v>240</v>
      </c>
      <c r="J194" s="7">
        <v>3</v>
      </c>
      <c r="K194" s="7">
        <v>692</v>
      </c>
      <c r="L194" s="7">
        <v>22</v>
      </c>
      <c r="N194" s="7">
        <v>58</v>
      </c>
      <c r="O194" s="7">
        <v>76</v>
      </c>
      <c r="P194" s="7">
        <v>0</v>
      </c>
      <c r="Q194" s="7">
        <v>16</v>
      </c>
      <c r="S194" s="7">
        <v>4</v>
      </c>
      <c r="T194" s="7">
        <v>6</v>
      </c>
      <c r="U194" s="7">
        <v>16</v>
      </c>
      <c r="W194" s="7">
        <v>14</v>
      </c>
      <c r="X194" s="7">
        <v>96</v>
      </c>
      <c r="Y194" s="7">
        <f>SUM(Table1[[#This Row],[Good Kernels  (g)]:[Husk  (g)]])</f>
        <v>1000</v>
      </c>
      <c r="Z194" s="9">
        <f>IFERROR(Table1[[#This Row],[Good Kernels  (g)]]/Table1[[#This Row],[Sample Qty  (g)]],"")</f>
        <v>0.69199999999999995</v>
      </c>
      <c r="AA194" s="9">
        <f>IFERROR(SUM(Table1[[#This Row],[Pieces  (g)]:[Butts (g)]])/Table1[[#This Row],[Sample Qty  (g)]],"")</f>
        <v>2.1999999999999999E-2</v>
      </c>
      <c r="AB194" s="9">
        <f>IFERROR(Table1[[#This Row],[Scorched (g)]]/Table1[[#This Row],[Sample Qty  (g)]],"")</f>
        <v>5.8000000000000003E-2</v>
      </c>
      <c r="AC194" s="9">
        <f>IFERROR(SUM(Table1[[#This Row],[Spotted  (g)]:[PUK3  (g)]])/Table1[[#This Row],[Sample Qty  (g)]],"")</f>
        <v>7.5999999999999998E-2</v>
      </c>
      <c r="AD194" s="9">
        <f>IFERROR(SUM(R194,Q194)/Table1[[#This Row],[Sample Qty  (g)]],"")</f>
        <v>1.6E-2</v>
      </c>
      <c r="AE194" s="9">
        <f>IFERROR(Table1[[#This Row],[Dessert/NW  (g)]]/Table1[[#This Row],[Sample Qty  (g)]],"")</f>
        <v>4.0000000000000001E-3</v>
      </c>
      <c r="AF194" s="9">
        <f>IFERROR(SUM(Table1[[#This Row],[Oil  (g)]:[Dirty  (g)]])/Table1[[#This Row],[Sample Qty  (g)]],"")</f>
        <v>2.1999999999999999E-2</v>
      </c>
      <c r="AG194" s="9">
        <f>IFERROR(Table1[[#This Row],[Rejection  (g)]]/Table1[[#This Row],[Sample Qty  (g)]],"")</f>
        <v>1.4E-2</v>
      </c>
      <c r="AH194" s="9">
        <f>IFERROR(Table1[[#This Row],[Husk  (g)]]/Table1[[#This Row],[Sample Qty  (g)]],"")</f>
        <v>9.6000000000000002E-2</v>
      </c>
    </row>
    <row r="195" spans="2:34" ht="12" x14ac:dyDescent="0.25">
      <c r="B195" s="8">
        <v>46221</v>
      </c>
      <c r="C195" s="7">
        <f>WEEKNUM(Table1[[#This Row],[Date]])</f>
        <v>29</v>
      </c>
      <c r="D195" s="5" t="s">
        <v>85</v>
      </c>
      <c r="E195" s="10" t="s">
        <v>71</v>
      </c>
      <c r="F195" s="7" t="s">
        <v>21</v>
      </c>
      <c r="H195" s="7">
        <v>1000</v>
      </c>
      <c r="I195" s="7">
        <v>240</v>
      </c>
      <c r="J195" s="7">
        <v>3.1</v>
      </c>
      <c r="K195" s="7">
        <v>746</v>
      </c>
      <c r="L195" s="7">
        <v>16</v>
      </c>
      <c r="N195" s="7">
        <v>30</v>
      </c>
      <c r="O195" s="7">
        <v>74</v>
      </c>
      <c r="P195" s="7">
        <v>0</v>
      </c>
      <c r="Q195" s="7">
        <v>6</v>
      </c>
      <c r="S195" s="7">
        <v>4</v>
      </c>
      <c r="T195" s="7">
        <v>8</v>
      </c>
      <c r="U195" s="7">
        <v>12</v>
      </c>
      <c r="W195" s="7">
        <v>8</v>
      </c>
      <c r="X195" s="7">
        <v>96</v>
      </c>
      <c r="Y195" s="7">
        <f>SUM(Table1[[#This Row],[Good Kernels  (g)]:[Husk  (g)]])</f>
        <v>1000</v>
      </c>
      <c r="Z195" s="9">
        <f>IFERROR(Table1[[#This Row],[Good Kernels  (g)]]/Table1[[#This Row],[Sample Qty  (g)]],"")</f>
        <v>0.746</v>
      </c>
      <c r="AA195" s="9">
        <f>IFERROR(SUM(Table1[[#This Row],[Pieces  (g)]:[Butts (g)]])/Table1[[#This Row],[Sample Qty  (g)]],"")</f>
        <v>1.6E-2</v>
      </c>
      <c r="AB195" s="9">
        <f>IFERROR(Table1[[#This Row],[Scorched (g)]]/Table1[[#This Row],[Sample Qty  (g)]],"")</f>
        <v>0.03</v>
      </c>
      <c r="AC195" s="9">
        <f>IFERROR(SUM(Table1[[#This Row],[Spotted  (g)]:[PUK3  (g)]])/Table1[[#This Row],[Sample Qty  (g)]],"")</f>
        <v>7.3999999999999996E-2</v>
      </c>
      <c r="AD195" s="9">
        <f>IFERROR(SUM(R195,Q195)/Table1[[#This Row],[Sample Qty  (g)]],"")</f>
        <v>6.0000000000000001E-3</v>
      </c>
      <c r="AE195" s="9">
        <f>IFERROR(Table1[[#This Row],[Dessert/NW  (g)]]/Table1[[#This Row],[Sample Qty  (g)]],"")</f>
        <v>4.0000000000000001E-3</v>
      </c>
      <c r="AF195" s="9">
        <f>IFERROR(SUM(Table1[[#This Row],[Oil  (g)]:[Dirty  (g)]])/Table1[[#This Row],[Sample Qty  (g)]],"")</f>
        <v>0.02</v>
      </c>
      <c r="AG195" s="9">
        <f>IFERROR(Table1[[#This Row],[Rejection  (g)]]/Table1[[#This Row],[Sample Qty  (g)]],"")</f>
        <v>8.0000000000000002E-3</v>
      </c>
      <c r="AH195" s="9">
        <f>IFERROR(Table1[[#This Row],[Husk  (g)]]/Table1[[#This Row],[Sample Qty  (g)]],"")</f>
        <v>9.6000000000000002E-2</v>
      </c>
    </row>
    <row r="196" spans="2:34" ht="12" x14ac:dyDescent="0.25">
      <c r="B196" s="8">
        <v>46221</v>
      </c>
      <c r="C196" s="7">
        <f>WEEKNUM(Table1[[#This Row],[Date]])</f>
        <v>29</v>
      </c>
      <c r="D196" s="5" t="s">
        <v>85</v>
      </c>
      <c r="E196" s="10" t="s">
        <v>71</v>
      </c>
      <c r="F196" s="7" t="s">
        <v>21</v>
      </c>
      <c r="H196" s="7">
        <v>1000</v>
      </c>
      <c r="I196" s="7">
        <v>320</v>
      </c>
      <c r="J196" s="7">
        <v>3</v>
      </c>
      <c r="K196" s="7">
        <v>738</v>
      </c>
      <c r="L196" s="7">
        <v>22</v>
      </c>
      <c r="N196" s="7">
        <v>20</v>
      </c>
      <c r="O196" s="7">
        <v>68</v>
      </c>
      <c r="P196" s="7">
        <v>0</v>
      </c>
      <c r="Q196" s="7">
        <v>10</v>
      </c>
      <c r="S196" s="7">
        <v>18</v>
      </c>
      <c r="T196" s="7">
        <v>4</v>
      </c>
      <c r="U196" s="7">
        <v>6</v>
      </c>
      <c r="W196" s="7">
        <v>16</v>
      </c>
      <c r="X196" s="7">
        <v>98</v>
      </c>
      <c r="Y196" s="7">
        <f>SUM(Table1[[#This Row],[Good Kernels  (g)]:[Husk  (g)]])</f>
        <v>1000</v>
      </c>
      <c r="Z196" s="9">
        <f>IFERROR(Table1[[#This Row],[Good Kernels  (g)]]/Table1[[#This Row],[Sample Qty  (g)]],"")</f>
        <v>0.73799999999999999</v>
      </c>
      <c r="AA196" s="9">
        <f>IFERROR(SUM(Table1[[#This Row],[Pieces  (g)]:[Butts (g)]])/Table1[[#This Row],[Sample Qty  (g)]],"")</f>
        <v>2.1999999999999999E-2</v>
      </c>
      <c r="AB196" s="9">
        <f>IFERROR(Table1[[#This Row],[Scorched (g)]]/Table1[[#This Row],[Sample Qty  (g)]],"")</f>
        <v>0.02</v>
      </c>
      <c r="AC196" s="9">
        <f>IFERROR(SUM(Table1[[#This Row],[Spotted  (g)]:[PUK3  (g)]])/Table1[[#This Row],[Sample Qty  (g)]],"")</f>
        <v>6.8000000000000005E-2</v>
      </c>
      <c r="AD196" s="9">
        <f>IFERROR(SUM(R196,Q196)/Table1[[#This Row],[Sample Qty  (g)]],"")</f>
        <v>0.01</v>
      </c>
      <c r="AE196" s="9">
        <f>IFERROR(Table1[[#This Row],[Dessert/NW  (g)]]/Table1[[#This Row],[Sample Qty  (g)]],"")</f>
        <v>1.7999999999999999E-2</v>
      </c>
      <c r="AF196" s="9">
        <f>IFERROR(SUM(Table1[[#This Row],[Oil  (g)]:[Dirty  (g)]])/Table1[[#This Row],[Sample Qty  (g)]],"")</f>
        <v>0.01</v>
      </c>
      <c r="AG196" s="9">
        <f>IFERROR(Table1[[#This Row],[Rejection  (g)]]/Table1[[#This Row],[Sample Qty  (g)]],"")</f>
        <v>1.6E-2</v>
      </c>
      <c r="AH196" s="9">
        <f>IFERROR(Table1[[#This Row],[Husk  (g)]]/Table1[[#This Row],[Sample Qty  (g)]],"")</f>
        <v>9.8000000000000004E-2</v>
      </c>
    </row>
    <row r="197" spans="2:34" ht="12" x14ac:dyDescent="0.25">
      <c r="B197" s="8">
        <v>46221</v>
      </c>
      <c r="C197" s="7">
        <f>WEEKNUM(Table1[[#This Row],[Date]])</f>
        <v>29</v>
      </c>
      <c r="D197" s="5" t="s">
        <v>85</v>
      </c>
      <c r="E197" s="10" t="s">
        <v>71</v>
      </c>
      <c r="F197" s="7" t="s">
        <v>21</v>
      </c>
      <c r="H197" s="7">
        <v>1000</v>
      </c>
      <c r="I197" s="7">
        <v>258</v>
      </c>
      <c r="J197" s="7">
        <v>3.3</v>
      </c>
      <c r="K197" s="7">
        <v>686</v>
      </c>
      <c r="L197" s="7">
        <v>26</v>
      </c>
      <c r="N197" s="7">
        <v>50</v>
      </c>
      <c r="O197" s="7">
        <v>66</v>
      </c>
      <c r="P197" s="7">
        <v>0</v>
      </c>
      <c r="Q197" s="7">
        <v>10</v>
      </c>
      <c r="S197" s="7">
        <v>6</v>
      </c>
      <c r="T197" s="7">
        <v>22</v>
      </c>
      <c r="U197" s="7">
        <v>10</v>
      </c>
      <c r="W197" s="7">
        <v>26</v>
      </c>
      <c r="X197" s="7">
        <v>98</v>
      </c>
      <c r="Y197" s="7">
        <f>SUM(Table1[[#This Row],[Good Kernels  (g)]:[Husk  (g)]])</f>
        <v>1000</v>
      </c>
      <c r="Z197" s="9">
        <f>IFERROR(Table1[[#This Row],[Good Kernels  (g)]]/Table1[[#This Row],[Sample Qty  (g)]],"")</f>
        <v>0.68600000000000005</v>
      </c>
      <c r="AA197" s="9">
        <f>IFERROR(SUM(Table1[[#This Row],[Pieces  (g)]:[Butts (g)]])/Table1[[#This Row],[Sample Qty  (g)]],"")</f>
        <v>2.5999999999999999E-2</v>
      </c>
      <c r="AB197" s="9">
        <f>IFERROR(Table1[[#This Row],[Scorched (g)]]/Table1[[#This Row],[Sample Qty  (g)]],"")</f>
        <v>0.05</v>
      </c>
      <c r="AC197" s="9">
        <f>IFERROR(SUM(Table1[[#This Row],[Spotted  (g)]:[PUK3  (g)]])/Table1[[#This Row],[Sample Qty  (g)]],"")</f>
        <v>6.6000000000000003E-2</v>
      </c>
      <c r="AD197" s="9">
        <f>IFERROR(SUM(R197,Q197)/Table1[[#This Row],[Sample Qty  (g)]],"")</f>
        <v>0.01</v>
      </c>
      <c r="AE197" s="9">
        <f>IFERROR(Table1[[#This Row],[Dessert/NW  (g)]]/Table1[[#This Row],[Sample Qty  (g)]],"")</f>
        <v>6.0000000000000001E-3</v>
      </c>
      <c r="AF197" s="9">
        <f>IFERROR(SUM(Table1[[#This Row],[Oil  (g)]:[Dirty  (g)]])/Table1[[#This Row],[Sample Qty  (g)]],"")</f>
        <v>3.2000000000000001E-2</v>
      </c>
      <c r="AG197" s="9">
        <f>IFERROR(Table1[[#This Row],[Rejection  (g)]]/Table1[[#This Row],[Sample Qty  (g)]],"")</f>
        <v>2.5999999999999999E-2</v>
      </c>
      <c r="AH197" s="9">
        <f>IFERROR(Table1[[#This Row],[Husk  (g)]]/Table1[[#This Row],[Sample Qty  (g)]],"")</f>
        <v>9.8000000000000004E-2</v>
      </c>
    </row>
    <row r="198" spans="2:34" ht="12" x14ac:dyDescent="0.25">
      <c r="B198" s="8">
        <v>46221</v>
      </c>
      <c r="C198" s="7">
        <f>WEEKNUM(Table1[[#This Row],[Date]])</f>
        <v>29</v>
      </c>
      <c r="D198" s="5" t="s">
        <v>85</v>
      </c>
      <c r="E198" s="10" t="s">
        <v>71</v>
      </c>
      <c r="F198" s="7" t="s">
        <v>21</v>
      </c>
      <c r="H198" s="7">
        <v>1000</v>
      </c>
      <c r="I198" s="7">
        <v>240</v>
      </c>
      <c r="J198" s="7">
        <v>3.1</v>
      </c>
      <c r="K198" s="7">
        <v>696</v>
      </c>
      <c r="L198" s="7">
        <v>40</v>
      </c>
      <c r="N198" s="7">
        <v>44</v>
      </c>
      <c r="O198" s="7">
        <v>80</v>
      </c>
      <c r="P198" s="7">
        <v>0</v>
      </c>
      <c r="Q198" s="7">
        <v>10</v>
      </c>
      <c r="S198" s="7">
        <v>7</v>
      </c>
      <c r="T198" s="7">
        <v>8</v>
      </c>
      <c r="U198" s="7">
        <v>5</v>
      </c>
      <c r="W198" s="7">
        <v>20</v>
      </c>
      <c r="X198" s="7">
        <v>90</v>
      </c>
      <c r="Y198" s="7">
        <f>SUM(Table1[[#This Row],[Good Kernels  (g)]:[Husk  (g)]])</f>
        <v>1000</v>
      </c>
      <c r="Z198" s="9">
        <f>IFERROR(Table1[[#This Row],[Good Kernels  (g)]]/Table1[[#This Row],[Sample Qty  (g)]],"")</f>
        <v>0.69599999999999995</v>
      </c>
      <c r="AA198" s="9">
        <f>IFERROR(SUM(Table1[[#This Row],[Pieces  (g)]:[Butts (g)]])/Table1[[#This Row],[Sample Qty  (g)]],"")</f>
        <v>0.04</v>
      </c>
      <c r="AB198" s="9">
        <f>IFERROR(Table1[[#This Row],[Scorched (g)]]/Table1[[#This Row],[Sample Qty  (g)]],"")</f>
        <v>4.3999999999999997E-2</v>
      </c>
      <c r="AC198" s="9">
        <f>IFERROR(SUM(Table1[[#This Row],[Spotted  (g)]:[PUK3  (g)]])/Table1[[#This Row],[Sample Qty  (g)]],"")</f>
        <v>0.08</v>
      </c>
      <c r="AD198" s="9">
        <f>IFERROR(SUM(R198,Q198)/Table1[[#This Row],[Sample Qty  (g)]],"")</f>
        <v>0.01</v>
      </c>
      <c r="AE198" s="9">
        <f>IFERROR(Table1[[#This Row],[Dessert/NW  (g)]]/Table1[[#This Row],[Sample Qty  (g)]],"")</f>
        <v>7.0000000000000001E-3</v>
      </c>
      <c r="AF198" s="9">
        <f>IFERROR(SUM(Table1[[#This Row],[Oil  (g)]:[Dirty  (g)]])/Table1[[#This Row],[Sample Qty  (g)]],"")</f>
        <v>1.2999999999999999E-2</v>
      </c>
      <c r="AG198" s="9">
        <f>IFERROR(Table1[[#This Row],[Rejection  (g)]]/Table1[[#This Row],[Sample Qty  (g)]],"")</f>
        <v>0.02</v>
      </c>
      <c r="AH198" s="9">
        <f>IFERROR(Table1[[#This Row],[Husk  (g)]]/Table1[[#This Row],[Sample Qty  (g)]],"")</f>
        <v>0.09</v>
      </c>
    </row>
    <row r="199" spans="2:34" ht="12" x14ac:dyDescent="0.25">
      <c r="B199" s="8">
        <v>46221</v>
      </c>
      <c r="C199" s="7">
        <f>WEEKNUM(Table1[[#This Row],[Date]])</f>
        <v>29</v>
      </c>
      <c r="D199" s="5" t="s">
        <v>85</v>
      </c>
      <c r="E199" s="10" t="s">
        <v>71</v>
      </c>
      <c r="F199" s="7" t="s">
        <v>21</v>
      </c>
      <c r="H199" s="7">
        <v>1000</v>
      </c>
      <c r="I199" s="7">
        <v>320</v>
      </c>
      <c r="J199" s="7">
        <v>3.2</v>
      </c>
      <c r="K199" s="7">
        <v>693</v>
      </c>
      <c r="L199" s="7">
        <v>22</v>
      </c>
      <c r="N199" s="7">
        <v>56</v>
      </c>
      <c r="O199" s="7">
        <v>58</v>
      </c>
      <c r="P199" s="7">
        <v>0</v>
      </c>
      <c r="Q199" s="7">
        <v>12</v>
      </c>
      <c r="S199" s="7">
        <v>3</v>
      </c>
      <c r="T199" s="7">
        <v>8</v>
      </c>
      <c r="U199" s="7">
        <v>36</v>
      </c>
      <c r="W199" s="7">
        <v>12</v>
      </c>
      <c r="X199" s="7">
        <v>100</v>
      </c>
      <c r="Y199" s="7">
        <f>SUM(Table1[[#This Row],[Good Kernels  (g)]:[Husk  (g)]])</f>
        <v>1000</v>
      </c>
      <c r="Z199" s="9">
        <f>IFERROR(Table1[[#This Row],[Good Kernels  (g)]]/Table1[[#This Row],[Sample Qty  (g)]],"")</f>
        <v>0.69299999999999995</v>
      </c>
      <c r="AA199" s="9">
        <f>IFERROR(SUM(Table1[[#This Row],[Pieces  (g)]:[Butts (g)]])/Table1[[#This Row],[Sample Qty  (g)]],"")</f>
        <v>2.1999999999999999E-2</v>
      </c>
      <c r="AB199" s="9">
        <f>IFERROR(Table1[[#This Row],[Scorched (g)]]/Table1[[#This Row],[Sample Qty  (g)]],"")</f>
        <v>5.6000000000000001E-2</v>
      </c>
      <c r="AC199" s="9">
        <f>IFERROR(SUM(Table1[[#This Row],[Spotted  (g)]:[PUK3  (g)]])/Table1[[#This Row],[Sample Qty  (g)]],"")</f>
        <v>5.8000000000000003E-2</v>
      </c>
      <c r="AD199" s="9">
        <f>IFERROR(SUM(R199,Q199)/Table1[[#This Row],[Sample Qty  (g)]],"")</f>
        <v>1.2E-2</v>
      </c>
      <c r="AE199" s="9">
        <f>IFERROR(Table1[[#This Row],[Dessert/NW  (g)]]/Table1[[#This Row],[Sample Qty  (g)]],"")</f>
        <v>3.0000000000000001E-3</v>
      </c>
      <c r="AF199" s="9">
        <f>IFERROR(SUM(Table1[[#This Row],[Oil  (g)]:[Dirty  (g)]])/Table1[[#This Row],[Sample Qty  (g)]],"")</f>
        <v>4.3999999999999997E-2</v>
      </c>
      <c r="AG199" s="9">
        <f>IFERROR(Table1[[#This Row],[Rejection  (g)]]/Table1[[#This Row],[Sample Qty  (g)]],"")</f>
        <v>1.2E-2</v>
      </c>
      <c r="AH199" s="9">
        <f>IFERROR(Table1[[#This Row],[Husk  (g)]]/Table1[[#This Row],[Sample Qty  (g)]],"")</f>
        <v>0.1</v>
      </c>
    </row>
    <row r="200" spans="2:34" ht="12" x14ac:dyDescent="0.25">
      <c r="B200" s="8">
        <v>46221</v>
      </c>
      <c r="C200" s="7">
        <f>WEEKNUM(Table1[[#This Row],[Date]])</f>
        <v>29</v>
      </c>
      <c r="D200" s="5" t="s">
        <v>85</v>
      </c>
      <c r="E200" s="10" t="s">
        <v>71</v>
      </c>
      <c r="F200" s="7" t="s">
        <v>21</v>
      </c>
      <c r="H200" s="7">
        <v>1000</v>
      </c>
      <c r="I200" s="7">
        <v>276</v>
      </c>
      <c r="J200" s="7">
        <v>3.1</v>
      </c>
      <c r="K200" s="7">
        <v>773</v>
      </c>
      <c r="L200" s="7">
        <v>26</v>
      </c>
      <c r="N200" s="7">
        <v>32</v>
      </c>
      <c r="O200" s="7">
        <v>46</v>
      </c>
      <c r="P200" s="7">
        <v>0</v>
      </c>
      <c r="Q200" s="7">
        <v>10</v>
      </c>
      <c r="S200" s="7">
        <v>5</v>
      </c>
      <c r="T200" s="7">
        <v>5</v>
      </c>
      <c r="U200" s="7">
        <v>3</v>
      </c>
      <c r="W200" s="7">
        <v>12</v>
      </c>
      <c r="X200" s="7">
        <v>88</v>
      </c>
      <c r="Y200" s="7">
        <f>SUM(Table1[[#This Row],[Good Kernels  (g)]:[Husk  (g)]])</f>
        <v>1000</v>
      </c>
      <c r="Z200" s="9">
        <f>IFERROR(Table1[[#This Row],[Good Kernels  (g)]]/Table1[[#This Row],[Sample Qty  (g)]],"")</f>
        <v>0.77300000000000002</v>
      </c>
      <c r="AA200" s="9">
        <f>IFERROR(SUM(Table1[[#This Row],[Pieces  (g)]:[Butts (g)]])/Table1[[#This Row],[Sample Qty  (g)]],"")</f>
        <v>2.5999999999999999E-2</v>
      </c>
      <c r="AB200" s="9">
        <f>IFERROR(Table1[[#This Row],[Scorched (g)]]/Table1[[#This Row],[Sample Qty  (g)]],"")</f>
        <v>3.2000000000000001E-2</v>
      </c>
      <c r="AC200" s="9">
        <f>IFERROR(SUM(Table1[[#This Row],[Spotted  (g)]:[PUK3  (g)]])/Table1[[#This Row],[Sample Qty  (g)]],"")</f>
        <v>4.5999999999999999E-2</v>
      </c>
      <c r="AD200" s="9">
        <f>IFERROR(SUM(R200,Q200)/Table1[[#This Row],[Sample Qty  (g)]],"")</f>
        <v>0.01</v>
      </c>
      <c r="AE200" s="9">
        <f>IFERROR(Table1[[#This Row],[Dessert/NW  (g)]]/Table1[[#This Row],[Sample Qty  (g)]],"")</f>
        <v>5.0000000000000001E-3</v>
      </c>
      <c r="AF200" s="9">
        <f>IFERROR(SUM(Table1[[#This Row],[Oil  (g)]:[Dirty  (g)]])/Table1[[#This Row],[Sample Qty  (g)]],"")</f>
        <v>8.0000000000000002E-3</v>
      </c>
      <c r="AG200" s="9">
        <f>IFERROR(Table1[[#This Row],[Rejection  (g)]]/Table1[[#This Row],[Sample Qty  (g)]],"")</f>
        <v>1.2E-2</v>
      </c>
      <c r="AH200" s="9">
        <f>IFERROR(Table1[[#This Row],[Husk  (g)]]/Table1[[#This Row],[Sample Qty  (g)]],"")</f>
        <v>8.7999999999999995E-2</v>
      </c>
    </row>
    <row r="201" spans="2:34" ht="12" x14ac:dyDescent="0.25">
      <c r="B201" s="8">
        <v>46221</v>
      </c>
      <c r="C201" s="7">
        <f>WEEKNUM(Table1[[#This Row],[Date]])</f>
        <v>29</v>
      </c>
      <c r="D201" s="5" t="s">
        <v>85</v>
      </c>
      <c r="E201" s="10" t="s">
        <v>71</v>
      </c>
      <c r="F201" s="7" t="s">
        <v>21</v>
      </c>
      <c r="H201" s="7">
        <v>1000</v>
      </c>
      <c r="I201" s="7">
        <v>262</v>
      </c>
      <c r="J201" s="7">
        <v>3.2</v>
      </c>
      <c r="K201" s="7">
        <v>702</v>
      </c>
      <c r="L201" s="7">
        <v>20</v>
      </c>
      <c r="N201" s="7">
        <v>36</v>
      </c>
      <c r="O201" s="7">
        <v>72</v>
      </c>
      <c r="P201" s="7">
        <v>0</v>
      </c>
      <c r="Q201" s="7">
        <v>12</v>
      </c>
      <c r="S201" s="7">
        <v>4</v>
      </c>
      <c r="T201" s="7">
        <v>28</v>
      </c>
      <c r="U201" s="7">
        <v>24</v>
      </c>
      <c r="W201" s="7">
        <v>8</v>
      </c>
      <c r="X201" s="7">
        <v>94</v>
      </c>
      <c r="Y201" s="7">
        <f>SUM(Table1[[#This Row],[Good Kernels  (g)]:[Husk  (g)]])</f>
        <v>1000</v>
      </c>
      <c r="Z201" s="9">
        <f>IFERROR(Table1[[#This Row],[Good Kernels  (g)]]/Table1[[#This Row],[Sample Qty  (g)]],"")</f>
        <v>0.70199999999999996</v>
      </c>
      <c r="AA201" s="9">
        <f>IFERROR(SUM(Table1[[#This Row],[Pieces  (g)]:[Butts (g)]])/Table1[[#This Row],[Sample Qty  (g)]],"")</f>
        <v>0.02</v>
      </c>
      <c r="AB201" s="9">
        <f>IFERROR(Table1[[#This Row],[Scorched (g)]]/Table1[[#This Row],[Sample Qty  (g)]],"")</f>
        <v>3.5999999999999997E-2</v>
      </c>
      <c r="AC201" s="9">
        <f>IFERROR(SUM(Table1[[#This Row],[Spotted  (g)]:[PUK3  (g)]])/Table1[[#This Row],[Sample Qty  (g)]],"")</f>
        <v>7.1999999999999995E-2</v>
      </c>
      <c r="AD201" s="9">
        <f>IFERROR(SUM(R201,Q201)/Table1[[#This Row],[Sample Qty  (g)]],"")</f>
        <v>1.2E-2</v>
      </c>
      <c r="AE201" s="9">
        <f>IFERROR(Table1[[#This Row],[Dessert/NW  (g)]]/Table1[[#This Row],[Sample Qty  (g)]],"")</f>
        <v>4.0000000000000001E-3</v>
      </c>
      <c r="AF201" s="9">
        <f>IFERROR(SUM(Table1[[#This Row],[Oil  (g)]:[Dirty  (g)]])/Table1[[#This Row],[Sample Qty  (g)]],"")</f>
        <v>5.1999999999999998E-2</v>
      </c>
      <c r="AG201" s="9">
        <f>IFERROR(Table1[[#This Row],[Rejection  (g)]]/Table1[[#This Row],[Sample Qty  (g)]],"")</f>
        <v>8.0000000000000002E-3</v>
      </c>
      <c r="AH201" s="9">
        <f>IFERROR(Table1[[#This Row],[Husk  (g)]]/Table1[[#This Row],[Sample Qty  (g)]],"")</f>
        <v>9.4E-2</v>
      </c>
    </row>
    <row r="202" spans="2:34" ht="12" x14ac:dyDescent="0.25">
      <c r="B202" s="8">
        <v>46221</v>
      </c>
      <c r="C202" s="7">
        <f>WEEKNUM(Table1[[#This Row],[Date]])</f>
        <v>29</v>
      </c>
      <c r="D202" s="5" t="s">
        <v>85</v>
      </c>
      <c r="E202" s="10" t="s">
        <v>71</v>
      </c>
      <c r="F202" s="7" t="s">
        <v>21</v>
      </c>
      <c r="H202" s="7">
        <v>1000</v>
      </c>
      <c r="I202" s="7">
        <v>240</v>
      </c>
      <c r="J202" s="7">
        <v>3</v>
      </c>
      <c r="K202" s="7">
        <v>623</v>
      </c>
      <c r="L202" s="7">
        <v>78</v>
      </c>
      <c r="N202" s="7">
        <v>38</v>
      </c>
      <c r="O202" s="7">
        <v>78</v>
      </c>
      <c r="P202" s="7">
        <v>0</v>
      </c>
      <c r="Q202" s="7">
        <v>14</v>
      </c>
      <c r="S202" s="7">
        <v>15</v>
      </c>
      <c r="T202" s="7">
        <v>14</v>
      </c>
      <c r="U202" s="7">
        <v>28</v>
      </c>
      <c r="W202" s="7">
        <v>16</v>
      </c>
      <c r="X202" s="7">
        <v>96</v>
      </c>
      <c r="Y202" s="7">
        <f>SUM(Table1[[#This Row],[Good Kernels  (g)]:[Husk  (g)]])</f>
        <v>1000</v>
      </c>
      <c r="Z202" s="9">
        <f>IFERROR(Table1[[#This Row],[Good Kernels  (g)]]/Table1[[#This Row],[Sample Qty  (g)]],"")</f>
        <v>0.623</v>
      </c>
      <c r="AA202" s="9">
        <f>IFERROR(SUM(Table1[[#This Row],[Pieces  (g)]:[Butts (g)]])/Table1[[#This Row],[Sample Qty  (g)]],"")</f>
        <v>7.8E-2</v>
      </c>
      <c r="AB202" s="9">
        <f>IFERROR(Table1[[#This Row],[Scorched (g)]]/Table1[[#This Row],[Sample Qty  (g)]],"")</f>
        <v>3.7999999999999999E-2</v>
      </c>
      <c r="AC202" s="9">
        <f>IFERROR(SUM(Table1[[#This Row],[Spotted  (g)]:[PUK3  (g)]])/Table1[[#This Row],[Sample Qty  (g)]],"")</f>
        <v>7.8E-2</v>
      </c>
      <c r="AD202" s="9">
        <f>IFERROR(SUM(R202,Q202)/Table1[[#This Row],[Sample Qty  (g)]],"")</f>
        <v>1.4E-2</v>
      </c>
      <c r="AE202" s="9">
        <f>IFERROR(Table1[[#This Row],[Dessert/NW  (g)]]/Table1[[#This Row],[Sample Qty  (g)]],"")</f>
        <v>1.4999999999999999E-2</v>
      </c>
      <c r="AF202" s="9">
        <f>IFERROR(SUM(Table1[[#This Row],[Oil  (g)]:[Dirty  (g)]])/Table1[[#This Row],[Sample Qty  (g)]],"")</f>
        <v>4.2000000000000003E-2</v>
      </c>
      <c r="AG202" s="9">
        <f>IFERROR(Table1[[#This Row],[Rejection  (g)]]/Table1[[#This Row],[Sample Qty  (g)]],"")</f>
        <v>1.6E-2</v>
      </c>
      <c r="AH202" s="9">
        <f>IFERROR(Table1[[#This Row],[Husk  (g)]]/Table1[[#This Row],[Sample Qty  (g)]],"")</f>
        <v>9.6000000000000002E-2</v>
      </c>
    </row>
    <row r="203" spans="2:34" ht="12" x14ac:dyDescent="0.25">
      <c r="B203" s="8">
        <v>46221</v>
      </c>
      <c r="C203" s="7">
        <f>WEEKNUM(Table1[[#This Row],[Date]])</f>
        <v>29</v>
      </c>
      <c r="D203" s="5" t="s">
        <v>85</v>
      </c>
      <c r="E203" s="10" t="s">
        <v>71</v>
      </c>
      <c r="F203" s="7" t="s">
        <v>21</v>
      </c>
      <c r="H203" s="7">
        <v>1000</v>
      </c>
      <c r="I203" s="7">
        <v>310</v>
      </c>
      <c r="J203" s="7">
        <v>3</v>
      </c>
      <c r="K203" s="7">
        <v>658</v>
      </c>
      <c r="L203" s="7">
        <v>66</v>
      </c>
      <c r="N203" s="7">
        <v>14</v>
      </c>
      <c r="O203" s="7">
        <v>74</v>
      </c>
      <c r="P203" s="7">
        <v>0</v>
      </c>
      <c r="Q203" s="7">
        <v>19</v>
      </c>
      <c r="S203" s="7">
        <v>10</v>
      </c>
      <c r="T203" s="7">
        <v>25</v>
      </c>
      <c r="U203" s="7">
        <v>20</v>
      </c>
      <c r="W203" s="7">
        <v>18</v>
      </c>
      <c r="X203" s="7">
        <v>96</v>
      </c>
      <c r="Y203" s="7">
        <f>SUM(Table1[[#This Row],[Good Kernels  (g)]:[Husk  (g)]])</f>
        <v>1000</v>
      </c>
      <c r="Z203" s="9">
        <f>IFERROR(Table1[[#This Row],[Good Kernels  (g)]]/Table1[[#This Row],[Sample Qty  (g)]],"")</f>
        <v>0.65800000000000003</v>
      </c>
      <c r="AA203" s="9">
        <f>IFERROR(SUM(Table1[[#This Row],[Pieces  (g)]:[Butts (g)]])/Table1[[#This Row],[Sample Qty  (g)]],"")</f>
        <v>6.6000000000000003E-2</v>
      </c>
      <c r="AB203" s="9">
        <f>IFERROR(Table1[[#This Row],[Scorched (g)]]/Table1[[#This Row],[Sample Qty  (g)]],"")</f>
        <v>1.4E-2</v>
      </c>
      <c r="AC203" s="9">
        <f>IFERROR(SUM(Table1[[#This Row],[Spotted  (g)]:[PUK3  (g)]])/Table1[[#This Row],[Sample Qty  (g)]],"")</f>
        <v>7.3999999999999996E-2</v>
      </c>
      <c r="AD203" s="9">
        <f>IFERROR(SUM(R203,Q203)/Table1[[#This Row],[Sample Qty  (g)]],"")</f>
        <v>1.9E-2</v>
      </c>
      <c r="AE203" s="9">
        <f>IFERROR(Table1[[#This Row],[Dessert/NW  (g)]]/Table1[[#This Row],[Sample Qty  (g)]],"")</f>
        <v>0.01</v>
      </c>
      <c r="AF203" s="9">
        <f>IFERROR(SUM(Table1[[#This Row],[Oil  (g)]:[Dirty  (g)]])/Table1[[#This Row],[Sample Qty  (g)]],"")</f>
        <v>4.4999999999999998E-2</v>
      </c>
      <c r="AG203" s="9">
        <f>IFERROR(Table1[[#This Row],[Rejection  (g)]]/Table1[[#This Row],[Sample Qty  (g)]],"")</f>
        <v>1.7999999999999999E-2</v>
      </c>
      <c r="AH203" s="9">
        <f>IFERROR(Table1[[#This Row],[Husk  (g)]]/Table1[[#This Row],[Sample Qty  (g)]],"")</f>
        <v>9.6000000000000002E-2</v>
      </c>
    </row>
    <row r="204" spans="2:34" ht="12" x14ac:dyDescent="0.25">
      <c r="B204" s="8">
        <v>46221</v>
      </c>
      <c r="C204" s="7">
        <f>WEEKNUM(Table1[[#This Row],[Date]])</f>
        <v>29</v>
      </c>
      <c r="D204" s="5" t="s">
        <v>85</v>
      </c>
      <c r="E204" s="10" t="s">
        <v>71</v>
      </c>
      <c r="F204" s="7" t="s">
        <v>21</v>
      </c>
      <c r="H204" s="7">
        <v>1000</v>
      </c>
      <c r="I204" s="7">
        <v>266</v>
      </c>
      <c r="J204" s="7">
        <v>3.4</v>
      </c>
      <c r="K204" s="7">
        <v>482</v>
      </c>
      <c r="L204" s="7">
        <v>150</v>
      </c>
      <c r="N204" s="7">
        <v>20</v>
      </c>
      <c r="O204" s="7">
        <v>94</v>
      </c>
      <c r="P204" s="7">
        <v>0</v>
      </c>
      <c r="Q204" s="7">
        <v>10</v>
      </c>
      <c r="S204" s="7">
        <v>8</v>
      </c>
      <c r="T204" s="7">
        <v>46</v>
      </c>
      <c r="U204" s="7">
        <v>86</v>
      </c>
      <c r="W204" s="7">
        <v>22</v>
      </c>
      <c r="X204" s="7">
        <v>82</v>
      </c>
      <c r="Y204" s="7">
        <f>SUM(Table1[[#This Row],[Good Kernels  (g)]:[Husk  (g)]])</f>
        <v>1000</v>
      </c>
      <c r="Z204" s="9">
        <f>IFERROR(Table1[[#This Row],[Good Kernels  (g)]]/Table1[[#This Row],[Sample Qty  (g)]],"")</f>
        <v>0.48199999999999998</v>
      </c>
      <c r="AA204" s="9">
        <f>IFERROR(SUM(Table1[[#This Row],[Pieces  (g)]:[Butts (g)]])/Table1[[#This Row],[Sample Qty  (g)]],"")</f>
        <v>0.15</v>
      </c>
      <c r="AB204" s="9">
        <f>IFERROR(Table1[[#This Row],[Scorched (g)]]/Table1[[#This Row],[Sample Qty  (g)]],"")</f>
        <v>0.02</v>
      </c>
      <c r="AC204" s="9">
        <f>IFERROR(SUM(Table1[[#This Row],[Spotted  (g)]:[PUK3  (g)]])/Table1[[#This Row],[Sample Qty  (g)]],"")</f>
        <v>9.4E-2</v>
      </c>
      <c r="AD204" s="9">
        <f>IFERROR(SUM(R204,Q204)/Table1[[#This Row],[Sample Qty  (g)]],"")</f>
        <v>0.01</v>
      </c>
      <c r="AE204" s="9">
        <f>IFERROR(Table1[[#This Row],[Dessert/NW  (g)]]/Table1[[#This Row],[Sample Qty  (g)]],"")</f>
        <v>8.0000000000000002E-3</v>
      </c>
      <c r="AF204" s="9">
        <f>IFERROR(SUM(Table1[[#This Row],[Oil  (g)]:[Dirty  (g)]])/Table1[[#This Row],[Sample Qty  (g)]],"")</f>
        <v>0.13200000000000001</v>
      </c>
      <c r="AG204" s="9">
        <f>IFERROR(Table1[[#This Row],[Rejection  (g)]]/Table1[[#This Row],[Sample Qty  (g)]],"")</f>
        <v>2.1999999999999999E-2</v>
      </c>
      <c r="AH204" s="9">
        <f>IFERROR(Table1[[#This Row],[Husk  (g)]]/Table1[[#This Row],[Sample Qty  (g)]],"")</f>
        <v>8.2000000000000003E-2</v>
      </c>
    </row>
    <row r="205" spans="2:34" ht="12" x14ac:dyDescent="0.25">
      <c r="B205" s="8">
        <v>46221</v>
      </c>
      <c r="C205" s="7">
        <f>WEEKNUM(Table1[[#This Row],[Date]])</f>
        <v>29</v>
      </c>
      <c r="D205" s="5" t="s">
        <v>85</v>
      </c>
      <c r="E205" s="10" t="s">
        <v>71</v>
      </c>
      <c r="F205" s="7" t="s">
        <v>21</v>
      </c>
      <c r="H205" s="7">
        <v>1000</v>
      </c>
      <c r="I205" s="7">
        <v>308</v>
      </c>
      <c r="J205" s="7">
        <v>3.2</v>
      </c>
      <c r="K205" s="7">
        <v>505</v>
      </c>
      <c r="L205" s="7">
        <v>182</v>
      </c>
      <c r="N205" s="7">
        <v>20</v>
      </c>
      <c r="O205" s="7">
        <v>74</v>
      </c>
      <c r="P205" s="7">
        <v>0</v>
      </c>
      <c r="Q205" s="7">
        <v>22</v>
      </c>
      <c r="S205" s="7">
        <v>8</v>
      </c>
      <c r="T205" s="7">
        <v>14</v>
      </c>
      <c r="U205" s="7">
        <v>82</v>
      </c>
      <c r="W205" s="7">
        <v>9</v>
      </c>
      <c r="X205" s="7">
        <v>84</v>
      </c>
      <c r="Y205" s="7">
        <f>SUM(Table1[[#This Row],[Good Kernels  (g)]:[Husk  (g)]])</f>
        <v>1000</v>
      </c>
      <c r="Z205" s="9">
        <f>IFERROR(Table1[[#This Row],[Good Kernels  (g)]]/Table1[[#This Row],[Sample Qty  (g)]],"")</f>
        <v>0.505</v>
      </c>
      <c r="AA205" s="9">
        <f>IFERROR(SUM(Table1[[#This Row],[Pieces  (g)]:[Butts (g)]])/Table1[[#This Row],[Sample Qty  (g)]],"")</f>
        <v>0.182</v>
      </c>
      <c r="AB205" s="9">
        <f>IFERROR(Table1[[#This Row],[Scorched (g)]]/Table1[[#This Row],[Sample Qty  (g)]],"")</f>
        <v>0.02</v>
      </c>
      <c r="AC205" s="9">
        <f>IFERROR(SUM(Table1[[#This Row],[Spotted  (g)]:[PUK3  (g)]])/Table1[[#This Row],[Sample Qty  (g)]],"")</f>
        <v>7.3999999999999996E-2</v>
      </c>
      <c r="AD205" s="9">
        <f>IFERROR(SUM(R205,Q205)/Table1[[#This Row],[Sample Qty  (g)]],"")</f>
        <v>2.1999999999999999E-2</v>
      </c>
      <c r="AE205" s="9">
        <f>IFERROR(Table1[[#This Row],[Dessert/NW  (g)]]/Table1[[#This Row],[Sample Qty  (g)]],"")</f>
        <v>8.0000000000000002E-3</v>
      </c>
      <c r="AF205" s="9">
        <f>IFERROR(SUM(Table1[[#This Row],[Oil  (g)]:[Dirty  (g)]])/Table1[[#This Row],[Sample Qty  (g)]],"")</f>
        <v>9.6000000000000002E-2</v>
      </c>
      <c r="AG205" s="9">
        <f>IFERROR(Table1[[#This Row],[Rejection  (g)]]/Table1[[#This Row],[Sample Qty  (g)]],"")</f>
        <v>8.9999999999999993E-3</v>
      </c>
      <c r="AH205" s="9">
        <f>IFERROR(Table1[[#This Row],[Husk  (g)]]/Table1[[#This Row],[Sample Qty  (g)]],"")</f>
        <v>8.4000000000000005E-2</v>
      </c>
    </row>
    <row r="206" spans="2:34" ht="12" x14ac:dyDescent="0.25">
      <c r="B206" s="8">
        <v>46223</v>
      </c>
      <c r="C206" s="7">
        <f>WEEKNUM(Table1[[#This Row],[Date]])</f>
        <v>30</v>
      </c>
      <c r="D206" s="5" t="s">
        <v>86</v>
      </c>
      <c r="E206" s="10" t="s">
        <v>71</v>
      </c>
      <c r="F206" s="7" t="s">
        <v>21</v>
      </c>
      <c r="H206" s="7">
        <v>1000</v>
      </c>
      <c r="I206" s="7">
        <v>240</v>
      </c>
      <c r="J206" s="7">
        <v>3</v>
      </c>
      <c r="K206" s="7">
        <v>739</v>
      </c>
      <c r="L206" s="7">
        <v>20</v>
      </c>
      <c r="N206" s="7">
        <v>32</v>
      </c>
      <c r="O206" s="7">
        <v>92</v>
      </c>
      <c r="P206" s="7">
        <v>0</v>
      </c>
      <c r="Q206" s="7">
        <v>6</v>
      </c>
      <c r="S206" s="7">
        <v>4</v>
      </c>
      <c r="T206" s="7">
        <v>8</v>
      </c>
      <c r="U206" s="7">
        <v>3</v>
      </c>
      <c r="W206" s="7">
        <v>4</v>
      </c>
      <c r="X206" s="7">
        <v>92</v>
      </c>
      <c r="Y206" s="7">
        <f>SUM(Table1[[#This Row],[Good Kernels  (g)]:[Husk  (g)]])</f>
        <v>1000</v>
      </c>
      <c r="Z206" s="9">
        <f>IFERROR(Table1[[#This Row],[Good Kernels  (g)]]/Table1[[#This Row],[Sample Qty  (g)]],"")</f>
        <v>0.73899999999999999</v>
      </c>
      <c r="AA206" s="9">
        <f>IFERROR(SUM(Table1[[#This Row],[Pieces  (g)]:[Butts (g)]])/Table1[[#This Row],[Sample Qty  (g)]],"")</f>
        <v>0.02</v>
      </c>
      <c r="AB206" s="9">
        <f>IFERROR(Table1[[#This Row],[Scorched (g)]]/Table1[[#This Row],[Sample Qty  (g)]],"")</f>
        <v>3.2000000000000001E-2</v>
      </c>
      <c r="AC206" s="9">
        <f>IFERROR(SUM(Table1[[#This Row],[Spotted  (g)]:[PUK3  (g)]])/Table1[[#This Row],[Sample Qty  (g)]],"")</f>
        <v>9.1999999999999998E-2</v>
      </c>
      <c r="AD206" s="9">
        <f>IFERROR(SUM(R206,Q206)/Table1[[#This Row],[Sample Qty  (g)]],"")</f>
        <v>6.0000000000000001E-3</v>
      </c>
      <c r="AE206" s="9">
        <f>IFERROR(Table1[[#This Row],[Dessert/NW  (g)]]/Table1[[#This Row],[Sample Qty  (g)]],"")</f>
        <v>4.0000000000000001E-3</v>
      </c>
      <c r="AF206" s="9">
        <f>IFERROR(SUM(Table1[[#This Row],[Oil  (g)]:[Dirty  (g)]])/Table1[[#This Row],[Sample Qty  (g)]],"")</f>
        <v>1.0999999999999999E-2</v>
      </c>
      <c r="AG206" s="9">
        <f>IFERROR(Table1[[#This Row],[Rejection  (g)]]/Table1[[#This Row],[Sample Qty  (g)]],"")</f>
        <v>4.0000000000000001E-3</v>
      </c>
      <c r="AH206" s="9">
        <f>IFERROR(Table1[[#This Row],[Husk  (g)]]/Table1[[#This Row],[Sample Qty  (g)]],"")</f>
        <v>9.1999999999999998E-2</v>
      </c>
    </row>
    <row r="207" spans="2:34" ht="12" x14ac:dyDescent="0.25">
      <c r="B207" s="8">
        <v>46223</v>
      </c>
      <c r="C207" s="7">
        <f>WEEKNUM(Table1[[#This Row],[Date]])</f>
        <v>30</v>
      </c>
      <c r="D207" s="5" t="s">
        <v>86</v>
      </c>
      <c r="E207" s="10" t="s">
        <v>71</v>
      </c>
      <c r="F207" s="7" t="s">
        <v>21</v>
      </c>
      <c r="H207" s="7">
        <v>1000</v>
      </c>
      <c r="I207" s="7">
        <v>266</v>
      </c>
      <c r="J207" s="7">
        <v>3.1</v>
      </c>
      <c r="K207" s="7">
        <v>709</v>
      </c>
      <c r="L207" s="7">
        <v>24</v>
      </c>
      <c r="N207" s="7">
        <v>70</v>
      </c>
      <c r="O207" s="7">
        <v>66</v>
      </c>
      <c r="P207" s="7">
        <v>0</v>
      </c>
      <c r="Q207" s="7">
        <v>8</v>
      </c>
      <c r="S207" s="7">
        <v>4</v>
      </c>
      <c r="T207" s="7">
        <v>10</v>
      </c>
      <c r="U207" s="7">
        <v>3</v>
      </c>
      <c r="W207" s="7">
        <v>12</v>
      </c>
      <c r="X207" s="7">
        <v>94</v>
      </c>
      <c r="Y207" s="7">
        <f>SUM(Table1[[#This Row],[Good Kernels  (g)]:[Husk  (g)]])</f>
        <v>1000</v>
      </c>
      <c r="Z207" s="9">
        <f>IFERROR(Table1[[#This Row],[Good Kernels  (g)]]/Table1[[#This Row],[Sample Qty  (g)]],"")</f>
        <v>0.70899999999999996</v>
      </c>
      <c r="AA207" s="9">
        <f>IFERROR(SUM(Table1[[#This Row],[Pieces  (g)]:[Butts (g)]])/Table1[[#This Row],[Sample Qty  (g)]],"")</f>
        <v>2.4E-2</v>
      </c>
      <c r="AB207" s="9">
        <f>IFERROR(Table1[[#This Row],[Scorched (g)]]/Table1[[#This Row],[Sample Qty  (g)]],"")</f>
        <v>7.0000000000000007E-2</v>
      </c>
      <c r="AC207" s="9">
        <f>IFERROR(SUM(Table1[[#This Row],[Spotted  (g)]:[PUK3  (g)]])/Table1[[#This Row],[Sample Qty  (g)]],"")</f>
        <v>6.6000000000000003E-2</v>
      </c>
      <c r="AD207" s="9">
        <f>IFERROR(SUM(R207,Q207)/Table1[[#This Row],[Sample Qty  (g)]],"")</f>
        <v>8.0000000000000002E-3</v>
      </c>
      <c r="AE207" s="9">
        <f>IFERROR(Table1[[#This Row],[Dessert/NW  (g)]]/Table1[[#This Row],[Sample Qty  (g)]],"")</f>
        <v>4.0000000000000001E-3</v>
      </c>
      <c r="AF207" s="9">
        <f>IFERROR(SUM(Table1[[#This Row],[Oil  (g)]:[Dirty  (g)]])/Table1[[#This Row],[Sample Qty  (g)]],"")</f>
        <v>1.2999999999999999E-2</v>
      </c>
      <c r="AG207" s="9">
        <f>IFERROR(Table1[[#This Row],[Rejection  (g)]]/Table1[[#This Row],[Sample Qty  (g)]],"")</f>
        <v>1.2E-2</v>
      </c>
      <c r="AH207" s="9">
        <f>IFERROR(Table1[[#This Row],[Husk  (g)]]/Table1[[#This Row],[Sample Qty  (g)]],"")</f>
        <v>9.4E-2</v>
      </c>
    </row>
    <row r="208" spans="2:34" ht="12" x14ac:dyDescent="0.25">
      <c r="B208" s="8">
        <v>46223</v>
      </c>
      <c r="C208" s="7">
        <f>WEEKNUM(Table1[[#This Row],[Date]])</f>
        <v>30</v>
      </c>
      <c r="D208" s="5" t="s">
        <v>86</v>
      </c>
      <c r="E208" s="10" t="s">
        <v>71</v>
      </c>
      <c r="F208" s="7" t="s">
        <v>21</v>
      </c>
      <c r="H208" s="7">
        <v>1000</v>
      </c>
      <c r="I208" s="7">
        <v>258</v>
      </c>
      <c r="J208" s="7">
        <v>3.1</v>
      </c>
      <c r="K208" s="7">
        <v>703</v>
      </c>
      <c r="L208" s="7">
        <v>28</v>
      </c>
      <c r="N208" s="7">
        <v>58</v>
      </c>
      <c r="O208" s="7">
        <v>70</v>
      </c>
      <c r="P208" s="7">
        <v>0</v>
      </c>
      <c r="Q208" s="7">
        <v>10</v>
      </c>
      <c r="S208" s="7">
        <v>3</v>
      </c>
      <c r="T208" s="7">
        <v>10</v>
      </c>
      <c r="U208" s="7">
        <v>8</v>
      </c>
      <c r="W208" s="7">
        <v>16</v>
      </c>
      <c r="X208" s="7">
        <v>94</v>
      </c>
      <c r="Y208" s="7">
        <f>SUM(Table1[[#This Row],[Good Kernels  (g)]:[Husk  (g)]])</f>
        <v>1000</v>
      </c>
      <c r="Z208" s="9">
        <f>IFERROR(Table1[[#This Row],[Good Kernels  (g)]]/Table1[[#This Row],[Sample Qty  (g)]],"")</f>
        <v>0.70299999999999996</v>
      </c>
      <c r="AA208" s="9">
        <f>IFERROR(SUM(Table1[[#This Row],[Pieces  (g)]:[Butts (g)]])/Table1[[#This Row],[Sample Qty  (g)]],"")</f>
        <v>2.8000000000000001E-2</v>
      </c>
      <c r="AB208" s="9">
        <f>IFERROR(Table1[[#This Row],[Scorched (g)]]/Table1[[#This Row],[Sample Qty  (g)]],"")</f>
        <v>5.8000000000000003E-2</v>
      </c>
      <c r="AC208" s="9">
        <f>IFERROR(SUM(Table1[[#This Row],[Spotted  (g)]:[PUK3  (g)]])/Table1[[#This Row],[Sample Qty  (g)]],"")</f>
        <v>7.0000000000000007E-2</v>
      </c>
      <c r="AD208" s="9">
        <f>IFERROR(SUM(R208,Q208)/Table1[[#This Row],[Sample Qty  (g)]],"")</f>
        <v>0.01</v>
      </c>
      <c r="AE208" s="9">
        <f>IFERROR(Table1[[#This Row],[Dessert/NW  (g)]]/Table1[[#This Row],[Sample Qty  (g)]],"")</f>
        <v>3.0000000000000001E-3</v>
      </c>
      <c r="AF208" s="9">
        <f>IFERROR(SUM(Table1[[#This Row],[Oil  (g)]:[Dirty  (g)]])/Table1[[#This Row],[Sample Qty  (g)]],"")</f>
        <v>1.7999999999999999E-2</v>
      </c>
      <c r="AG208" s="9">
        <f>IFERROR(Table1[[#This Row],[Rejection  (g)]]/Table1[[#This Row],[Sample Qty  (g)]],"")</f>
        <v>1.6E-2</v>
      </c>
      <c r="AH208" s="9">
        <f>IFERROR(Table1[[#This Row],[Husk  (g)]]/Table1[[#This Row],[Sample Qty  (g)]],"")</f>
        <v>9.4E-2</v>
      </c>
    </row>
    <row r="209" spans="2:34" ht="12" x14ac:dyDescent="0.25">
      <c r="B209" s="8">
        <v>46223</v>
      </c>
      <c r="C209" s="7">
        <f>WEEKNUM(Table1[[#This Row],[Date]])</f>
        <v>30</v>
      </c>
      <c r="D209" s="5" t="s">
        <v>86</v>
      </c>
      <c r="E209" s="10" t="s">
        <v>71</v>
      </c>
      <c r="F209" s="7" t="s">
        <v>21</v>
      </c>
      <c r="H209" s="7">
        <v>1000</v>
      </c>
      <c r="I209" s="7">
        <v>240</v>
      </c>
      <c r="J209" s="7">
        <v>3</v>
      </c>
      <c r="K209" s="7">
        <v>740</v>
      </c>
      <c r="L209" s="7">
        <v>24</v>
      </c>
      <c r="N209" s="7">
        <v>24</v>
      </c>
      <c r="O209" s="7">
        <v>74</v>
      </c>
      <c r="P209" s="7">
        <v>0</v>
      </c>
      <c r="Q209" s="7">
        <v>10</v>
      </c>
      <c r="S209" s="7">
        <v>4</v>
      </c>
      <c r="T209" s="7">
        <v>4</v>
      </c>
      <c r="U209" s="7">
        <v>10</v>
      </c>
      <c r="W209" s="7">
        <v>14</v>
      </c>
      <c r="X209" s="7">
        <v>96</v>
      </c>
      <c r="Y209" s="7">
        <f>SUM(Table1[[#This Row],[Good Kernels  (g)]:[Husk  (g)]])</f>
        <v>1000</v>
      </c>
      <c r="Z209" s="9">
        <f>IFERROR(Table1[[#This Row],[Good Kernels  (g)]]/Table1[[#This Row],[Sample Qty  (g)]],"")</f>
        <v>0.74</v>
      </c>
      <c r="AA209" s="9">
        <f>IFERROR(SUM(Table1[[#This Row],[Pieces  (g)]:[Butts (g)]])/Table1[[#This Row],[Sample Qty  (g)]],"")</f>
        <v>2.4E-2</v>
      </c>
      <c r="AB209" s="9">
        <f>IFERROR(Table1[[#This Row],[Scorched (g)]]/Table1[[#This Row],[Sample Qty  (g)]],"")</f>
        <v>2.4E-2</v>
      </c>
      <c r="AC209" s="9">
        <f>IFERROR(SUM(Table1[[#This Row],[Spotted  (g)]:[PUK3  (g)]])/Table1[[#This Row],[Sample Qty  (g)]],"")</f>
        <v>7.3999999999999996E-2</v>
      </c>
      <c r="AD209" s="9">
        <f>IFERROR(SUM(R209,Q209)/Table1[[#This Row],[Sample Qty  (g)]],"")</f>
        <v>0.01</v>
      </c>
      <c r="AE209" s="9">
        <f>IFERROR(Table1[[#This Row],[Dessert/NW  (g)]]/Table1[[#This Row],[Sample Qty  (g)]],"")</f>
        <v>4.0000000000000001E-3</v>
      </c>
      <c r="AF209" s="9">
        <f>IFERROR(SUM(Table1[[#This Row],[Oil  (g)]:[Dirty  (g)]])/Table1[[#This Row],[Sample Qty  (g)]],"")</f>
        <v>1.4E-2</v>
      </c>
      <c r="AG209" s="9">
        <f>IFERROR(Table1[[#This Row],[Rejection  (g)]]/Table1[[#This Row],[Sample Qty  (g)]],"")</f>
        <v>1.4E-2</v>
      </c>
      <c r="AH209" s="9">
        <f>IFERROR(Table1[[#This Row],[Husk  (g)]]/Table1[[#This Row],[Sample Qty  (g)]],"")</f>
        <v>9.6000000000000002E-2</v>
      </c>
    </row>
    <row r="210" spans="2:34" ht="12" x14ac:dyDescent="0.25">
      <c r="B210" s="8">
        <v>46223</v>
      </c>
      <c r="C210" s="7">
        <f>WEEKNUM(Table1[[#This Row],[Date]])</f>
        <v>30</v>
      </c>
      <c r="D210" s="5" t="s">
        <v>86</v>
      </c>
      <c r="E210" s="10" t="s">
        <v>71</v>
      </c>
      <c r="F210" s="7" t="s">
        <v>21</v>
      </c>
      <c r="H210" s="7">
        <v>1000</v>
      </c>
      <c r="I210" s="7">
        <v>250</v>
      </c>
      <c r="J210" s="7">
        <v>3</v>
      </c>
      <c r="K210" s="7">
        <v>670</v>
      </c>
      <c r="L210" s="7">
        <v>32</v>
      </c>
      <c r="N210" s="7">
        <v>58</v>
      </c>
      <c r="O210" s="7">
        <v>88</v>
      </c>
      <c r="P210" s="7">
        <v>0</v>
      </c>
      <c r="Q210" s="7">
        <v>5</v>
      </c>
      <c r="S210" s="7">
        <v>5</v>
      </c>
      <c r="T210" s="7">
        <v>16</v>
      </c>
      <c r="U210" s="7">
        <v>8</v>
      </c>
      <c r="W210" s="7">
        <v>20</v>
      </c>
      <c r="X210" s="7">
        <v>98</v>
      </c>
      <c r="Y210" s="7">
        <f>SUM(Table1[[#This Row],[Good Kernels  (g)]:[Husk  (g)]])</f>
        <v>1000</v>
      </c>
      <c r="Z210" s="9">
        <f>IFERROR(Table1[[#This Row],[Good Kernels  (g)]]/Table1[[#This Row],[Sample Qty  (g)]],"")</f>
        <v>0.67</v>
      </c>
      <c r="AA210" s="9">
        <f>IFERROR(SUM(Table1[[#This Row],[Pieces  (g)]:[Butts (g)]])/Table1[[#This Row],[Sample Qty  (g)]],"")</f>
        <v>3.2000000000000001E-2</v>
      </c>
      <c r="AB210" s="9">
        <f>IFERROR(Table1[[#This Row],[Scorched (g)]]/Table1[[#This Row],[Sample Qty  (g)]],"")</f>
        <v>5.8000000000000003E-2</v>
      </c>
      <c r="AC210" s="9">
        <f>IFERROR(SUM(Table1[[#This Row],[Spotted  (g)]:[PUK3  (g)]])/Table1[[#This Row],[Sample Qty  (g)]],"")</f>
        <v>8.7999999999999995E-2</v>
      </c>
      <c r="AD210" s="9">
        <f>IFERROR(SUM(R210,Q210)/Table1[[#This Row],[Sample Qty  (g)]],"")</f>
        <v>5.0000000000000001E-3</v>
      </c>
      <c r="AE210" s="9">
        <f>IFERROR(Table1[[#This Row],[Dessert/NW  (g)]]/Table1[[#This Row],[Sample Qty  (g)]],"")</f>
        <v>5.0000000000000001E-3</v>
      </c>
      <c r="AF210" s="9">
        <f>IFERROR(SUM(Table1[[#This Row],[Oil  (g)]:[Dirty  (g)]])/Table1[[#This Row],[Sample Qty  (g)]],"")</f>
        <v>2.4E-2</v>
      </c>
      <c r="AG210" s="9">
        <f>IFERROR(Table1[[#This Row],[Rejection  (g)]]/Table1[[#This Row],[Sample Qty  (g)]],"")</f>
        <v>0.02</v>
      </c>
      <c r="AH210" s="9">
        <f>IFERROR(Table1[[#This Row],[Husk  (g)]]/Table1[[#This Row],[Sample Qty  (g)]],"")</f>
        <v>9.8000000000000004E-2</v>
      </c>
    </row>
    <row r="211" spans="2:34" ht="12" x14ac:dyDescent="0.25">
      <c r="B211" s="8">
        <v>46223</v>
      </c>
      <c r="C211" s="7">
        <f>WEEKNUM(Table1[[#This Row],[Date]])</f>
        <v>30</v>
      </c>
      <c r="D211" s="5" t="s">
        <v>86</v>
      </c>
      <c r="E211" s="10" t="s">
        <v>71</v>
      </c>
      <c r="F211" s="7" t="s">
        <v>21</v>
      </c>
      <c r="H211" s="7">
        <v>1000</v>
      </c>
      <c r="I211" s="7">
        <v>256</v>
      </c>
      <c r="J211" s="7">
        <v>3.2</v>
      </c>
      <c r="K211" s="7">
        <v>729</v>
      </c>
      <c r="L211" s="7">
        <v>52</v>
      </c>
      <c r="N211" s="7">
        <v>54</v>
      </c>
      <c r="O211" s="7">
        <v>36</v>
      </c>
      <c r="P211" s="7">
        <v>0</v>
      </c>
      <c r="Q211" s="7">
        <v>3</v>
      </c>
      <c r="S211" s="7">
        <v>4</v>
      </c>
      <c r="T211" s="7">
        <v>8</v>
      </c>
      <c r="U211" s="7">
        <v>6</v>
      </c>
      <c r="W211" s="7">
        <v>12</v>
      </c>
      <c r="X211" s="7">
        <v>96</v>
      </c>
      <c r="Y211" s="7">
        <f>SUM(Table1[[#This Row],[Good Kernels  (g)]:[Husk  (g)]])</f>
        <v>1000</v>
      </c>
      <c r="Z211" s="9">
        <f>IFERROR(Table1[[#This Row],[Good Kernels  (g)]]/Table1[[#This Row],[Sample Qty  (g)]],"")</f>
        <v>0.72899999999999998</v>
      </c>
      <c r="AA211" s="9">
        <f>IFERROR(SUM(Table1[[#This Row],[Pieces  (g)]:[Butts (g)]])/Table1[[#This Row],[Sample Qty  (g)]],"")</f>
        <v>5.1999999999999998E-2</v>
      </c>
      <c r="AB211" s="9">
        <f>IFERROR(Table1[[#This Row],[Scorched (g)]]/Table1[[#This Row],[Sample Qty  (g)]],"")</f>
        <v>5.3999999999999999E-2</v>
      </c>
      <c r="AC211" s="9">
        <f>IFERROR(SUM(Table1[[#This Row],[Spotted  (g)]:[PUK3  (g)]])/Table1[[#This Row],[Sample Qty  (g)]],"")</f>
        <v>3.5999999999999997E-2</v>
      </c>
      <c r="AD211" s="9">
        <f>IFERROR(SUM(R211,Q211)/Table1[[#This Row],[Sample Qty  (g)]],"")</f>
        <v>3.0000000000000001E-3</v>
      </c>
      <c r="AE211" s="9">
        <f>IFERROR(Table1[[#This Row],[Dessert/NW  (g)]]/Table1[[#This Row],[Sample Qty  (g)]],"")</f>
        <v>4.0000000000000001E-3</v>
      </c>
      <c r="AF211" s="9">
        <f>IFERROR(SUM(Table1[[#This Row],[Oil  (g)]:[Dirty  (g)]])/Table1[[#This Row],[Sample Qty  (g)]],"")</f>
        <v>1.4E-2</v>
      </c>
      <c r="AG211" s="9">
        <f>IFERROR(Table1[[#This Row],[Rejection  (g)]]/Table1[[#This Row],[Sample Qty  (g)]],"")</f>
        <v>1.2E-2</v>
      </c>
      <c r="AH211" s="9">
        <f>IFERROR(Table1[[#This Row],[Husk  (g)]]/Table1[[#This Row],[Sample Qty  (g)]],"")</f>
        <v>9.6000000000000002E-2</v>
      </c>
    </row>
    <row r="212" spans="2:34" ht="12" x14ac:dyDescent="0.25">
      <c r="B212" s="8">
        <v>46223</v>
      </c>
      <c r="C212" s="7">
        <f>WEEKNUM(Table1[[#This Row],[Date]])</f>
        <v>30</v>
      </c>
      <c r="D212" s="5" t="s">
        <v>86</v>
      </c>
      <c r="E212" s="10" t="s">
        <v>71</v>
      </c>
      <c r="F212" s="7" t="s">
        <v>21</v>
      </c>
      <c r="H212" s="7">
        <v>1000</v>
      </c>
      <c r="I212" s="7">
        <v>244</v>
      </c>
      <c r="J212" s="7">
        <v>3.1</v>
      </c>
      <c r="K212" s="7">
        <v>742</v>
      </c>
      <c r="L212" s="7">
        <v>26</v>
      </c>
      <c r="N212" s="7">
        <v>30</v>
      </c>
      <c r="O212" s="7">
        <v>66</v>
      </c>
      <c r="P212" s="7">
        <v>0</v>
      </c>
      <c r="Q212" s="7">
        <v>10</v>
      </c>
      <c r="S212" s="7">
        <v>4</v>
      </c>
      <c r="T212" s="7">
        <v>10</v>
      </c>
      <c r="U212" s="7">
        <v>10</v>
      </c>
      <c r="W212" s="7">
        <v>14</v>
      </c>
      <c r="X212" s="7">
        <v>88</v>
      </c>
      <c r="Y212" s="7">
        <f>SUM(Table1[[#This Row],[Good Kernels  (g)]:[Husk  (g)]])</f>
        <v>1000</v>
      </c>
      <c r="Z212" s="9">
        <f>IFERROR(Table1[[#This Row],[Good Kernels  (g)]]/Table1[[#This Row],[Sample Qty  (g)]],"")</f>
        <v>0.74199999999999999</v>
      </c>
      <c r="AA212" s="9">
        <f>IFERROR(SUM(Table1[[#This Row],[Pieces  (g)]:[Butts (g)]])/Table1[[#This Row],[Sample Qty  (g)]],"")</f>
        <v>2.5999999999999999E-2</v>
      </c>
      <c r="AB212" s="9">
        <f>IFERROR(Table1[[#This Row],[Scorched (g)]]/Table1[[#This Row],[Sample Qty  (g)]],"")</f>
        <v>0.03</v>
      </c>
      <c r="AC212" s="9">
        <f>IFERROR(SUM(Table1[[#This Row],[Spotted  (g)]:[PUK3  (g)]])/Table1[[#This Row],[Sample Qty  (g)]],"")</f>
        <v>6.6000000000000003E-2</v>
      </c>
      <c r="AD212" s="9">
        <f>IFERROR(SUM(R212,Q212)/Table1[[#This Row],[Sample Qty  (g)]],"")</f>
        <v>0.01</v>
      </c>
      <c r="AE212" s="9">
        <f>IFERROR(Table1[[#This Row],[Dessert/NW  (g)]]/Table1[[#This Row],[Sample Qty  (g)]],"")</f>
        <v>4.0000000000000001E-3</v>
      </c>
      <c r="AF212" s="9">
        <f>IFERROR(SUM(Table1[[#This Row],[Oil  (g)]:[Dirty  (g)]])/Table1[[#This Row],[Sample Qty  (g)]],"")</f>
        <v>0.02</v>
      </c>
      <c r="AG212" s="9">
        <f>IFERROR(Table1[[#This Row],[Rejection  (g)]]/Table1[[#This Row],[Sample Qty  (g)]],"")</f>
        <v>1.4E-2</v>
      </c>
      <c r="AH212" s="9">
        <f>IFERROR(Table1[[#This Row],[Husk  (g)]]/Table1[[#This Row],[Sample Qty  (g)]],"")</f>
        <v>8.7999999999999995E-2</v>
      </c>
    </row>
    <row r="213" spans="2:34" ht="12" x14ac:dyDescent="0.25">
      <c r="B213" s="8">
        <v>46223</v>
      </c>
      <c r="C213" s="7">
        <f>WEEKNUM(Table1[[#This Row],[Date]])</f>
        <v>30</v>
      </c>
      <c r="D213" s="5" t="s">
        <v>86</v>
      </c>
      <c r="E213" s="10" t="s">
        <v>71</v>
      </c>
      <c r="F213" s="7" t="s">
        <v>21</v>
      </c>
      <c r="H213" s="7">
        <v>1000</v>
      </c>
      <c r="I213" s="7">
        <v>232</v>
      </c>
      <c r="J213" s="7">
        <v>3.1</v>
      </c>
      <c r="K213" s="7">
        <v>735</v>
      </c>
      <c r="L213" s="7">
        <v>36</v>
      </c>
      <c r="N213" s="7">
        <v>32</v>
      </c>
      <c r="O213" s="7">
        <v>68</v>
      </c>
      <c r="P213" s="7">
        <v>0</v>
      </c>
      <c r="Q213" s="7">
        <v>6</v>
      </c>
      <c r="S213" s="7">
        <v>4</v>
      </c>
      <c r="T213" s="7">
        <v>6</v>
      </c>
      <c r="U213" s="7">
        <v>3</v>
      </c>
      <c r="W213" s="7">
        <v>12</v>
      </c>
      <c r="X213" s="7">
        <v>98</v>
      </c>
      <c r="Y213" s="7">
        <f>SUM(Table1[[#This Row],[Good Kernels  (g)]:[Husk  (g)]])</f>
        <v>1000</v>
      </c>
      <c r="Z213" s="9">
        <f>IFERROR(Table1[[#This Row],[Good Kernels  (g)]]/Table1[[#This Row],[Sample Qty  (g)]],"")</f>
        <v>0.73499999999999999</v>
      </c>
      <c r="AA213" s="9">
        <f>IFERROR(SUM(Table1[[#This Row],[Pieces  (g)]:[Butts (g)]])/Table1[[#This Row],[Sample Qty  (g)]],"")</f>
        <v>3.5999999999999997E-2</v>
      </c>
      <c r="AB213" s="9">
        <f>IFERROR(Table1[[#This Row],[Scorched (g)]]/Table1[[#This Row],[Sample Qty  (g)]],"")</f>
        <v>3.2000000000000001E-2</v>
      </c>
      <c r="AC213" s="9">
        <f>IFERROR(SUM(Table1[[#This Row],[Spotted  (g)]:[PUK3  (g)]])/Table1[[#This Row],[Sample Qty  (g)]],"")</f>
        <v>6.8000000000000005E-2</v>
      </c>
      <c r="AD213" s="9">
        <f>IFERROR(SUM(R213,Q213)/Table1[[#This Row],[Sample Qty  (g)]],"")</f>
        <v>6.0000000000000001E-3</v>
      </c>
      <c r="AE213" s="9">
        <f>IFERROR(Table1[[#This Row],[Dessert/NW  (g)]]/Table1[[#This Row],[Sample Qty  (g)]],"")</f>
        <v>4.0000000000000001E-3</v>
      </c>
      <c r="AF213" s="9">
        <f>IFERROR(SUM(Table1[[#This Row],[Oil  (g)]:[Dirty  (g)]])/Table1[[#This Row],[Sample Qty  (g)]],"")</f>
        <v>8.9999999999999993E-3</v>
      </c>
      <c r="AG213" s="9">
        <f>IFERROR(Table1[[#This Row],[Rejection  (g)]]/Table1[[#This Row],[Sample Qty  (g)]],"")</f>
        <v>1.2E-2</v>
      </c>
      <c r="AH213" s="9">
        <f>IFERROR(Table1[[#This Row],[Husk  (g)]]/Table1[[#This Row],[Sample Qty  (g)]],"")</f>
        <v>9.8000000000000004E-2</v>
      </c>
    </row>
    <row r="214" spans="2:34" ht="12" x14ac:dyDescent="0.25">
      <c r="B214" s="8">
        <v>46223</v>
      </c>
      <c r="C214" s="7">
        <f>WEEKNUM(Table1[[#This Row],[Date]])</f>
        <v>30</v>
      </c>
      <c r="D214" s="5" t="s">
        <v>86</v>
      </c>
      <c r="E214" s="10" t="s">
        <v>71</v>
      </c>
      <c r="F214" s="7" t="s">
        <v>21</v>
      </c>
      <c r="H214" s="7">
        <v>1000</v>
      </c>
      <c r="I214" s="7">
        <v>240</v>
      </c>
      <c r="J214" s="7">
        <v>3.1</v>
      </c>
      <c r="K214" s="7">
        <v>681</v>
      </c>
      <c r="L214" s="7">
        <v>24</v>
      </c>
      <c r="N214" s="7">
        <v>56</v>
      </c>
      <c r="O214" s="7">
        <v>114</v>
      </c>
      <c r="P214" s="7">
        <v>0</v>
      </c>
      <c r="Q214" s="7">
        <v>14</v>
      </c>
      <c r="S214" s="7">
        <v>6</v>
      </c>
      <c r="T214" s="7">
        <v>6</v>
      </c>
      <c r="U214" s="7">
        <v>3</v>
      </c>
      <c r="W214" s="7">
        <v>4</v>
      </c>
      <c r="X214" s="7">
        <v>92</v>
      </c>
      <c r="Y214" s="7">
        <f>SUM(Table1[[#This Row],[Good Kernels  (g)]:[Husk  (g)]])</f>
        <v>1000</v>
      </c>
      <c r="Z214" s="9">
        <f>IFERROR(Table1[[#This Row],[Good Kernels  (g)]]/Table1[[#This Row],[Sample Qty  (g)]],"")</f>
        <v>0.68100000000000005</v>
      </c>
      <c r="AA214" s="9">
        <f>IFERROR(SUM(Table1[[#This Row],[Pieces  (g)]:[Butts (g)]])/Table1[[#This Row],[Sample Qty  (g)]],"")</f>
        <v>2.4E-2</v>
      </c>
      <c r="AB214" s="9">
        <f>IFERROR(Table1[[#This Row],[Scorched (g)]]/Table1[[#This Row],[Sample Qty  (g)]],"")</f>
        <v>5.6000000000000001E-2</v>
      </c>
      <c r="AC214" s="9">
        <f>IFERROR(SUM(Table1[[#This Row],[Spotted  (g)]:[PUK3  (g)]])/Table1[[#This Row],[Sample Qty  (g)]],"")</f>
        <v>0.114</v>
      </c>
      <c r="AD214" s="9">
        <f>IFERROR(SUM(R214,Q214)/Table1[[#This Row],[Sample Qty  (g)]],"")</f>
        <v>1.4E-2</v>
      </c>
      <c r="AE214" s="9">
        <f>IFERROR(Table1[[#This Row],[Dessert/NW  (g)]]/Table1[[#This Row],[Sample Qty  (g)]],"")</f>
        <v>6.0000000000000001E-3</v>
      </c>
      <c r="AF214" s="9">
        <f>IFERROR(SUM(Table1[[#This Row],[Oil  (g)]:[Dirty  (g)]])/Table1[[#This Row],[Sample Qty  (g)]],"")</f>
        <v>8.9999999999999993E-3</v>
      </c>
      <c r="AG214" s="9">
        <f>IFERROR(Table1[[#This Row],[Rejection  (g)]]/Table1[[#This Row],[Sample Qty  (g)]],"")</f>
        <v>4.0000000000000001E-3</v>
      </c>
      <c r="AH214" s="9">
        <f>IFERROR(Table1[[#This Row],[Husk  (g)]]/Table1[[#This Row],[Sample Qty  (g)]],"")</f>
        <v>9.1999999999999998E-2</v>
      </c>
    </row>
    <row r="215" spans="2:34" ht="12" x14ac:dyDescent="0.25">
      <c r="B215" s="8">
        <v>46223</v>
      </c>
      <c r="C215" s="7">
        <f>WEEKNUM(Table1[[#This Row],[Date]])</f>
        <v>30</v>
      </c>
      <c r="D215" s="5" t="s">
        <v>86</v>
      </c>
      <c r="E215" s="10" t="s">
        <v>71</v>
      </c>
      <c r="F215" s="7" t="s">
        <v>21</v>
      </c>
      <c r="H215" s="7">
        <v>1000</v>
      </c>
      <c r="I215" s="7">
        <v>240</v>
      </c>
      <c r="J215" s="7">
        <v>3.1</v>
      </c>
      <c r="K215" s="7">
        <v>602</v>
      </c>
      <c r="L215" s="7">
        <v>70</v>
      </c>
      <c r="N215" s="7">
        <v>34</v>
      </c>
      <c r="O215" s="7">
        <v>58</v>
      </c>
      <c r="P215" s="7">
        <v>0</v>
      </c>
      <c r="Q215" s="7">
        <v>8</v>
      </c>
      <c r="S215" s="7">
        <v>4</v>
      </c>
      <c r="T215" s="7">
        <v>38</v>
      </c>
      <c r="U215" s="7">
        <v>80</v>
      </c>
      <c r="W215" s="7">
        <v>10</v>
      </c>
      <c r="X215" s="7">
        <v>96</v>
      </c>
      <c r="Y215" s="7">
        <f>SUM(Table1[[#This Row],[Good Kernels  (g)]:[Husk  (g)]])</f>
        <v>1000</v>
      </c>
      <c r="Z215" s="9">
        <f>IFERROR(Table1[[#This Row],[Good Kernels  (g)]]/Table1[[#This Row],[Sample Qty  (g)]],"")</f>
        <v>0.60199999999999998</v>
      </c>
      <c r="AA215" s="9">
        <f>IFERROR(SUM(Table1[[#This Row],[Pieces  (g)]:[Butts (g)]])/Table1[[#This Row],[Sample Qty  (g)]],"")</f>
        <v>7.0000000000000007E-2</v>
      </c>
      <c r="AB215" s="9">
        <f>IFERROR(Table1[[#This Row],[Scorched (g)]]/Table1[[#This Row],[Sample Qty  (g)]],"")</f>
        <v>3.4000000000000002E-2</v>
      </c>
      <c r="AC215" s="9">
        <f>IFERROR(SUM(Table1[[#This Row],[Spotted  (g)]:[PUK3  (g)]])/Table1[[#This Row],[Sample Qty  (g)]],"")</f>
        <v>5.8000000000000003E-2</v>
      </c>
      <c r="AD215" s="9">
        <f>IFERROR(SUM(R215,Q215)/Table1[[#This Row],[Sample Qty  (g)]],"")</f>
        <v>8.0000000000000002E-3</v>
      </c>
      <c r="AE215" s="9">
        <f>IFERROR(Table1[[#This Row],[Dessert/NW  (g)]]/Table1[[#This Row],[Sample Qty  (g)]],"")</f>
        <v>4.0000000000000001E-3</v>
      </c>
      <c r="AF215" s="9">
        <f>IFERROR(SUM(Table1[[#This Row],[Oil  (g)]:[Dirty  (g)]])/Table1[[#This Row],[Sample Qty  (g)]],"")</f>
        <v>0.11799999999999999</v>
      </c>
      <c r="AG215" s="9">
        <f>IFERROR(Table1[[#This Row],[Rejection  (g)]]/Table1[[#This Row],[Sample Qty  (g)]],"")</f>
        <v>0.01</v>
      </c>
      <c r="AH215" s="9">
        <f>IFERROR(Table1[[#This Row],[Husk  (g)]]/Table1[[#This Row],[Sample Qty  (g)]],"")</f>
        <v>9.6000000000000002E-2</v>
      </c>
    </row>
    <row r="216" spans="2:34" ht="12" x14ac:dyDescent="0.25">
      <c r="B216" s="8">
        <v>46223</v>
      </c>
      <c r="C216" s="7">
        <f>WEEKNUM(Table1[[#This Row],[Date]])</f>
        <v>30</v>
      </c>
      <c r="D216" s="5" t="s">
        <v>86</v>
      </c>
      <c r="E216" s="10" t="s">
        <v>71</v>
      </c>
      <c r="F216" s="7" t="s">
        <v>21</v>
      </c>
      <c r="H216" s="7">
        <v>1000</v>
      </c>
      <c r="I216" s="7">
        <v>242</v>
      </c>
      <c r="J216" s="7">
        <v>3.3</v>
      </c>
      <c r="K216" s="7">
        <v>598</v>
      </c>
      <c r="L216" s="7">
        <v>32</v>
      </c>
      <c r="N216" s="7">
        <v>44</v>
      </c>
      <c r="O216" s="7">
        <v>132</v>
      </c>
      <c r="P216" s="7">
        <v>0</v>
      </c>
      <c r="Q216" s="7">
        <v>26</v>
      </c>
      <c r="S216" s="7">
        <v>8</v>
      </c>
      <c r="T216" s="7">
        <v>20</v>
      </c>
      <c r="U216" s="7">
        <v>4</v>
      </c>
      <c r="W216" s="7">
        <v>20</v>
      </c>
      <c r="X216" s="7">
        <v>116</v>
      </c>
      <c r="Y216" s="7">
        <f>SUM(Table1[[#This Row],[Good Kernels  (g)]:[Husk  (g)]])</f>
        <v>1000</v>
      </c>
      <c r="Z216" s="9">
        <f>IFERROR(Table1[[#This Row],[Good Kernels  (g)]]/Table1[[#This Row],[Sample Qty  (g)]],"")</f>
        <v>0.59799999999999998</v>
      </c>
      <c r="AA216" s="9">
        <f>IFERROR(SUM(Table1[[#This Row],[Pieces  (g)]:[Butts (g)]])/Table1[[#This Row],[Sample Qty  (g)]],"")</f>
        <v>3.2000000000000001E-2</v>
      </c>
      <c r="AB216" s="9">
        <f>IFERROR(Table1[[#This Row],[Scorched (g)]]/Table1[[#This Row],[Sample Qty  (g)]],"")</f>
        <v>4.3999999999999997E-2</v>
      </c>
      <c r="AC216" s="9">
        <f>IFERROR(SUM(Table1[[#This Row],[Spotted  (g)]:[PUK3  (g)]])/Table1[[#This Row],[Sample Qty  (g)]],"")</f>
        <v>0.13200000000000001</v>
      </c>
      <c r="AD216" s="9">
        <f>IFERROR(SUM(R216,Q216)/Table1[[#This Row],[Sample Qty  (g)]],"")</f>
        <v>2.5999999999999999E-2</v>
      </c>
      <c r="AE216" s="9">
        <f>IFERROR(Table1[[#This Row],[Dessert/NW  (g)]]/Table1[[#This Row],[Sample Qty  (g)]],"")</f>
        <v>8.0000000000000002E-3</v>
      </c>
      <c r="AF216" s="9">
        <f>IFERROR(SUM(Table1[[#This Row],[Oil  (g)]:[Dirty  (g)]])/Table1[[#This Row],[Sample Qty  (g)]],"")</f>
        <v>2.4E-2</v>
      </c>
      <c r="AG216" s="9">
        <f>IFERROR(Table1[[#This Row],[Rejection  (g)]]/Table1[[#This Row],[Sample Qty  (g)]],"")</f>
        <v>0.02</v>
      </c>
      <c r="AH216" s="9">
        <f>IFERROR(Table1[[#This Row],[Husk  (g)]]/Table1[[#This Row],[Sample Qty  (g)]],"")</f>
        <v>0.11600000000000001</v>
      </c>
    </row>
    <row r="217" spans="2:34" ht="12" x14ac:dyDescent="0.25">
      <c r="B217" s="8">
        <v>46223</v>
      </c>
      <c r="C217" s="7">
        <f>WEEKNUM(Table1[[#This Row],[Date]])</f>
        <v>30</v>
      </c>
      <c r="D217" s="5" t="s">
        <v>86</v>
      </c>
      <c r="E217" s="10" t="s">
        <v>71</v>
      </c>
      <c r="F217" s="7" t="s">
        <v>21</v>
      </c>
      <c r="H217" s="7">
        <v>1000</v>
      </c>
      <c r="I217" s="7">
        <v>276</v>
      </c>
      <c r="J217" s="7">
        <v>3.3</v>
      </c>
      <c r="K217" s="7">
        <v>734</v>
      </c>
      <c r="L217" s="7">
        <v>15</v>
      </c>
      <c r="N217" s="7">
        <v>15</v>
      </c>
      <c r="O217" s="7">
        <v>80</v>
      </c>
      <c r="P217" s="7">
        <v>0</v>
      </c>
      <c r="Q217" s="7">
        <v>20</v>
      </c>
      <c r="S217" s="7">
        <v>20</v>
      </c>
      <c r="T217" s="7">
        <v>4</v>
      </c>
      <c r="U217" s="7">
        <v>8</v>
      </c>
      <c r="W217" s="7">
        <v>12</v>
      </c>
      <c r="X217" s="7">
        <v>92</v>
      </c>
      <c r="Y217" s="7">
        <f>SUM(Table1[[#This Row],[Good Kernels  (g)]:[Husk  (g)]])</f>
        <v>1000</v>
      </c>
      <c r="Z217" s="9">
        <f>IFERROR(Table1[[#This Row],[Good Kernels  (g)]]/Table1[[#This Row],[Sample Qty  (g)]],"")</f>
        <v>0.73399999999999999</v>
      </c>
      <c r="AA217" s="9">
        <f>IFERROR(SUM(Table1[[#This Row],[Pieces  (g)]:[Butts (g)]])/Table1[[#This Row],[Sample Qty  (g)]],"")</f>
        <v>1.4999999999999999E-2</v>
      </c>
      <c r="AB217" s="9">
        <f>IFERROR(Table1[[#This Row],[Scorched (g)]]/Table1[[#This Row],[Sample Qty  (g)]],"")</f>
        <v>1.4999999999999999E-2</v>
      </c>
      <c r="AC217" s="9">
        <f>IFERROR(SUM(Table1[[#This Row],[Spotted  (g)]:[PUK3  (g)]])/Table1[[#This Row],[Sample Qty  (g)]],"")</f>
        <v>0.08</v>
      </c>
      <c r="AD217" s="9">
        <f>IFERROR(SUM(R217,Q217)/Table1[[#This Row],[Sample Qty  (g)]],"")</f>
        <v>0.02</v>
      </c>
      <c r="AE217" s="9">
        <f>IFERROR(Table1[[#This Row],[Dessert/NW  (g)]]/Table1[[#This Row],[Sample Qty  (g)]],"")</f>
        <v>0.02</v>
      </c>
      <c r="AF217" s="9">
        <f>IFERROR(SUM(Table1[[#This Row],[Oil  (g)]:[Dirty  (g)]])/Table1[[#This Row],[Sample Qty  (g)]],"")</f>
        <v>1.2E-2</v>
      </c>
      <c r="AG217" s="9">
        <f>IFERROR(Table1[[#This Row],[Rejection  (g)]]/Table1[[#This Row],[Sample Qty  (g)]],"")</f>
        <v>1.2E-2</v>
      </c>
      <c r="AH217" s="9">
        <f>IFERROR(Table1[[#This Row],[Husk  (g)]]/Table1[[#This Row],[Sample Qty  (g)]],"")</f>
        <v>9.1999999999999998E-2</v>
      </c>
    </row>
    <row r="218" spans="2:34" ht="12" x14ac:dyDescent="0.25">
      <c r="B218" s="8">
        <v>46224</v>
      </c>
      <c r="C218" s="7">
        <f>WEEKNUM(Table1[[#This Row],[Date]])</f>
        <v>30</v>
      </c>
      <c r="D218" s="5" t="s">
        <v>87</v>
      </c>
      <c r="E218" s="10" t="s">
        <v>71</v>
      </c>
      <c r="F218" s="7" t="s">
        <v>21</v>
      </c>
      <c r="H218" s="7">
        <v>1000</v>
      </c>
      <c r="I218" s="7">
        <v>240</v>
      </c>
      <c r="J218" s="7">
        <v>2.9</v>
      </c>
      <c r="K218" s="7">
        <v>671</v>
      </c>
      <c r="L218" s="7">
        <v>30</v>
      </c>
      <c r="N218" s="7">
        <v>44</v>
      </c>
      <c r="O218" s="7">
        <v>56</v>
      </c>
      <c r="P218" s="7">
        <v>0</v>
      </c>
      <c r="Q218" s="7">
        <v>8</v>
      </c>
      <c r="S218" s="7">
        <v>16</v>
      </c>
      <c r="T218" s="7">
        <v>74</v>
      </c>
      <c r="U218" s="7">
        <v>3</v>
      </c>
      <c r="W218" s="7">
        <v>8</v>
      </c>
      <c r="X218" s="7">
        <v>90</v>
      </c>
      <c r="Y218" s="7">
        <f>SUM(Table1[[#This Row],[Good Kernels  (g)]:[Husk  (g)]])</f>
        <v>1000</v>
      </c>
      <c r="Z218" s="9">
        <f>IFERROR(Table1[[#This Row],[Good Kernels  (g)]]/Table1[[#This Row],[Sample Qty  (g)]],"")</f>
        <v>0.67100000000000004</v>
      </c>
      <c r="AA218" s="9">
        <f>IFERROR(SUM(Table1[[#This Row],[Pieces  (g)]:[Butts (g)]])/Table1[[#This Row],[Sample Qty  (g)]],"")</f>
        <v>0.03</v>
      </c>
      <c r="AB218" s="9">
        <f>IFERROR(Table1[[#This Row],[Scorched (g)]]/Table1[[#This Row],[Sample Qty  (g)]],"")</f>
        <v>4.3999999999999997E-2</v>
      </c>
      <c r="AC218" s="9">
        <f>IFERROR(SUM(Table1[[#This Row],[Spotted  (g)]:[PUK3  (g)]])/Table1[[#This Row],[Sample Qty  (g)]],"")</f>
        <v>5.6000000000000001E-2</v>
      </c>
      <c r="AD218" s="9">
        <f>IFERROR(SUM(R218,Q218)/Table1[[#This Row],[Sample Qty  (g)]],"")</f>
        <v>8.0000000000000002E-3</v>
      </c>
      <c r="AE218" s="9">
        <f>IFERROR(Table1[[#This Row],[Dessert/NW  (g)]]/Table1[[#This Row],[Sample Qty  (g)]],"")</f>
        <v>1.6E-2</v>
      </c>
      <c r="AF218" s="9">
        <f>IFERROR(SUM(Table1[[#This Row],[Oil  (g)]:[Dirty  (g)]])/Table1[[#This Row],[Sample Qty  (g)]],"")</f>
        <v>7.6999999999999999E-2</v>
      </c>
      <c r="AG218" s="9">
        <f>IFERROR(Table1[[#This Row],[Rejection  (g)]]/Table1[[#This Row],[Sample Qty  (g)]],"")</f>
        <v>8.0000000000000002E-3</v>
      </c>
      <c r="AH218" s="9">
        <f>IFERROR(Table1[[#This Row],[Husk  (g)]]/Table1[[#This Row],[Sample Qty  (g)]],"")</f>
        <v>0.09</v>
      </c>
    </row>
    <row r="219" spans="2:34" ht="12" x14ac:dyDescent="0.25">
      <c r="B219" s="8">
        <v>46224</v>
      </c>
      <c r="C219" s="7">
        <f>WEEKNUM(Table1[[#This Row],[Date]])</f>
        <v>30</v>
      </c>
      <c r="D219" s="5" t="s">
        <v>87</v>
      </c>
      <c r="E219" s="10" t="s">
        <v>71</v>
      </c>
      <c r="F219" s="7" t="s">
        <v>21</v>
      </c>
      <c r="H219" s="7">
        <v>1000</v>
      </c>
      <c r="I219" s="7">
        <v>220</v>
      </c>
      <c r="J219" s="7">
        <v>3.1</v>
      </c>
      <c r="K219" s="7">
        <v>726</v>
      </c>
      <c r="L219" s="7">
        <v>6</v>
      </c>
      <c r="N219" s="7">
        <v>32</v>
      </c>
      <c r="O219" s="7">
        <v>52</v>
      </c>
      <c r="P219" s="7">
        <v>0</v>
      </c>
      <c r="Q219" s="7">
        <v>28</v>
      </c>
      <c r="S219" s="7">
        <v>14</v>
      </c>
      <c r="T219" s="7">
        <v>32</v>
      </c>
      <c r="U219" s="7">
        <v>0</v>
      </c>
      <c r="W219" s="7">
        <v>20</v>
      </c>
      <c r="X219" s="7">
        <v>90</v>
      </c>
      <c r="Y219" s="7">
        <f>SUM(Table1[[#This Row],[Good Kernels  (g)]:[Husk  (g)]])</f>
        <v>1000</v>
      </c>
      <c r="Z219" s="9">
        <f>IFERROR(Table1[[#This Row],[Good Kernels  (g)]]/Table1[[#This Row],[Sample Qty  (g)]],"")</f>
        <v>0.72599999999999998</v>
      </c>
      <c r="AA219" s="9">
        <f>IFERROR(SUM(Table1[[#This Row],[Pieces  (g)]:[Butts (g)]])/Table1[[#This Row],[Sample Qty  (g)]],"")</f>
        <v>6.0000000000000001E-3</v>
      </c>
      <c r="AB219" s="9">
        <f>IFERROR(Table1[[#This Row],[Scorched (g)]]/Table1[[#This Row],[Sample Qty  (g)]],"")</f>
        <v>3.2000000000000001E-2</v>
      </c>
      <c r="AC219" s="9">
        <f>IFERROR(SUM(Table1[[#This Row],[Spotted  (g)]:[PUK3  (g)]])/Table1[[#This Row],[Sample Qty  (g)]],"")</f>
        <v>5.1999999999999998E-2</v>
      </c>
      <c r="AD219" s="9">
        <f>IFERROR(SUM(R219,Q219)/Table1[[#This Row],[Sample Qty  (g)]],"")</f>
        <v>2.8000000000000001E-2</v>
      </c>
      <c r="AE219" s="9">
        <f>IFERROR(Table1[[#This Row],[Dessert/NW  (g)]]/Table1[[#This Row],[Sample Qty  (g)]],"")</f>
        <v>1.4E-2</v>
      </c>
      <c r="AF219" s="9">
        <f>IFERROR(SUM(Table1[[#This Row],[Oil  (g)]:[Dirty  (g)]])/Table1[[#This Row],[Sample Qty  (g)]],"")</f>
        <v>3.2000000000000001E-2</v>
      </c>
      <c r="AG219" s="9">
        <f>IFERROR(Table1[[#This Row],[Rejection  (g)]]/Table1[[#This Row],[Sample Qty  (g)]],"")</f>
        <v>0.02</v>
      </c>
      <c r="AH219" s="9">
        <f>IFERROR(Table1[[#This Row],[Husk  (g)]]/Table1[[#This Row],[Sample Qty  (g)]],"")</f>
        <v>0.09</v>
      </c>
    </row>
    <row r="220" spans="2:34" ht="12" x14ac:dyDescent="0.25">
      <c r="B220" s="8">
        <v>46224</v>
      </c>
      <c r="C220" s="7">
        <f>WEEKNUM(Table1[[#This Row],[Date]])</f>
        <v>30</v>
      </c>
      <c r="D220" s="5" t="s">
        <v>87</v>
      </c>
      <c r="E220" s="10" t="s">
        <v>71</v>
      </c>
      <c r="F220" s="7" t="s">
        <v>21</v>
      </c>
      <c r="H220" s="7">
        <v>1000</v>
      </c>
      <c r="I220" s="7">
        <v>220</v>
      </c>
      <c r="J220" s="7">
        <v>3.1</v>
      </c>
      <c r="K220" s="7">
        <v>713</v>
      </c>
      <c r="L220" s="7">
        <v>18</v>
      </c>
      <c r="N220" s="7">
        <v>40</v>
      </c>
      <c r="O220" s="7">
        <v>32</v>
      </c>
      <c r="P220" s="7">
        <v>0</v>
      </c>
      <c r="Q220" s="7">
        <v>43</v>
      </c>
      <c r="S220" s="7">
        <v>26</v>
      </c>
      <c r="T220" s="7">
        <v>12</v>
      </c>
      <c r="U220" s="7">
        <v>4</v>
      </c>
      <c r="W220" s="7">
        <v>14</v>
      </c>
      <c r="X220" s="7">
        <v>98</v>
      </c>
      <c r="Y220" s="7">
        <f>SUM(Table1[[#This Row],[Good Kernels  (g)]:[Husk  (g)]])</f>
        <v>1000</v>
      </c>
      <c r="Z220" s="9">
        <f>IFERROR(Table1[[#This Row],[Good Kernels  (g)]]/Table1[[#This Row],[Sample Qty  (g)]],"")</f>
        <v>0.71299999999999997</v>
      </c>
      <c r="AA220" s="9">
        <f>IFERROR(SUM(Table1[[#This Row],[Pieces  (g)]:[Butts (g)]])/Table1[[#This Row],[Sample Qty  (g)]],"")</f>
        <v>1.7999999999999999E-2</v>
      </c>
      <c r="AB220" s="9">
        <f>IFERROR(Table1[[#This Row],[Scorched (g)]]/Table1[[#This Row],[Sample Qty  (g)]],"")</f>
        <v>0.04</v>
      </c>
      <c r="AC220" s="9">
        <f>IFERROR(SUM(Table1[[#This Row],[Spotted  (g)]:[PUK3  (g)]])/Table1[[#This Row],[Sample Qty  (g)]],"")</f>
        <v>3.2000000000000001E-2</v>
      </c>
      <c r="AD220" s="9">
        <f>IFERROR(SUM(R220,Q220)/Table1[[#This Row],[Sample Qty  (g)]],"")</f>
        <v>4.2999999999999997E-2</v>
      </c>
      <c r="AE220" s="9">
        <f>IFERROR(Table1[[#This Row],[Dessert/NW  (g)]]/Table1[[#This Row],[Sample Qty  (g)]],"")</f>
        <v>2.5999999999999999E-2</v>
      </c>
      <c r="AF220" s="9">
        <f>IFERROR(SUM(Table1[[#This Row],[Oil  (g)]:[Dirty  (g)]])/Table1[[#This Row],[Sample Qty  (g)]],"")</f>
        <v>1.6E-2</v>
      </c>
      <c r="AG220" s="9">
        <f>IFERROR(Table1[[#This Row],[Rejection  (g)]]/Table1[[#This Row],[Sample Qty  (g)]],"")</f>
        <v>1.4E-2</v>
      </c>
      <c r="AH220" s="9">
        <f>IFERROR(Table1[[#This Row],[Husk  (g)]]/Table1[[#This Row],[Sample Qty  (g)]],"")</f>
        <v>9.8000000000000004E-2</v>
      </c>
    </row>
    <row r="221" spans="2:34" ht="12" x14ac:dyDescent="0.25">
      <c r="B221" s="8">
        <v>46224</v>
      </c>
      <c r="C221" s="7">
        <f>WEEKNUM(Table1[[#This Row],[Date]])</f>
        <v>30</v>
      </c>
      <c r="D221" s="5" t="s">
        <v>87</v>
      </c>
      <c r="E221" s="10" t="s">
        <v>71</v>
      </c>
      <c r="F221" s="7" t="s">
        <v>21</v>
      </c>
      <c r="H221" s="7">
        <v>1000</v>
      </c>
      <c r="I221" s="7">
        <v>240</v>
      </c>
      <c r="J221" s="7">
        <v>2.9</v>
      </c>
      <c r="K221" s="7">
        <v>620</v>
      </c>
      <c r="L221" s="7">
        <v>92</v>
      </c>
      <c r="N221" s="7">
        <v>32</v>
      </c>
      <c r="O221" s="7">
        <v>34</v>
      </c>
      <c r="P221" s="7">
        <v>0</v>
      </c>
      <c r="Q221" s="7">
        <v>78</v>
      </c>
      <c r="S221" s="7">
        <v>28</v>
      </c>
      <c r="T221" s="7">
        <v>8</v>
      </c>
      <c r="U221" s="7">
        <v>22</v>
      </c>
      <c r="W221" s="7">
        <v>8</v>
      </c>
      <c r="X221" s="7">
        <v>78</v>
      </c>
      <c r="Y221" s="7">
        <f>SUM(Table1[[#This Row],[Good Kernels  (g)]:[Husk  (g)]])</f>
        <v>1000</v>
      </c>
      <c r="Z221" s="9">
        <f>IFERROR(Table1[[#This Row],[Good Kernels  (g)]]/Table1[[#This Row],[Sample Qty  (g)]],"")</f>
        <v>0.62</v>
      </c>
      <c r="AA221" s="9">
        <f>IFERROR(SUM(Table1[[#This Row],[Pieces  (g)]:[Butts (g)]])/Table1[[#This Row],[Sample Qty  (g)]],"")</f>
        <v>9.1999999999999998E-2</v>
      </c>
      <c r="AB221" s="9">
        <f>IFERROR(Table1[[#This Row],[Scorched (g)]]/Table1[[#This Row],[Sample Qty  (g)]],"")</f>
        <v>3.2000000000000001E-2</v>
      </c>
      <c r="AC221" s="9">
        <f>IFERROR(SUM(Table1[[#This Row],[Spotted  (g)]:[PUK3  (g)]])/Table1[[#This Row],[Sample Qty  (g)]],"")</f>
        <v>3.4000000000000002E-2</v>
      </c>
      <c r="AD221" s="9">
        <f>IFERROR(SUM(R221,Q221)/Table1[[#This Row],[Sample Qty  (g)]],"")</f>
        <v>7.8E-2</v>
      </c>
      <c r="AE221" s="9">
        <f>IFERROR(Table1[[#This Row],[Dessert/NW  (g)]]/Table1[[#This Row],[Sample Qty  (g)]],"")</f>
        <v>2.8000000000000001E-2</v>
      </c>
      <c r="AF221" s="9">
        <f>IFERROR(SUM(Table1[[#This Row],[Oil  (g)]:[Dirty  (g)]])/Table1[[#This Row],[Sample Qty  (g)]],"")</f>
        <v>0.03</v>
      </c>
      <c r="AG221" s="9">
        <f>IFERROR(Table1[[#This Row],[Rejection  (g)]]/Table1[[#This Row],[Sample Qty  (g)]],"")</f>
        <v>8.0000000000000002E-3</v>
      </c>
      <c r="AH221" s="9">
        <f>IFERROR(Table1[[#This Row],[Husk  (g)]]/Table1[[#This Row],[Sample Qty  (g)]],"")</f>
        <v>7.8E-2</v>
      </c>
    </row>
    <row r="222" spans="2:34" ht="12" x14ac:dyDescent="0.25">
      <c r="B222" s="8">
        <v>46224</v>
      </c>
      <c r="C222" s="7">
        <f>WEEKNUM(Table1[[#This Row],[Date]])</f>
        <v>30</v>
      </c>
      <c r="D222" s="5" t="s">
        <v>87</v>
      </c>
      <c r="E222" s="10" t="s">
        <v>71</v>
      </c>
      <c r="F222" s="7" t="s">
        <v>21</v>
      </c>
      <c r="H222" s="7">
        <v>1000</v>
      </c>
      <c r="I222" s="7">
        <v>240</v>
      </c>
      <c r="J222" s="7">
        <v>2.9</v>
      </c>
      <c r="K222" s="7">
        <v>605</v>
      </c>
      <c r="L222" s="7">
        <v>49</v>
      </c>
      <c r="N222" s="7">
        <v>82</v>
      </c>
      <c r="O222" s="7">
        <v>44</v>
      </c>
      <c r="P222" s="7">
        <v>0</v>
      </c>
      <c r="Q222" s="7">
        <v>82</v>
      </c>
      <c r="S222" s="7">
        <v>6</v>
      </c>
      <c r="T222" s="7">
        <v>12</v>
      </c>
      <c r="U222" s="7">
        <v>26</v>
      </c>
      <c r="W222" s="7">
        <v>12</v>
      </c>
      <c r="X222" s="7">
        <v>82</v>
      </c>
      <c r="Y222" s="7">
        <f>SUM(Table1[[#This Row],[Good Kernels  (g)]:[Husk  (g)]])</f>
        <v>1000</v>
      </c>
      <c r="Z222" s="9">
        <f>IFERROR(Table1[[#This Row],[Good Kernels  (g)]]/Table1[[#This Row],[Sample Qty  (g)]],"")</f>
        <v>0.60499999999999998</v>
      </c>
      <c r="AA222" s="9">
        <f>IFERROR(SUM(Table1[[#This Row],[Pieces  (g)]:[Butts (g)]])/Table1[[#This Row],[Sample Qty  (g)]],"")</f>
        <v>4.9000000000000002E-2</v>
      </c>
      <c r="AB222" s="9">
        <f>IFERROR(Table1[[#This Row],[Scorched (g)]]/Table1[[#This Row],[Sample Qty  (g)]],"")</f>
        <v>8.2000000000000003E-2</v>
      </c>
      <c r="AC222" s="9">
        <f>IFERROR(SUM(Table1[[#This Row],[Spotted  (g)]:[PUK3  (g)]])/Table1[[#This Row],[Sample Qty  (g)]],"")</f>
        <v>4.3999999999999997E-2</v>
      </c>
      <c r="AD222" s="9">
        <f>IFERROR(SUM(R222,Q222)/Table1[[#This Row],[Sample Qty  (g)]],"")</f>
        <v>8.2000000000000003E-2</v>
      </c>
      <c r="AE222" s="9">
        <f>IFERROR(Table1[[#This Row],[Dessert/NW  (g)]]/Table1[[#This Row],[Sample Qty  (g)]],"")</f>
        <v>6.0000000000000001E-3</v>
      </c>
      <c r="AF222" s="9">
        <f>IFERROR(SUM(Table1[[#This Row],[Oil  (g)]:[Dirty  (g)]])/Table1[[#This Row],[Sample Qty  (g)]],"")</f>
        <v>3.7999999999999999E-2</v>
      </c>
      <c r="AG222" s="9">
        <f>IFERROR(Table1[[#This Row],[Rejection  (g)]]/Table1[[#This Row],[Sample Qty  (g)]],"")</f>
        <v>1.2E-2</v>
      </c>
      <c r="AH222" s="9">
        <f>IFERROR(Table1[[#This Row],[Husk  (g)]]/Table1[[#This Row],[Sample Qty  (g)]],"")</f>
        <v>8.2000000000000003E-2</v>
      </c>
    </row>
    <row r="223" spans="2:34" ht="12" x14ac:dyDescent="0.25">
      <c r="B223" s="8">
        <v>46224</v>
      </c>
      <c r="C223" s="7">
        <f>WEEKNUM(Table1[[#This Row],[Date]])</f>
        <v>30</v>
      </c>
      <c r="D223" s="5" t="s">
        <v>87</v>
      </c>
      <c r="E223" s="10" t="s">
        <v>71</v>
      </c>
      <c r="F223" s="7" t="s">
        <v>21</v>
      </c>
      <c r="H223" s="7">
        <v>1000</v>
      </c>
      <c r="I223" s="7">
        <v>240</v>
      </c>
      <c r="J223" s="7">
        <v>2.9</v>
      </c>
      <c r="K223" s="7">
        <v>567</v>
      </c>
      <c r="L223" s="7">
        <v>95</v>
      </c>
      <c r="N223" s="7">
        <v>44</v>
      </c>
      <c r="O223" s="7">
        <v>42</v>
      </c>
      <c r="P223" s="7">
        <v>0</v>
      </c>
      <c r="Q223" s="7">
        <v>86</v>
      </c>
      <c r="S223" s="7">
        <v>10</v>
      </c>
      <c r="T223" s="7">
        <v>14</v>
      </c>
      <c r="U223" s="7">
        <v>16</v>
      </c>
      <c r="W223" s="7">
        <v>36</v>
      </c>
      <c r="X223" s="7">
        <v>90</v>
      </c>
      <c r="Y223" s="7">
        <f>SUM(Table1[[#This Row],[Good Kernels  (g)]:[Husk  (g)]])</f>
        <v>1000</v>
      </c>
      <c r="Z223" s="9">
        <f>IFERROR(Table1[[#This Row],[Good Kernels  (g)]]/Table1[[#This Row],[Sample Qty  (g)]],"")</f>
        <v>0.56699999999999995</v>
      </c>
      <c r="AA223" s="9">
        <f>IFERROR(SUM(Table1[[#This Row],[Pieces  (g)]:[Butts (g)]])/Table1[[#This Row],[Sample Qty  (g)]],"")</f>
        <v>9.5000000000000001E-2</v>
      </c>
      <c r="AB223" s="9">
        <f>IFERROR(Table1[[#This Row],[Scorched (g)]]/Table1[[#This Row],[Sample Qty  (g)]],"")</f>
        <v>4.3999999999999997E-2</v>
      </c>
      <c r="AC223" s="9">
        <f>IFERROR(SUM(Table1[[#This Row],[Spotted  (g)]:[PUK3  (g)]])/Table1[[#This Row],[Sample Qty  (g)]],"")</f>
        <v>4.2000000000000003E-2</v>
      </c>
      <c r="AD223" s="9">
        <f>IFERROR(SUM(R223,Q223)/Table1[[#This Row],[Sample Qty  (g)]],"")</f>
        <v>8.5999999999999993E-2</v>
      </c>
      <c r="AE223" s="9">
        <f>IFERROR(Table1[[#This Row],[Dessert/NW  (g)]]/Table1[[#This Row],[Sample Qty  (g)]],"")</f>
        <v>0.01</v>
      </c>
      <c r="AF223" s="9">
        <f>IFERROR(SUM(Table1[[#This Row],[Oil  (g)]:[Dirty  (g)]])/Table1[[#This Row],[Sample Qty  (g)]],"")</f>
        <v>0.03</v>
      </c>
      <c r="AG223" s="9">
        <f>IFERROR(Table1[[#This Row],[Rejection  (g)]]/Table1[[#This Row],[Sample Qty  (g)]],"")</f>
        <v>3.5999999999999997E-2</v>
      </c>
      <c r="AH223" s="9">
        <f>IFERROR(Table1[[#This Row],[Husk  (g)]]/Table1[[#This Row],[Sample Qty  (g)]],"")</f>
        <v>0.09</v>
      </c>
    </row>
    <row r="224" spans="2:34" ht="12" x14ac:dyDescent="0.25">
      <c r="B224" s="8">
        <v>46224</v>
      </c>
      <c r="C224" s="7">
        <f>WEEKNUM(Table1[[#This Row],[Date]])</f>
        <v>30</v>
      </c>
      <c r="D224" s="5" t="s">
        <v>87</v>
      </c>
      <c r="E224" s="10" t="s">
        <v>71</v>
      </c>
      <c r="F224" s="7" t="s">
        <v>21</v>
      </c>
      <c r="H224" s="7">
        <v>1000</v>
      </c>
      <c r="I224" s="7">
        <v>240</v>
      </c>
      <c r="J224" s="7">
        <v>2.9</v>
      </c>
      <c r="K224" s="7">
        <v>474</v>
      </c>
      <c r="L224" s="7">
        <v>120</v>
      </c>
      <c r="N224" s="7">
        <v>22</v>
      </c>
      <c r="O224" s="7">
        <v>46</v>
      </c>
      <c r="P224" s="7">
        <v>0</v>
      </c>
      <c r="Q224" s="7">
        <v>52</v>
      </c>
      <c r="S224" s="7">
        <v>8</v>
      </c>
      <c r="T224" s="7">
        <v>52</v>
      </c>
      <c r="U224" s="7">
        <v>72</v>
      </c>
      <c r="W224" s="7">
        <v>58</v>
      </c>
      <c r="X224" s="7">
        <v>96</v>
      </c>
      <c r="Y224" s="7">
        <f>SUM(Table1[[#This Row],[Good Kernels  (g)]:[Husk  (g)]])</f>
        <v>1000</v>
      </c>
      <c r="Z224" s="9">
        <f>IFERROR(Table1[[#This Row],[Good Kernels  (g)]]/Table1[[#This Row],[Sample Qty  (g)]],"")</f>
        <v>0.47399999999999998</v>
      </c>
      <c r="AA224" s="9">
        <f>IFERROR(SUM(Table1[[#This Row],[Pieces  (g)]:[Butts (g)]])/Table1[[#This Row],[Sample Qty  (g)]],"")</f>
        <v>0.12</v>
      </c>
      <c r="AB224" s="9">
        <f>IFERROR(Table1[[#This Row],[Scorched (g)]]/Table1[[#This Row],[Sample Qty  (g)]],"")</f>
        <v>2.1999999999999999E-2</v>
      </c>
      <c r="AC224" s="9">
        <f>IFERROR(SUM(Table1[[#This Row],[Spotted  (g)]:[PUK3  (g)]])/Table1[[#This Row],[Sample Qty  (g)]],"")</f>
        <v>4.5999999999999999E-2</v>
      </c>
      <c r="AD224" s="9">
        <f>IFERROR(SUM(R224,Q224)/Table1[[#This Row],[Sample Qty  (g)]],"")</f>
        <v>5.1999999999999998E-2</v>
      </c>
      <c r="AE224" s="9">
        <f>IFERROR(Table1[[#This Row],[Dessert/NW  (g)]]/Table1[[#This Row],[Sample Qty  (g)]],"")</f>
        <v>8.0000000000000002E-3</v>
      </c>
      <c r="AF224" s="9">
        <f>IFERROR(SUM(Table1[[#This Row],[Oil  (g)]:[Dirty  (g)]])/Table1[[#This Row],[Sample Qty  (g)]],"")</f>
        <v>0.124</v>
      </c>
      <c r="AG224" s="9">
        <f>IFERROR(Table1[[#This Row],[Rejection  (g)]]/Table1[[#This Row],[Sample Qty  (g)]],"")</f>
        <v>5.8000000000000003E-2</v>
      </c>
      <c r="AH224" s="9">
        <f>IFERROR(Table1[[#This Row],[Husk  (g)]]/Table1[[#This Row],[Sample Qty  (g)]],"")</f>
        <v>9.6000000000000002E-2</v>
      </c>
    </row>
    <row r="225" spans="2:34" ht="12" x14ac:dyDescent="0.25">
      <c r="B225" s="8">
        <v>46225</v>
      </c>
      <c r="C225" s="7">
        <f>WEEKNUM(Table1[[#This Row],[Date]])</f>
        <v>30</v>
      </c>
      <c r="D225" s="5" t="s">
        <v>92</v>
      </c>
      <c r="E225" s="10" t="s">
        <v>101</v>
      </c>
      <c r="F225" s="7" t="s">
        <v>21</v>
      </c>
      <c r="H225" s="7">
        <v>1000</v>
      </c>
      <c r="I225" s="7">
        <v>262</v>
      </c>
      <c r="J225" s="7">
        <v>3.2</v>
      </c>
      <c r="K225" s="7">
        <v>607</v>
      </c>
      <c r="L225" s="7">
        <v>8</v>
      </c>
      <c r="M225" s="7">
        <v>20</v>
      </c>
      <c r="N225" s="7">
        <v>68</v>
      </c>
      <c r="O225" s="7">
        <v>58</v>
      </c>
      <c r="P225" s="7">
        <v>0</v>
      </c>
      <c r="Q225" s="7">
        <v>10</v>
      </c>
      <c r="R225" s="7">
        <v>80</v>
      </c>
      <c r="S225" s="7">
        <v>28</v>
      </c>
      <c r="T225" s="7">
        <v>2</v>
      </c>
      <c r="U225" s="7">
        <v>3</v>
      </c>
      <c r="W225" s="7">
        <v>20</v>
      </c>
      <c r="X225" s="7">
        <v>96</v>
      </c>
      <c r="Y225" s="7">
        <f>SUM(Table1[[#This Row],[Good Kernels  (g)]:[Husk  (g)]])</f>
        <v>1000</v>
      </c>
      <c r="Z225" s="9">
        <f>IFERROR(Table1[[#This Row],[Good Kernels  (g)]]/Table1[[#This Row],[Sample Qty  (g)]],"")</f>
        <v>0.60699999999999998</v>
      </c>
      <c r="AA225" s="9">
        <f>IFERROR(SUM(Table1[[#This Row],[Pieces  (g)]:[Butts (g)]])/Table1[[#This Row],[Sample Qty  (g)]],"")</f>
        <v>2.8000000000000001E-2</v>
      </c>
      <c r="AB225" s="9">
        <f>IFERROR(Table1[[#This Row],[Scorched (g)]]/Table1[[#This Row],[Sample Qty  (g)]],"")</f>
        <v>6.8000000000000005E-2</v>
      </c>
      <c r="AC225" s="9">
        <f>IFERROR(SUM(Table1[[#This Row],[Spotted  (g)]:[PUK3  (g)]])/Table1[[#This Row],[Sample Qty  (g)]],"")</f>
        <v>5.8000000000000003E-2</v>
      </c>
      <c r="AD225" s="9">
        <f>IFERROR(SUM(R225,Q225)/Table1[[#This Row],[Sample Qty  (g)]],"")</f>
        <v>0.09</v>
      </c>
      <c r="AE225" s="9">
        <f>IFERROR(Table1[[#This Row],[Dessert/NW  (g)]]/Table1[[#This Row],[Sample Qty  (g)]],"")</f>
        <v>2.8000000000000001E-2</v>
      </c>
      <c r="AF225" s="9">
        <f>IFERROR(SUM(Table1[[#This Row],[Oil  (g)]:[Dirty  (g)]])/Table1[[#This Row],[Sample Qty  (g)]],"")</f>
        <v>5.0000000000000001E-3</v>
      </c>
      <c r="AG225" s="9">
        <f>IFERROR(Table1[[#This Row],[Rejection  (g)]]/Table1[[#This Row],[Sample Qty  (g)]],"")</f>
        <v>0.02</v>
      </c>
      <c r="AH225" s="9">
        <f>IFERROR(Table1[[#This Row],[Husk  (g)]]/Table1[[#This Row],[Sample Qty  (g)]],"")</f>
        <v>9.6000000000000002E-2</v>
      </c>
    </row>
    <row r="226" spans="2:34" ht="12" x14ac:dyDescent="0.25">
      <c r="B226" s="8">
        <v>46231</v>
      </c>
      <c r="C226" s="7">
        <f>WEEKNUM(Table1[[#This Row],[Date]])</f>
        <v>31</v>
      </c>
      <c r="D226" s="5" t="s">
        <v>93</v>
      </c>
      <c r="E226" s="10" t="s">
        <v>101</v>
      </c>
      <c r="F226" s="7" t="s">
        <v>21</v>
      </c>
      <c r="H226" s="7">
        <v>1000</v>
      </c>
      <c r="I226" s="7">
        <v>260</v>
      </c>
      <c r="J226" s="7">
        <v>3.4</v>
      </c>
      <c r="K226" s="7">
        <v>561</v>
      </c>
      <c r="L226" s="7">
        <v>40</v>
      </c>
      <c r="M226" s="7">
        <v>32</v>
      </c>
      <c r="N226" s="7">
        <v>70</v>
      </c>
      <c r="O226" s="7">
        <v>20</v>
      </c>
      <c r="P226" s="7">
        <v>20</v>
      </c>
      <c r="Q226" s="7">
        <v>44</v>
      </c>
      <c r="R226" s="7">
        <v>20</v>
      </c>
      <c r="S226" s="7">
        <v>40</v>
      </c>
      <c r="T226" s="7">
        <v>6</v>
      </c>
      <c r="U226" s="7">
        <v>15</v>
      </c>
      <c r="W226" s="7">
        <v>34</v>
      </c>
      <c r="X226" s="7">
        <v>98</v>
      </c>
      <c r="Y226" s="7">
        <f>SUM(Table1[[#This Row],[Good Kernels  (g)]:[Husk  (g)]])</f>
        <v>1000</v>
      </c>
      <c r="Z226" s="9">
        <f>IFERROR(Table1[[#This Row],[Good Kernels  (g)]]/Table1[[#This Row],[Sample Qty  (g)]],"")</f>
        <v>0.56100000000000005</v>
      </c>
      <c r="AA226" s="9">
        <f>IFERROR(SUM(Table1[[#This Row],[Pieces  (g)]:[Butts (g)]])/Table1[[#This Row],[Sample Qty  (g)]],"")</f>
        <v>7.1999999999999995E-2</v>
      </c>
      <c r="AB226" s="9">
        <f>IFERROR(Table1[[#This Row],[Scorched (g)]]/Table1[[#This Row],[Sample Qty  (g)]],"")</f>
        <v>7.0000000000000007E-2</v>
      </c>
      <c r="AC226" s="9">
        <f>IFERROR(SUM(Table1[[#This Row],[Spotted  (g)]:[PUK3  (g)]])/Table1[[#This Row],[Sample Qty  (g)]],"")</f>
        <v>0.04</v>
      </c>
      <c r="AD226" s="9">
        <f>IFERROR(SUM(R226,Q226)/Table1[[#This Row],[Sample Qty  (g)]],"")</f>
        <v>6.4000000000000001E-2</v>
      </c>
      <c r="AE226" s="9">
        <f>IFERROR(Table1[[#This Row],[Dessert/NW  (g)]]/Table1[[#This Row],[Sample Qty  (g)]],"")</f>
        <v>0.04</v>
      </c>
      <c r="AF226" s="9">
        <f>IFERROR(SUM(Table1[[#This Row],[Oil  (g)]:[Dirty  (g)]])/Table1[[#This Row],[Sample Qty  (g)]],"")</f>
        <v>2.1000000000000001E-2</v>
      </c>
      <c r="AG226" s="9">
        <f>IFERROR(Table1[[#This Row],[Rejection  (g)]]/Table1[[#This Row],[Sample Qty  (g)]],"")</f>
        <v>3.4000000000000002E-2</v>
      </c>
      <c r="AH226" s="9">
        <f>IFERROR(Table1[[#This Row],[Husk  (g)]]/Table1[[#This Row],[Sample Qty  (g)]],"")</f>
        <v>9.8000000000000004E-2</v>
      </c>
    </row>
    <row r="227" spans="2:34" ht="12" x14ac:dyDescent="0.25">
      <c r="B227" s="8">
        <v>46232</v>
      </c>
      <c r="C227" s="7">
        <f>WEEKNUM(Table1[[#This Row],[Date]])</f>
        <v>31</v>
      </c>
      <c r="D227" s="5" t="s">
        <v>94</v>
      </c>
      <c r="E227" s="10" t="s">
        <v>101</v>
      </c>
      <c r="F227" s="7" t="s">
        <v>21</v>
      </c>
      <c r="H227" s="7">
        <v>1000</v>
      </c>
      <c r="I227" s="7">
        <v>268</v>
      </c>
      <c r="J227" s="7">
        <v>3.3</v>
      </c>
      <c r="K227" s="7">
        <v>587</v>
      </c>
      <c r="L227" s="7">
        <v>28</v>
      </c>
      <c r="M227" s="7">
        <v>16</v>
      </c>
      <c r="N227" s="7">
        <v>54</v>
      </c>
      <c r="O227" s="7">
        <v>37</v>
      </c>
      <c r="P227" s="7">
        <v>25</v>
      </c>
      <c r="Q227" s="7">
        <v>43</v>
      </c>
      <c r="R227" s="7">
        <v>32</v>
      </c>
      <c r="S227" s="7">
        <v>37</v>
      </c>
      <c r="T227" s="7">
        <v>7</v>
      </c>
      <c r="U227" s="7">
        <v>7</v>
      </c>
      <c r="W227" s="7">
        <v>26</v>
      </c>
      <c r="X227" s="7">
        <v>101</v>
      </c>
      <c r="Y227" s="7">
        <f>SUM(Table1[[#This Row],[Good Kernels  (g)]:[Husk  (g)]])</f>
        <v>1000</v>
      </c>
      <c r="Z227" s="9">
        <f>IFERROR(Table1[[#This Row],[Good Kernels  (g)]]/Table1[[#This Row],[Sample Qty  (g)]],"")</f>
        <v>0.58699999999999997</v>
      </c>
      <c r="AA227" s="9">
        <f>IFERROR(SUM(Table1[[#This Row],[Pieces  (g)]:[Butts (g)]])/Table1[[#This Row],[Sample Qty  (g)]],"")</f>
        <v>4.3999999999999997E-2</v>
      </c>
      <c r="AB227" s="9">
        <f>IFERROR(Table1[[#This Row],[Scorched (g)]]/Table1[[#This Row],[Sample Qty  (g)]],"")</f>
        <v>5.3999999999999999E-2</v>
      </c>
      <c r="AC227" s="9">
        <f>IFERROR(SUM(Table1[[#This Row],[Spotted  (g)]:[PUK3  (g)]])/Table1[[#This Row],[Sample Qty  (g)]],"")</f>
        <v>6.2E-2</v>
      </c>
      <c r="AD227" s="9">
        <f>IFERROR(SUM(R227,Q227)/Table1[[#This Row],[Sample Qty  (g)]],"")</f>
        <v>7.4999999999999997E-2</v>
      </c>
      <c r="AE227" s="9">
        <f>IFERROR(Table1[[#This Row],[Dessert/NW  (g)]]/Table1[[#This Row],[Sample Qty  (g)]],"")</f>
        <v>3.6999999999999998E-2</v>
      </c>
      <c r="AF227" s="9">
        <f>IFERROR(SUM(Table1[[#This Row],[Oil  (g)]:[Dirty  (g)]])/Table1[[#This Row],[Sample Qty  (g)]],"")</f>
        <v>1.4E-2</v>
      </c>
      <c r="AG227" s="9">
        <f>IFERROR(Table1[[#This Row],[Rejection  (g)]]/Table1[[#This Row],[Sample Qty  (g)]],"")</f>
        <v>2.5999999999999999E-2</v>
      </c>
      <c r="AH227" s="9">
        <f>IFERROR(Table1[[#This Row],[Husk  (g)]]/Table1[[#This Row],[Sample Qty  (g)]],"")</f>
        <v>0.10100000000000001</v>
      </c>
    </row>
    <row r="228" spans="2:34" ht="12" x14ac:dyDescent="0.25">
      <c r="B228" s="8">
        <v>46233</v>
      </c>
      <c r="C228" s="7">
        <f>WEEKNUM(Table1[[#This Row],[Date]])</f>
        <v>31</v>
      </c>
      <c r="D228" s="5" t="s">
        <v>95</v>
      </c>
      <c r="E228" s="10" t="s">
        <v>101</v>
      </c>
      <c r="F228" s="7" t="s">
        <v>21</v>
      </c>
      <c r="H228" s="7">
        <v>1000</v>
      </c>
      <c r="I228" s="7">
        <v>258</v>
      </c>
      <c r="J228" s="7">
        <v>3.1</v>
      </c>
      <c r="K228" s="7">
        <v>534</v>
      </c>
      <c r="L228" s="7">
        <v>34</v>
      </c>
      <c r="M228" s="7">
        <v>26</v>
      </c>
      <c r="N228" s="7">
        <v>58</v>
      </c>
      <c r="O228" s="7">
        <v>60</v>
      </c>
      <c r="P228" s="7">
        <v>26</v>
      </c>
      <c r="Q228" s="7">
        <v>16</v>
      </c>
      <c r="R228" s="7">
        <v>60</v>
      </c>
      <c r="S228" s="7">
        <v>34</v>
      </c>
      <c r="T228" s="7">
        <v>18</v>
      </c>
      <c r="U228" s="7">
        <v>16</v>
      </c>
      <c r="W228" s="7">
        <v>18</v>
      </c>
      <c r="X228" s="7">
        <v>100</v>
      </c>
      <c r="Y228" s="7">
        <f>SUM(Table1[[#This Row],[Good Kernels  (g)]:[Husk  (g)]])</f>
        <v>1000</v>
      </c>
      <c r="Z228" s="9">
        <f>IFERROR(Table1[[#This Row],[Good Kernels  (g)]]/Table1[[#This Row],[Sample Qty  (g)]],"")</f>
        <v>0.53400000000000003</v>
      </c>
      <c r="AA228" s="9">
        <f>IFERROR(SUM(Table1[[#This Row],[Pieces  (g)]:[Butts (g)]])/Table1[[#This Row],[Sample Qty  (g)]],"")</f>
        <v>0.06</v>
      </c>
      <c r="AB228" s="9">
        <f>IFERROR(Table1[[#This Row],[Scorched (g)]]/Table1[[#This Row],[Sample Qty  (g)]],"")</f>
        <v>5.8000000000000003E-2</v>
      </c>
      <c r="AC228" s="9">
        <f>IFERROR(SUM(Table1[[#This Row],[Spotted  (g)]:[PUK3  (g)]])/Table1[[#This Row],[Sample Qty  (g)]],"")</f>
        <v>8.5999999999999993E-2</v>
      </c>
      <c r="AD228" s="9">
        <f>IFERROR(SUM(R228,Q228)/Table1[[#This Row],[Sample Qty  (g)]],"")</f>
        <v>7.5999999999999998E-2</v>
      </c>
      <c r="AE228" s="9">
        <f>IFERROR(Table1[[#This Row],[Dessert/NW  (g)]]/Table1[[#This Row],[Sample Qty  (g)]],"")</f>
        <v>3.4000000000000002E-2</v>
      </c>
      <c r="AF228" s="9">
        <f>IFERROR(SUM(Table1[[#This Row],[Oil  (g)]:[Dirty  (g)]])/Table1[[#This Row],[Sample Qty  (g)]],"")</f>
        <v>3.4000000000000002E-2</v>
      </c>
      <c r="AG228" s="9">
        <f>IFERROR(Table1[[#This Row],[Rejection  (g)]]/Table1[[#This Row],[Sample Qty  (g)]],"")</f>
        <v>1.7999999999999999E-2</v>
      </c>
      <c r="AH228" s="9">
        <f>IFERROR(Table1[[#This Row],[Husk  (g)]]/Table1[[#This Row],[Sample Qty  (g)]],"")</f>
        <v>0.1</v>
      </c>
    </row>
    <row r="229" spans="2:34" ht="12" x14ac:dyDescent="0.25">
      <c r="B229" s="8">
        <v>46234</v>
      </c>
      <c r="C229" s="7">
        <f>WEEKNUM(Table1[[#This Row],[Date]])</f>
        <v>31</v>
      </c>
      <c r="D229" s="5" t="s">
        <v>96</v>
      </c>
      <c r="E229" s="10" t="s">
        <v>101</v>
      </c>
      <c r="F229" s="7" t="s">
        <v>21</v>
      </c>
      <c r="H229" s="7">
        <v>1000</v>
      </c>
      <c r="I229" s="7">
        <v>276</v>
      </c>
      <c r="J229" s="7">
        <v>3.2</v>
      </c>
      <c r="K229" s="7">
        <v>538</v>
      </c>
      <c r="L229" s="7">
        <v>12</v>
      </c>
      <c r="M229" s="7">
        <v>24</v>
      </c>
      <c r="N229" s="7">
        <v>26</v>
      </c>
      <c r="O229" s="7">
        <v>84</v>
      </c>
      <c r="P229" s="7">
        <v>26</v>
      </c>
      <c r="Q229" s="7">
        <v>26</v>
      </c>
      <c r="R229" s="7">
        <v>84</v>
      </c>
      <c r="S229" s="7">
        <v>38</v>
      </c>
      <c r="T229" s="7">
        <v>16</v>
      </c>
      <c r="U229" s="7">
        <v>2</v>
      </c>
      <c r="W229" s="7">
        <v>24</v>
      </c>
      <c r="X229" s="7">
        <v>100</v>
      </c>
      <c r="Y229" s="7">
        <f>SUM(Table1[[#This Row],[Good Kernels  (g)]:[Husk  (g)]])</f>
        <v>1000</v>
      </c>
      <c r="Z229" s="9">
        <f>IFERROR(Table1[[#This Row],[Good Kernels  (g)]]/Table1[[#This Row],[Sample Qty  (g)]],"")</f>
        <v>0.53800000000000003</v>
      </c>
      <c r="AA229" s="9">
        <f>IFERROR(SUM(Table1[[#This Row],[Pieces  (g)]:[Butts (g)]])/Table1[[#This Row],[Sample Qty  (g)]],"")</f>
        <v>3.5999999999999997E-2</v>
      </c>
      <c r="AB229" s="9">
        <f>IFERROR(Table1[[#This Row],[Scorched (g)]]/Table1[[#This Row],[Sample Qty  (g)]],"")</f>
        <v>2.5999999999999999E-2</v>
      </c>
      <c r="AC229" s="9">
        <f>IFERROR(SUM(Table1[[#This Row],[Spotted  (g)]:[PUK3  (g)]])/Table1[[#This Row],[Sample Qty  (g)]],"")</f>
        <v>0.11</v>
      </c>
      <c r="AD229" s="9">
        <f>IFERROR(SUM(R229,Q229)/Table1[[#This Row],[Sample Qty  (g)]],"")</f>
        <v>0.11</v>
      </c>
      <c r="AE229" s="9">
        <f>IFERROR(Table1[[#This Row],[Dessert/NW  (g)]]/Table1[[#This Row],[Sample Qty  (g)]],"")</f>
        <v>3.7999999999999999E-2</v>
      </c>
      <c r="AF229" s="9">
        <f>IFERROR(SUM(Table1[[#This Row],[Oil  (g)]:[Dirty  (g)]])/Table1[[#This Row],[Sample Qty  (g)]],"")</f>
        <v>1.7999999999999999E-2</v>
      </c>
      <c r="AG229" s="9">
        <f>IFERROR(Table1[[#This Row],[Rejection  (g)]]/Table1[[#This Row],[Sample Qty  (g)]],"")</f>
        <v>2.4E-2</v>
      </c>
      <c r="AH229" s="9">
        <f>IFERROR(Table1[[#This Row],[Husk  (g)]]/Table1[[#This Row],[Sample Qty  (g)]],"")</f>
        <v>0.1</v>
      </c>
    </row>
    <row r="230" spans="2:34" ht="12" x14ac:dyDescent="0.25">
      <c r="B230" s="8">
        <v>46234</v>
      </c>
      <c r="C230" s="7">
        <f>WEEKNUM(Table1[[#This Row],[Date]])</f>
        <v>31</v>
      </c>
      <c r="D230" s="5" t="s">
        <v>96</v>
      </c>
      <c r="E230" s="10" t="s">
        <v>101</v>
      </c>
      <c r="F230" s="7" t="s">
        <v>21</v>
      </c>
      <c r="H230" s="7">
        <v>1000</v>
      </c>
      <c r="I230" s="7">
        <v>253</v>
      </c>
      <c r="J230" s="7">
        <v>3.3</v>
      </c>
      <c r="K230" s="7">
        <v>711</v>
      </c>
      <c r="L230" s="7">
        <v>13</v>
      </c>
      <c r="M230" s="7">
        <v>4</v>
      </c>
      <c r="N230" s="7">
        <v>29</v>
      </c>
      <c r="O230" s="7">
        <v>31</v>
      </c>
      <c r="P230" s="7">
        <v>23</v>
      </c>
      <c r="Q230" s="7">
        <v>25</v>
      </c>
      <c r="R230" s="7">
        <v>4</v>
      </c>
      <c r="S230" s="7">
        <v>32</v>
      </c>
      <c r="T230" s="7">
        <v>4</v>
      </c>
      <c r="U230" s="7">
        <v>9</v>
      </c>
      <c r="W230" s="7">
        <v>17</v>
      </c>
      <c r="X230" s="7">
        <v>98</v>
      </c>
      <c r="Y230" s="7">
        <f>SUM(Table1[[#This Row],[Good Kernels  (g)]:[Husk  (g)]])</f>
        <v>1000</v>
      </c>
      <c r="Z230" s="9">
        <f>IFERROR(Table1[[#This Row],[Good Kernels  (g)]]/Table1[[#This Row],[Sample Qty  (g)]],"")</f>
        <v>0.71099999999999997</v>
      </c>
      <c r="AA230" s="9">
        <f>IFERROR(SUM(Table1[[#This Row],[Pieces  (g)]:[Butts (g)]])/Table1[[#This Row],[Sample Qty  (g)]],"")</f>
        <v>1.7000000000000001E-2</v>
      </c>
      <c r="AB230" s="9">
        <f>IFERROR(Table1[[#This Row],[Scorched (g)]]/Table1[[#This Row],[Sample Qty  (g)]],"")</f>
        <v>2.9000000000000001E-2</v>
      </c>
      <c r="AC230" s="9">
        <f>IFERROR(SUM(Table1[[#This Row],[Spotted  (g)]:[PUK3  (g)]])/Table1[[#This Row],[Sample Qty  (g)]],"")</f>
        <v>5.3999999999999999E-2</v>
      </c>
      <c r="AD230" s="9">
        <f>IFERROR(SUM(R230,Q230)/Table1[[#This Row],[Sample Qty  (g)]],"")</f>
        <v>2.9000000000000001E-2</v>
      </c>
      <c r="AE230" s="9">
        <f>IFERROR(Table1[[#This Row],[Dessert/NW  (g)]]/Table1[[#This Row],[Sample Qty  (g)]],"")</f>
        <v>3.2000000000000001E-2</v>
      </c>
      <c r="AF230" s="9">
        <f>IFERROR(SUM(Table1[[#This Row],[Oil  (g)]:[Dirty  (g)]])/Table1[[#This Row],[Sample Qty  (g)]],"")</f>
        <v>1.2999999999999999E-2</v>
      </c>
      <c r="AG230" s="9">
        <f>IFERROR(Table1[[#This Row],[Rejection  (g)]]/Table1[[#This Row],[Sample Qty  (g)]],"")</f>
        <v>1.7000000000000001E-2</v>
      </c>
      <c r="AH230" s="9">
        <f>IFERROR(Table1[[#This Row],[Husk  (g)]]/Table1[[#This Row],[Sample Qty  (g)]],"")</f>
        <v>9.8000000000000004E-2</v>
      </c>
    </row>
    <row r="231" spans="2:34" ht="12" x14ac:dyDescent="0.25">
      <c r="B231" s="8">
        <v>46235</v>
      </c>
      <c r="C231" s="7">
        <f>WEEKNUM(Table1[[#This Row],[Date]])</f>
        <v>31</v>
      </c>
      <c r="D231" s="5" t="s">
        <v>97</v>
      </c>
      <c r="E231" s="10" t="s">
        <v>101</v>
      </c>
      <c r="F231" s="7" t="s">
        <v>21</v>
      </c>
      <c r="H231" s="7">
        <v>1000</v>
      </c>
      <c r="I231" s="7">
        <v>244</v>
      </c>
      <c r="J231" s="7">
        <v>3.1</v>
      </c>
      <c r="K231" s="7">
        <v>860</v>
      </c>
      <c r="L231" s="7">
        <v>19</v>
      </c>
      <c r="M231" s="7">
        <v>13</v>
      </c>
      <c r="N231" s="7">
        <v>64</v>
      </c>
      <c r="O231" s="7">
        <v>15</v>
      </c>
      <c r="P231" s="7">
        <v>0</v>
      </c>
      <c r="Q231" s="7">
        <v>0</v>
      </c>
      <c r="R231" s="7">
        <v>0</v>
      </c>
      <c r="S231" s="7">
        <v>0</v>
      </c>
      <c r="T231" s="7">
        <v>12</v>
      </c>
      <c r="U231" s="7">
        <v>0</v>
      </c>
      <c r="W231" s="7">
        <v>17</v>
      </c>
      <c r="X231" s="7">
        <v>0</v>
      </c>
      <c r="Y231" s="7">
        <f>SUM(Table1[[#This Row],[Good Kernels  (g)]:[Husk  (g)]])</f>
        <v>1000</v>
      </c>
      <c r="Z231" s="9">
        <f>IFERROR(Table1[[#This Row],[Good Kernels  (g)]]/Table1[[#This Row],[Sample Qty  (g)]],"")</f>
        <v>0.86</v>
      </c>
      <c r="AA231" s="9">
        <f>IFERROR(SUM(Table1[[#This Row],[Pieces  (g)]:[Butts (g)]])/Table1[[#This Row],[Sample Qty  (g)]],"")</f>
        <v>3.2000000000000001E-2</v>
      </c>
      <c r="AB231" s="9">
        <f>IFERROR(Table1[[#This Row],[Scorched (g)]]/Table1[[#This Row],[Sample Qty  (g)]],"")</f>
        <v>6.4000000000000001E-2</v>
      </c>
      <c r="AC231" s="9">
        <f>IFERROR(SUM(Table1[[#This Row],[Spotted  (g)]:[PUK3  (g)]])/Table1[[#This Row],[Sample Qty  (g)]],"")</f>
        <v>1.4999999999999999E-2</v>
      </c>
      <c r="AD231" s="9">
        <f>IFERROR(SUM(R231,Q231)/Table1[[#This Row],[Sample Qty  (g)]],"")</f>
        <v>0</v>
      </c>
      <c r="AE231" s="9">
        <f>IFERROR(Table1[[#This Row],[Dessert/NW  (g)]]/Table1[[#This Row],[Sample Qty  (g)]],"")</f>
        <v>0</v>
      </c>
      <c r="AF231" s="9">
        <f>IFERROR(SUM(Table1[[#This Row],[Oil  (g)]:[Dirty  (g)]])/Table1[[#This Row],[Sample Qty  (g)]],"")</f>
        <v>1.2E-2</v>
      </c>
      <c r="AG231" s="9">
        <f>IFERROR(Table1[[#This Row],[Rejection  (g)]]/Table1[[#This Row],[Sample Qty  (g)]],"")</f>
        <v>1.7000000000000001E-2</v>
      </c>
      <c r="AH231" s="9">
        <f>IFERROR(Table1[[#This Row],[Husk  (g)]]/Table1[[#This Row],[Sample Qty  (g)]],"")</f>
        <v>0</v>
      </c>
    </row>
    <row r="232" spans="2:34" ht="12" x14ac:dyDescent="0.25">
      <c r="B232" s="8">
        <v>46237</v>
      </c>
      <c r="C232" s="7">
        <f>WEEKNUM(Table1[[#This Row],[Date]])</f>
        <v>32</v>
      </c>
      <c r="D232" s="5" t="s">
        <v>97</v>
      </c>
      <c r="E232" s="10" t="s">
        <v>101</v>
      </c>
      <c r="F232" s="7" t="s">
        <v>21</v>
      </c>
      <c r="H232" s="7">
        <v>1000</v>
      </c>
      <c r="I232" s="7">
        <v>264</v>
      </c>
      <c r="J232" s="7">
        <v>3.1</v>
      </c>
      <c r="K232" s="7">
        <v>600</v>
      </c>
      <c r="L232" s="7">
        <v>27</v>
      </c>
      <c r="M232" s="7">
        <v>18</v>
      </c>
      <c r="N232" s="7">
        <v>89</v>
      </c>
      <c r="O232" s="7">
        <v>26</v>
      </c>
      <c r="P232" s="7">
        <v>0</v>
      </c>
      <c r="Q232" s="7">
        <v>33</v>
      </c>
      <c r="R232" s="7">
        <v>10</v>
      </c>
      <c r="S232" s="7">
        <v>37</v>
      </c>
      <c r="T232" s="7">
        <v>9</v>
      </c>
      <c r="U232" s="7">
        <v>14</v>
      </c>
      <c r="W232" s="7">
        <v>39</v>
      </c>
      <c r="X232" s="7">
        <v>98</v>
      </c>
      <c r="Y232" s="7">
        <f>SUM(Table1[[#This Row],[Good Kernels  (g)]:[Husk  (g)]])</f>
        <v>1000</v>
      </c>
      <c r="Z232" s="9">
        <f>IFERROR(Table1[[#This Row],[Good Kernels  (g)]]/Table1[[#This Row],[Sample Qty  (g)]],"")</f>
        <v>0.6</v>
      </c>
      <c r="AA232" s="9">
        <f>IFERROR(SUM(Table1[[#This Row],[Pieces  (g)]:[Butts (g)]])/Table1[[#This Row],[Sample Qty  (g)]],"")</f>
        <v>4.4999999999999998E-2</v>
      </c>
      <c r="AB232" s="9">
        <f>IFERROR(Table1[[#This Row],[Scorched (g)]]/Table1[[#This Row],[Sample Qty  (g)]],"")</f>
        <v>8.8999999999999996E-2</v>
      </c>
      <c r="AC232" s="9">
        <f>IFERROR(SUM(Table1[[#This Row],[Spotted  (g)]:[PUK3  (g)]])/Table1[[#This Row],[Sample Qty  (g)]],"")</f>
        <v>2.5999999999999999E-2</v>
      </c>
      <c r="AD232" s="9">
        <f>IFERROR(SUM(R232,Q232)/Table1[[#This Row],[Sample Qty  (g)]],"")</f>
        <v>4.2999999999999997E-2</v>
      </c>
      <c r="AE232" s="9">
        <f>IFERROR(Table1[[#This Row],[Dessert/NW  (g)]]/Table1[[#This Row],[Sample Qty  (g)]],"")</f>
        <v>3.6999999999999998E-2</v>
      </c>
      <c r="AF232" s="9">
        <f>IFERROR(SUM(Table1[[#This Row],[Oil  (g)]:[Dirty  (g)]])/Table1[[#This Row],[Sample Qty  (g)]],"")</f>
        <v>2.3E-2</v>
      </c>
      <c r="AG232" s="9">
        <f>IFERROR(Table1[[#This Row],[Rejection  (g)]]/Table1[[#This Row],[Sample Qty  (g)]],"")</f>
        <v>3.9E-2</v>
      </c>
      <c r="AH232" s="9">
        <f>IFERROR(Table1[[#This Row],[Husk  (g)]]/Table1[[#This Row],[Sample Qty  (g)]],"")</f>
        <v>9.8000000000000004E-2</v>
      </c>
    </row>
    <row r="233" spans="2:34" ht="12" x14ac:dyDescent="0.25">
      <c r="B233" s="8">
        <v>46238</v>
      </c>
      <c r="C233" s="7">
        <f>WEEKNUM(Table1[[#This Row],[Date]])</f>
        <v>32</v>
      </c>
      <c r="D233" s="5" t="s">
        <v>98</v>
      </c>
      <c r="E233" s="10" t="s">
        <v>101</v>
      </c>
      <c r="F233" s="7" t="s">
        <v>21</v>
      </c>
      <c r="H233" s="7">
        <v>1000</v>
      </c>
      <c r="I233" s="7">
        <v>230</v>
      </c>
      <c r="J233" s="7">
        <v>3.4</v>
      </c>
      <c r="K233" s="7">
        <v>638</v>
      </c>
      <c r="L233" s="7">
        <v>16</v>
      </c>
      <c r="M233" s="7">
        <v>14</v>
      </c>
      <c r="N233" s="7">
        <v>53</v>
      </c>
      <c r="O233" s="7">
        <v>27</v>
      </c>
      <c r="P233" s="7">
        <v>24</v>
      </c>
      <c r="Q233" s="7">
        <v>36</v>
      </c>
      <c r="R233" s="7">
        <v>4</v>
      </c>
      <c r="S233" s="7">
        <v>42</v>
      </c>
      <c r="T233" s="7">
        <v>8</v>
      </c>
      <c r="U233" s="7">
        <v>11</v>
      </c>
      <c r="W233" s="7">
        <v>32</v>
      </c>
      <c r="X233" s="7">
        <v>95</v>
      </c>
      <c r="Y233" s="7">
        <f>SUM(Table1[[#This Row],[Good Kernels  (g)]:[Husk  (g)]])</f>
        <v>1000</v>
      </c>
      <c r="Z233" s="9">
        <f>IFERROR(Table1[[#This Row],[Good Kernels  (g)]]/Table1[[#This Row],[Sample Qty  (g)]],"")</f>
        <v>0.63800000000000001</v>
      </c>
      <c r="AA233" s="9">
        <f>IFERROR(SUM(Table1[[#This Row],[Pieces  (g)]:[Butts (g)]])/Table1[[#This Row],[Sample Qty  (g)]],"")</f>
        <v>0.03</v>
      </c>
      <c r="AB233" s="9">
        <f>IFERROR(Table1[[#This Row],[Scorched (g)]]/Table1[[#This Row],[Sample Qty  (g)]],"")</f>
        <v>5.2999999999999999E-2</v>
      </c>
      <c r="AC233" s="9">
        <f>IFERROR(SUM(Table1[[#This Row],[Spotted  (g)]:[PUK3  (g)]])/Table1[[#This Row],[Sample Qty  (g)]],"")</f>
        <v>5.0999999999999997E-2</v>
      </c>
      <c r="AD233" s="9">
        <f>IFERROR(SUM(R233,Q233)/Table1[[#This Row],[Sample Qty  (g)]],"")</f>
        <v>0.04</v>
      </c>
      <c r="AE233" s="9">
        <f>IFERROR(Table1[[#This Row],[Dessert/NW  (g)]]/Table1[[#This Row],[Sample Qty  (g)]],"")</f>
        <v>4.2000000000000003E-2</v>
      </c>
      <c r="AF233" s="9">
        <f>IFERROR(SUM(Table1[[#This Row],[Oil  (g)]:[Dirty  (g)]])/Table1[[#This Row],[Sample Qty  (g)]],"")</f>
        <v>1.9E-2</v>
      </c>
      <c r="AG233" s="9">
        <f>IFERROR(Table1[[#This Row],[Rejection  (g)]]/Table1[[#This Row],[Sample Qty  (g)]],"")</f>
        <v>3.2000000000000001E-2</v>
      </c>
      <c r="AH233" s="9">
        <f>IFERROR(Table1[[#This Row],[Husk  (g)]]/Table1[[#This Row],[Sample Qty  (g)]],"")</f>
        <v>9.5000000000000001E-2</v>
      </c>
    </row>
    <row r="234" spans="2:34" ht="12" x14ac:dyDescent="0.25">
      <c r="B234" s="8">
        <v>46239</v>
      </c>
      <c r="C234" s="7">
        <f>WEEKNUM(Table1[[#This Row],[Date]])</f>
        <v>32</v>
      </c>
      <c r="D234" s="5" t="s">
        <v>99</v>
      </c>
      <c r="E234" s="10" t="s">
        <v>101</v>
      </c>
      <c r="F234" s="7" t="s">
        <v>21</v>
      </c>
      <c r="H234" s="7">
        <v>1000</v>
      </c>
      <c r="I234" s="7">
        <v>254</v>
      </c>
      <c r="J234" s="7">
        <v>3.6</v>
      </c>
      <c r="K234" s="7">
        <v>593</v>
      </c>
      <c r="L234" s="7">
        <v>25</v>
      </c>
      <c r="M234" s="7">
        <v>18</v>
      </c>
      <c r="N234" s="7">
        <v>51</v>
      </c>
      <c r="O234" s="7">
        <v>36</v>
      </c>
      <c r="P234" s="7">
        <v>26</v>
      </c>
      <c r="Q234" s="7">
        <v>43</v>
      </c>
      <c r="R234" s="7">
        <v>20</v>
      </c>
      <c r="S234" s="7">
        <v>47</v>
      </c>
      <c r="T234" s="7">
        <v>5</v>
      </c>
      <c r="U234" s="7">
        <v>4</v>
      </c>
      <c r="W234" s="7">
        <v>34</v>
      </c>
      <c r="X234" s="7">
        <v>98</v>
      </c>
      <c r="Y234" s="7">
        <f>SUM(Table1[[#This Row],[Good Kernels  (g)]:[Husk  (g)]])</f>
        <v>1000</v>
      </c>
      <c r="Z234" s="9">
        <f>IFERROR(Table1[[#This Row],[Good Kernels  (g)]]/Table1[[#This Row],[Sample Qty  (g)]],"")</f>
        <v>0.59299999999999997</v>
      </c>
      <c r="AA234" s="9">
        <f>IFERROR(SUM(Table1[[#This Row],[Pieces  (g)]:[Butts (g)]])/Table1[[#This Row],[Sample Qty  (g)]],"")</f>
        <v>4.2999999999999997E-2</v>
      </c>
      <c r="AB234" s="9">
        <f>IFERROR(Table1[[#This Row],[Scorched (g)]]/Table1[[#This Row],[Sample Qty  (g)]],"")</f>
        <v>5.0999999999999997E-2</v>
      </c>
      <c r="AC234" s="9">
        <f>IFERROR(SUM(Table1[[#This Row],[Spotted  (g)]:[PUK3  (g)]])/Table1[[#This Row],[Sample Qty  (g)]],"")</f>
        <v>6.2E-2</v>
      </c>
      <c r="AD234" s="9">
        <f>IFERROR(SUM(R234,Q234)/Table1[[#This Row],[Sample Qty  (g)]],"")</f>
        <v>6.3E-2</v>
      </c>
      <c r="AE234" s="9">
        <f>IFERROR(Table1[[#This Row],[Dessert/NW  (g)]]/Table1[[#This Row],[Sample Qty  (g)]],"")</f>
        <v>4.7E-2</v>
      </c>
      <c r="AF234" s="9">
        <f>IFERROR(SUM(Table1[[#This Row],[Oil  (g)]:[Dirty  (g)]])/Table1[[#This Row],[Sample Qty  (g)]],"")</f>
        <v>8.9999999999999993E-3</v>
      </c>
      <c r="AG234" s="9">
        <f>IFERROR(Table1[[#This Row],[Rejection  (g)]]/Table1[[#This Row],[Sample Qty  (g)]],"")</f>
        <v>3.4000000000000002E-2</v>
      </c>
      <c r="AH234" s="9">
        <f>IFERROR(Table1[[#This Row],[Husk  (g)]]/Table1[[#This Row],[Sample Qty  (g)]],"")</f>
        <v>9.8000000000000004E-2</v>
      </c>
    </row>
    <row r="235" spans="2:34" ht="12" x14ac:dyDescent="0.25">
      <c r="B235" s="8">
        <v>46240</v>
      </c>
      <c r="C235" s="7">
        <f>WEEKNUM(Table1[[#This Row],[Date]])</f>
        <v>32</v>
      </c>
      <c r="D235" s="5" t="s">
        <v>100</v>
      </c>
      <c r="E235" s="10" t="s">
        <v>101</v>
      </c>
      <c r="F235" s="7" t="s">
        <v>21</v>
      </c>
      <c r="H235" s="7">
        <v>1000</v>
      </c>
      <c r="I235" s="7">
        <v>250</v>
      </c>
      <c r="J235" s="7">
        <v>3.2</v>
      </c>
      <c r="K235" s="7">
        <v>586</v>
      </c>
      <c r="L235" s="7">
        <v>26</v>
      </c>
      <c r="M235" s="7">
        <v>19</v>
      </c>
      <c r="N235" s="7">
        <v>51</v>
      </c>
      <c r="O235" s="7">
        <v>37</v>
      </c>
      <c r="P235" s="7">
        <v>27</v>
      </c>
      <c r="Q235" s="7">
        <v>44</v>
      </c>
      <c r="R235" s="7">
        <v>21</v>
      </c>
      <c r="S235" s="7">
        <v>47</v>
      </c>
      <c r="T235" s="7">
        <v>6</v>
      </c>
      <c r="U235" s="7">
        <v>5</v>
      </c>
      <c r="W235" s="7">
        <v>35</v>
      </c>
      <c r="X235" s="7">
        <v>96</v>
      </c>
      <c r="Y235" s="7">
        <f>SUM(Table1[[#This Row],[Good Kernels  (g)]:[Husk  (g)]])</f>
        <v>1000</v>
      </c>
      <c r="Z235" s="9">
        <f>IFERROR(Table1[[#This Row],[Good Kernels  (g)]]/Table1[[#This Row],[Sample Qty  (g)]],"")</f>
        <v>0.58599999999999997</v>
      </c>
      <c r="AA235" s="9">
        <f>IFERROR(SUM(Table1[[#This Row],[Pieces  (g)]:[Butts (g)]])/Table1[[#This Row],[Sample Qty  (g)]],"")</f>
        <v>4.4999999999999998E-2</v>
      </c>
      <c r="AB235" s="9">
        <f>IFERROR(Table1[[#This Row],[Scorched (g)]]/Table1[[#This Row],[Sample Qty  (g)]],"")</f>
        <v>5.0999999999999997E-2</v>
      </c>
      <c r="AC235" s="9">
        <f>IFERROR(SUM(Table1[[#This Row],[Spotted  (g)]:[PUK3  (g)]])/Table1[[#This Row],[Sample Qty  (g)]],"")</f>
        <v>6.4000000000000001E-2</v>
      </c>
      <c r="AD235" s="9">
        <f>IFERROR(SUM(R235,Q235)/Table1[[#This Row],[Sample Qty  (g)]],"")</f>
        <v>6.5000000000000002E-2</v>
      </c>
      <c r="AE235" s="9">
        <f>IFERROR(Table1[[#This Row],[Dessert/NW  (g)]]/Table1[[#This Row],[Sample Qty  (g)]],"")</f>
        <v>4.7E-2</v>
      </c>
      <c r="AF235" s="9">
        <f>IFERROR(SUM(Table1[[#This Row],[Oil  (g)]:[Dirty  (g)]])/Table1[[#This Row],[Sample Qty  (g)]],"")</f>
        <v>1.0999999999999999E-2</v>
      </c>
      <c r="AG235" s="9">
        <f>IFERROR(Table1[[#This Row],[Rejection  (g)]]/Table1[[#This Row],[Sample Qty  (g)]],"")</f>
        <v>3.5000000000000003E-2</v>
      </c>
      <c r="AH235" s="9">
        <f>IFERROR(Table1[[#This Row],[Husk  (g)]]/Table1[[#This Row],[Sample Qty  (g)]],"")</f>
        <v>9.6000000000000002E-2</v>
      </c>
    </row>
    <row r="236" spans="2:34" ht="12" x14ac:dyDescent="0.25">
      <c r="B236" s="8">
        <v>46240</v>
      </c>
      <c r="C236" s="7">
        <f>WEEKNUM(Table1[[#This Row],[Date]])</f>
        <v>32</v>
      </c>
      <c r="D236" s="5" t="s">
        <v>102</v>
      </c>
      <c r="E236" s="10" t="s">
        <v>101</v>
      </c>
      <c r="F236" s="7" t="s">
        <v>21</v>
      </c>
      <c r="H236" s="7">
        <v>1000</v>
      </c>
      <c r="I236" s="7">
        <v>242</v>
      </c>
      <c r="J236" s="7">
        <v>3.3</v>
      </c>
      <c r="K236" s="7">
        <v>601</v>
      </c>
      <c r="L236" s="7">
        <v>20</v>
      </c>
      <c r="M236" s="7">
        <v>12</v>
      </c>
      <c r="N236" s="7">
        <v>80</v>
      </c>
      <c r="O236" s="7">
        <v>66</v>
      </c>
      <c r="P236" s="7">
        <v>18</v>
      </c>
      <c r="Q236" s="7">
        <v>20</v>
      </c>
      <c r="R236" s="7">
        <v>28</v>
      </c>
      <c r="S236" s="7">
        <v>15</v>
      </c>
      <c r="T236" s="7">
        <v>8</v>
      </c>
      <c r="U236" s="7">
        <v>10</v>
      </c>
      <c r="W236" s="7">
        <v>24</v>
      </c>
      <c r="X236" s="7">
        <v>98</v>
      </c>
      <c r="Y236" s="7">
        <f>SUM(Table1[[#This Row],[Good Kernels  (g)]:[Husk  (g)]])</f>
        <v>1000</v>
      </c>
      <c r="Z236" s="9">
        <f>IFERROR(Table1[[#This Row],[Good Kernels  (g)]]/Table1[[#This Row],[Sample Qty  (g)]],"")</f>
        <v>0.60099999999999998</v>
      </c>
      <c r="AA236" s="9">
        <f>IFERROR(SUM(Table1[[#This Row],[Pieces  (g)]:[Butts (g)]])/Table1[[#This Row],[Sample Qty  (g)]],"")</f>
        <v>3.2000000000000001E-2</v>
      </c>
      <c r="AB236" s="9">
        <f>IFERROR(Table1[[#This Row],[Scorched (g)]]/Table1[[#This Row],[Sample Qty  (g)]],"")</f>
        <v>0.08</v>
      </c>
      <c r="AC236" s="9">
        <f>IFERROR(SUM(Table1[[#This Row],[Spotted  (g)]:[PUK3  (g)]])/Table1[[#This Row],[Sample Qty  (g)]],"")</f>
        <v>8.4000000000000005E-2</v>
      </c>
      <c r="AD236" s="9">
        <f>IFERROR(SUM(R236,Q236)/Table1[[#This Row],[Sample Qty  (g)]],"")</f>
        <v>4.8000000000000001E-2</v>
      </c>
      <c r="AE236" s="9">
        <f>IFERROR(Table1[[#This Row],[Dessert/NW  (g)]]/Table1[[#This Row],[Sample Qty  (g)]],"")</f>
        <v>1.4999999999999999E-2</v>
      </c>
      <c r="AF236" s="9">
        <f>IFERROR(SUM(Table1[[#This Row],[Oil  (g)]:[Dirty  (g)]])/Table1[[#This Row],[Sample Qty  (g)]],"")</f>
        <v>1.7999999999999999E-2</v>
      </c>
      <c r="AG236" s="9">
        <f>IFERROR(Table1[[#This Row],[Rejection  (g)]]/Table1[[#This Row],[Sample Qty  (g)]],"")</f>
        <v>2.4E-2</v>
      </c>
      <c r="AH236" s="9">
        <f>IFERROR(Table1[[#This Row],[Husk  (g)]]/Table1[[#This Row],[Sample Qty  (g)]],"")</f>
        <v>9.8000000000000004E-2</v>
      </c>
    </row>
    <row r="237" spans="2:34" ht="12" x14ac:dyDescent="0.25">
      <c r="B237" s="8">
        <v>46244</v>
      </c>
      <c r="C237" s="7">
        <f>WEEKNUM(Table1[[#This Row],[Date]])</f>
        <v>33</v>
      </c>
      <c r="D237" s="5" t="s">
        <v>103</v>
      </c>
      <c r="E237" s="10" t="s">
        <v>101</v>
      </c>
      <c r="F237" s="7" t="s">
        <v>21</v>
      </c>
      <c r="H237" s="7">
        <v>1000</v>
      </c>
      <c r="I237" s="7">
        <v>312</v>
      </c>
      <c r="J237" s="7">
        <v>3.1</v>
      </c>
      <c r="K237" s="7">
        <v>584</v>
      </c>
      <c r="L237" s="7">
        <v>32</v>
      </c>
      <c r="M237" s="7">
        <v>14</v>
      </c>
      <c r="N237" s="7">
        <v>28</v>
      </c>
      <c r="O237" s="7">
        <v>126</v>
      </c>
      <c r="P237" s="7">
        <v>0</v>
      </c>
      <c r="Q237" s="7">
        <v>8</v>
      </c>
      <c r="R237" s="7">
        <v>10</v>
      </c>
      <c r="S237" s="7">
        <v>32</v>
      </c>
      <c r="T237" s="7">
        <v>14</v>
      </c>
      <c r="U237" s="7">
        <v>0</v>
      </c>
      <c r="V237" s="7">
        <v>12</v>
      </c>
      <c r="W237" s="7">
        <v>42</v>
      </c>
      <c r="X237" s="7">
        <v>98</v>
      </c>
      <c r="Y237" s="7">
        <f>SUM(Table1[[#This Row],[Good Kernels  (g)]:[Husk  (g)]])</f>
        <v>1000</v>
      </c>
      <c r="Z237" s="9">
        <f>IFERROR(Table1[[#This Row],[Good Kernels  (g)]]/Table1[[#This Row],[Sample Qty  (g)]],"")</f>
        <v>0.58399999999999996</v>
      </c>
      <c r="AA237" s="9">
        <f>IFERROR(SUM(Table1[[#This Row],[Pieces  (g)]:[Butts (g)]])/Table1[[#This Row],[Sample Qty  (g)]],"")</f>
        <v>4.5999999999999999E-2</v>
      </c>
      <c r="AB237" s="9">
        <f>IFERROR(Table1[[#This Row],[Scorched (g)]]/Table1[[#This Row],[Sample Qty  (g)]],"")</f>
        <v>2.8000000000000001E-2</v>
      </c>
      <c r="AC237" s="9">
        <f>IFERROR(SUM(Table1[[#This Row],[Spotted  (g)]:[PUK3  (g)]])/Table1[[#This Row],[Sample Qty  (g)]],"")</f>
        <v>0.126</v>
      </c>
      <c r="AD237" s="9">
        <f>IFERROR(SUM(R237,Q237)/Table1[[#This Row],[Sample Qty  (g)]],"")</f>
        <v>1.7999999999999999E-2</v>
      </c>
      <c r="AE237" s="9">
        <f>IFERROR(Table1[[#This Row],[Dessert/NW  (g)]]/Table1[[#This Row],[Sample Qty  (g)]],"")</f>
        <v>3.2000000000000001E-2</v>
      </c>
      <c r="AF237" s="9">
        <f>IFERROR(SUM(Table1[[#This Row],[Oil  (g)]:[Dirty  (g)]])/Table1[[#This Row],[Sample Qty  (g)]],"")</f>
        <v>1.4E-2</v>
      </c>
      <c r="AG237" s="9">
        <f>IFERROR(Table1[[#This Row],[Rejection  (g)]]/Table1[[#This Row],[Sample Qty  (g)]],"")</f>
        <v>4.2000000000000003E-2</v>
      </c>
      <c r="AH237" s="9">
        <f>IFERROR(Table1[[#This Row],[Husk  (g)]]/Table1[[#This Row],[Sample Qty  (g)]],"")</f>
        <v>9.8000000000000004E-2</v>
      </c>
    </row>
    <row r="238" spans="2:34" ht="12" x14ac:dyDescent="0.25">
      <c r="B238" s="8">
        <v>46244</v>
      </c>
      <c r="C238" s="7">
        <f>WEEKNUM(Table1[[#This Row],[Date]])</f>
        <v>33</v>
      </c>
      <c r="D238" s="5" t="s">
        <v>103</v>
      </c>
      <c r="E238" s="10" t="s">
        <v>101</v>
      </c>
      <c r="F238" s="7" t="s">
        <v>21</v>
      </c>
      <c r="H238" s="7">
        <v>1000</v>
      </c>
      <c r="I238" s="7">
        <v>278</v>
      </c>
      <c r="J238" s="7">
        <v>2.4</v>
      </c>
      <c r="K238" s="7">
        <v>538</v>
      </c>
      <c r="L238" s="7">
        <v>42</v>
      </c>
      <c r="M238" s="7">
        <v>24</v>
      </c>
      <c r="N238" s="7">
        <v>30</v>
      </c>
      <c r="O238" s="7">
        <v>80</v>
      </c>
      <c r="P238" s="7">
        <v>0</v>
      </c>
      <c r="Q238" s="7">
        <v>44</v>
      </c>
      <c r="R238" s="7">
        <v>22</v>
      </c>
      <c r="S238" s="7">
        <v>32</v>
      </c>
      <c r="T238" s="7">
        <v>28</v>
      </c>
      <c r="U238" s="7">
        <v>0</v>
      </c>
      <c r="V238" s="7">
        <v>0</v>
      </c>
      <c r="W238" s="7">
        <v>64</v>
      </c>
      <c r="X238" s="7">
        <v>96</v>
      </c>
      <c r="Y238" s="7">
        <f>SUM(Table1[[#This Row],[Good Kernels  (g)]:[Husk  (g)]])</f>
        <v>1000</v>
      </c>
      <c r="Z238" s="9">
        <f>IFERROR(Table1[[#This Row],[Good Kernels  (g)]]/Table1[[#This Row],[Sample Qty  (g)]],"")</f>
        <v>0.53800000000000003</v>
      </c>
      <c r="AA238" s="9">
        <f>IFERROR(SUM(Table1[[#This Row],[Pieces  (g)]:[Butts (g)]])/Table1[[#This Row],[Sample Qty  (g)]],"")</f>
        <v>6.6000000000000003E-2</v>
      </c>
      <c r="AB238" s="9">
        <f>IFERROR(Table1[[#This Row],[Scorched (g)]]/Table1[[#This Row],[Sample Qty  (g)]],"")</f>
        <v>0.03</v>
      </c>
      <c r="AC238" s="9">
        <f>IFERROR(SUM(Table1[[#This Row],[Spotted  (g)]:[PUK3  (g)]])/Table1[[#This Row],[Sample Qty  (g)]],"")</f>
        <v>0.08</v>
      </c>
      <c r="AD238" s="9">
        <f>IFERROR(SUM(R238,Q238)/Table1[[#This Row],[Sample Qty  (g)]],"")</f>
        <v>6.6000000000000003E-2</v>
      </c>
      <c r="AE238" s="9">
        <f>IFERROR(Table1[[#This Row],[Dessert/NW  (g)]]/Table1[[#This Row],[Sample Qty  (g)]],"")</f>
        <v>3.2000000000000001E-2</v>
      </c>
      <c r="AF238" s="9">
        <f>IFERROR(SUM(Table1[[#This Row],[Oil  (g)]:[Dirty  (g)]])/Table1[[#This Row],[Sample Qty  (g)]],"")</f>
        <v>2.8000000000000001E-2</v>
      </c>
      <c r="AG238" s="9">
        <f>IFERROR(Table1[[#This Row],[Rejection  (g)]]/Table1[[#This Row],[Sample Qty  (g)]],"")</f>
        <v>6.4000000000000001E-2</v>
      </c>
      <c r="AH238" s="9">
        <f>IFERROR(Table1[[#This Row],[Husk  (g)]]/Table1[[#This Row],[Sample Qty  (g)]],"")</f>
        <v>9.6000000000000002E-2</v>
      </c>
    </row>
    <row r="239" spans="2:34" ht="12" x14ac:dyDescent="0.25">
      <c r="B239" s="8">
        <v>46244</v>
      </c>
      <c r="C239" s="7">
        <f>WEEKNUM(Table1[[#This Row],[Date]])</f>
        <v>33</v>
      </c>
      <c r="D239" s="5" t="s">
        <v>103</v>
      </c>
      <c r="E239" s="10" t="s">
        <v>101</v>
      </c>
      <c r="F239" s="7" t="s">
        <v>21</v>
      </c>
      <c r="H239" s="7">
        <v>1000</v>
      </c>
      <c r="I239" s="7">
        <v>360</v>
      </c>
      <c r="J239" s="7">
        <v>3.4</v>
      </c>
      <c r="K239" s="7">
        <v>360</v>
      </c>
      <c r="L239" s="7">
        <v>66</v>
      </c>
      <c r="M239" s="7">
        <v>68</v>
      </c>
      <c r="N239" s="7">
        <v>50</v>
      </c>
      <c r="O239" s="7">
        <v>96</v>
      </c>
      <c r="P239" s="7">
        <v>0</v>
      </c>
      <c r="Q239" s="7">
        <v>34</v>
      </c>
      <c r="R239" s="7">
        <v>12</v>
      </c>
      <c r="S239" s="7">
        <v>44</v>
      </c>
      <c r="T239" s="7">
        <v>120</v>
      </c>
      <c r="U239" s="7">
        <v>0</v>
      </c>
      <c r="V239" s="7">
        <v>2</v>
      </c>
      <c r="W239" s="7">
        <v>50</v>
      </c>
      <c r="X239" s="7">
        <v>98</v>
      </c>
      <c r="Y239" s="7">
        <f>SUM(Table1[[#This Row],[Good Kernels  (g)]:[Husk  (g)]])</f>
        <v>1000</v>
      </c>
      <c r="Z239" s="9">
        <f>IFERROR(Table1[[#This Row],[Good Kernels  (g)]]/Table1[[#This Row],[Sample Qty  (g)]],"")</f>
        <v>0.36</v>
      </c>
      <c r="AA239" s="9">
        <f>IFERROR(SUM(Table1[[#This Row],[Pieces  (g)]:[Butts (g)]])/Table1[[#This Row],[Sample Qty  (g)]],"")</f>
        <v>0.13400000000000001</v>
      </c>
      <c r="AB239" s="9">
        <f>IFERROR(Table1[[#This Row],[Scorched (g)]]/Table1[[#This Row],[Sample Qty  (g)]],"")</f>
        <v>0.05</v>
      </c>
      <c r="AC239" s="9">
        <f>IFERROR(SUM(Table1[[#This Row],[Spotted  (g)]:[PUK3  (g)]])/Table1[[#This Row],[Sample Qty  (g)]],"")</f>
        <v>9.6000000000000002E-2</v>
      </c>
      <c r="AD239" s="9">
        <f>IFERROR(SUM(R239,Q239)/Table1[[#This Row],[Sample Qty  (g)]],"")</f>
        <v>4.5999999999999999E-2</v>
      </c>
      <c r="AE239" s="9">
        <f>IFERROR(Table1[[#This Row],[Dessert/NW  (g)]]/Table1[[#This Row],[Sample Qty  (g)]],"")</f>
        <v>4.3999999999999997E-2</v>
      </c>
      <c r="AF239" s="9">
        <f>IFERROR(SUM(Table1[[#This Row],[Oil  (g)]:[Dirty  (g)]])/Table1[[#This Row],[Sample Qty  (g)]],"")</f>
        <v>0.12</v>
      </c>
      <c r="AG239" s="9">
        <f>IFERROR(Table1[[#This Row],[Rejection  (g)]]/Table1[[#This Row],[Sample Qty  (g)]],"")</f>
        <v>0.05</v>
      </c>
      <c r="AH239" s="9">
        <f>IFERROR(Table1[[#This Row],[Husk  (g)]]/Table1[[#This Row],[Sample Qty  (g)]],"")</f>
        <v>9.8000000000000004E-2</v>
      </c>
    </row>
    <row r="240" spans="2:34" ht="12" x14ac:dyDescent="0.25">
      <c r="B240" s="8">
        <v>46245</v>
      </c>
      <c r="C240" s="7">
        <f>WEEKNUM(Table1[[#This Row],[Date]])</f>
        <v>33</v>
      </c>
      <c r="D240" s="5" t="s">
        <v>104</v>
      </c>
      <c r="E240" s="10" t="s">
        <v>101</v>
      </c>
      <c r="F240" s="7" t="s">
        <v>21</v>
      </c>
      <c r="G240" s="7" t="s">
        <v>110</v>
      </c>
      <c r="H240" s="7">
        <v>1000</v>
      </c>
      <c r="I240" s="7">
        <v>236</v>
      </c>
      <c r="J240" s="7">
        <v>2.8</v>
      </c>
      <c r="K240" s="7">
        <v>478</v>
      </c>
      <c r="L240" s="7">
        <v>32</v>
      </c>
      <c r="M240" s="7">
        <v>20</v>
      </c>
      <c r="N240" s="7">
        <v>76</v>
      </c>
      <c r="O240" s="7">
        <v>116</v>
      </c>
      <c r="P240" s="7">
        <v>0</v>
      </c>
      <c r="Q240" s="7">
        <v>20</v>
      </c>
      <c r="R240" s="7">
        <v>32</v>
      </c>
      <c r="S240" s="7">
        <v>40</v>
      </c>
      <c r="T240" s="7">
        <v>28</v>
      </c>
      <c r="U240" s="7">
        <v>0</v>
      </c>
      <c r="V240" s="7">
        <v>24</v>
      </c>
      <c r="W240" s="7">
        <v>24</v>
      </c>
      <c r="X240" s="7">
        <v>110</v>
      </c>
      <c r="Y240" s="7">
        <f>SUM(Table1[[#This Row],[Good Kernels  (g)]:[Husk  (g)]])</f>
        <v>1000</v>
      </c>
      <c r="Z240" s="9">
        <f>IFERROR(Table1[[#This Row],[Good Kernels  (g)]]/Table1[[#This Row],[Sample Qty  (g)]],"")</f>
        <v>0.47799999999999998</v>
      </c>
      <c r="AA240" s="9">
        <f>IFERROR(SUM(Table1[[#This Row],[Pieces  (g)]:[Butts (g)]])/Table1[[#This Row],[Sample Qty  (g)]],"")</f>
        <v>5.1999999999999998E-2</v>
      </c>
      <c r="AB240" s="9">
        <f>IFERROR(Table1[[#This Row],[Scorched (g)]]/Table1[[#This Row],[Sample Qty  (g)]],"")</f>
        <v>7.5999999999999998E-2</v>
      </c>
      <c r="AC240" s="9">
        <f>IFERROR(SUM(Table1[[#This Row],[Spotted  (g)]:[PUK3  (g)]])/Table1[[#This Row],[Sample Qty  (g)]],"")</f>
        <v>0.11600000000000001</v>
      </c>
      <c r="AD240" s="9">
        <f>IFERROR(SUM(R240,Q240)/Table1[[#This Row],[Sample Qty  (g)]],"")</f>
        <v>5.1999999999999998E-2</v>
      </c>
      <c r="AE240" s="9">
        <f>IFERROR(Table1[[#This Row],[Dessert/NW  (g)]]/Table1[[#This Row],[Sample Qty  (g)]],"")</f>
        <v>0.04</v>
      </c>
      <c r="AF240" s="9">
        <f>IFERROR(SUM(Table1[[#This Row],[Oil  (g)]:[Dirty  (g)]])/Table1[[#This Row],[Sample Qty  (g)]],"")</f>
        <v>2.8000000000000001E-2</v>
      </c>
      <c r="AG240" s="9">
        <f>IFERROR(Table1[[#This Row],[Rejection  (g)]]/Table1[[#This Row],[Sample Qty  (g)]],"")</f>
        <v>2.4E-2</v>
      </c>
      <c r="AH240" s="9">
        <f>IFERROR(Table1[[#This Row],[Husk  (g)]]/Table1[[#This Row],[Sample Qty  (g)]],"")</f>
        <v>0.11</v>
      </c>
    </row>
    <row r="241" spans="2:34" ht="12" x14ac:dyDescent="0.25">
      <c r="B241" s="8">
        <v>46245</v>
      </c>
      <c r="C241" s="7">
        <f>WEEKNUM(Table1[[#This Row],[Date]])</f>
        <v>33</v>
      </c>
      <c r="D241" s="5" t="s">
        <v>104</v>
      </c>
      <c r="E241" s="10" t="s">
        <v>101</v>
      </c>
      <c r="F241" s="7" t="s">
        <v>21</v>
      </c>
      <c r="G241" s="7" t="s">
        <v>110</v>
      </c>
      <c r="H241" s="7">
        <v>1000</v>
      </c>
      <c r="I241" s="7">
        <v>250</v>
      </c>
      <c r="J241" s="7">
        <v>2.9</v>
      </c>
      <c r="K241" s="7">
        <v>450</v>
      </c>
      <c r="L241" s="7">
        <v>24</v>
      </c>
      <c r="M241" s="7">
        <v>28</v>
      </c>
      <c r="N241" s="7">
        <v>44</v>
      </c>
      <c r="O241" s="7">
        <v>132</v>
      </c>
      <c r="P241" s="7">
        <v>0</v>
      </c>
      <c r="Q241" s="7">
        <v>36</v>
      </c>
      <c r="R241" s="7">
        <v>30</v>
      </c>
      <c r="S241" s="7">
        <v>40</v>
      </c>
      <c r="T241" s="7">
        <v>24</v>
      </c>
      <c r="U241" s="7">
        <v>0</v>
      </c>
      <c r="V241" s="7">
        <v>36</v>
      </c>
      <c r="W241" s="7">
        <v>52</v>
      </c>
      <c r="X241" s="7">
        <v>104</v>
      </c>
      <c r="Y241" s="7">
        <f>SUM(Table1[[#This Row],[Good Kernels  (g)]:[Husk  (g)]])</f>
        <v>1000</v>
      </c>
      <c r="Z241" s="9">
        <f>IFERROR(Table1[[#This Row],[Good Kernels  (g)]]/Table1[[#This Row],[Sample Qty  (g)]],"")</f>
        <v>0.45</v>
      </c>
      <c r="AA241" s="9">
        <f>IFERROR(SUM(Table1[[#This Row],[Pieces  (g)]:[Butts (g)]])/Table1[[#This Row],[Sample Qty  (g)]],"")</f>
        <v>5.1999999999999998E-2</v>
      </c>
      <c r="AB241" s="9">
        <f>IFERROR(Table1[[#This Row],[Scorched (g)]]/Table1[[#This Row],[Sample Qty  (g)]],"")</f>
        <v>4.3999999999999997E-2</v>
      </c>
      <c r="AC241" s="9">
        <f>IFERROR(SUM(Table1[[#This Row],[Spotted  (g)]:[PUK3  (g)]])/Table1[[#This Row],[Sample Qty  (g)]],"")</f>
        <v>0.13200000000000001</v>
      </c>
      <c r="AD241" s="9">
        <f>IFERROR(SUM(R241,Q241)/Table1[[#This Row],[Sample Qty  (g)]],"")</f>
        <v>6.6000000000000003E-2</v>
      </c>
      <c r="AE241" s="9">
        <f>IFERROR(Table1[[#This Row],[Dessert/NW  (g)]]/Table1[[#This Row],[Sample Qty  (g)]],"")</f>
        <v>0.04</v>
      </c>
      <c r="AF241" s="9">
        <f>IFERROR(SUM(Table1[[#This Row],[Oil  (g)]:[Dirty  (g)]])/Table1[[#This Row],[Sample Qty  (g)]],"")</f>
        <v>2.4E-2</v>
      </c>
      <c r="AG241" s="9">
        <f>IFERROR(Table1[[#This Row],[Rejection  (g)]]/Table1[[#This Row],[Sample Qty  (g)]],"")</f>
        <v>5.1999999999999998E-2</v>
      </c>
      <c r="AH241" s="9">
        <f>IFERROR(Table1[[#This Row],[Husk  (g)]]/Table1[[#This Row],[Sample Qty  (g)]],"")</f>
        <v>0.104</v>
      </c>
    </row>
    <row r="242" spans="2:34" ht="12" x14ac:dyDescent="0.25">
      <c r="B242" s="8">
        <v>46245</v>
      </c>
      <c r="C242" s="7">
        <f>WEEKNUM(Table1[[#This Row],[Date]])</f>
        <v>33</v>
      </c>
      <c r="D242" s="5" t="s">
        <v>104</v>
      </c>
      <c r="E242" s="10" t="s">
        <v>101</v>
      </c>
      <c r="F242" s="7" t="s">
        <v>21</v>
      </c>
      <c r="G242" s="7" t="s">
        <v>110</v>
      </c>
      <c r="H242" s="7">
        <v>1000</v>
      </c>
      <c r="I242" s="7">
        <v>246</v>
      </c>
      <c r="J242" s="7">
        <v>2.6</v>
      </c>
      <c r="K242" s="7">
        <v>524</v>
      </c>
      <c r="L242" s="7">
        <v>24</v>
      </c>
      <c r="M242" s="7">
        <v>32</v>
      </c>
      <c r="N242" s="7">
        <v>68</v>
      </c>
      <c r="O242" s="7">
        <v>80</v>
      </c>
      <c r="P242" s="7">
        <v>0</v>
      </c>
      <c r="Q242" s="7">
        <v>16</v>
      </c>
      <c r="R242" s="7">
        <v>12</v>
      </c>
      <c r="S242" s="7">
        <v>52</v>
      </c>
      <c r="T242" s="7">
        <v>36</v>
      </c>
      <c r="U242" s="7">
        <v>0</v>
      </c>
      <c r="V242" s="7">
        <v>40</v>
      </c>
      <c r="W242" s="7">
        <v>8</v>
      </c>
      <c r="X242" s="7">
        <v>108</v>
      </c>
      <c r="Y242" s="7">
        <f>SUM(Table1[[#This Row],[Good Kernels  (g)]:[Husk  (g)]])</f>
        <v>1000</v>
      </c>
      <c r="Z242" s="9">
        <f>IFERROR(Table1[[#This Row],[Good Kernels  (g)]]/Table1[[#This Row],[Sample Qty  (g)]],"")</f>
        <v>0.52400000000000002</v>
      </c>
      <c r="AA242" s="9">
        <f>IFERROR(SUM(Table1[[#This Row],[Pieces  (g)]:[Butts (g)]])/Table1[[#This Row],[Sample Qty  (g)]],"")</f>
        <v>5.6000000000000001E-2</v>
      </c>
      <c r="AB242" s="9">
        <f>IFERROR(Table1[[#This Row],[Scorched (g)]]/Table1[[#This Row],[Sample Qty  (g)]],"")</f>
        <v>6.8000000000000005E-2</v>
      </c>
      <c r="AC242" s="9">
        <f>IFERROR(SUM(Table1[[#This Row],[Spotted  (g)]:[PUK3  (g)]])/Table1[[#This Row],[Sample Qty  (g)]],"")</f>
        <v>0.08</v>
      </c>
      <c r="AD242" s="9">
        <f>IFERROR(SUM(R242,Q242)/Table1[[#This Row],[Sample Qty  (g)]],"")</f>
        <v>2.8000000000000001E-2</v>
      </c>
      <c r="AE242" s="9">
        <f>IFERROR(Table1[[#This Row],[Dessert/NW  (g)]]/Table1[[#This Row],[Sample Qty  (g)]],"")</f>
        <v>5.1999999999999998E-2</v>
      </c>
      <c r="AF242" s="9">
        <f>IFERROR(SUM(Table1[[#This Row],[Oil  (g)]:[Dirty  (g)]])/Table1[[#This Row],[Sample Qty  (g)]],"")</f>
        <v>3.5999999999999997E-2</v>
      </c>
      <c r="AG242" s="9">
        <f>IFERROR(Table1[[#This Row],[Rejection  (g)]]/Table1[[#This Row],[Sample Qty  (g)]],"")</f>
        <v>8.0000000000000002E-3</v>
      </c>
      <c r="AH242" s="9">
        <f>IFERROR(Table1[[#This Row],[Husk  (g)]]/Table1[[#This Row],[Sample Qty  (g)]],"")</f>
        <v>0.108</v>
      </c>
    </row>
    <row r="243" spans="2:34" ht="12" x14ac:dyDescent="0.25">
      <c r="B243" s="8">
        <v>46245</v>
      </c>
      <c r="C243" s="7">
        <f>WEEKNUM(Table1[[#This Row],[Date]])</f>
        <v>33</v>
      </c>
      <c r="D243" s="5" t="s">
        <v>106</v>
      </c>
      <c r="E243" s="10" t="s">
        <v>108</v>
      </c>
      <c r="F243" s="7" t="s">
        <v>21</v>
      </c>
      <c r="G243" s="7" t="s">
        <v>111</v>
      </c>
      <c r="H243" s="7">
        <v>1000</v>
      </c>
      <c r="I243" s="7">
        <v>266</v>
      </c>
      <c r="J243" s="7">
        <v>3.2</v>
      </c>
      <c r="K243" s="7">
        <v>534</v>
      </c>
      <c r="L243" s="7">
        <v>38</v>
      </c>
      <c r="M243" s="7">
        <v>40</v>
      </c>
      <c r="N243" s="7">
        <v>58</v>
      </c>
      <c r="O243" s="7">
        <v>104</v>
      </c>
      <c r="P243" s="7">
        <v>0</v>
      </c>
      <c r="Q243" s="7">
        <v>40</v>
      </c>
      <c r="R243" s="7">
        <v>2</v>
      </c>
      <c r="S243" s="7">
        <v>41</v>
      </c>
      <c r="T243" s="7">
        <v>5</v>
      </c>
      <c r="U243" s="7">
        <v>0</v>
      </c>
      <c r="V243" s="7">
        <v>0</v>
      </c>
      <c r="W243" s="7">
        <v>44</v>
      </c>
      <c r="X243" s="7">
        <v>94</v>
      </c>
      <c r="Y243" s="7">
        <f>SUM(Table1[[#This Row],[Good Kernels  (g)]:[Husk  (g)]])</f>
        <v>1000</v>
      </c>
      <c r="Z243" s="9">
        <f>IFERROR(Table1[[#This Row],[Good Kernels  (g)]]/Table1[[#This Row],[Sample Qty  (g)]],"")</f>
        <v>0.53400000000000003</v>
      </c>
      <c r="AA243" s="9">
        <f>IFERROR(SUM(Table1[[#This Row],[Pieces  (g)]:[Butts (g)]])/Table1[[#This Row],[Sample Qty  (g)]],"")</f>
        <v>7.8E-2</v>
      </c>
      <c r="AB243" s="9">
        <f>IFERROR(Table1[[#This Row],[Scorched (g)]]/Table1[[#This Row],[Sample Qty  (g)]],"")</f>
        <v>5.8000000000000003E-2</v>
      </c>
      <c r="AC243" s="9">
        <f>IFERROR(SUM(Table1[[#This Row],[Spotted  (g)]:[PUK3  (g)]])/Table1[[#This Row],[Sample Qty  (g)]],"")</f>
        <v>0.104</v>
      </c>
      <c r="AD243" s="9">
        <f>IFERROR(SUM(R243,Q243)/Table1[[#This Row],[Sample Qty  (g)]],"")</f>
        <v>4.2000000000000003E-2</v>
      </c>
      <c r="AE243" s="9">
        <f>IFERROR(Table1[[#This Row],[Dessert/NW  (g)]]/Table1[[#This Row],[Sample Qty  (g)]],"")</f>
        <v>4.1000000000000002E-2</v>
      </c>
      <c r="AF243" s="9">
        <f>IFERROR(SUM(Table1[[#This Row],[Oil  (g)]:[Dirty  (g)]])/Table1[[#This Row],[Sample Qty  (g)]],"")</f>
        <v>5.0000000000000001E-3</v>
      </c>
      <c r="AG243" s="9">
        <f>IFERROR(Table1[[#This Row],[Rejection  (g)]]/Table1[[#This Row],[Sample Qty  (g)]],"")</f>
        <v>4.3999999999999997E-2</v>
      </c>
      <c r="AH243" s="9">
        <f>IFERROR(Table1[[#This Row],[Husk  (g)]]/Table1[[#This Row],[Sample Qty  (g)]],"")</f>
        <v>9.4E-2</v>
      </c>
    </row>
    <row r="244" spans="2:34" ht="12" x14ac:dyDescent="0.25">
      <c r="B244" s="8">
        <v>46246</v>
      </c>
      <c r="C244" s="7">
        <f>WEEKNUM(Table1[[#This Row],[Date]])</f>
        <v>33</v>
      </c>
      <c r="D244" s="5" t="s">
        <v>107</v>
      </c>
      <c r="E244" s="10" t="s">
        <v>108</v>
      </c>
      <c r="F244" s="7" t="s">
        <v>21</v>
      </c>
      <c r="G244" s="7" t="s">
        <v>110</v>
      </c>
      <c r="H244" s="7">
        <v>1000</v>
      </c>
      <c r="I244" s="7">
        <v>272</v>
      </c>
      <c r="J244" s="7">
        <v>2.7</v>
      </c>
      <c r="K244" s="7">
        <v>496</v>
      </c>
      <c r="L244" s="7">
        <v>40</v>
      </c>
      <c r="M244" s="7">
        <v>64</v>
      </c>
      <c r="N244" s="7">
        <v>48</v>
      </c>
      <c r="O244" s="7">
        <v>120</v>
      </c>
      <c r="P244" s="7">
        <v>0</v>
      </c>
      <c r="Q244" s="7">
        <v>24</v>
      </c>
      <c r="R244" s="7">
        <v>20</v>
      </c>
      <c r="S244" s="7">
        <v>20</v>
      </c>
      <c r="T244" s="7">
        <v>28</v>
      </c>
      <c r="U244" s="7">
        <v>0</v>
      </c>
      <c r="V244" s="7">
        <v>0</v>
      </c>
      <c r="W244" s="7">
        <v>16</v>
      </c>
      <c r="X244" s="7">
        <v>124</v>
      </c>
      <c r="Y244" s="7">
        <f>SUM(Table1[[#This Row],[Good Kernels  (g)]:[Husk  (g)]])</f>
        <v>1000</v>
      </c>
      <c r="Z244" s="9">
        <f>IFERROR(Table1[[#This Row],[Good Kernels  (g)]]/Table1[[#This Row],[Sample Qty  (g)]],"")</f>
        <v>0.496</v>
      </c>
      <c r="AA244" s="9">
        <f>IFERROR(SUM(Table1[[#This Row],[Pieces  (g)]:[Butts (g)]])/Table1[[#This Row],[Sample Qty  (g)]],"")</f>
        <v>0.104</v>
      </c>
      <c r="AB244" s="9">
        <f>IFERROR(Table1[[#This Row],[Scorched (g)]]/Table1[[#This Row],[Sample Qty  (g)]],"")</f>
        <v>4.8000000000000001E-2</v>
      </c>
      <c r="AC244" s="9">
        <f>IFERROR(SUM(Table1[[#This Row],[Spotted  (g)]:[PUK3  (g)]])/Table1[[#This Row],[Sample Qty  (g)]],"")</f>
        <v>0.12</v>
      </c>
      <c r="AD244" s="9">
        <f>IFERROR(SUM(R244,Q244)/Table1[[#This Row],[Sample Qty  (g)]],"")</f>
        <v>4.3999999999999997E-2</v>
      </c>
      <c r="AE244" s="9">
        <f>IFERROR(Table1[[#This Row],[Dessert/NW  (g)]]/Table1[[#This Row],[Sample Qty  (g)]],"")</f>
        <v>0.02</v>
      </c>
      <c r="AF244" s="9">
        <f>IFERROR(SUM(Table1[[#This Row],[Oil  (g)]:[Dirty  (g)]])/Table1[[#This Row],[Sample Qty  (g)]],"")</f>
        <v>2.8000000000000001E-2</v>
      </c>
      <c r="AG244" s="9">
        <f>IFERROR(Table1[[#This Row],[Rejection  (g)]]/Table1[[#This Row],[Sample Qty  (g)]],"")</f>
        <v>1.6E-2</v>
      </c>
      <c r="AH244" s="9">
        <f>IFERROR(Table1[[#This Row],[Husk  (g)]]/Table1[[#This Row],[Sample Qty  (g)]],"")</f>
        <v>0.124</v>
      </c>
    </row>
    <row r="245" spans="2:34" ht="12" x14ac:dyDescent="0.25">
      <c r="B245" s="8">
        <v>46246</v>
      </c>
      <c r="C245" s="7">
        <f>WEEKNUM(Table1[[#This Row],[Date]])</f>
        <v>33</v>
      </c>
      <c r="D245" s="5" t="s">
        <v>107</v>
      </c>
      <c r="E245" s="10" t="s">
        <v>108</v>
      </c>
      <c r="F245" s="7" t="s">
        <v>21</v>
      </c>
      <c r="G245" s="7" t="s">
        <v>110</v>
      </c>
      <c r="H245" s="7">
        <v>1000</v>
      </c>
      <c r="I245" s="7">
        <v>256</v>
      </c>
      <c r="J245" s="7">
        <v>2.7</v>
      </c>
      <c r="K245" s="7">
        <v>484</v>
      </c>
      <c r="L245" s="7">
        <v>56</v>
      </c>
      <c r="M245" s="7">
        <v>48</v>
      </c>
      <c r="N245" s="7">
        <v>52</v>
      </c>
      <c r="O245" s="7">
        <v>116</v>
      </c>
      <c r="P245" s="7">
        <v>0</v>
      </c>
      <c r="Q245" s="7">
        <v>32</v>
      </c>
      <c r="R245" s="7">
        <v>32</v>
      </c>
      <c r="S245" s="7">
        <v>24</v>
      </c>
      <c r="T245" s="7">
        <v>20</v>
      </c>
      <c r="U245" s="7">
        <v>0</v>
      </c>
      <c r="V245" s="7">
        <v>0</v>
      </c>
      <c r="W245" s="7">
        <v>20</v>
      </c>
      <c r="X245" s="7">
        <v>116</v>
      </c>
      <c r="Y245" s="7">
        <f>SUM(Table1[[#This Row],[Good Kernels  (g)]:[Husk  (g)]])</f>
        <v>1000</v>
      </c>
      <c r="Z245" s="9">
        <f>IFERROR(Table1[[#This Row],[Good Kernels  (g)]]/Table1[[#This Row],[Sample Qty  (g)]],"")</f>
        <v>0.48399999999999999</v>
      </c>
      <c r="AA245" s="9">
        <f>IFERROR(SUM(Table1[[#This Row],[Pieces  (g)]:[Butts (g)]])/Table1[[#This Row],[Sample Qty  (g)]],"")</f>
        <v>0.104</v>
      </c>
      <c r="AB245" s="9">
        <f>IFERROR(Table1[[#This Row],[Scorched (g)]]/Table1[[#This Row],[Sample Qty  (g)]],"")</f>
        <v>5.1999999999999998E-2</v>
      </c>
      <c r="AC245" s="9">
        <f>IFERROR(SUM(Table1[[#This Row],[Spotted  (g)]:[PUK3  (g)]])/Table1[[#This Row],[Sample Qty  (g)]],"")</f>
        <v>0.11600000000000001</v>
      </c>
      <c r="AD245" s="9">
        <f>IFERROR(SUM(R245,Q245)/Table1[[#This Row],[Sample Qty  (g)]],"")</f>
        <v>6.4000000000000001E-2</v>
      </c>
      <c r="AE245" s="9">
        <f>IFERROR(Table1[[#This Row],[Dessert/NW  (g)]]/Table1[[#This Row],[Sample Qty  (g)]],"")</f>
        <v>2.4E-2</v>
      </c>
      <c r="AF245" s="9">
        <f>IFERROR(SUM(Table1[[#This Row],[Oil  (g)]:[Dirty  (g)]])/Table1[[#This Row],[Sample Qty  (g)]],"")</f>
        <v>0.02</v>
      </c>
      <c r="AG245" s="9">
        <f>IFERROR(Table1[[#This Row],[Rejection  (g)]]/Table1[[#This Row],[Sample Qty  (g)]],"")</f>
        <v>0.02</v>
      </c>
      <c r="AH245" s="9">
        <f>IFERROR(Table1[[#This Row],[Husk  (g)]]/Table1[[#This Row],[Sample Qty  (g)]],"")</f>
        <v>0.11600000000000001</v>
      </c>
    </row>
    <row r="246" spans="2:34" ht="12" x14ac:dyDescent="0.25">
      <c r="B246" s="8">
        <v>46246</v>
      </c>
      <c r="C246" s="7">
        <f>WEEKNUM(Table1[[#This Row],[Date]])</f>
        <v>33</v>
      </c>
      <c r="D246" s="5" t="s">
        <v>106</v>
      </c>
      <c r="E246" s="10" t="s">
        <v>108</v>
      </c>
      <c r="F246" s="7" t="s">
        <v>21</v>
      </c>
      <c r="G246" s="7" t="s">
        <v>110</v>
      </c>
      <c r="H246" s="7">
        <v>1000</v>
      </c>
      <c r="I246" s="7">
        <v>250</v>
      </c>
      <c r="J246" s="7">
        <v>2.9</v>
      </c>
      <c r="K246" s="7">
        <v>528</v>
      </c>
      <c r="L246" s="7">
        <v>20</v>
      </c>
      <c r="M246" s="7">
        <v>24</v>
      </c>
      <c r="N246" s="7">
        <v>56</v>
      </c>
      <c r="O246" s="7">
        <v>124</v>
      </c>
      <c r="P246" s="7">
        <v>0</v>
      </c>
      <c r="Q246" s="7">
        <v>20</v>
      </c>
      <c r="R246" s="7">
        <v>36</v>
      </c>
      <c r="S246" s="7">
        <v>28</v>
      </c>
      <c r="T246" s="7">
        <v>24</v>
      </c>
      <c r="U246" s="7">
        <v>0</v>
      </c>
      <c r="V246" s="7">
        <v>0</v>
      </c>
      <c r="W246" s="7">
        <v>20</v>
      </c>
      <c r="X246" s="7">
        <v>120</v>
      </c>
      <c r="Y246" s="7">
        <f>SUM(Table1[[#This Row],[Good Kernels  (g)]:[Husk  (g)]])</f>
        <v>1000</v>
      </c>
      <c r="Z246" s="9">
        <f>IFERROR(Table1[[#This Row],[Good Kernels  (g)]]/Table1[[#This Row],[Sample Qty  (g)]],"")</f>
        <v>0.52800000000000002</v>
      </c>
      <c r="AA246" s="9">
        <f>IFERROR(SUM(Table1[[#This Row],[Pieces  (g)]:[Butts (g)]])/Table1[[#This Row],[Sample Qty  (g)]],"")</f>
        <v>4.3999999999999997E-2</v>
      </c>
      <c r="AB246" s="9">
        <f>IFERROR(Table1[[#This Row],[Scorched (g)]]/Table1[[#This Row],[Sample Qty  (g)]],"")</f>
        <v>5.6000000000000001E-2</v>
      </c>
      <c r="AC246" s="9">
        <f>IFERROR(SUM(Table1[[#This Row],[Spotted  (g)]:[PUK3  (g)]])/Table1[[#This Row],[Sample Qty  (g)]],"")</f>
        <v>0.124</v>
      </c>
      <c r="AD246" s="9">
        <f>IFERROR(SUM(R246,Q246)/Table1[[#This Row],[Sample Qty  (g)]],"")</f>
        <v>5.6000000000000001E-2</v>
      </c>
      <c r="AE246" s="9">
        <f>IFERROR(Table1[[#This Row],[Dessert/NW  (g)]]/Table1[[#This Row],[Sample Qty  (g)]],"")</f>
        <v>2.8000000000000001E-2</v>
      </c>
      <c r="AF246" s="9">
        <f>IFERROR(SUM(Table1[[#This Row],[Oil  (g)]:[Dirty  (g)]])/Table1[[#This Row],[Sample Qty  (g)]],"")</f>
        <v>2.4E-2</v>
      </c>
      <c r="AG246" s="9">
        <f>IFERROR(Table1[[#This Row],[Rejection  (g)]]/Table1[[#This Row],[Sample Qty  (g)]],"")</f>
        <v>0.02</v>
      </c>
      <c r="AH246" s="9">
        <f>IFERROR(Table1[[#This Row],[Husk  (g)]]/Table1[[#This Row],[Sample Qty  (g)]],"")</f>
        <v>0.12</v>
      </c>
    </row>
    <row r="247" spans="2:34" ht="12" x14ac:dyDescent="0.25">
      <c r="B247" s="8">
        <v>46246</v>
      </c>
      <c r="C247" s="7">
        <f>WEEKNUM(Table1[[#This Row],[Date]])</f>
        <v>33</v>
      </c>
      <c r="D247" s="5" t="s">
        <v>106</v>
      </c>
      <c r="E247" s="10" t="s">
        <v>108</v>
      </c>
      <c r="F247" s="7" t="s">
        <v>21</v>
      </c>
      <c r="G247" s="7" t="s">
        <v>111</v>
      </c>
      <c r="H247" s="7">
        <v>1000</v>
      </c>
      <c r="I247" s="7">
        <v>242</v>
      </c>
      <c r="J247" s="7">
        <v>3.6</v>
      </c>
      <c r="K247" s="7">
        <v>569</v>
      </c>
      <c r="L247" s="7">
        <v>26</v>
      </c>
      <c r="M247" s="7">
        <v>44</v>
      </c>
      <c r="N247" s="7">
        <v>12</v>
      </c>
      <c r="O247" s="7">
        <v>84</v>
      </c>
      <c r="P247" s="7">
        <v>0</v>
      </c>
      <c r="Q247" s="7">
        <v>28</v>
      </c>
      <c r="R247" s="7">
        <v>62</v>
      </c>
      <c r="S247" s="7">
        <v>36</v>
      </c>
      <c r="T247" s="7">
        <v>14</v>
      </c>
      <c r="U247" s="7">
        <v>0</v>
      </c>
      <c r="V247" s="7">
        <v>17</v>
      </c>
      <c r="W247" s="7">
        <v>12</v>
      </c>
      <c r="X247" s="7">
        <v>96</v>
      </c>
      <c r="Y247" s="7">
        <f>SUM(Table1[[#This Row],[Good Kernels  (g)]:[Husk  (g)]])</f>
        <v>1000</v>
      </c>
      <c r="Z247" s="9">
        <f>IFERROR(Table1[[#This Row],[Good Kernels  (g)]]/Table1[[#This Row],[Sample Qty  (g)]],"")</f>
        <v>0.56899999999999995</v>
      </c>
      <c r="AA247" s="9">
        <f>IFERROR(SUM(Table1[[#This Row],[Pieces  (g)]:[Butts (g)]])/Table1[[#This Row],[Sample Qty  (g)]],"")</f>
        <v>7.0000000000000007E-2</v>
      </c>
      <c r="AB247" s="9">
        <f>IFERROR(Table1[[#This Row],[Scorched (g)]]/Table1[[#This Row],[Sample Qty  (g)]],"")</f>
        <v>1.2E-2</v>
      </c>
      <c r="AC247" s="9">
        <f>IFERROR(SUM(Table1[[#This Row],[Spotted  (g)]:[PUK3  (g)]])/Table1[[#This Row],[Sample Qty  (g)]],"")</f>
        <v>8.4000000000000005E-2</v>
      </c>
      <c r="AD247" s="9">
        <f>IFERROR(SUM(R247,Q247)/Table1[[#This Row],[Sample Qty  (g)]],"")</f>
        <v>0.09</v>
      </c>
      <c r="AE247" s="9">
        <f>IFERROR(Table1[[#This Row],[Dessert/NW  (g)]]/Table1[[#This Row],[Sample Qty  (g)]],"")</f>
        <v>3.5999999999999997E-2</v>
      </c>
      <c r="AF247" s="9">
        <f>IFERROR(SUM(Table1[[#This Row],[Oil  (g)]:[Dirty  (g)]])/Table1[[#This Row],[Sample Qty  (g)]],"")</f>
        <v>1.4E-2</v>
      </c>
      <c r="AG247" s="9">
        <f>IFERROR(Table1[[#This Row],[Rejection  (g)]]/Table1[[#This Row],[Sample Qty  (g)]],"")</f>
        <v>1.2E-2</v>
      </c>
      <c r="AH247" s="9">
        <f>IFERROR(Table1[[#This Row],[Husk  (g)]]/Table1[[#This Row],[Sample Qty  (g)]],"")</f>
        <v>9.6000000000000002E-2</v>
      </c>
    </row>
    <row r="248" spans="2:34" ht="12" x14ac:dyDescent="0.25">
      <c r="B248" s="8">
        <v>46247</v>
      </c>
      <c r="C248" s="7">
        <f>WEEKNUM(Table1[[#This Row],[Date]])</f>
        <v>33</v>
      </c>
      <c r="D248" s="5" t="s">
        <v>107</v>
      </c>
      <c r="E248" s="10" t="s">
        <v>108</v>
      </c>
      <c r="F248" s="7" t="s">
        <v>21</v>
      </c>
      <c r="G248" s="7" t="s">
        <v>110</v>
      </c>
      <c r="H248" s="7">
        <v>1000</v>
      </c>
      <c r="I248" s="7">
        <v>248</v>
      </c>
      <c r="J248" s="7">
        <v>3.1</v>
      </c>
      <c r="K248" s="7">
        <v>472</v>
      </c>
      <c r="L248" s="7">
        <v>44</v>
      </c>
      <c r="M248" s="7">
        <v>40</v>
      </c>
      <c r="N248" s="7">
        <v>88</v>
      </c>
      <c r="O248" s="7">
        <v>80</v>
      </c>
      <c r="P248" s="7">
        <v>0</v>
      </c>
      <c r="Q248" s="7">
        <v>28</v>
      </c>
      <c r="R248" s="7">
        <v>16</v>
      </c>
      <c r="S248" s="7">
        <v>24</v>
      </c>
      <c r="T248" s="7">
        <v>28</v>
      </c>
      <c r="U248" s="7">
        <v>0</v>
      </c>
      <c r="V248" s="7">
        <v>48</v>
      </c>
      <c r="W248" s="7">
        <v>24</v>
      </c>
      <c r="X248" s="7">
        <v>108</v>
      </c>
      <c r="Y248" s="7">
        <f>SUM(Table1[[#This Row],[Good Kernels  (g)]:[Husk  (g)]])</f>
        <v>1000</v>
      </c>
      <c r="Z248" s="9">
        <f>IFERROR(Table1[[#This Row],[Good Kernels  (g)]]/Table1[[#This Row],[Sample Qty  (g)]],"")</f>
        <v>0.47199999999999998</v>
      </c>
      <c r="AA248" s="9">
        <f>IFERROR(SUM(Table1[[#This Row],[Pieces  (g)]:[Butts (g)]])/Table1[[#This Row],[Sample Qty  (g)]],"")</f>
        <v>8.4000000000000005E-2</v>
      </c>
      <c r="AB248" s="9">
        <f>IFERROR(Table1[[#This Row],[Scorched (g)]]/Table1[[#This Row],[Sample Qty  (g)]],"")</f>
        <v>8.7999999999999995E-2</v>
      </c>
      <c r="AC248" s="9">
        <f>IFERROR(SUM(Table1[[#This Row],[Spotted  (g)]:[PUK3  (g)]])/Table1[[#This Row],[Sample Qty  (g)]],"")</f>
        <v>0.08</v>
      </c>
      <c r="AD248" s="9">
        <f>IFERROR(SUM(R248,Q248)/Table1[[#This Row],[Sample Qty  (g)]],"")</f>
        <v>4.3999999999999997E-2</v>
      </c>
      <c r="AE248" s="9">
        <f>IFERROR(Table1[[#This Row],[Dessert/NW  (g)]]/Table1[[#This Row],[Sample Qty  (g)]],"")</f>
        <v>2.4E-2</v>
      </c>
      <c r="AF248" s="9">
        <f>IFERROR(SUM(Table1[[#This Row],[Oil  (g)]:[Dirty  (g)]])/Table1[[#This Row],[Sample Qty  (g)]],"")</f>
        <v>2.8000000000000001E-2</v>
      </c>
      <c r="AG248" s="9">
        <f>IFERROR(Table1[[#This Row],[Rejection  (g)]]/Table1[[#This Row],[Sample Qty  (g)]],"")</f>
        <v>2.4E-2</v>
      </c>
      <c r="AH248" s="9">
        <f>IFERROR(Table1[[#This Row],[Husk  (g)]]/Table1[[#This Row],[Sample Qty  (g)]],"")</f>
        <v>0.108</v>
      </c>
    </row>
    <row r="249" spans="2:34" ht="12" x14ac:dyDescent="0.25">
      <c r="B249" s="8">
        <v>46247</v>
      </c>
      <c r="C249" s="7">
        <f>WEEKNUM(Table1[[#This Row],[Date]])</f>
        <v>33</v>
      </c>
      <c r="D249" s="5" t="s">
        <v>107</v>
      </c>
      <c r="E249" s="10" t="s">
        <v>108</v>
      </c>
      <c r="F249" s="7" t="s">
        <v>21</v>
      </c>
      <c r="G249" s="7" t="s">
        <v>110</v>
      </c>
      <c r="H249" s="7">
        <v>1000</v>
      </c>
      <c r="I249" s="7">
        <v>250</v>
      </c>
      <c r="J249" s="7">
        <v>3.4</v>
      </c>
      <c r="K249" s="7">
        <v>422</v>
      </c>
      <c r="L249" s="7">
        <v>20</v>
      </c>
      <c r="M249" s="7">
        <v>36</v>
      </c>
      <c r="N249" s="7">
        <v>95</v>
      </c>
      <c r="O249" s="7">
        <v>96</v>
      </c>
      <c r="P249" s="7">
        <v>0</v>
      </c>
      <c r="Q249" s="7">
        <v>36</v>
      </c>
      <c r="R249" s="7">
        <v>44</v>
      </c>
      <c r="S249" s="7">
        <v>48</v>
      </c>
      <c r="T249" s="7">
        <v>14</v>
      </c>
      <c r="U249" s="7">
        <v>0</v>
      </c>
      <c r="V249" s="7">
        <v>48</v>
      </c>
      <c r="W249" s="7">
        <v>36</v>
      </c>
      <c r="X249" s="7">
        <v>105</v>
      </c>
      <c r="Y249" s="7">
        <f>SUM(Table1[[#This Row],[Good Kernels  (g)]:[Husk  (g)]])</f>
        <v>1000</v>
      </c>
      <c r="Z249" s="9">
        <f>IFERROR(Table1[[#This Row],[Good Kernels  (g)]]/Table1[[#This Row],[Sample Qty  (g)]],"")</f>
        <v>0.42199999999999999</v>
      </c>
      <c r="AA249" s="9">
        <f>IFERROR(SUM(Table1[[#This Row],[Pieces  (g)]:[Butts (g)]])/Table1[[#This Row],[Sample Qty  (g)]],"")</f>
        <v>5.6000000000000001E-2</v>
      </c>
      <c r="AB249" s="9">
        <f>IFERROR(Table1[[#This Row],[Scorched (g)]]/Table1[[#This Row],[Sample Qty  (g)]],"")</f>
        <v>9.5000000000000001E-2</v>
      </c>
      <c r="AC249" s="9">
        <f>IFERROR(SUM(Table1[[#This Row],[Spotted  (g)]:[PUK3  (g)]])/Table1[[#This Row],[Sample Qty  (g)]],"")</f>
        <v>9.6000000000000002E-2</v>
      </c>
      <c r="AD249" s="9">
        <f>IFERROR(SUM(R249,Q249)/Table1[[#This Row],[Sample Qty  (g)]],"")</f>
        <v>0.08</v>
      </c>
      <c r="AE249" s="9">
        <f>IFERROR(Table1[[#This Row],[Dessert/NW  (g)]]/Table1[[#This Row],[Sample Qty  (g)]],"")</f>
        <v>4.8000000000000001E-2</v>
      </c>
      <c r="AF249" s="9">
        <f>IFERROR(SUM(Table1[[#This Row],[Oil  (g)]:[Dirty  (g)]])/Table1[[#This Row],[Sample Qty  (g)]],"")</f>
        <v>1.4E-2</v>
      </c>
      <c r="AG249" s="9">
        <f>IFERROR(Table1[[#This Row],[Rejection  (g)]]/Table1[[#This Row],[Sample Qty  (g)]],"")</f>
        <v>3.5999999999999997E-2</v>
      </c>
      <c r="AH249" s="9">
        <f>IFERROR(Table1[[#This Row],[Husk  (g)]]/Table1[[#This Row],[Sample Qty  (g)]],"")</f>
        <v>0.105</v>
      </c>
    </row>
    <row r="250" spans="2:34" ht="12" x14ac:dyDescent="0.25">
      <c r="B250" s="8">
        <v>46247</v>
      </c>
      <c r="C250" s="7">
        <f>WEEKNUM(Table1[[#This Row],[Date]])</f>
        <v>33</v>
      </c>
      <c r="D250" s="5" t="s">
        <v>107</v>
      </c>
      <c r="E250" s="10" t="s">
        <v>108</v>
      </c>
      <c r="F250" s="7" t="s">
        <v>21</v>
      </c>
      <c r="G250" s="7" t="s">
        <v>110</v>
      </c>
      <c r="H250" s="7">
        <v>1000</v>
      </c>
      <c r="I250" s="7">
        <v>260</v>
      </c>
      <c r="J250" s="7">
        <v>3.4</v>
      </c>
      <c r="K250" s="7">
        <v>542</v>
      </c>
      <c r="L250" s="7">
        <v>36</v>
      </c>
      <c r="M250" s="7">
        <v>30</v>
      </c>
      <c r="N250" s="7">
        <v>60</v>
      </c>
      <c r="O250" s="7">
        <v>74</v>
      </c>
      <c r="P250" s="7">
        <v>0</v>
      </c>
      <c r="Q250" s="7">
        <v>61</v>
      </c>
      <c r="R250" s="7">
        <v>20</v>
      </c>
      <c r="S250" s="7">
        <v>24</v>
      </c>
      <c r="T250" s="7">
        <v>17</v>
      </c>
      <c r="U250" s="7">
        <v>0</v>
      </c>
      <c r="V250" s="7">
        <v>0</v>
      </c>
      <c r="W250" s="7">
        <v>38</v>
      </c>
      <c r="X250" s="7">
        <v>98</v>
      </c>
      <c r="Y250" s="7">
        <f>SUM(Table1[[#This Row],[Good Kernels  (g)]:[Husk  (g)]])</f>
        <v>1000</v>
      </c>
      <c r="Z250" s="9">
        <f>IFERROR(Table1[[#This Row],[Good Kernels  (g)]]/Table1[[#This Row],[Sample Qty  (g)]],"")</f>
        <v>0.54200000000000004</v>
      </c>
      <c r="AA250" s="9">
        <f>IFERROR(SUM(Table1[[#This Row],[Pieces  (g)]:[Butts (g)]])/Table1[[#This Row],[Sample Qty  (g)]],"")</f>
        <v>6.6000000000000003E-2</v>
      </c>
      <c r="AB250" s="9">
        <f>IFERROR(Table1[[#This Row],[Scorched (g)]]/Table1[[#This Row],[Sample Qty  (g)]],"")</f>
        <v>0.06</v>
      </c>
      <c r="AC250" s="9">
        <f>IFERROR(SUM(Table1[[#This Row],[Spotted  (g)]:[PUK3  (g)]])/Table1[[#This Row],[Sample Qty  (g)]],"")</f>
        <v>7.3999999999999996E-2</v>
      </c>
      <c r="AD250" s="9">
        <f>IFERROR(SUM(R250,Q250)/Table1[[#This Row],[Sample Qty  (g)]],"")</f>
        <v>8.1000000000000003E-2</v>
      </c>
      <c r="AE250" s="9">
        <f>IFERROR(Table1[[#This Row],[Dessert/NW  (g)]]/Table1[[#This Row],[Sample Qty  (g)]],"")</f>
        <v>2.4E-2</v>
      </c>
      <c r="AF250" s="9">
        <f>IFERROR(SUM(Table1[[#This Row],[Oil  (g)]:[Dirty  (g)]])/Table1[[#This Row],[Sample Qty  (g)]],"")</f>
        <v>1.7000000000000001E-2</v>
      </c>
      <c r="AG250" s="9">
        <f>IFERROR(Table1[[#This Row],[Rejection  (g)]]/Table1[[#This Row],[Sample Qty  (g)]],"")</f>
        <v>3.7999999999999999E-2</v>
      </c>
      <c r="AH250" s="9">
        <f>IFERROR(Table1[[#This Row],[Husk  (g)]]/Table1[[#This Row],[Sample Qty  (g)]],"")</f>
        <v>9.8000000000000004E-2</v>
      </c>
    </row>
    <row r="251" spans="2:34" ht="12" x14ac:dyDescent="0.25">
      <c r="B251" s="8">
        <v>46247</v>
      </c>
      <c r="C251" s="7">
        <f>WEEKNUM(Table1[[#This Row],[Date]])</f>
        <v>33</v>
      </c>
      <c r="D251" s="5" t="s">
        <v>107</v>
      </c>
      <c r="E251" s="10" t="s">
        <v>108</v>
      </c>
      <c r="F251" s="7" t="s">
        <v>21</v>
      </c>
      <c r="G251" s="7" t="s">
        <v>111</v>
      </c>
      <c r="H251" s="7">
        <v>1000</v>
      </c>
      <c r="I251" s="7">
        <v>262</v>
      </c>
      <c r="J251" s="7">
        <v>3.4</v>
      </c>
      <c r="K251" s="7">
        <v>528</v>
      </c>
      <c r="L251" s="7">
        <v>34</v>
      </c>
      <c r="M251" s="7">
        <v>20</v>
      </c>
      <c r="N251" s="7">
        <v>66</v>
      </c>
      <c r="O251" s="7">
        <v>70</v>
      </c>
      <c r="P251" s="7">
        <v>0</v>
      </c>
      <c r="Q251" s="7">
        <v>64</v>
      </c>
      <c r="R251" s="7">
        <v>16</v>
      </c>
      <c r="S251" s="7">
        <v>20</v>
      </c>
      <c r="T251" s="7">
        <v>36</v>
      </c>
      <c r="U251" s="7">
        <v>0</v>
      </c>
      <c r="V251" s="7">
        <v>0</v>
      </c>
      <c r="W251" s="7">
        <v>48</v>
      </c>
      <c r="X251" s="7">
        <v>98</v>
      </c>
      <c r="Y251" s="7">
        <f>SUM(Table1[[#This Row],[Good Kernels  (g)]:[Husk  (g)]])</f>
        <v>1000</v>
      </c>
      <c r="Z251" s="9">
        <f>IFERROR(Table1[[#This Row],[Good Kernels  (g)]]/Table1[[#This Row],[Sample Qty  (g)]],"")</f>
        <v>0.52800000000000002</v>
      </c>
      <c r="AA251" s="9">
        <f>IFERROR(SUM(Table1[[#This Row],[Pieces  (g)]:[Butts (g)]])/Table1[[#This Row],[Sample Qty  (g)]],"")</f>
        <v>5.3999999999999999E-2</v>
      </c>
      <c r="AB251" s="9">
        <f>IFERROR(Table1[[#This Row],[Scorched (g)]]/Table1[[#This Row],[Sample Qty  (g)]],"")</f>
        <v>6.6000000000000003E-2</v>
      </c>
      <c r="AC251" s="9">
        <f>IFERROR(SUM(Table1[[#This Row],[Spotted  (g)]:[PUK3  (g)]])/Table1[[#This Row],[Sample Qty  (g)]],"")</f>
        <v>7.0000000000000007E-2</v>
      </c>
      <c r="AD251" s="9">
        <f>IFERROR(SUM(R251,Q251)/Table1[[#This Row],[Sample Qty  (g)]],"")</f>
        <v>0.08</v>
      </c>
      <c r="AE251" s="9">
        <f>IFERROR(Table1[[#This Row],[Dessert/NW  (g)]]/Table1[[#This Row],[Sample Qty  (g)]],"")</f>
        <v>0.02</v>
      </c>
      <c r="AF251" s="9">
        <f>IFERROR(SUM(Table1[[#This Row],[Oil  (g)]:[Dirty  (g)]])/Table1[[#This Row],[Sample Qty  (g)]],"")</f>
        <v>3.5999999999999997E-2</v>
      </c>
      <c r="AG251" s="9">
        <f>IFERROR(Table1[[#This Row],[Rejection  (g)]]/Table1[[#This Row],[Sample Qty  (g)]],"")</f>
        <v>4.8000000000000001E-2</v>
      </c>
      <c r="AH251" s="9">
        <f>IFERROR(Table1[[#This Row],[Husk  (g)]]/Table1[[#This Row],[Sample Qty  (g)]],"")</f>
        <v>9.8000000000000004E-2</v>
      </c>
    </row>
    <row r="252" spans="2:34" ht="12" x14ac:dyDescent="0.25">
      <c r="B252" s="8">
        <v>46247</v>
      </c>
      <c r="C252" s="7">
        <f>WEEKNUM(Table1[[#This Row],[Date]])</f>
        <v>33</v>
      </c>
      <c r="D252" s="5" t="s">
        <v>107</v>
      </c>
      <c r="E252" s="10" t="s">
        <v>108</v>
      </c>
      <c r="F252" s="7" t="s">
        <v>21</v>
      </c>
      <c r="G252" s="7" t="s">
        <v>111</v>
      </c>
      <c r="H252" s="7">
        <v>1000</v>
      </c>
      <c r="I252" s="7">
        <v>278</v>
      </c>
      <c r="J252" s="7">
        <v>3.4</v>
      </c>
      <c r="K252" s="7">
        <v>602</v>
      </c>
      <c r="L252" s="7">
        <v>28</v>
      </c>
      <c r="M252" s="7">
        <v>27</v>
      </c>
      <c r="N252" s="7">
        <v>43</v>
      </c>
      <c r="O252" s="7">
        <v>69</v>
      </c>
      <c r="P252" s="7">
        <v>0</v>
      </c>
      <c r="Q252" s="7">
        <v>47</v>
      </c>
      <c r="R252" s="7">
        <v>15</v>
      </c>
      <c r="S252" s="7">
        <v>29</v>
      </c>
      <c r="T252" s="7">
        <v>7</v>
      </c>
      <c r="U252" s="7">
        <v>0</v>
      </c>
      <c r="V252" s="7">
        <v>0</v>
      </c>
      <c r="W252" s="7">
        <v>34</v>
      </c>
      <c r="X252" s="7">
        <v>99</v>
      </c>
      <c r="Y252" s="7">
        <f>SUM(Table1[[#This Row],[Good Kernels  (g)]:[Husk  (g)]])</f>
        <v>1000</v>
      </c>
      <c r="Z252" s="9">
        <f>IFERROR(Table1[[#This Row],[Good Kernels  (g)]]/Table1[[#This Row],[Sample Qty  (g)]],"")</f>
        <v>0.60199999999999998</v>
      </c>
      <c r="AA252" s="9">
        <f>IFERROR(SUM(Table1[[#This Row],[Pieces  (g)]:[Butts (g)]])/Table1[[#This Row],[Sample Qty  (g)]],"")</f>
        <v>5.5E-2</v>
      </c>
      <c r="AB252" s="9">
        <f>IFERROR(Table1[[#This Row],[Scorched (g)]]/Table1[[#This Row],[Sample Qty  (g)]],"")</f>
        <v>4.2999999999999997E-2</v>
      </c>
      <c r="AC252" s="9">
        <f>IFERROR(SUM(Table1[[#This Row],[Spotted  (g)]:[PUK3  (g)]])/Table1[[#This Row],[Sample Qty  (g)]],"")</f>
        <v>6.9000000000000006E-2</v>
      </c>
      <c r="AD252" s="9">
        <f>IFERROR(SUM(R252,Q252)/Table1[[#This Row],[Sample Qty  (g)]],"")</f>
        <v>6.2E-2</v>
      </c>
      <c r="AE252" s="9">
        <f>IFERROR(Table1[[#This Row],[Dessert/NW  (g)]]/Table1[[#This Row],[Sample Qty  (g)]],"")</f>
        <v>2.9000000000000001E-2</v>
      </c>
      <c r="AF252" s="9">
        <f>IFERROR(SUM(Table1[[#This Row],[Oil  (g)]:[Dirty  (g)]])/Table1[[#This Row],[Sample Qty  (g)]],"")</f>
        <v>7.0000000000000001E-3</v>
      </c>
      <c r="AG252" s="9">
        <f>IFERROR(Table1[[#This Row],[Rejection  (g)]]/Table1[[#This Row],[Sample Qty  (g)]],"")</f>
        <v>3.4000000000000002E-2</v>
      </c>
      <c r="AH252" s="9">
        <f>IFERROR(Table1[[#This Row],[Husk  (g)]]/Table1[[#This Row],[Sample Qty  (g)]],"")</f>
        <v>9.9000000000000005E-2</v>
      </c>
    </row>
    <row r="253" spans="2:34" ht="12" x14ac:dyDescent="0.25">
      <c r="B253" s="8">
        <v>46248</v>
      </c>
      <c r="C253" s="7">
        <f>WEEKNUM(Table1[[#This Row],[Date]])</f>
        <v>33</v>
      </c>
      <c r="D253" s="5" t="s">
        <v>112</v>
      </c>
      <c r="E253" s="10" t="s">
        <v>108</v>
      </c>
      <c r="F253" s="7" t="s">
        <v>21</v>
      </c>
      <c r="G253" s="7" t="s">
        <v>110</v>
      </c>
      <c r="H253" s="7">
        <v>1000</v>
      </c>
      <c r="I253" s="7">
        <v>264</v>
      </c>
      <c r="J253" s="7">
        <v>3</v>
      </c>
      <c r="K253" s="7">
        <v>410</v>
      </c>
      <c r="L253" s="7">
        <v>36</v>
      </c>
      <c r="M253" s="7">
        <v>36</v>
      </c>
      <c r="N253" s="7">
        <v>72</v>
      </c>
      <c r="O253" s="7">
        <v>112</v>
      </c>
      <c r="P253" s="7">
        <v>0</v>
      </c>
      <c r="Q253" s="7">
        <v>20</v>
      </c>
      <c r="R253" s="7">
        <v>48</v>
      </c>
      <c r="S253" s="7">
        <v>76</v>
      </c>
      <c r="T253" s="7">
        <v>18</v>
      </c>
      <c r="U253" s="7">
        <v>0</v>
      </c>
      <c r="V253" s="7">
        <v>24</v>
      </c>
      <c r="W253" s="7">
        <v>48</v>
      </c>
      <c r="X253" s="7">
        <v>100</v>
      </c>
      <c r="Y253" s="7">
        <f>SUM(Table1[[#This Row],[Good Kernels  (g)]:[Husk  (g)]])</f>
        <v>1000</v>
      </c>
      <c r="Z253" s="9">
        <f>IFERROR(Table1[[#This Row],[Good Kernels  (g)]]/Table1[[#This Row],[Sample Qty  (g)]],"")</f>
        <v>0.41</v>
      </c>
      <c r="AA253" s="9">
        <f>IFERROR(SUM(Table1[[#This Row],[Pieces  (g)]:[Butts (g)]])/Table1[[#This Row],[Sample Qty  (g)]],"")</f>
        <v>7.1999999999999995E-2</v>
      </c>
      <c r="AB253" s="9">
        <f>IFERROR(Table1[[#This Row],[Scorched (g)]]/Table1[[#This Row],[Sample Qty  (g)]],"")</f>
        <v>7.1999999999999995E-2</v>
      </c>
      <c r="AC253" s="9">
        <f>IFERROR(SUM(Table1[[#This Row],[Spotted  (g)]:[PUK3  (g)]])/Table1[[#This Row],[Sample Qty  (g)]],"")</f>
        <v>0.112</v>
      </c>
      <c r="AD253" s="9">
        <f>IFERROR(SUM(R253,Q253)/Table1[[#This Row],[Sample Qty  (g)]],"")</f>
        <v>6.8000000000000005E-2</v>
      </c>
      <c r="AE253" s="9">
        <f>IFERROR(Table1[[#This Row],[Dessert/NW  (g)]]/Table1[[#This Row],[Sample Qty  (g)]],"")</f>
        <v>7.5999999999999998E-2</v>
      </c>
      <c r="AF253" s="9">
        <f>IFERROR(SUM(Table1[[#This Row],[Oil  (g)]:[Dirty  (g)]])/Table1[[#This Row],[Sample Qty  (g)]],"")</f>
        <v>1.7999999999999999E-2</v>
      </c>
      <c r="AG253" s="9">
        <f>IFERROR(Table1[[#This Row],[Rejection  (g)]]/Table1[[#This Row],[Sample Qty  (g)]],"")</f>
        <v>4.8000000000000001E-2</v>
      </c>
      <c r="AH253" s="9">
        <f>IFERROR(Table1[[#This Row],[Husk  (g)]]/Table1[[#This Row],[Sample Qty  (g)]],"")</f>
        <v>0.1</v>
      </c>
    </row>
    <row r="254" spans="2:34" ht="12" x14ac:dyDescent="0.25">
      <c r="B254" s="8">
        <v>46248</v>
      </c>
      <c r="C254" s="7">
        <f>WEEKNUM(Table1[[#This Row],[Date]])</f>
        <v>33</v>
      </c>
      <c r="D254" s="5" t="s">
        <v>112</v>
      </c>
      <c r="E254" s="10" t="s">
        <v>108</v>
      </c>
      <c r="F254" s="7" t="s">
        <v>21</v>
      </c>
      <c r="G254" s="7" t="s">
        <v>110</v>
      </c>
      <c r="H254" s="7">
        <v>1000</v>
      </c>
      <c r="I254" s="7">
        <v>284</v>
      </c>
      <c r="J254" s="7">
        <v>3</v>
      </c>
      <c r="K254" s="7">
        <v>482</v>
      </c>
      <c r="L254" s="7">
        <v>60</v>
      </c>
      <c r="M254" s="7">
        <v>52</v>
      </c>
      <c r="N254" s="7">
        <v>88</v>
      </c>
      <c r="O254" s="7">
        <v>68</v>
      </c>
      <c r="P254" s="7">
        <v>0</v>
      </c>
      <c r="Q254" s="7">
        <v>20</v>
      </c>
      <c r="R254" s="7">
        <v>16</v>
      </c>
      <c r="S254" s="7">
        <v>40</v>
      </c>
      <c r="T254" s="7">
        <v>28</v>
      </c>
      <c r="U254" s="7">
        <v>0</v>
      </c>
      <c r="V254" s="7">
        <v>16</v>
      </c>
      <c r="W254" s="7">
        <v>32</v>
      </c>
      <c r="X254" s="7">
        <v>98</v>
      </c>
      <c r="Y254" s="7">
        <f>SUM(Table1[[#This Row],[Good Kernels  (g)]:[Husk  (g)]])</f>
        <v>1000</v>
      </c>
      <c r="Z254" s="9">
        <f>IFERROR(Table1[[#This Row],[Good Kernels  (g)]]/Table1[[#This Row],[Sample Qty  (g)]],"")</f>
        <v>0.48199999999999998</v>
      </c>
      <c r="AA254" s="9">
        <f>IFERROR(SUM(Table1[[#This Row],[Pieces  (g)]:[Butts (g)]])/Table1[[#This Row],[Sample Qty  (g)]],"")</f>
        <v>0.112</v>
      </c>
      <c r="AB254" s="9">
        <f>IFERROR(Table1[[#This Row],[Scorched (g)]]/Table1[[#This Row],[Sample Qty  (g)]],"")</f>
        <v>8.7999999999999995E-2</v>
      </c>
      <c r="AC254" s="9">
        <f>IFERROR(SUM(Table1[[#This Row],[Spotted  (g)]:[PUK3  (g)]])/Table1[[#This Row],[Sample Qty  (g)]],"")</f>
        <v>6.8000000000000005E-2</v>
      </c>
      <c r="AD254" s="9">
        <f>IFERROR(SUM(R254,Q254)/Table1[[#This Row],[Sample Qty  (g)]],"")</f>
        <v>3.5999999999999997E-2</v>
      </c>
      <c r="AE254" s="9">
        <f>IFERROR(Table1[[#This Row],[Dessert/NW  (g)]]/Table1[[#This Row],[Sample Qty  (g)]],"")</f>
        <v>0.04</v>
      </c>
      <c r="AF254" s="9">
        <f>IFERROR(SUM(Table1[[#This Row],[Oil  (g)]:[Dirty  (g)]])/Table1[[#This Row],[Sample Qty  (g)]],"")</f>
        <v>2.8000000000000001E-2</v>
      </c>
      <c r="AG254" s="9">
        <f>IFERROR(Table1[[#This Row],[Rejection  (g)]]/Table1[[#This Row],[Sample Qty  (g)]],"")</f>
        <v>3.2000000000000001E-2</v>
      </c>
      <c r="AH254" s="9">
        <f>IFERROR(Table1[[#This Row],[Husk  (g)]]/Table1[[#This Row],[Sample Qty  (g)]],"")</f>
        <v>9.8000000000000004E-2</v>
      </c>
    </row>
    <row r="255" spans="2:34" ht="12" x14ac:dyDescent="0.25">
      <c r="B255" s="8">
        <v>46248</v>
      </c>
      <c r="C255" s="7">
        <f>WEEKNUM(Table1[[#This Row],[Date]])</f>
        <v>33</v>
      </c>
      <c r="D255" s="5" t="s">
        <v>112</v>
      </c>
      <c r="E255" s="10" t="s">
        <v>108</v>
      </c>
      <c r="F255" s="7" t="s">
        <v>21</v>
      </c>
      <c r="G255" s="7" t="s">
        <v>110</v>
      </c>
      <c r="H255" s="7">
        <v>1000</v>
      </c>
      <c r="I255" s="7">
        <v>254</v>
      </c>
      <c r="J255" s="7">
        <v>3.1</v>
      </c>
      <c r="K255" s="7">
        <v>490</v>
      </c>
      <c r="L255" s="7">
        <v>40</v>
      </c>
      <c r="M255" s="7">
        <v>38</v>
      </c>
      <c r="N255" s="7">
        <v>69</v>
      </c>
      <c r="O255" s="7">
        <v>100</v>
      </c>
      <c r="P255" s="7">
        <v>0</v>
      </c>
      <c r="Q255" s="7">
        <v>21</v>
      </c>
      <c r="R255" s="7">
        <v>33</v>
      </c>
      <c r="S255" s="7">
        <v>52</v>
      </c>
      <c r="T255" s="7">
        <v>13</v>
      </c>
      <c r="U255" s="7">
        <v>0</v>
      </c>
      <c r="V255" s="7">
        <v>20</v>
      </c>
      <c r="W255" s="7">
        <v>24</v>
      </c>
      <c r="X255" s="7">
        <v>100</v>
      </c>
      <c r="Y255" s="7">
        <f>SUM(Table1[[#This Row],[Good Kernels  (g)]:[Husk  (g)]])</f>
        <v>1000</v>
      </c>
      <c r="Z255" s="9">
        <f>IFERROR(Table1[[#This Row],[Good Kernels  (g)]]/Table1[[#This Row],[Sample Qty  (g)]],"")</f>
        <v>0.49</v>
      </c>
      <c r="AA255" s="9">
        <f>IFERROR(SUM(Table1[[#This Row],[Pieces  (g)]:[Butts (g)]])/Table1[[#This Row],[Sample Qty  (g)]],"")</f>
        <v>7.8E-2</v>
      </c>
      <c r="AB255" s="9">
        <f>IFERROR(Table1[[#This Row],[Scorched (g)]]/Table1[[#This Row],[Sample Qty  (g)]],"")</f>
        <v>6.9000000000000006E-2</v>
      </c>
      <c r="AC255" s="9">
        <f>IFERROR(SUM(Table1[[#This Row],[Spotted  (g)]:[PUK3  (g)]])/Table1[[#This Row],[Sample Qty  (g)]],"")</f>
        <v>0.1</v>
      </c>
      <c r="AD255" s="9">
        <f>IFERROR(SUM(R255,Q255)/Table1[[#This Row],[Sample Qty  (g)]],"")</f>
        <v>5.3999999999999999E-2</v>
      </c>
      <c r="AE255" s="9">
        <f>IFERROR(Table1[[#This Row],[Dessert/NW  (g)]]/Table1[[#This Row],[Sample Qty  (g)]],"")</f>
        <v>5.1999999999999998E-2</v>
      </c>
      <c r="AF255" s="9">
        <f>IFERROR(SUM(Table1[[#This Row],[Oil  (g)]:[Dirty  (g)]])/Table1[[#This Row],[Sample Qty  (g)]],"")</f>
        <v>1.2999999999999999E-2</v>
      </c>
      <c r="AG255" s="9">
        <f>IFERROR(Table1[[#This Row],[Rejection  (g)]]/Table1[[#This Row],[Sample Qty  (g)]],"")</f>
        <v>2.4E-2</v>
      </c>
      <c r="AH255" s="9">
        <f>IFERROR(Table1[[#This Row],[Husk  (g)]]/Table1[[#This Row],[Sample Qty  (g)]],"")</f>
        <v>0.1</v>
      </c>
    </row>
    <row r="256" spans="2:34" ht="12" x14ac:dyDescent="0.25">
      <c r="B256" s="8">
        <v>46251</v>
      </c>
      <c r="C256" s="7">
        <f>WEEKNUM(Table1[[#This Row],[Date]])</f>
        <v>34</v>
      </c>
      <c r="D256" s="5" t="s">
        <v>113</v>
      </c>
      <c r="E256" s="10" t="s">
        <v>108</v>
      </c>
      <c r="F256" s="7" t="s">
        <v>21</v>
      </c>
      <c r="G256" s="7" t="s">
        <v>110</v>
      </c>
      <c r="H256" s="7">
        <v>1000</v>
      </c>
      <c r="I256" s="7">
        <v>286</v>
      </c>
      <c r="J256" s="7">
        <v>3.8</v>
      </c>
      <c r="K256" s="7">
        <v>613</v>
      </c>
      <c r="L256" s="7">
        <v>20</v>
      </c>
      <c r="M256" s="7">
        <v>27</v>
      </c>
      <c r="N256" s="7">
        <v>61</v>
      </c>
      <c r="O256" s="7">
        <v>60</v>
      </c>
      <c r="P256" s="7">
        <v>0</v>
      </c>
      <c r="Q256" s="7">
        <v>32</v>
      </c>
      <c r="R256" s="7">
        <v>15</v>
      </c>
      <c r="S256" s="7">
        <v>39</v>
      </c>
      <c r="T256" s="7">
        <v>23</v>
      </c>
      <c r="U256" s="7">
        <v>0</v>
      </c>
      <c r="V256" s="7">
        <v>0</v>
      </c>
      <c r="W256" s="7">
        <v>26</v>
      </c>
      <c r="X256" s="7">
        <v>84</v>
      </c>
      <c r="Y256" s="7">
        <f>SUM(Table1[[#This Row],[Good Kernels  (g)]:[Husk  (g)]])</f>
        <v>1000</v>
      </c>
      <c r="Z256" s="9">
        <f>IFERROR(Table1[[#This Row],[Good Kernels  (g)]]/Table1[[#This Row],[Sample Qty  (g)]],"")</f>
        <v>0.61299999999999999</v>
      </c>
      <c r="AA256" s="9">
        <f>IFERROR(SUM(Table1[[#This Row],[Pieces  (g)]:[Butts (g)]])/Table1[[#This Row],[Sample Qty  (g)]],"")</f>
        <v>4.7E-2</v>
      </c>
      <c r="AB256" s="9">
        <f>IFERROR(Table1[[#This Row],[Scorched (g)]]/Table1[[#This Row],[Sample Qty  (g)]],"")</f>
        <v>6.0999999999999999E-2</v>
      </c>
      <c r="AC256" s="9">
        <f>IFERROR(SUM(Table1[[#This Row],[Spotted  (g)]:[PUK3  (g)]])/Table1[[#This Row],[Sample Qty  (g)]],"")</f>
        <v>0.06</v>
      </c>
      <c r="AD256" s="9">
        <f>IFERROR(SUM(R256,Q256)/Table1[[#This Row],[Sample Qty  (g)]],"")</f>
        <v>4.7E-2</v>
      </c>
      <c r="AE256" s="9">
        <f>IFERROR(Table1[[#This Row],[Dessert/NW  (g)]]/Table1[[#This Row],[Sample Qty  (g)]],"")</f>
        <v>3.9E-2</v>
      </c>
      <c r="AF256" s="9">
        <f>IFERROR(SUM(Table1[[#This Row],[Oil  (g)]:[Dirty  (g)]])/Table1[[#This Row],[Sample Qty  (g)]],"")</f>
        <v>2.3E-2</v>
      </c>
      <c r="AG256" s="9">
        <f>IFERROR(Table1[[#This Row],[Rejection  (g)]]/Table1[[#This Row],[Sample Qty  (g)]],"")</f>
        <v>2.5999999999999999E-2</v>
      </c>
      <c r="AH256" s="9">
        <f>IFERROR(Table1[[#This Row],[Husk  (g)]]/Table1[[#This Row],[Sample Qty  (g)]],"")</f>
        <v>8.4000000000000005E-2</v>
      </c>
    </row>
    <row r="257" spans="2:34" ht="12" x14ac:dyDescent="0.25">
      <c r="B257" s="8">
        <v>46251</v>
      </c>
      <c r="C257" s="7">
        <f>WEEKNUM(Table1[[#This Row],[Date]])</f>
        <v>34</v>
      </c>
      <c r="D257" s="5" t="s">
        <v>113</v>
      </c>
      <c r="E257" s="10" t="s">
        <v>108</v>
      </c>
      <c r="F257" s="7" t="s">
        <v>21</v>
      </c>
      <c r="G257" s="7" t="s">
        <v>110</v>
      </c>
      <c r="H257" s="7">
        <v>1000</v>
      </c>
      <c r="I257" s="7">
        <v>296</v>
      </c>
      <c r="J257" s="7">
        <v>3.6</v>
      </c>
      <c r="K257" s="7">
        <v>570</v>
      </c>
      <c r="L257" s="7">
        <v>22</v>
      </c>
      <c r="M257" s="7">
        <v>18</v>
      </c>
      <c r="N257" s="7">
        <v>54</v>
      </c>
      <c r="O257" s="7">
        <v>77</v>
      </c>
      <c r="P257" s="7">
        <v>0</v>
      </c>
      <c r="Q257" s="7">
        <v>41</v>
      </c>
      <c r="R257" s="7">
        <v>19</v>
      </c>
      <c r="S257" s="7">
        <v>36</v>
      </c>
      <c r="T257" s="7">
        <v>23</v>
      </c>
      <c r="U257" s="7">
        <v>0</v>
      </c>
      <c r="V257" s="7">
        <v>0</v>
      </c>
      <c r="W257" s="7">
        <v>35</v>
      </c>
      <c r="X257" s="7">
        <v>105</v>
      </c>
      <c r="Y257" s="7">
        <f>SUM(Table1[[#This Row],[Good Kernels  (g)]:[Husk  (g)]])</f>
        <v>1000</v>
      </c>
      <c r="Z257" s="9">
        <f>IFERROR(Table1[[#This Row],[Good Kernels  (g)]]/Table1[[#This Row],[Sample Qty  (g)]],"")</f>
        <v>0.56999999999999995</v>
      </c>
      <c r="AA257" s="9">
        <f>IFERROR(SUM(Table1[[#This Row],[Pieces  (g)]:[Butts (g)]])/Table1[[#This Row],[Sample Qty  (g)]],"")</f>
        <v>0.04</v>
      </c>
      <c r="AB257" s="9">
        <f>IFERROR(Table1[[#This Row],[Scorched (g)]]/Table1[[#This Row],[Sample Qty  (g)]],"")</f>
        <v>5.3999999999999999E-2</v>
      </c>
      <c r="AC257" s="9">
        <f>IFERROR(SUM(Table1[[#This Row],[Spotted  (g)]:[PUK3  (g)]])/Table1[[#This Row],[Sample Qty  (g)]],"")</f>
        <v>7.6999999999999999E-2</v>
      </c>
      <c r="AD257" s="9">
        <f>IFERROR(SUM(R257,Q257)/Table1[[#This Row],[Sample Qty  (g)]],"")</f>
        <v>0.06</v>
      </c>
      <c r="AE257" s="9">
        <f>IFERROR(Table1[[#This Row],[Dessert/NW  (g)]]/Table1[[#This Row],[Sample Qty  (g)]],"")</f>
        <v>3.5999999999999997E-2</v>
      </c>
      <c r="AF257" s="9">
        <f>IFERROR(SUM(Table1[[#This Row],[Oil  (g)]:[Dirty  (g)]])/Table1[[#This Row],[Sample Qty  (g)]],"")</f>
        <v>2.3E-2</v>
      </c>
      <c r="AG257" s="9">
        <f>IFERROR(Table1[[#This Row],[Rejection  (g)]]/Table1[[#This Row],[Sample Qty  (g)]],"")</f>
        <v>3.5000000000000003E-2</v>
      </c>
      <c r="AH257" s="9">
        <f>IFERROR(Table1[[#This Row],[Husk  (g)]]/Table1[[#This Row],[Sample Qty  (g)]],"")</f>
        <v>0.105</v>
      </c>
    </row>
    <row r="258" spans="2:34" ht="12" x14ac:dyDescent="0.25">
      <c r="B258" s="8">
        <v>46251</v>
      </c>
      <c r="C258" s="7">
        <f>WEEKNUM(Table1[[#This Row],[Date]])</f>
        <v>34</v>
      </c>
      <c r="D258" s="5" t="s">
        <v>113</v>
      </c>
      <c r="E258" s="10" t="s">
        <v>108</v>
      </c>
      <c r="F258" s="7" t="s">
        <v>21</v>
      </c>
      <c r="G258" s="7" t="s">
        <v>110</v>
      </c>
      <c r="H258" s="7">
        <v>1000</v>
      </c>
      <c r="I258" s="7">
        <v>290</v>
      </c>
      <c r="J258" s="7">
        <v>3.8</v>
      </c>
      <c r="K258" s="7">
        <v>526</v>
      </c>
      <c r="L258" s="7">
        <v>54</v>
      </c>
      <c r="M258" s="7">
        <v>22</v>
      </c>
      <c r="N258" s="7">
        <v>56</v>
      </c>
      <c r="O258" s="7">
        <v>60</v>
      </c>
      <c r="P258" s="7">
        <v>0</v>
      </c>
      <c r="Q258" s="7">
        <v>34</v>
      </c>
      <c r="R258" s="7">
        <v>16</v>
      </c>
      <c r="S258" s="7">
        <v>34</v>
      </c>
      <c r="T258" s="7">
        <v>48</v>
      </c>
      <c r="U258" s="7">
        <v>0</v>
      </c>
      <c r="V258" s="7">
        <v>0</v>
      </c>
      <c r="W258" s="7">
        <v>48</v>
      </c>
      <c r="X258" s="7">
        <v>102</v>
      </c>
      <c r="Y258" s="7">
        <f>SUM(Table1[[#This Row],[Good Kernels  (g)]:[Husk  (g)]])</f>
        <v>1000</v>
      </c>
      <c r="Z258" s="9">
        <f>IFERROR(Table1[[#This Row],[Good Kernels  (g)]]/Table1[[#This Row],[Sample Qty  (g)]],"")</f>
        <v>0.52600000000000002</v>
      </c>
      <c r="AA258" s="9">
        <f>IFERROR(SUM(Table1[[#This Row],[Pieces  (g)]:[Butts (g)]])/Table1[[#This Row],[Sample Qty  (g)]],"")</f>
        <v>7.5999999999999998E-2</v>
      </c>
      <c r="AB258" s="9">
        <f>IFERROR(Table1[[#This Row],[Scorched (g)]]/Table1[[#This Row],[Sample Qty  (g)]],"")</f>
        <v>5.6000000000000001E-2</v>
      </c>
      <c r="AC258" s="9">
        <f>IFERROR(SUM(Table1[[#This Row],[Spotted  (g)]:[PUK3  (g)]])/Table1[[#This Row],[Sample Qty  (g)]],"")</f>
        <v>0.06</v>
      </c>
      <c r="AD258" s="9">
        <f>IFERROR(SUM(R258,Q258)/Table1[[#This Row],[Sample Qty  (g)]],"")</f>
        <v>0.05</v>
      </c>
      <c r="AE258" s="9">
        <f>IFERROR(Table1[[#This Row],[Dessert/NW  (g)]]/Table1[[#This Row],[Sample Qty  (g)]],"")</f>
        <v>3.4000000000000002E-2</v>
      </c>
      <c r="AF258" s="9">
        <f>IFERROR(SUM(Table1[[#This Row],[Oil  (g)]:[Dirty  (g)]])/Table1[[#This Row],[Sample Qty  (g)]],"")</f>
        <v>4.8000000000000001E-2</v>
      </c>
      <c r="AG258" s="9">
        <f>IFERROR(Table1[[#This Row],[Rejection  (g)]]/Table1[[#This Row],[Sample Qty  (g)]],"")</f>
        <v>4.8000000000000001E-2</v>
      </c>
      <c r="AH258" s="9">
        <f>IFERROR(Table1[[#This Row],[Husk  (g)]]/Table1[[#This Row],[Sample Qty  (g)]],"")</f>
        <v>0.10199999999999999</v>
      </c>
    </row>
    <row r="259" spans="2:34" ht="12" x14ac:dyDescent="0.25">
      <c r="B259" s="8">
        <v>46252</v>
      </c>
      <c r="C259" s="7">
        <f>WEEKNUM(Table1[[#This Row],[Date]])</f>
        <v>34</v>
      </c>
      <c r="D259" s="5" t="s">
        <v>114</v>
      </c>
      <c r="E259" s="10" t="s">
        <v>108</v>
      </c>
      <c r="F259" s="7" t="s">
        <v>21</v>
      </c>
      <c r="G259" s="7" t="s">
        <v>110</v>
      </c>
      <c r="H259" s="7">
        <v>1000</v>
      </c>
      <c r="I259" s="7">
        <v>272</v>
      </c>
      <c r="J259" s="7">
        <v>3.6</v>
      </c>
      <c r="K259" s="7">
        <v>530</v>
      </c>
      <c r="L259" s="7">
        <v>16</v>
      </c>
      <c r="M259" s="7">
        <v>16</v>
      </c>
      <c r="N259" s="7">
        <v>66</v>
      </c>
      <c r="O259" s="7">
        <v>74</v>
      </c>
      <c r="P259" s="7">
        <v>0</v>
      </c>
      <c r="Q259" s="7">
        <v>64</v>
      </c>
      <c r="R259" s="7">
        <v>30</v>
      </c>
      <c r="S259" s="7">
        <v>56</v>
      </c>
      <c r="T259" s="7">
        <v>24</v>
      </c>
      <c r="U259" s="7">
        <v>0</v>
      </c>
      <c r="V259" s="7">
        <v>0</v>
      </c>
      <c r="W259" s="7">
        <v>34</v>
      </c>
      <c r="X259" s="7">
        <v>90</v>
      </c>
      <c r="Y259" s="7">
        <f>SUM(Table1[[#This Row],[Good Kernels  (g)]:[Husk  (g)]])</f>
        <v>1000</v>
      </c>
      <c r="Z259" s="9">
        <f>IFERROR(Table1[[#This Row],[Good Kernels  (g)]]/Table1[[#This Row],[Sample Qty  (g)]],"")</f>
        <v>0.53</v>
      </c>
      <c r="AA259" s="9">
        <f>IFERROR(SUM(Table1[[#This Row],[Pieces  (g)]:[Butts (g)]])/Table1[[#This Row],[Sample Qty  (g)]],"")</f>
        <v>3.2000000000000001E-2</v>
      </c>
      <c r="AB259" s="9">
        <f>IFERROR(Table1[[#This Row],[Scorched (g)]]/Table1[[#This Row],[Sample Qty  (g)]],"")</f>
        <v>6.6000000000000003E-2</v>
      </c>
      <c r="AC259" s="9">
        <f>IFERROR(SUM(Table1[[#This Row],[Spotted  (g)]:[PUK3  (g)]])/Table1[[#This Row],[Sample Qty  (g)]],"")</f>
        <v>7.3999999999999996E-2</v>
      </c>
      <c r="AD259" s="9">
        <f>IFERROR(SUM(R259,Q259)/Table1[[#This Row],[Sample Qty  (g)]],"")</f>
        <v>9.4E-2</v>
      </c>
      <c r="AE259" s="9">
        <f>IFERROR(Table1[[#This Row],[Dessert/NW  (g)]]/Table1[[#This Row],[Sample Qty  (g)]],"")</f>
        <v>5.6000000000000001E-2</v>
      </c>
      <c r="AF259" s="9">
        <f>IFERROR(SUM(Table1[[#This Row],[Oil  (g)]:[Dirty  (g)]])/Table1[[#This Row],[Sample Qty  (g)]],"")</f>
        <v>2.4E-2</v>
      </c>
      <c r="AG259" s="9">
        <f>IFERROR(Table1[[#This Row],[Rejection  (g)]]/Table1[[#This Row],[Sample Qty  (g)]],"")</f>
        <v>3.4000000000000002E-2</v>
      </c>
      <c r="AH259" s="9">
        <f>IFERROR(Table1[[#This Row],[Husk  (g)]]/Table1[[#This Row],[Sample Qty  (g)]],"")</f>
        <v>0.09</v>
      </c>
    </row>
    <row r="260" spans="2:34" ht="12" x14ac:dyDescent="0.25">
      <c r="B260" s="8">
        <v>46252</v>
      </c>
      <c r="C260" s="7">
        <f>WEEKNUM(Table1[[#This Row],[Date]])</f>
        <v>34</v>
      </c>
      <c r="D260" s="5" t="s">
        <v>114</v>
      </c>
      <c r="E260" s="10" t="s">
        <v>108</v>
      </c>
      <c r="F260" s="7" t="s">
        <v>21</v>
      </c>
      <c r="G260" s="7" t="s">
        <v>110</v>
      </c>
      <c r="H260" s="7">
        <v>1000</v>
      </c>
      <c r="I260" s="7">
        <v>280</v>
      </c>
      <c r="J260" s="7">
        <v>3.9</v>
      </c>
      <c r="K260" s="7">
        <v>490</v>
      </c>
      <c r="L260" s="7">
        <v>64</v>
      </c>
      <c r="M260" s="7">
        <v>44</v>
      </c>
      <c r="N260" s="7">
        <v>54</v>
      </c>
      <c r="O260" s="7">
        <v>68</v>
      </c>
      <c r="P260" s="7">
        <v>0</v>
      </c>
      <c r="Q260" s="7">
        <v>40</v>
      </c>
      <c r="R260" s="7">
        <v>16</v>
      </c>
      <c r="S260" s="7">
        <v>42</v>
      </c>
      <c r="T260" s="7">
        <v>62</v>
      </c>
      <c r="U260" s="7">
        <v>0</v>
      </c>
      <c r="V260" s="7">
        <v>0</v>
      </c>
      <c r="W260" s="7">
        <v>36</v>
      </c>
      <c r="X260" s="7">
        <v>84</v>
      </c>
      <c r="Y260" s="7">
        <f>SUM(Table1[[#This Row],[Good Kernels  (g)]:[Husk  (g)]])</f>
        <v>1000</v>
      </c>
      <c r="Z260" s="9">
        <f>IFERROR(Table1[[#This Row],[Good Kernels  (g)]]/Table1[[#This Row],[Sample Qty  (g)]],"")</f>
        <v>0.49</v>
      </c>
      <c r="AA260" s="9">
        <f>IFERROR(SUM(Table1[[#This Row],[Pieces  (g)]:[Butts (g)]])/Table1[[#This Row],[Sample Qty  (g)]],"")</f>
        <v>0.108</v>
      </c>
      <c r="AB260" s="9">
        <f>IFERROR(Table1[[#This Row],[Scorched (g)]]/Table1[[#This Row],[Sample Qty  (g)]],"")</f>
        <v>5.3999999999999999E-2</v>
      </c>
      <c r="AC260" s="9">
        <f>IFERROR(SUM(Table1[[#This Row],[Spotted  (g)]:[PUK3  (g)]])/Table1[[#This Row],[Sample Qty  (g)]],"")</f>
        <v>6.8000000000000005E-2</v>
      </c>
      <c r="AD260" s="9">
        <f>IFERROR(SUM(R260,Q260)/Table1[[#This Row],[Sample Qty  (g)]],"")</f>
        <v>5.6000000000000001E-2</v>
      </c>
      <c r="AE260" s="9">
        <f>IFERROR(Table1[[#This Row],[Dessert/NW  (g)]]/Table1[[#This Row],[Sample Qty  (g)]],"")</f>
        <v>4.2000000000000003E-2</v>
      </c>
      <c r="AF260" s="9">
        <f>IFERROR(SUM(Table1[[#This Row],[Oil  (g)]:[Dirty  (g)]])/Table1[[#This Row],[Sample Qty  (g)]],"")</f>
        <v>6.2E-2</v>
      </c>
      <c r="AG260" s="9">
        <f>IFERROR(Table1[[#This Row],[Rejection  (g)]]/Table1[[#This Row],[Sample Qty  (g)]],"")</f>
        <v>3.5999999999999997E-2</v>
      </c>
      <c r="AH260" s="9">
        <f>IFERROR(Table1[[#This Row],[Husk  (g)]]/Table1[[#This Row],[Sample Qty  (g)]],"")</f>
        <v>8.4000000000000005E-2</v>
      </c>
    </row>
    <row r="261" spans="2:34" ht="12" x14ac:dyDescent="0.25">
      <c r="B261" s="8">
        <v>46252</v>
      </c>
      <c r="C261" s="7">
        <f>WEEKNUM(Table1[[#This Row],[Date]])</f>
        <v>34</v>
      </c>
      <c r="D261" s="5" t="s">
        <v>114</v>
      </c>
      <c r="E261" s="10" t="s">
        <v>108</v>
      </c>
      <c r="F261" s="7" t="s">
        <v>21</v>
      </c>
      <c r="G261" s="7" t="s">
        <v>110</v>
      </c>
      <c r="H261" s="7">
        <v>1000</v>
      </c>
      <c r="I261" s="7">
        <v>268</v>
      </c>
      <c r="J261" s="7">
        <v>3.8</v>
      </c>
      <c r="K261" s="7">
        <v>550</v>
      </c>
      <c r="L261" s="7">
        <v>40</v>
      </c>
      <c r="M261" s="7">
        <v>26</v>
      </c>
      <c r="N261" s="7">
        <v>50</v>
      </c>
      <c r="O261" s="7">
        <v>64</v>
      </c>
      <c r="P261" s="7">
        <v>0</v>
      </c>
      <c r="Q261" s="7">
        <v>54</v>
      </c>
      <c r="R261" s="7">
        <v>26</v>
      </c>
      <c r="S261" s="7">
        <v>28</v>
      </c>
      <c r="T261" s="7">
        <v>22</v>
      </c>
      <c r="U261" s="7">
        <v>0</v>
      </c>
      <c r="V261" s="7">
        <v>0</v>
      </c>
      <c r="W261" s="7">
        <v>48</v>
      </c>
      <c r="X261" s="7">
        <v>92</v>
      </c>
      <c r="Y261" s="7">
        <f>SUM(Table1[[#This Row],[Good Kernels  (g)]:[Husk  (g)]])</f>
        <v>1000</v>
      </c>
      <c r="Z261" s="9">
        <f>IFERROR(Table1[[#This Row],[Good Kernels  (g)]]/Table1[[#This Row],[Sample Qty  (g)]],"")</f>
        <v>0.55000000000000004</v>
      </c>
      <c r="AA261" s="9">
        <f>IFERROR(SUM(Table1[[#This Row],[Pieces  (g)]:[Butts (g)]])/Table1[[#This Row],[Sample Qty  (g)]],"")</f>
        <v>6.6000000000000003E-2</v>
      </c>
      <c r="AB261" s="9">
        <f>IFERROR(Table1[[#This Row],[Scorched (g)]]/Table1[[#This Row],[Sample Qty  (g)]],"")</f>
        <v>0.05</v>
      </c>
      <c r="AC261" s="9">
        <f>IFERROR(SUM(Table1[[#This Row],[Spotted  (g)]:[PUK3  (g)]])/Table1[[#This Row],[Sample Qty  (g)]],"")</f>
        <v>6.4000000000000001E-2</v>
      </c>
      <c r="AD261" s="9">
        <f>IFERROR(SUM(R261,Q261)/Table1[[#This Row],[Sample Qty  (g)]],"")</f>
        <v>0.08</v>
      </c>
      <c r="AE261" s="9">
        <f>IFERROR(Table1[[#This Row],[Dessert/NW  (g)]]/Table1[[#This Row],[Sample Qty  (g)]],"")</f>
        <v>2.8000000000000001E-2</v>
      </c>
      <c r="AF261" s="9">
        <f>IFERROR(SUM(Table1[[#This Row],[Oil  (g)]:[Dirty  (g)]])/Table1[[#This Row],[Sample Qty  (g)]],"")</f>
        <v>2.1999999999999999E-2</v>
      </c>
      <c r="AG261" s="9">
        <f>IFERROR(Table1[[#This Row],[Rejection  (g)]]/Table1[[#This Row],[Sample Qty  (g)]],"")</f>
        <v>4.8000000000000001E-2</v>
      </c>
      <c r="AH261" s="9">
        <f>IFERROR(Table1[[#This Row],[Husk  (g)]]/Table1[[#This Row],[Sample Qty  (g)]],"")</f>
        <v>9.1999999999999998E-2</v>
      </c>
    </row>
    <row r="262" spans="2:34" ht="12" x14ac:dyDescent="0.25">
      <c r="B262" s="8">
        <v>46253</v>
      </c>
      <c r="C262" s="7">
        <f>WEEKNUM(Table1[[#This Row],[Date]])</f>
        <v>34</v>
      </c>
      <c r="D262" s="5" t="s">
        <v>115</v>
      </c>
      <c r="E262" s="10" t="s">
        <v>108</v>
      </c>
      <c r="F262" s="7" t="s">
        <v>21</v>
      </c>
      <c r="G262" s="7" t="s">
        <v>110</v>
      </c>
      <c r="H262" s="7">
        <v>1000</v>
      </c>
      <c r="I262" s="7">
        <v>292</v>
      </c>
      <c r="J262" s="7">
        <v>3</v>
      </c>
      <c r="K262" s="7">
        <v>600</v>
      </c>
      <c r="L262" s="7">
        <v>40</v>
      </c>
      <c r="M262" s="7">
        <v>12</v>
      </c>
      <c r="N262" s="7">
        <v>44</v>
      </c>
      <c r="O262" s="7">
        <v>56</v>
      </c>
      <c r="P262" s="7">
        <v>0</v>
      </c>
      <c r="Q262" s="7">
        <v>54</v>
      </c>
      <c r="R262" s="7">
        <v>20</v>
      </c>
      <c r="S262" s="7">
        <v>26</v>
      </c>
      <c r="T262" s="7">
        <v>18</v>
      </c>
      <c r="U262" s="7">
        <v>0</v>
      </c>
      <c r="V262" s="7">
        <v>0</v>
      </c>
      <c r="W262" s="7">
        <v>30</v>
      </c>
      <c r="X262" s="7">
        <v>100</v>
      </c>
      <c r="Y262" s="7">
        <f>SUM(Table1[[#This Row],[Good Kernels  (g)]:[Husk  (g)]])</f>
        <v>1000</v>
      </c>
      <c r="Z262" s="9">
        <f>IFERROR(Table1[[#This Row],[Good Kernels  (g)]]/Table1[[#This Row],[Sample Qty  (g)]],"")</f>
        <v>0.6</v>
      </c>
      <c r="AA262" s="9">
        <f>IFERROR(SUM(Table1[[#This Row],[Pieces  (g)]:[Butts (g)]])/Table1[[#This Row],[Sample Qty  (g)]],"")</f>
        <v>5.1999999999999998E-2</v>
      </c>
      <c r="AB262" s="9">
        <f>IFERROR(Table1[[#This Row],[Scorched (g)]]/Table1[[#This Row],[Sample Qty  (g)]],"")</f>
        <v>4.3999999999999997E-2</v>
      </c>
      <c r="AC262" s="9">
        <f>IFERROR(SUM(Table1[[#This Row],[Spotted  (g)]:[PUK3  (g)]])/Table1[[#This Row],[Sample Qty  (g)]],"")</f>
        <v>5.6000000000000001E-2</v>
      </c>
      <c r="AD262" s="9">
        <f>IFERROR(SUM(R262,Q262)/Table1[[#This Row],[Sample Qty  (g)]],"")</f>
        <v>7.3999999999999996E-2</v>
      </c>
      <c r="AE262" s="9">
        <f>IFERROR(Table1[[#This Row],[Dessert/NW  (g)]]/Table1[[#This Row],[Sample Qty  (g)]],"")</f>
        <v>2.5999999999999999E-2</v>
      </c>
      <c r="AF262" s="9">
        <f>IFERROR(SUM(Table1[[#This Row],[Oil  (g)]:[Dirty  (g)]])/Table1[[#This Row],[Sample Qty  (g)]],"")</f>
        <v>1.7999999999999999E-2</v>
      </c>
      <c r="AG262" s="9">
        <f>IFERROR(Table1[[#This Row],[Rejection  (g)]]/Table1[[#This Row],[Sample Qty  (g)]],"")</f>
        <v>0.03</v>
      </c>
      <c r="AH262" s="9">
        <f>IFERROR(Table1[[#This Row],[Husk  (g)]]/Table1[[#This Row],[Sample Qty  (g)]],"")</f>
        <v>0.1</v>
      </c>
    </row>
    <row r="263" spans="2:34" ht="12" x14ac:dyDescent="0.25">
      <c r="B263" s="8">
        <v>46253</v>
      </c>
      <c r="C263" s="7">
        <f>WEEKNUM(Table1[[#This Row],[Date]])</f>
        <v>34</v>
      </c>
      <c r="D263" s="5" t="s">
        <v>115</v>
      </c>
      <c r="E263" s="10" t="s">
        <v>108</v>
      </c>
      <c r="F263" s="7" t="s">
        <v>21</v>
      </c>
      <c r="G263" s="7" t="s">
        <v>110</v>
      </c>
      <c r="H263" s="7">
        <v>1000</v>
      </c>
      <c r="I263" s="7">
        <v>270</v>
      </c>
      <c r="J263" s="7">
        <v>3</v>
      </c>
      <c r="K263" s="7">
        <v>488</v>
      </c>
      <c r="L263" s="7">
        <v>66</v>
      </c>
      <c r="M263" s="7">
        <v>38</v>
      </c>
      <c r="N263" s="7">
        <v>44</v>
      </c>
      <c r="O263" s="7">
        <v>86</v>
      </c>
      <c r="P263" s="7">
        <v>0</v>
      </c>
      <c r="Q263" s="7">
        <v>30</v>
      </c>
      <c r="R263" s="7">
        <v>10</v>
      </c>
      <c r="S263" s="7">
        <v>36</v>
      </c>
      <c r="T263" s="7">
        <v>84</v>
      </c>
      <c r="U263" s="7">
        <v>0</v>
      </c>
      <c r="V263" s="7">
        <v>0</v>
      </c>
      <c r="W263" s="7">
        <v>34</v>
      </c>
      <c r="X263" s="7">
        <v>84</v>
      </c>
      <c r="Y263" s="7">
        <f>SUM(Table1[[#This Row],[Good Kernels  (g)]:[Husk  (g)]])</f>
        <v>1000</v>
      </c>
      <c r="Z263" s="9">
        <f>IFERROR(Table1[[#This Row],[Good Kernels  (g)]]/Table1[[#This Row],[Sample Qty  (g)]],"")</f>
        <v>0.48799999999999999</v>
      </c>
      <c r="AA263" s="9">
        <f>IFERROR(SUM(Table1[[#This Row],[Pieces  (g)]:[Butts (g)]])/Table1[[#This Row],[Sample Qty  (g)]],"")</f>
        <v>0.104</v>
      </c>
      <c r="AB263" s="9">
        <f>IFERROR(Table1[[#This Row],[Scorched (g)]]/Table1[[#This Row],[Sample Qty  (g)]],"")</f>
        <v>4.3999999999999997E-2</v>
      </c>
      <c r="AC263" s="9">
        <f>IFERROR(SUM(Table1[[#This Row],[Spotted  (g)]:[PUK3  (g)]])/Table1[[#This Row],[Sample Qty  (g)]],"")</f>
        <v>8.5999999999999993E-2</v>
      </c>
      <c r="AD263" s="9">
        <f>IFERROR(SUM(R263,Q263)/Table1[[#This Row],[Sample Qty  (g)]],"")</f>
        <v>0.04</v>
      </c>
      <c r="AE263" s="9">
        <f>IFERROR(Table1[[#This Row],[Dessert/NW  (g)]]/Table1[[#This Row],[Sample Qty  (g)]],"")</f>
        <v>3.5999999999999997E-2</v>
      </c>
      <c r="AF263" s="9">
        <f>IFERROR(SUM(Table1[[#This Row],[Oil  (g)]:[Dirty  (g)]])/Table1[[#This Row],[Sample Qty  (g)]],"")</f>
        <v>8.4000000000000005E-2</v>
      </c>
      <c r="AG263" s="9">
        <f>IFERROR(Table1[[#This Row],[Rejection  (g)]]/Table1[[#This Row],[Sample Qty  (g)]],"")</f>
        <v>3.4000000000000002E-2</v>
      </c>
      <c r="AH263" s="9">
        <f>IFERROR(Table1[[#This Row],[Husk  (g)]]/Table1[[#This Row],[Sample Qty  (g)]],"")</f>
        <v>8.4000000000000005E-2</v>
      </c>
    </row>
    <row r="264" spans="2:34" ht="12" x14ac:dyDescent="0.25">
      <c r="B264" s="8">
        <v>46253</v>
      </c>
      <c r="C264" s="7">
        <f>WEEKNUM(Table1[[#This Row],[Date]])</f>
        <v>34</v>
      </c>
      <c r="D264" s="5" t="s">
        <v>115</v>
      </c>
      <c r="E264" s="10" t="s">
        <v>108</v>
      </c>
      <c r="F264" s="7" t="s">
        <v>21</v>
      </c>
      <c r="G264" s="7" t="s">
        <v>110</v>
      </c>
      <c r="H264" s="7">
        <v>1000</v>
      </c>
      <c r="I264" s="7">
        <v>278</v>
      </c>
      <c r="J264" s="7">
        <v>3.2</v>
      </c>
      <c r="K264" s="7">
        <v>631</v>
      </c>
      <c r="L264" s="7">
        <v>30</v>
      </c>
      <c r="M264" s="7">
        <v>16</v>
      </c>
      <c r="N264" s="7">
        <v>46</v>
      </c>
      <c r="O264" s="7">
        <v>50</v>
      </c>
      <c r="P264" s="7">
        <v>0</v>
      </c>
      <c r="Q264" s="7">
        <v>28</v>
      </c>
      <c r="R264" s="7">
        <v>22</v>
      </c>
      <c r="S264" s="7">
        <v>20</v>
      </c>
      <c r="T264" s="7">
        <v>13</v>
      </c>
      <c r="U264" s="7">
        <v>0</v>
      </c>
      <c r="V264" s="7">
        <v>0</v>
      </c>
      <c r="W264" s="7">
        <v>40</v>
      </c>
      <c r="X264" s="7">
        <v>104</v>
      </c>
      <c r="Y264" s="7">
        <f>SUM(Table1[[#This Row],[Good Kernels  (g)]:[Husk  (g)]])</f>
        <v>1000</v>
      </c>
      <c r="Z264" s="9">
        <f>IFERROR(Table1[[#This Row],[Good Kernels  (g)]]/Table1[[#This Row],[Sample Qty  (g)]],"")</f>
        <v>0.63100000000000001</v>
      </c>
      <c r="AA264" s="9">
        <f>IFERROR(SUM(Table1[[#This Row],[Pieces  (g)]:[Butts (g)]])/Table1[[#This Row],[Sample Qty  (g)]],"")</f>
        <v>4.5999999999999999E-2</v>
      </c>
      <c r="AB264" s="9">
        <f>IFERROR(Table1[[#This Row],[Scorched (g)]]/Table1[[#This Row],[Sample Qty  (g)]],"")</f>
        <v>4.5999999999999999E-2</v>
      </c>
      <c r="AC264" s="9">
        <f>IFERROR(SUM(Table1[[#This Row],[Spotted  (g)]:[PUK3  (g)]])/Table1[[#This Row],[Sample Qty  (g)]],"")</f>
        <v>0.05</v>
      </c>
      <c r="AD264" s="9">
        <f>IFERROR(SUM(R264,Q264)/Table1[[#This Row],[Sample Qty  (g)]],"")</f>
        <v>0.05</v>
      </c>
      <c r="AE264" s="9">
        <f>IFERROR(Table1[[#This Row],[Dessert/NW  (g)]]/Table1[[#This Row],[Sample Qty  (g)]],"")</f>
        <v>0.02</v>
      </c>
      <c r="AF264" s="9">
        <f>IFERROR(SUM(Table1[[#This Row],[Oil  (g)]:[Dirty  (g)]])/Table1[[#This Row],[Sample Qty  (g)]],"")</f>
        <v>1.2999999999999999E-2</v>
      </c>
      <c r="AG264" s="9">
        <f>IFERROR(Table1[[#This Row],[Rejection  (g)]]/Table1[[#This Row],[Sample Qty  (g)]],"")</f>
        <v>0.04</v>
      </c>
      <c r="AH264" s="9">
        <f>IFERROR(Table1[[#This Row],[Husk  (g)]]/Table1[[#This Row],[Sample Qty  (g)]],"")</f>
        <v>0.104</v>
      </c>
    </row>
    <row r="265" spans="2:34" ht="12" x14ac:dyDescent="0.25">
      <c r="B265" s="8">
        <v>46253</v>
      </c>
      <c r="C265" s="7">
        <f>WEEKNUM(Table1[[#This Row],[Date]])</f>
        <v>34</v>
      </c>
      <c r="D265" s="5" t="s">
        <v>115</v>
      </c>
      <c r="E265" s="10" t="s">
        <v>108</v>
      </c>
      <c r="F265" s="7" t="s">
        <v>21</v>
      </c>
      <c r="G265" s="7" t="s">
        <v>110</v>
      </c>
      <c r="H265" s="7">
        <v>1000</v>
      </c>
      <c r="I265" s="7">
        <v>304</v>
      </c>
      <c r="J265" s="7">
        <v>3</v>
      </c>
      <c r="K265" s="7">
        <v>596</v>
      </c>
      <c r="L265" s="7">
        <v>34</v>
      </c>
      <c r="M265" s="7">
        <v>24</v>
      </c>
      <c r="N265" s="7">
        <v>52</v>
      </c>
      <c r="O265" s="7">
        <v>62</v>
      </c>
      <c r="P265" s="7">
        <v>0</v>
      </c>
      <c r="Q265" s="7">
        <v>32</v>
      </c>
      <c r="R265" s="7">
        <v>14</v>
      </c>
      <c r="S265" s="7">
        <v>50</v>
      </c>
      <c r="T265" s="7">
        <v>22</v>
      </c>
      <c r="U265" s="7">
        <v>0</v>
      </c>
      <c r="V265" s="7">
        <v>0</v>
      </c>
      <c r="W265" s="7">
        <v>16</v>
      </c>
      <c r="X265" s="7">
        <v>98</v>
      </c>
      <c r="Y265" s="7">
        <f>SUM(Table1[[#This Row],[Good Kernels  (g)]:[Husk  (g)]])</f>
        <v>1000</v>
      </c>
      <c r="Z265" s="9">
        <f>IFERROR(Table1[[#This Row],[Good Kernels  (g)]]/Table1[[#This Row],[Sample Qty  (g)]],"")</f>
        <v>0.59599999999999997</v>
      </c>
      <c r="AA265" s="9">
        <f>IFERROR(SUM(Table1[[#This Row],[Pieces  (g)]:[Butts (g)]])/Table1[[#This Row],[Sample Qty  (g)]],"")</f>
        <v>5.8000000000000003E-2</v>
      </c>
      <c r="AB265" s="9">
        <f>IFERROR(Table1[[#This Row],[Scorched (g)]]/Table1[[#This Row],[Sample Qty  (g)]],"")</f>
        <v>5.1999999999999998E-2</v>
      </c>
      <c r="AC265" s="9">
        <f>IFERROR(SUM(Table1[[#This Row],[Spotted  (g)]:[PUK3  (g)]])/Table1[[#This Row],[Sample Qty  (g)]],"")</f>
        <v>6.2E-2</v>
      </c>
      <c r="AD265" s="9">
        <f>IFERROR(SUM(R265,Q265)/Table1[[#This Row],[Sample Qty  (g)]],"")</f>
        <v>4.5999999999999999E-2</v>
      </c>
      <c r="AE265" s="9">
        <f>IFERROR(Table1[[#This Row],[Dessert/NW  (g)]]/Table1[[#This Row],[Sample Qty  (g)]],"")</f>
        <v>0.05</v>
      </c>
      <c r="AF265" s="9">
        <f>IFERROR(SUM(Table1[[#This Row],[Oil  (g)]:[Dirty  (g)]])/Table1[[#This Row],[Sample Qty  (g)]],"")</f>
        <v>2.1999999999999999E-2</v>
      </c>
      <c r="AG265" s="9">
        <f>IFERROR(Table1[[#This Row],[Rejection  (g)]]/Table1[[#This Row],[Sample Qty  (g)]],"")</f>
        <v>1.6E-2</v>
      </c>
      <c r="AH265" s="9">
        <f>IFERROR(Table1[[#This Row],[Husk  (g)]]/Table1[[#This Row],[Sample Qty  (g)]],"")</f>
        <v>9.8000000000000004E-2</v>
      </c>
    </row>
    <row r="266" spans="2:34" ht="12" x14ac:dyDescent="0.25">
      <c r="B266" s="8"/>
      <c r="C266" s="7">
        <f>WEEKNUM(Table1[[#This Row],[Date]])</f>
        <v>0</v>
      </c>
      <c r="D266" s="7"/>
      <c r="Y266" s="7">
        <f>SUM(Table1[[#This Row],[Good Kernels  (g)]:[Husk  (g)]])</f>
        <v>0</v>
      </c>
      <c r="Z266" s="9" t="str">
        <f>IFERROR(Table1[[#This Row],[Good Kernels  (g)]]/Table1[[#This Row],[Sample Qty  (g)]],"")</f>
        <v/>
      </c>
      <c r="AA266" s="9" t="str">
        <f>IFERROR(SUM(Table1[[#This Row],[Pieces  (g)]:[Butts (g)]])/Table1[[#This Row],[Sample Qty  (g)]],"")</f>
        <v/>
      </c>
      <c r="AB266" s="9" t="str">
        <f>IFERROR(Table1[[#This Row],[Scorched (g)]]/Table1[[#This Row],[Sample Qty  (g)]],"")</f>
        <v/>
      </c>
      <c r="AC266" s="9" t="str">
        <f>IFERROR(SUM(Table1[[#This Row],[Spotted  (g)]:[PUK3  (g)]])/Table1[[#This Row],[Sample Qty  (g)]],"")</f>
        <v/>
      </c>
      <c r="AD266" s="9" t="str">
        <f>IFERROR(SUM(R266,Q266)/Table1[[#This Row],[Sample Qty  (g)]],"")</f>
        <v/>
      </c>
      <c r="AE266" s="9" t="str">
        <f>IFERROR(Table1[[#This Row],[Dessert/NW  (g)]]/Table1[[#This Row],[Sample Qty  (g)]],"")</f>
        <v/>
      </c>
      <c r="AF266" s="9" t="str">
        <f>IFERROR(SUM(Table1[[#This Row],[Oil  (g)]:[Dirty  (g)]])/Table1[[#This Row],[Sample Qty  (g)]],"")</f>
        <v/>
      </c>
      <c r="AG266" s="9" t="str">
        <f>IFERROR(Table1[[#This Row],[Rejection  (g)]]/Table1[[#This Row],[Sample Qty  (g)]],"")</f>
        <v/>
      </c>
      <c r="AH266" s="9" t="str">
        <f>IFERROR(Table1[[#This Row],[Husk  (g)]]/Table1[[#This Row],[Sample Qty  (g)]],"")</f>
        <v/>
      </c>
    </row>
    <row r="267" spans="2:34" ht="12" x14ac:dyDescent="0.25">
      <c r="B267" s="8"/>
      <c r="C267" s="7">
        <f>WEEKNUM(Table1[[#This Row],[Date]])</f>
        <v>0</v>
      </c>
      <c r="D267" s="7"/>
      <c r="Y267" s="7">
        <f>SUM(Table1[[#This Row],[Good Kernels  (g)]:[Husk  (g)]])</f>
        <v>0</v>
      </c>
      <c r="Z267" s="9" t="str">
        <f>IFERROR(Table1[[#This Row],[Good Kernels  (g)]]/Table1[[#This Row],[Sample Qty  (g)]],"")</f>
        <v/>
      </c>
      <c r="AA267" s="9" t="str">
        <f>IFERROR(SUM(Table1[[#This Row],[Pieces  (g)]:[Butts (g)]])/Table1[[#This Row],[Sample Qty  (g)]],"")</f>
        <v/>
      </c>
      <c r="AB267" s="9" t="str">
        <f>IFERROR(Table1[[#This Row],[Scorched (g)]]/Table1[[#This Row],[Sample Qty  (g)]],"")</f>
        <v/>
      </c>
      <c r="AC267" s="9" t="str">
        <f>IFERROR(SUM(Table1[[#This Row],[Spotted  (g)]:[PUK3  (g)]])/Table1[[#This Row],[Sample Qty  (g)]],"")</f>
        <v/>
      </c>
      <c r="AD267" s="9" t="str">
        <f>IFERROR(SUM(R267,Q267)/Table1[[#This Row],[Sample Qty  (g)]],"")</f>
        <v/>
      </c>
      <c r="AE267" s="9" t="str">
        <f>IFERROR(Table1[[#This Row],[Dessert/NW  (g)]]/Table1[[#This Row],[Sample Qty  (g)]],"")</f>
        <v/>
      </c>
      <c r="AF267" s="9" t="str">
        <f>IFERROR(SUM(Table1[[#This Row],[Oil  (g)]:[Dirty  (g)]])/Table1[[#This Row],[Sample Qty  (g)]],"")</f>
        <v/>
      </c>
      <c r="AG267" s="9" t="str">
        <f>IFERROR(Table1[[#This Row],[Rejection  (g)]]/Table1[[#This Row],[Sample Qty  (g)]],"")</f>
        <v/>
      </c>
      <c r="AH267" s="9" t="str">
        <f>IFERROR(Table1[[#This Row],[Husk  (g)]]/Table1[[#This Row],[Sample Qty  (g)]],"")</f>
        <v/>
      </c>
    </row>
    <row r="268" spans="2:34" ht="12" x14ac:dyDescent="0.25">
      <c r="B268" s="8"/>
      <c r="C268" s="7">
        <f>WEEKNUM(Table1[[#This Row],[Date]])</f>
        <v>0</v>
      </c>
      <c r="D268" s="7"/>
      <c r="Y268" s="7">
        <f>SUM(Table1[[#This Row],[Good Kernels  (g)]:[Husk  (g)]])</f>
        <v>0</v>
      </c>
      <c r="Z268" s="9" t="str">
        <f>IFERROR(Table1[[#This Row],[Good Kernels  (g)]]/Table1[[#This Row],[Sample Qty  (g)]],"")</f>
        <v/>
      </c>
      <c r="AA268" s="9" t="str">
        <f>IFERROR(SUM(Table1[[#This Row],[Pieces  (g)]:[Butts (g)]])/Table1[[#This Row],[Sample Qty  (g)]],"")</f>
        <v/>
      </c>
      <c r="AB268" s="9" t="str">
        <f>IFERROR(Table1[[#This Row],[Scorched (g)]]/Table1[[#This Row],[Sample Qty  (g)]],"")</f>
        <v/>
      </c>
      <c r="AC268" s="9" t="str">
        <f>IFERROR(SUM(Table1[[#This Row],[Spotted  (g)]:[PUK3  (g)]])/Table1[[#This Row],[Sample Qty  (g)]],"")</f>
        <v/>
      </c>
      <c r="AD268" s="9" t="str">
        <f>IFERROR(SUM(R268,Q268)/Table1[[#This Row],[Sample Qty  (g)]],"")</f>
        <v/>
      </c>
      <c r="AE268" s="9" t="str">
        <f>IFERROR(Table1[[#This Row],[Dessert/NW  (g)]]/Table1[[#This Row],[Sample Qty  (g)]],"")</f>
        <v/>
      </c>
      <c r="AF268" s="9" t="str">
        <f>IFERROR(SUM(Table1[[#This Row],[Oil  (g)]:[Dirty  (g)]])/Table1[[#This Row],[Sample Qty  (g)]],"")</f>
        <v/>
      </c>
      <c r="AG268" s="9" t="str">
        <f>IFERROR(Table1[[#This Row],[Rejection  (g)]]/Table1[[#This Row],[Sample Qty  (g)]],"")</f>
        <v/>
      </c>
      <c r="AH268" s="9" t="str">
        <f>IFERROR(Table1[[#This Row],[Husk  (g)]]/Table1[[#This Row],[Sample Qty  (g)]],"")</f>
        <v/>
      </c>
    </row>
    <row r="269" spans="2:34" ht="12" x14ac:dyDescent="0.25">
      <c r="B269" s="8"/>
      <c r="C269" s="7">
        <f>WEEKNUM(Table1[[#This Row],[Date]])</f>
        <v>0</v>
      </c>
      <c r="D269" s="7"/>
      <c r="Y269" s="7">
        <f>SUM(Table1[[#This Row],[Good Kernels  (g)]:[Husk  (g)]])</f>
        <v>0</v>
      </c>
      <c r="Z269" s="9" t="str">
        <f>IFERROR(Table1[[#This Row],[Good Kernels  (g)]]/Table1[[#This Row],[Sample Qty  (g)]],"")</f>
        <v/>
      </c>
      <c r="AA269" s="9" t="str">
        <f>IFERROR(SUM(Table1[[#This Row],[Pieces  (g)]:[Butts (g)]])/Table1[[#This Row],[Sample Qty  (g)]],"")</f>
        <v/>
      </c>
      <c r="AB269" s="9" t="str">
        <f>IFERROR(Table1[[#This Row],[Scorched (g)]]/Table1[[#This Row],[Sample Qty  (g)]],"")</f>
        <v/>
      </c>
      <c r="AC269" s="9" t="str">
        <f>IFERROR(SUM(Table1[[#This Row],[Spotted  (g)]:[PUK3  (g)]])/Table1[[#This Row],[Sample Qty  (g)]],"")</f>
        <v/>
      </c>
      <c r="AD269" s="9" t="str">
        <f>IFERROR(SUM(R269,Q269)/Table1[[#This Row],[Sample Qty  (g)]],"")</f>
        <v/>
      </c>
      <c r="AE269" s="9" t="str">
        <f>IFERROR(Table1[[#This Row],[Dessert/NW  (g)]]/Table1[[#This Row],[Sample Qty  (g)]],"")</f>
        <v/>
      </c>
      <c r="AF269" s="9" t="str">
        <f>IFERROR(SUM(Table1[[#This Row],[Oil  (g)]:[Dirty  (g)]])/Table1[[#This Row],[Sample Qty  (g)]],"")</f>
        <v/>
      </c>
      <c r="AG269" s="9" t="str">
        <f>IFERROR(Table1[[#This Row],[Rejection  (g)]]/Table1[[#This Row],[Sample Qty  (g)]],"")</f>
        <v/>
      </c>
      <c r="AH269" s="9" t="str">
        <f>IFERROR(Table1[[#This Row],[Husk  (g)]]/Table1[[#This Row],[Sample Qty  (g)]],"")</f>
        <v/>
      </c>
    </row>
    <row r="270" spans="2:34" ht="12" x14ac:dyDescent="0.25">
      <c r="B270" s="8"/>
      <c r="C270" s="7">
        <f>WEEKNUM(Table1[[#This Row],[Date]])</f>
        <v>0</v>
      </c>
      <c r="D270" s="7"/>
      <c r="Y270" s="7">
        <f>SUM(Table1[[#This Row],[Good Kernels  (g)]:[Husk  (g)]])</f>
        <v>0</v>
      </c>
      <c r="Z270" s="9" t="str">
        <f>IFERROR(Table1[[#This Row],[Good Kernels  (g)]]/Table1[[#This Row],[Sample Qty  (g)]],"")</f>
        <v/>
      </c>
      <c r="AA270" s="9" t="str">
        <f>IFERROR(SUM(Table1[[#This Row],[Pieces  (g)]:[Butts (g)]])/Table1[[#This Row],[Sample Qty  (g)]],"")</f>
        <v/>
      </c>
      <c r="AB270" s="9" t="str">
        <f>IFERROR(Table1[[#This Row],[Scorched (g)]]/Table1[[#This Row],[Sample Qty  (g)]],"")</f>
        <v/>
      </c>
      <c r="AC270" s="9" t="str">
        <f>IFERROR(SUM(Table1[[#This Row],[Spotted  (g)]:[PUK3  (g)]])/Table1[[#This Row],[Sample Qty  (g)]],"")</f>
        <v/>
      </c>
      <c r="AD270" s="9" t="str">
        <f>IFERROR(SUM(R270,Q270)/Table1[[#This Row],[Sample Qty  (g)]],"")</f>
        <v/>
      </c>
      <c r="AE270" s="9" t="str">
        <f>IFERROR(Table1[[#This Row],[Dessert/NW  (g)]]/Table1[[#This Row],[Sample Qty  (g)]],"")</f>
        <v/>
      </c>
      <c r="AF270" s="9" t="str">
        <f>IFERROR(SUM(Table1[[#This Row],[Oil  (g)]:[Dirty  (g)]])/Table1[[#This Row],[Sample Qty  (g)]],"")</f>
        <v/>
      </c>
      <c r="AG270" s="9" t="str">
        <f>IFERROR(Table1[[#This Row],[Rejection  (g)]]/Table1[[#This Row],[Sample Qty  (g)]],"")</f>
        <v/>
      </c>
      <c r="AH270" s="9" t="str">
        <f>IFERROR(Table1[[#This Row],[Husk  (g)]]/Table1[[#This Row],[Sample Qty  (g)]],"")</f>
        <v/>
      </c>
    </row>
    <row r="271" spans="2:34" ht="12" x14ac:dyDescent="0.25">
      <c r="B271" s="8"/>
      <c r="C271" s="7">
        <f>WEEKNUM(Table1[[#This Row],[Date]])</f>
        <v>0</v>
      </c>
      <c r="D271" s="7"/>
      <c r="Y271" s="7">
        <f>SUM(Table1[[#This Row],[Good Kernels  (g)]:[Husk  (g)]])</f>
        <v>0</v>
      </c>
      <c r="Z271" s="9" t="str">
        <f>IFERROR(Table1[[#This Row],[Good Kernels  (g)]]/Table1[[#This Row],[Sample Qty  (g)]],"")</f>
        <v/>
      </c>
      <c r="AA271" s="9" t="str">
        <f>IFERROR(SUM(Table1[[#This Row],[Pieces  (g)]:[Butts (g)]])/Table1[[#This Row],[Sample Qty  (g)]],"")</f>
        <v/>
      </c>
      <c r="AB271" s="9" t="str">
        <f>IFERROR(Table1[[#This Row],[Scorched (g)]]/Table1[[#This Row],[Sample Qty  (g)]],"")</f>
        <v/>
      </c>
      <c r="AC271" s="9" t="str">
        <f>IFERROR(SUM(Table1[[#This Row],[Spotted  (g)]:[PUK3  (g)]])/Table1[[#This Row],[Sample Qty  (g)]],"")</f>
        <v/>
      </c>
      <c r="AD271" s="9" t="str">
        <f>IFERROR(SUM(R271,Q271)/Table1[[#This Row],[Sample Qty  (g)]],"")</f>
        <v/>
      </c>
      <c r="AE271" s="9" t="str">
        <f>IFERROR(Table1[[#This Row],[Dessert/NW  (g)]]/Table1[[#This Row],[Sample Qty  (g)]],"")</f>
        <v/>
      </c>
      <c r="AF271" s="9" t="str">
        <f>IFERROR(SUM(Table1[[#This Row],[Oil  (g)]:[Dirty  (g)]])/Table1[[#This Row],[Sample Qty  (g)]],"")</f>
        <v/>
      </c>
      <c r="AG271" s="9" t="str">
        <f>IFERROR(Table1[[#This Row],[Rejection  (g)]]/Table1[[#This Row],[Sample Qty  (g)]],"")</f>
        <v/>
      </c>
      <c r="AH271" s="9" t="str">
        <f>IFERROR(Table1[[#This Row],[Husk  (g)]]/Table1[[#This Row],[Sample Qty  (g)]],"")</f>
        <v/>
      </c>
    </row>
    <row r="272" spans="2:34" ht="12" x14ac:dyDescent="0.25">
      <c r="B272" s="8"/>
      <c r="C272" s="7">
        <f>WEEKNUM(Table1[[#This Row],[Date]])</f>
        <v>0</v>
      </c>
      <c r="D272" s="7"/>
      <c r="Y272" s="7">
        <f>SUM(Table1[[#This Row],[Good Kernels  (g)]:[Husk  (g)]])</f>
        <v>0</v>
      </c>
      <c r="Z272" s="9" t="str">
        <f>IFERROR(Table1[[#This Row],[Good Kernels  (g)]]/Table1[[#This Row],[Sample Qty  (g)]],"")</f>
        <v/>
      </c>
      <c r="AA272" s="9" t="str">
        <f>IFERROR(SUM(Table1[[#This Row],[Pieces  (g)]:[Butts (g)]])/Table1[[#This Row],[Sample Qty  (g)]],"")</f>
        <v/>
      </c>
      <c r="AB272" s="9" t="str">
        <f>IFERROR(Table1[[#This Row],[Scorched (g)]]/Table1[[#This Row],[Sample Qty  (g)]],"")</f>
        <v/>
      </c>
      <c r="AC272" s="9" t="str">
        <f>IFERROR(SUM(Table1[[#This Row],[Spotted  (g)]:[PUK3  (g)]])/Table1[[#This Row],[Sample Qty  (g)]],"")</f>
        <v/>
      </c>
      <c r="AD272" s="9" t="str">
        <f>IFERROR(SUM(R272,Q272)/Table1[[#This Row],[Sample Qty  (g)]],"")</f>
        <v/>
      </c>
      <c r="AE272" s="9" t="str">
        <f>IFERROR(Table1[[#This Row],[Dessert/NW  (g)]]/Table1[[#This Row],[Sample Qty  (g)]],"")</f>
        <v/>
      </c>
      <c r="AF272" s="9" t="str">
        <f>IFERROR(SUM(Table1[[#This Row],[Oil  (g)]:[Dirty  (g)]])/Table1[[#This Row],[Sample Qty  (g)]],"")</f>
        <v/>
      </c>
      <c r="AG272" s="9" t="str">
        <f>IFERROR(Table1[[#This Row],[Rejection  (g)]]/Table1[[#This Row],[Sample Qty  (g)]],"")</f>
        <v/>
      </c>
      <c r="AH272" s="9" t="str">
        <f>IFERROR(Table1[[#This Row],[Husk  (g)]]/Table1[[#This Row],[Sample Qty  (g)]],"")</f>
        <v/>
      </c>
    </row>
    <row r="273" spans="2:34" ht="12" x14ac:dyDescent="0.25">
      <c r="B273" s="8"/>
      <c r="C273" s="7">
        <f>WEEKNUM(Table1[[#This Row],[Date]])</f>
        <v>0</v>
      </c>
      <c r="D273" s="7"/>
      <c r="Y273" s="7">
        <f>SUM(Table1[[#This Row],[Good Kernels  (g)]:[Husk  (g)]])</f>
        <v>0</v>
      </c>
      <c r="Z273" s="9" t="str">
        <f>IFERROR(Table1[[#This Row],[Good Kernels  (g)]]/Table1[[#This Row],[Sample Qty  (g)]],"")</f>
        <v/>
      </c>
      <c r="AA273" s="9" t="str">
        <f>IFERROR(SUM(Table1[[#This Row],[Pieces  (g)]:[Butts (g)]])/Table1[[#This Row],[Sample Qty  (g)]],"")</f>
        <v/>
      </c>
      <c r="AB273" s="9" t="str">
        <f>IFERROR(Table1[[#This Row],[Scorched (g)]]/Table1[[#This Row],[Sample Qty  (g)]],"")</f>
        <v/>
      </c>
      <c r="AC273" s="9" t="str">
        <f>IFERROR(SUM(Table1[[#This Row],[Spotted  (g)]:[PUK3  (g)]])/Table1[[#This Row],[Sample Qty  (g)]],"")</f>
        <v/>
      </c>
      <c r="AD273" s="9" t="str">
        <f>IFERROR(SUM(R273,Q273)/Table1[[#This Row],[Sample Qty  (g)]],"")</f>
        <v/>
      </c>
      <c r="AE273" s="9" t="str">
        <f>IFERROR(Table1[[#This Row],[Dessert/NW  (g)]]/Table1[[#This Row],[Sample Qty  (g)]],"")</f>
        <v/>
      </c>
      <c r="AF273" s="9" t="str">
        <f>IFERROR(SUM(Table1[[#This Row],[Oil  (g)]:[Dirty  (g)]])/Table1[[#This Row],[Sample Qty  (g)]],"")</f>
        <v/>
      </c>
      <c r="AG273" s="9" t="str">
        <f>IFERROR(Table1[[#This Row],[Rejection  (g)]]/Table1[[#This Row],[Sample Qty  (g)]],"")</f>
        <v/>
      </c>
      <c r="AH273" s="9" t="str">
        <f>IFERROR(Table1[[#This Row],[Husk  (g)]]/Table1[[#This Row],[Sample Qty  (g)]],"")</f>
        <v/>
      </c>
    </row>
    <row r="274" spans="2:34" ht="12" x14ac:dyDescent="0.25">
      <c r="B274" s="8"/>
      <c r="C274" s="7">
        <f>WEEKNUM(Table1[[#This Row],[Date]])</f>
        <v>0</v>
      </c>
      <c r="D274" s="7"/>
      <c r="Y274" s="7">
        <f>SUM(Table1[[#This Row],[Good Kernels  (g)]:[Husk  (g)]])</f>
        <v>0</v>
      </c>
      <c r="Z274" s="9" t="str">
        <f>IFERROR(Table1[[#This Row],[Good Kernels  (g)]]/Table1[[#This Row],[Sample Qty  (g)]],"")</f>
        <v/>
      </c>
      <c r="AA274" s="9" t="str">
        <f>IFERROR(SUM(Table1[[#This Row],[Pieces  (g)]:[Butts (g)]])/Table1[[#This Row],[Sample Qty  (g)]],"")</f>
        <v/>
      </c>
      <c r="AB274" s="9" t="str">
        <f>IFERROR(Table1[[#This Row],[Scorched (g)]]/Table1[[#This Row],[Sample Qty  (g)]],"")</f>
        <v/>
      </c>
      <c r="AC274" s="9" t="str">
        <f>IFERROR(SUM(Table1[[#This Row],[Spotted  (g)]:[PUK3  (g)]])/Table1[[#This Row],[Sample Qty  (g)]],"")</f>
        <v/>
      </c>
      <c r="AD274" s="9" t="str">
        <f>IFERROR(SUM(R274,Q274)/Table1[[#This Row],[Sample Qty  (g)]],"")</f>
        <v/>
      </c>
      <c r="AE274" s="9" t="str">
        <f>IFERROR(Table1[[#This Row],[Dessert/NW  (g)]]/Table1[[#This Row],[Sample Qty  (g)]],"")</f>
        <v/>
      </c>
      <c r="AF274" s="9" t="str">
        <f>IFERROR(SUM(Table1[[#This Row],[Oil  (g)]:[Dirty  (g)]])/Table1[[#This Row],[Sample Qty  (g)]],"")</f>
        <v/>
      </c>
      <c r="AG274" s="9" t="str">
        <f>IFERROR(Table1[[#This Row],[Rejection  (g)]]/Table1[[#This Row],[Sample Qty  (g)]],"")</f>
        <v/>
      </c>
      <c r="AH274" s="9" t="str">
        <f>IFERROR(Table1[[#This Row],[Husk  (g)]]/Table1[[#This Row],[Sample Qty  (g)]],"")</f>
        <v/>
      </c>
    </row>
    <row r="275" spans="2:34" ht="12" x14ac:dyDescent="0.25">
      <c r="B275" s="8"/>
      <c r="C275" s="7">
        <f>WEEKNUM(Table1[[#This Row],[Date]])</f>
        <v>0</v>
      </c>
      <c r="D275" s="7"/>
      <c r="Y275" s="7">
        <f>SUM(Table1[[#This Row],[Good Kernels  (g)]:[Husk  (g)]])</f>
        <v>0</v>
      </c>
      <c r="Z275" s="9" t="str">
        <f>IFERROR(Table1[[#This Row],[Good Kernels  (g)]]/Table1[[#This Row],[Sample Qty  (g)]],"")</f>
        <v/>
      </c>
      <c r="AA275" s="9" t="str">
        <f>IFERROR(SUM(Table1[[#This Row],[Pieces  (g)]:[Butts (g)]])/Table1[[#This Row],[Sample Qty  (g)]],"")</f>
        <v/>
      </c>
      <c r="AB275" s="9" t="str">
        <f>IFERROR(Table1[[#This Row],[Scorched (g)]]/Table1[[#This Row],[Sample Qty  (g)]],"")</f>
        <v/>
      </c>
      <c r="AC275" s="9" t="str">
        <f>IFERROR(SUM(Table1[[#This Row],[Spotted  (g)]:[PUK3  (g)]])/Table1[[#This Row],[Sample Qty  (g)]],"")</f>
        <v/>
      </c>
      <c r="AD275" s="9" t="str">
        <f>IFERROR(SUM(R275,Q275)/Table1[[#This Row],[Sample Qty  (g)]],"")</f>
        <v/>
      </c>
      <c r="AE275" s="9" t="str">
        <f>IFERROR(Table1[[#This Row],[Dessert/NW  (g)]]/Table1[[#This Row],[Sample Qty  (g)]],"")</f>
        <v/>
      </c>
      <c r="AF275" s="9" t="str">
        <f>IFERROR(SUM(Table1[[#This Row],[Oil  (g)]:[Dirty  (g)]])/Table1[[#This Row],[Sample Qty  (g)]],"")</f>
        <v/>
      </c>
      <c r="AG275" s="9" t="str">
        <f>IFERROR(Table1[[#This Row],[Rejection  (g)]]/Table1[[#This Row],[Sample Qty  (g)]],"")</f>
        <v/>
      </c>
      <c r="AH275" s="9" t="str">
        <f>IFERROR(Table1[[#This Row],[Husk  (g)]]/Table1[[#This Row],[Sample Qty  (g)]],"")</f>
        <v/>
      </c>
    </row>
    <row r="276" spans="2:34" ht="12" x14ac:dyDescent="0.25">
      <c r="B276" s="8"/>
      <c r="C276" s="7">
        <f>WEEKNUM(Table1[[#This Row],[Date]])</f>
        <v>0</v>
      </c>
      <c r="D276" s="7"/>
      <c r="Y276" s="7">
        <f>SUM(Table1[[#This Row],[Good Kernels  (g)]:[Husk  (g)]])</f>
        <v>0</v>
      </c>
      <c r="Z276" s="9" t="str">
        <f>IFERROR(Table1[[#This Row],[Good Kernels  (g)]]/Table1[[#This Row],[Sample Qty  (g)]],"")</f>
        <v/>
      </c>
      <c r="AA276" s="9" t="str">
        <f>IFERROR(SUM(Table1[[#This Row],[Pieces  (g)]:[Butts (g)]])/Table1[[#This Row],[Sample Qty  (g)]],"")</f>
        <v/>
      </c>
      <c r="AB276" s="9" t="str">
        <f>IFERROR(Table1[[#This Row],[Scorched (g)]]/Table1[[#This Row],[Sample Qty  (g)]],"")</f>
        <v/>
      </c>
      <c r="AC276" s="9" t="str">
        <f>IFERROR(SUM(Table1[[#This Row],[Spotted  (g)]:[PUK3  (g)]])/Table1[[#This Row],[Sample Qty  (g)]],"")</f>
        <v/>
      </c>
      <c r="AD276" s="9" t="str">
        <f>IFERROR(SUM(R276,Q276)/Table1[[#This Row],[Sample Qty  (g)]],"")</f>
        <v/>
      </c>
      <c r="AE276" s="9" t="str">
        <f>IFERROR(Table1[[#This Row],[Dessert/NW  (g)]]/Table1[[#This Row],[Sample Qty  (g)]],"")</f>
        <v/>
      </c>
      <c r="AF276" s="9" t="str">
        <f>IFERROR(SUM(Table1[[#This Row],[Oil  (g)]:[Dirty  (g)]])/Table1[[#This Row],[Sample Qty  (g)]],"")</f>
        <v/>
      </c>
      <c r="AG276" s="9" t="str">
        <f>IFERROR(Table1[[#This Row],[Rejection  (g)]]/Table1[[#This Row],[Sample Qty  (g)]],"")</f>
        <v/>
      </c>
      <c r="AH276" s="9" t="str">
        <f>IFERROR(Table1[[#This Row],[Husk  (g)]]/Table1[[#This Row],[Sample Qty  (g)]],"")</f>
        <v/>
      </c>
    </row>
    <row r="277" spans="2:34" ht="12" x14ac:dyDescent="0.25">
      <c r="B277" s="8"/>
      <c r="C277" s="7">
        <f>WEEKNUM(Table1[[#This Row],[Date]])</f>
        <v>0</v>
      </c>
      <c r="D277" s="7"/>
      <c r="Y277" s="7">
        <f>SUM(Table1[[#This Row],[Good Kernels  (g)]:[Husk  (g)]])</f>
        <v>0</v>
      </c>
      <c r="Z277" s="9" t="str">
        <f>IFERROR(Table1[[#This Row],[Good Kernels  (g)]]/Table1[[#This Row],[Sample Qty  (g)]],"")</f>
        <v/>
      </c>
      <c r="AA277" s="9" t="str">
        <f>IFERROR(SUM(Table1[[#This Row],[Pieces  (g)]:[Butts (g)]])/Table1[[#This Row],[Sample Qty  (g)]],"")</f>
        <v/>
      </c>
      <c r="AB277" s="9" t="str">
        <f>IFERROR(Table1[[#This Row],[Scorched (g)]]/Table1[[#This Row],[Sample Qty  (g)]],"")</f>
        <v/>
      </c>
      <c r="AC277" s="9" t="str">
        <f>IFERROR(SUM(Table1[[#This Row],[Spotted  (g)]:[PUK3  (g)]])/Table1[[#This Row],[Sample Qty  (g)]],"")</f>
        <v/>
      </c>
      <c r="AD277" s="9" t="str">
        <f>IFERROR(SUM(R277,Q277)/Table1[[#This Row],[Sample Qty  (g)]],"")</f>
        <v/>
      </c>
      <c r="AE277" s="9" t="str">
        <f>IFERROR(Table1[[#This Row],[Dessert/NW  (g)]]/Table1[[#This Row],[Sample Qty  (g)]],"")</f>
        <v/>
      </c>
      <c r="AF277" s="9" t="str">
        <f>IFERROR(SUM(Table1[[#This Row],[Oil  (g)]:[Dirty  (g)]])/Table1[[#This Row],[Sample Qty  (g)]],"")</f>
        <v/>
      </c>
      <c r="AG277" s="9" t="str">
        <f>IFERROR(Table1[[#This Row],[Rejection  (g)]]/Table1[[#This Row],[Sample Qty  (g)]],"")</f>
        <v/>
      </c>
      <c r="AH277" s="9" t="str">
        <f>IFERROR(Table1[[#This Row],[Husk  (g)]]/Table1[[#This Row],[Sample Qty  (g)]],"")</f>
        <v/>
      </c>
    </row>
    <row r="278" spans="2:34" ht="12" x14ac:dyDescent="0.25">
      <c r="B278" s="8"/>
      <c r="C278" s="7">
        <f>WEEKNUM(Table1[[#This Row],[Date]])</f>
        <v>0</v>
      </c>
      <c r="D278" s="7"/>
      <c r="Y278" s="7">
        <f>SUM(Table1[[#This Row],[Good Kernels  (g)]:[Husk  (g)]])</f>
        <v>0</v>
      </c>
      <c r="Z278" s="9" t="str">
        <f>IFERROR(Table1[[#This Row],[Good Kernels  (g)]]/Table1[[#This Row],[Sample Qty  (g)]],"")</f>
        <v/>
      </c>
      <c r="AA278" s="9" t="str">
        <f>IFERROR(SUM(Table1[[#This Row],[Pieces  (g)]:[Butts (g)]])/Table1[[#This Row],[Sample Qty  (g)]],"")</f>
        <v/>
      </c>
      <c r="AB278" s="9" t="str">
        <f>IFERROR(Table1[[#This Row],[Scorched (g)]]/Table1[[#This Row],[Sample Qty  (g)]],"")</f>
        <v/>
      </c>
      <c r="AC278" s="9" t="str">
        <f>IFERROR(SUM(Table1[[#This Row],[Spotted  (g)]:[PUK3  (g)]])/Table1[[#This Row],[Sample Qty  (g)]],"")</f>
        <v/>
      </c>
      <c r="AD278" s="9" t="str">
        <f>IFERROR(SUM(R278,Q278)/Table1[[#This Row],[Sample Qty  (g)]],"")</f>
        <v/>
      </c>
      <c r="AE278" s="9" t="str">
        <f>IFERROR(Table1[[#This Row],[Dessert/NW  (g)]]/Table1[[#This Row],[Sample Qty  (g)]],"")</f>
        <v/>
      </c>
      <c r="AF278" s="9" t="str">
        <f>IFERROR(SUM(Table1[[#This Row],[Oil  (g)]:[Dirty  (g)]])/Table1[[#This Row],[Sample Qty  (g)]],"")</f>
        <v/>
      </c>
      <c r="AG278" s="9" t="str">
        <f>IFERROR(Table1[[#This Row],[Rejection  (g)]]/Table1[[#This Row],[Sample Qty  (g)]],"")</f>
        <v/>
      </c>
      <c r="AH278" s="9" t="str">
        <f>IFERROR(Table1[[#This Row],[Husk  (g)]]/Table1[[#This Row],[Sample Qty  (g)]],"")</f>
        <v/>
      </c>
    </row>
    <row r="279" spans="2:34" ht="12" x14ac:dyDescent="0.25">
      <c r="B279" s="8"/>
      <c r="C279" s="7">
        <f>WEEKNUM(Table1[[#This Row],[Date]])</f>
        <v>0</v>
      </c>
      <c r="D279" s="7"/>
      <c r="Y279" s="7">
        <f>SUM(Table1[[#This Row],[Good Kernels  (g)]:[Husk  (g)]])</f>
        <v>0</v>
      </c>
      <c r="Z279" s="9" t="str">
        <f>IFERROR(Table1[[#This Row],[Good Kernels  (g)]]/Table1[[#This Row],[Sample Qty  (g)]],"")</f>
        <v/>
      </c>
      <c r="AA279" s="9" t="str">
        <f>IFERROR(SUM(Table1[[#This Row],[Pieces  (g)]:[Butts (g)]])/Table1[[#This Row],[Sample Qty  (g)]],"")</f>
        <v/>
      </c>
      <c r="AB279" s="9" t="str">
        <f>IFERROR(Table1[[#This Row],[Scorched (g)]]/Table1[[#This Row],[Sample Qty  (g)]],"")</f>
        <v/>
      </c>
      <c r="AC279" s="9" t="str">
        <f>IFERROR(SUM(Table1[[#This Row],[Spotted  (g)]:[PUK3  (g)]])/Table1[[#This Row],[Sample Qty  (g)]],"")</f>
        <v/>
      </c>
      <c r="AD279" s="9" t="str">
        <f>IFERROR(SUM(R279,Q279)/Table1[[#This Row],[Sample Qty  (g)]],"")</f>
        <v/>
      </c>
      <c r="AE279" s="9" t="str">
        <f>IFERROR(Table1[[#This Row],[Dessert/NW  (g)]]/Table1[[#This Row],[Sample Qty  (g)]],"")</f>
        <v/>
      </c>
      <c r="AF279" s="9" t="str">
        <f>IFERROR(SUM(Table1[[#This Row],[Oil  (g)]:[Dirty  (g)]])/Table1[[#This Row],[Sample Qty  (g)]],"")</f>
        <v/>
      </c>
      <c r="AG279" s="9" t="str">
        <f>IFERROR(Table1[[#This Row],[Rejection  (g)]]/Table1[[#This Row],[Sample Qty  (g)]],"")</f>
        <v/>
      </c>
      <c r="AH279" s="9" t="str">
        <f>IFERROR(Table1[[#This Row],[Husk  (g)]]/Table1[[#This Row],[Sample Qty  (g)]],"")</f>
        <v/>
      </c>
    </row>
    <row r="280" spans="2:34" ht="12" x14ac:dyDescent="0.25">
      <c r="B280" s="8"/>
      <c r="C280" s="7">
        <f>WEEKNUM(Table1[[#This Row],[Date]])</f>
        <v>0</v>
      </c>
      <c r="D280" s="7"/>
      <c r="Y280" s="7">
        <f>SUM(Table1[[#This Row],[Good Kernels  (g)]:[Husk  (g)]])</f>
        <v>0</v>
      </c>
      <c r="Z280" s="9" t="str">
        <f>IFERROR(Table1[[#This Row],[Good Kernels  (g)]]/Table1[[#This Row],[Sample Qty  (g)]],"")</f>
        <v/>
      </c>
      <c r="AA280" s="9" t="str">
        <f>IFERROR(SUM(Table1[[#This Row],[Pieces  (g)]:[Butts (g)]])/Table1[[#This Row],[Sample Qty  (g)]],"")</f>
        <v/>
      </c>
      <c r="AB280" s="9" t="str">
        <f>IFERROR(Table1[[#This Row],[Scorched (g)]]/Table1[[#This Row],[Sample Qty  (g)]],"")</f>
        <v/>
      </c>
      <c r="AC280" s="9" t="str">
        <f>IFERROR(SUM(Table1[[#This Row],[Spotted  (g)]:[PUK3  (g)]])/Table1[[#This Row],[Sample Qty  (g)]],"")</f>
        <v/>
      </c>
      <c r="AD280" s="9" t="str">
        <f>IFERROR(SUM(R280,Q280)/Table1[[#This Row],[Sample Qty  (g)]],"")</f>
        <v/>
      </c>
      <c r="AE280" s="9" t="str">
        <f>IFERROR(Table1[[#This Row],[Dessert/NW  (g)]]/Table1[[#This Row],[Sample Qty  (g)]],"")</f>
        <v/>
      </c>
      <c r="AF280" s="9" t="str">
        <f>IFERROR(SUM(Table1[[#This Row],[Oil  (g)]:[Dirty  (g)]])/Table1[[#This Row],[Sample Qty  (g)]],"")</f>
        <v/>
      </c>
      <c r="AG280" s="9" t="str">
        <f>IFERROR(Table1[[#This Row],[Rejection  (g)]]/Table1[[#This Row],[Sample Qty  (g)]],"")</f>
        <v/>
      </c>
      <c r="AH280" s="9" t="str">
        <f>IFERROR(Table1[[#This Row],[Husk  (g)]]/Table1[[#This Row],[Sample Qty  (g)]],"")</f>
        <v/>
      </c>
    </row>
    <row r="281" spans="2:34" ht="12" x14ac:dyDescent="0.25">
      <c r="B281" s="8"/>
      <c r="C281" s="7">
        <f>WEEKNUM(Table1[[#This Row],[Date]])</f>
        <v>0</v>
      </c>
      <c r="D281" s="7"/>
      <c r="Y281" s="7">
        <f>SUM(Table1[[#This Row],[Good Kernels  (g)]:[Husk  (g)]])</f>
        <v>0</v>
      </c>
      <c r="Z281" s="9" t="str">
        <f>IFERROR(Table1[[#This Row],[Good Kernels  (g)]]/Table1[[#This Row],[Sample Qty  (g)]],"")</f>
        <v/>
      </c>
      <c r="AA281" s="9" t="str">
        <f>IFERROR(SUM(Table1[[#This Row],[Pieces  (g)]:[Butts (g)]])/Table1[[#This Row],[Sample Qty  (g)]],"")</f>
        <v/>
      </c>
      <c r="AB281" s="9" t="str">
        <f>IFERROR(Table1[[#This Row],[Scorched (g)]]/Table1[[#This Row],[Sample Qty  (g)]],"")</f>
        <v/>
      </c>
      <c r="AC281" s="9" t="str">
        <f>IFERROR(SUM(Table1[[#This Row],[Spotted  (g)]:[PUK3  (g)]])/Table1[[#This Row],[Sample Qty  (g)]],"")</f>
        <v/>
      </c>
      <c r="AD281" s="9" t="str">
        <f>IFERROR(SUM(R281,Q281)/Table1[[#This Row],[Sample Qty  (g)]],"")</f>
        <v/>
      </c>
      <c r="AE281" s="9" t="str">
        <f>IFERROR(Table1[[#This Row],[Dessert/NW  (g)]]/Table1[[#This Row],[Sample Qty  (g)]],"")</f>
        <v/>
      </c>
      <c r="AF281" s="9" t="str">
        <f>IFERROR(SUM(Table1[[#This Row],[Oil  (g)]:[Dirty  (g)]])/Table1[[#This Row],[Sample Qty  (g)]],"")</f>
        <v/>
      </c>
      <c r="AG281" s="9" t="str">
        <f>IFERROR(Table1[[#This Row],[Rejection  (g)]]/Table1[[#This Row],[Sample Qty  (g)]],"")</f>
        <v/>
      </c>
      <c r="AH281" s="9" t="str">
        <f>IFERROR(Table1[[#This Row],[Husk  (g)]]/Table1[[#This Row],[Sample Qty  (g)]],"")</f>
        <v/>
      </c>
    </row>
    <row r="282" spans="2:34" ht="12" x14ac:dyDescent="0.25">
      <c r="B282" s="8"/>
      <c r="C282" s="7">
        <f>WEEKNUM(Table1[[#This Row],[Date]])</f>
        <v>0</v>
      </c>
      <c r="D282" s="7"/>
      <c r="Y282" s="7">
        <f>SUM(Table1[[#This Row],[Good Kernels  (g)]:[Husk  (g)]])</f>
        <v>0</v>
      </c>
      <c r="Z282" s="9" t="str">
        <f>IFERROR(Table1[[#This Row],[Good Kernels  (g)]]/Table1[[#This Row],[Sample Qty  (g)]],"")</f>
        <v/>
      </c>
      <c r="AA282" s="9" t="str">
        <f>IFERROR(SUM(Table1[[#This Row],[Pieces  (g)]:[Butts (g)]])/Table1[[#This Row],[Sample Qty  (g)]],"")</f>
        <v/>
      </c>
      <c r="AB282" s="9" t="str">
        <f>IFERROR(Table1[[#This Row],[Scorched (g)]]/Table1[[#This Row],[Sample Qty  (g)]],"")</f>
        <v/>
      </c>
      <c r="AC282" s="9" t="str">
        <f>IFERROR(SUM(Table1[[#This Row],[Spotted  (g)]:[PUK3  (g)]])/Table1[[#This Row],[Sample Qty  (g)]],"")</f>
        <v/>
      </c>
      <c r="AD282" s="9" t="str">
        <f>IFERROR(SUM(R282,Q282)/Table1[[#This Row],[Sample Qty  (g)]],"")</f>
        <v/>
      </c>
      <c r="AE282" s="9" t="str">
        <f>IFERROR(Table1[[#This Row],[Dessert/NW  (g)]]/Table1[[#This Row],[Sample Qty  (g)]],"")</f>
        <v/>
      </c>
      <c r="AF282" s="9" t="str">
        <f>IFERROR(SUM(Table1[[#This Row],[Oil  (g)]:[Dirty  (g)]])/Table1[[#This Row],[Sample Qty  (g)]],"")</f>
        <v/>
      </c>
      <c r="AG282" s="9" t="str">
        <f>IFERROR(Table1[[#This Row],[Rejection  (g)]]/Table1[[#This Row],[Sample Qty  (g)]],"")</f>
        <v/>
      </c>
      <c r="AH282" s="9" t="str">
        <f>IFERROR(Table1[[#This Row],[Husk  (g)]]/Table1[[#This Row],[Sample Qty  (g)]],"")</f>
        <v/>
      </c>
    </row>
    <row r="283" spans="2:34" ht="12" x14ac:dyDescent="0.25">
      <c r="B283" s="8"/>
      <c r="C283" s="7">
        <f>WEEKNUM(Table1[[#This Row],[Date]])</f>
        <v>0</v>
      </c>
      <c r="D283" s="7"/>
      <c r="Y283" s="7">
        <f>SUM(Table1[[#This Row],[Good Kernels  (g)]:[Husk  (g)]])</f>
        <v>0</v>
      </c>
      <c r="Z283" s="9" t="str">
        <f>IFERROR(Table1[[#This Row],[Good Kernels  (g)]]/Table1[[#This Row],[Sample Qty  (g)]],"")</f>
        <v/>
      </c>
      <c r="AA283" s="9" t="str">
        <f>IFERROR(SUM(Table1[[#This Row],[Pieces  (g)]:[Butts (g)]])/Table1[[#This Row],[Sample Qty  (g)]],"")</f>
        <v/>
      </c>
      <c r="AB283" s="9" t="str">
        <f>IFERROR(Table1[[#This Row],[Scorched (g)]]/Table1[[#This Row],[Sample Qty  (g)]],"")</f>
        <v/>
      </c>
      <c r="AC283" s="9" t="str">
        <f>IFERROR(SUM(Table1[[#This Row],[Spotted  (g)]:[PUK3  (g)]])/Table1[[#This Row],[Sample Qty  (g)]],"")</f>
        <v/>
      </c>
      <c r="AD283" s="9" t="str">
        <f>IFERROR(SUM(R283,Q283)/Table1[[#This Row],[Sample Qty  (g)]],"")</f>
        <v/>
      </c>
      <c r="AE283" s="9" t="str">
        <f>IFERROR(Table1[[#This Row],[Dessert/NW  (g)]]/Table1[[#This Row],[Sample Qty  (g)]],"")</f>
        <v/>
      </c>
      <c r="AF283" s="9" t="str">
        <f>IFERROR(SUM(Table1[[#This Row],[Oil  (g)]:[Dirty  (g)]])/Table1[[#This Row],[Sample Qty  (g)]],"")</f>
        <v/>
      </c>
      <c r="AG283" s="9" t="str">
        <f>IFERROR(Table1[[#This Row],[Rejection  (g)]]/Table1[[#This Row],[Sample Qty  (g)]],"")</f>
        <v/>
      </c>
      <c r="AH283" s="9" t="str">
        <f>IFERROR(Table1[[#This Row],[Husk  (g)]]/Table1[[#This Row],[Sample Qty  (g)]],"")</f>
        <v/>
      </c>
    </row>
    <row r="284" spans="2:34" ht="12" x14ac:dyDescent="0.25">
      <c r="B284" s="8"/>
      <c r="C284" s="7">
        <f>WEEKNUM(Table1[[#This Row],[Date]])</f>
        <v>0</v>
      </c>
      <c r="D284" s="7"/>
      <c r="Y284" s="7">
        <f>SUM(Table1[[#This Row],[Good Kernels  (g)]:[Husk  (g)]])</f>
        <v>0</v>
      </c>
      <c r="Z284" s="9" t="str">
        <f>IFERROR(Table1[[#This Row],[Good Kernels  (g)]]/Table1[[#This Row],[Sample Qty  (g)]],"")</f>
        <v/>
      </c>
      <c r="AA284" s="9" t="str">
        <f>IFERROR(SUM(Table1[[#This Row],[Pieces  (g)]:[Butts (g)]])/Table1[[#This Row],[Sample Qty  (g)]],"")</f>
        <v/>
      </c>
      <c r="AB284" s="9" t="str">
        <f>IFERROR(Table1[[#This Row],[Scorched (g)]]/Table1[[#This Row],[Sample Qty  (g)]],"")</f>
        <v/>
      </c>
      <c r="AC284" s="9" t="str">
        <f>IFERROR(SUM(Table1[[#This Row],[Spotted  (g)]:[PUK3  (g)]])/Table1[[#This Row],[Sample Qty  (g)]],"")</f>
        <v/>
      </c>
      <c r="AD284" s="9" t="str">
        <f>IFERROR(SUM(R284,Q284)/Table1[[#This Row],[Sample Qty  (g)]],"")</f>
        <v/>
      </c>
      <c r="AE284" s="9" t="str">
        <f>IFERROR(Table1[[#This Row],[Dessert/NW  (g)]]/Table1[[#This Row],[Sample Qty  (g)]],"")</f>
        <v/>
      </c>
      <c r="AF284" s="9" t="str">
        <f>IFERROR(SUM(Table1[[#This Row],[Oil  (g)]:[Dirty  (g)]])/Table1[[#This Row],[Sample Qty  (g)]],"")</f>
        <v/>
      </c>
      <c r="AG284" s="9" t="str">
        <f>IFERROR(Table1[[#This Row],[Rejection  (g)]]/Table1[[#This Row],[Sample Qty  (g)]],"")</f>
        <v/>
      </c>
      <c r="AH284" s="9" t="str">
        <f>IFERROR(Table1[[#This Row],[Husk  (g)]]/Table1[[#This Row],[Sample Qty  (g)]],"")</f>
        <v/>
      </c>
    </row>
    <row r="285" spans="2:34" ht="12" x14ac:dyDescent="0.25">
      <c r="B285" s="8"/>
      <c r="C285" s="7">
        <f>WEEKNUM(Table1[[#This Row],[Date]])</f>
        <v>0</v>
      </c>
      <c r="D285" s="7"/>
      <c r="Y285" s="7">
        <f>SUM(Table1[[#This Row],[Good Kernels  (g)]:[Husk  (g)]])</f>
        <v>0</v>
      </c>
      <c r="Z285" s="9" t="str">
        <f>IFERROR(Table1[[#This Row],[Good Kernels  (g)]]/Table1[[#This Row],[Sample Qty  (g)]],"")</f>
        <v/>
      </c>
      <c r="AA285" s="9" t="str">
        <f>IFERROR(SUM(Table1[[#This Row],[Pieces  (g)]:[Butts (g)]])/Table1[[#This Row],[Sample Qty  (g)]],"")</f>
        <v/>
      </c>
      <c r="AB285" s="9" t="str">
        <f>IFERROR(Table1[[#This Row],[Scorched (g)]]/Table1[[#This Row],[Sample Qty  (g)]],"")</f>
        <v/>
      </c>
      <c r="AC285" s="9" t="str">
        <f>IFERROR(SUM(Table1[[#This Row],[Spotted  (g)]:[PUK3  (g)]])/Table1[[#This Row],[Sample Qty  (g)]],"")</f>
        <v/>
      </c>
      <c r="AD285" s="9" t="str">
        <f>IFERROR(SUM(R285,Q285)/Table1[[#This Row],[Sample Qty  (g)]],"")</f>
        <v/>
      </c>
      <c r="AE285" s="9" t="str">
        <f>IFERROR(Table1[[#This Row],[Dessert/NW  (g)]]/Table1[[#This Row],[Sample Qty  (g)]],"")</f>
        <v/>
      </c>
      <c r="AF285" s="9" t="str">
        <f>IFERROR(SUM(Table1[[#This Row],[Oil  (g)]:[Dirty  (g)]])/Table1[[#This Row],[Sample Qty  (g)]],"")</f>
        <v/>
      </c>
      <c r="AG285" s="9" t="str">
        <f>IFERROR(Table1[[#This Row],[Rejection  (g)]]/Table1[[#This Row],[Sample Qty  (g)]],"")</f>
        <v/>
      </c>
      <c r="AH285" s="9" t="str">
        <f>IFERROR(Table1[[#This Row],[Husk  (g)]]/Table1[[#This Row],[Sample Qty  (g)]],"")</f>
        <v/>
      </c>
    </row>
    <row r="286" spans="2:34" ht="12" x14ac:dyDescent="0.25">
      <c r="B286" s="8"/>
      <c r="C286" s="7">
        <f>WEEKNUM(Table1[[#This Row],[Date]])</f>
        <v>0</v>
      </c>
      <c r="D286" s="7"/>
      <c r="Y286" s="7">
        <f>SUM(Table1[[#This Row],[Good Kernels  (g)]:[Husk  (g)]])</f>
        <v>0</v>
      </c>
      <c r="Z286" s="9" t="str">
        <f>IFERROR(Table1[[#This Row],[Good Kernels  (g)]]/Table1[[#This Row],[Sample Qty  (g)]],"")</f>
        <v/>
      </c>
      <c r="AA286" s="9" t="str">
        <f>IFERROR(SUM(Table1[[#This Row],[Pieces  (g)]:[Butts (g)]])/Table1[[#This Row],[Sample Qty  (g)]],"")</f>
        <v/>
      </c>
      <c r="AB286" s="9" t="str">
        <f>IFERROR(Table1[[#This Row],[Scorched (g)]]/Table1[[#This Row],[Sample Qty  (g)]],"")</f>
        <v/>
      </c>
      <c r="AC286" s="9" t="str">
        <f>IFERROR(SUM(Table1[[#This Row],[Spotted  (g)]:[PUK3  (g)]])/Table1[[#This Row],[Sample Qty  (g)]],"")</f>
        <v/>
      </c>
      <c r="AD286" s="9" t="str">
        <f>IFERROR(SUM(R286,Q286)/Table1[[#This Row],[Sample Qty  (g)]],"")</f>
        <v/>
      </c>
      <c r="AE286" s="9" t="str">
        <f>IFERROR(Table1[[#This Row],[Dessert/NW  (g)]]/Table1[[#This Row],[Sample Qty  (g)]],"")</f>
        <v/>
      </c>
      <c r="AF286" s="9" t="str">
        <f>IFERROR(SUM(Table1[[#This Row],[Oil  (g)]:[Dirty  (g)]])/Table1[[#This Row],[Sample Qty  (g)]],"")</f>
        <v/>
      </c>
      <c r="AG286" s="9" t="str">
        <f>IFERROR(Table1[[#This Row],[Rejection  (g)]]/Table1[[#This Row],[Sample Qty  (g)]],"")</f>
        <v/>
      </c>
      <c r="AH286" s="9" t="str">
        <f>IFERROR(Table1[[#This Row],[Husk  (g)]]/Table1[[#This Row],[Sample Qty  (g)]],"")</f>
        <v/>
      </c>
    </row>
    <row r="287" spans="2:34" ht="12" x14ac:dyDescent="0.25">
      <c r="B287" s="8"/>
      <c r="C287" s="7">
        <f>WEEKNUM(Table1[[#This Row],[Date]])</f>
        <v>0</v>
      </c>
      <c r="D287" s="7"/>
      <c r="Y287" s="7">
        <f>SUM(Table1[[#This Row],[Good Kernels  (g)]:[Husk  (g)]])</f>
        <v>0</v>
      </c>
      <c r="Z287" s="9" t="str">
        <f>IFERROR(Table1[[#This Row],[Good Kernels  (g)]]/Table1[[#This Row],[Sample Qty  (g)]],"")</f>
        <v/>
      </c>
      <c r="AA287" s="9" t="str">
        <f>IFERROR(SUM(Table1[[#This Row],[Pieces  (g)]:[Butts (g)]])/Table1[[#This Row],[Sample Qty  (g)]],"")</f>
        <v/>
      </c>
      <c r="AB287" s="9" t="str">
        <f>IFERROR(Table1[[#This Row],[Scorched (g)]]/Table1[[#This Row],[Sample Qty  (g)]],"")</f>
        <v/>
      </c>
      <c r="AC287" s="9" t="str">
        <f>IFERROR(SUM(Table1[[#This Row],[Spotted  (g)]:[PUK3  (g)]])/Table1[[#This Row],[Sample Qty  (g)]],"")</f>
        <v/>
      </c>
      <c r="AD287" s="9" t="str">
        <f>IFERROR(SUM(R287,Q287)/Table1[[#This Row],[Sample Qty  (g)]],"")</f>
        <v/>
      </c>
      <c r="AE287" s="9" t="str">
        <f>IFERROR(Table1[[#This Row],[Dessert/NW  (g)]]/Table1[[#This Row],[Sample Qty  (g)]],"")</f>
        <v/>
      </c>
      <c r="AF287" s="9" t="str">
        <f>IFERROR(SUM(Table1[[#This Row],[Oil  (g)]:[Dirty  (g)]])/Table1[[#This Row],[Sample Qty  (g)]],"")</f>
        <v/>
      </c>
      <c r="AG287" s="9" t="str">
        <f>IFERROR(Table1[[#This Row],[Rejection  (g)]]/Table1[[#This Row],[Sample Qty  (g)]],"")</f>
        <v/>
      </c>
      <c r="AH287" s="9" t="str">
        <f>IFERROR(Table1[[#This Row],[Husk  (g)]]/Table1[[#This Row],[Sample Qty  (g)]],"")</f>
        <v/>
      </c>
    </row>
    <row r="288" spans="2:34" ht="12" x14ac:dyDescent="0.25">
      <c r="B288" s="8"/>
      <c r="C288" s="7">
        <f>WEEKNUM(Table1[[#This Row],[Date]])</f>
        <v>0</v>
      </c>
      <c r="D288" s="7"/>
      <c r="Y288" s="7">
        <f>SUM(Table1[[#This Row],[Good Kernels  (g)]:[Husk  (g)]])</f>
        <v>0</v>
      </c>
      <c r="Z288" s="9" t="str">
        <f>IFERROR(Table1[[#This Row],[Good Kernels  (g)]]/Table1[[#This Row],[Sample Qty  (g)]],"")</f>
        <v/>
      </c>
      <c r="AA288" s="9" t="str">
        <f>IFERROR(SUM(Table1[[#This Row],[Pieces  (g)]:[Butts (g)]])/Table1[[#This Row],[Sample Qty  (g)]],"")</f>
        <v/>
      </c>
      <c r="AB288" s="9" t="str">
        <f>IFERROR(Table1[[#This Row],[Scorched (g)]]/Table1[[#This Row],[Sample Qty  (g)]],"")</f>
        <v/>
      </c>
      <c r="AC288" s="9" t="str">
        <f>IFERROR(SUM(Table1[[#This Row],[Spotted  (g)]:[PUK3  (g)]])/Table1[[#This Row],[Sample Qty  (g)]],"")</f>
        <v/>
      </c>
      <c r="AD288" s="9" t="str">
        <f>IFERROR(SUM(R288,Q288)/Table1[[#This Row],[Sample Qty  (g)]],"")</f>
        <v/>
      </c>
      <c r="AE288" s="9" t="str">
        <f>IFERROR(Table1[[#This Row],[Dessert/NW  (g)]]/Table1[[#This Row],[Sample Qty  (g)]],"")</f>
        <v/>
      </c>
      <c r="AF288" s="9" t="str">
        <f>IFERROR(SUM(Table1[[#This Row],[Oil  (g)]:[Dirty  (g)]])/Table1[[#This Row],[Sample Qty  (g)]],"")</f>
        <v/>
      </c>
      <c r="AG288" s="9" t="str">
        <f>IFERROR(Table1[[#This Row],[Rejection  (g)]]/Table1[[#This Row],[Sample Qty  (g)]],"")</f>
        <v/>
      </c>
      <c r="AH288" s="9" t="str">
        <f>IFERROR(Table1[[#This Row],[Husk  (g)]]/Table1[[#This Row],[Sample Qty  (g)]],"")</f>
        <v/>
      </c>
    </row>
    <row r="289" spans="2:34" ht="12" x14ac:dyDescent="0.25">
      <c r="B289" s="8"/>
      <c r="C289" s="7">
        <f>WEEKNUM(Table1[[#This Row],[Date]])</f>
        <v>0</v>
      </c>
      <c r="D289" s="7"/>
      <c r="Y289" s="7">
        <f>SUM(Table1[[#This Row],[Good Kernels  (g)]:[Husk  (g)]])</f>
        <v>0</v>
      </c>
      <c r="Z289" s="9" t="str">
        <f>IFERROR(Table1[[#This Row],[Good Kernels  (g)]]/Table1[[#This Row],[Sample Qty  (g)]],"")</f>
        <v/>
      </c>
      <c r="AA289" s="9" t="str">
        <f>IFERROR(SUM(Table1[[#This Row],[Pieces  (g)]:[Butts (g)]])/Table1[[#This Row],[Sample Qty  (g)]],"")</f>
        <v/>
      </c>
      <c r="AB289" s="9" t="str">
        <f>IFERROR(Table1[[#This Row],[Scorched (g)]]/Table1[[#This Row],[Sample Qty  (g)]],"")</f>
        <v/>
      </c>
      <c r="AC289" s="9" t="str">
        <f>IFERROR(SUM(Table1[[#This Row],[Spotted  (g)]:[PUK3  (g)]])/Table1[[#This Row],[Sample Qty  (g)]],"")</f>
        <v/>
      </c>
      <c r="AD289" s="9" t="str">
        <f>IFERROR(SUM(R289,Q289)/Table1[[#This Row],[Sample Qty  (g)]],"")</f>
        <v/>
      </c>
      <c r="AE289" s="9" t="str">
        <f>IFERROR(Table1[[#This Row],[Dessert/NW  (g)]]/Table1[[#This Row],[Sample Qty  (g)]],"")</f>
        <v/>
      </c>
      <c r="AF289" s="9" t="str">
        <f>IFERROR(SUM(Table1[[#This Row],[Oil  (g)]:[Dirty  (g)]])/Table1[[#This Row],[Sample Qty  (g)]],"")</f>
        <v/>
      </c>
      <c r="AG289" s="9" t="str">
        <f>IFERROR(Table1[[#This Row],[Rejection  (g)]]/Table1[[#This Row],[Sample Qty  (g)]],"")</f>
        <v/>
      </c>
      <c r="AH289" s="9" t="str">
        <f>IFERROR(Table1[[#This Row],[Husk  (g)]]/Table1[[#This Row],[Sample Qty  (g)]],"")</f>
        <v/>
      </c>
    </row>
    <row r="290" spans="2:34" ht="12" x14ac:dyDescent="0.25">
      <c r="B290" s="8"/>
      <c r="C290" s="7">
        <f>WEEKNUM(Table1[[#This Row],[Date]])</f>
        <v>0</v>
      </c>
      <c r="D290" s="7"/>
      <c r="Y290" s="7">
        <f>SUM(Table1[[#This Row],[Good Kernels  (g)]:[Husk  (g)]])</f>
        <v>0</v>
      </c>
      <c r="Z290" s="9" t="str">
        <f>IFERROR(Table1[[#This Row],[Good Kernels  (g)]]/Table1[[#This Row],[Sample Qty  (g)]],"")</f>
        <v/>
      </c>
      <c r="AA290" s="9" t="str">
        <f>IFERROR(SUM(Table1[[#This Row],[Pieces  (g)]:[Butts (g)]])/Table1[[#This Row],[Sample Qty  (g)]],"")</f>
        <v/>
      </c>
      <c r="AB290" s="9" t="str">
        <f>IFERROR(Table1[[#This Row],[Scorched (g)]]/Table1[[#This Row],[Sample Qty  (g)]],"")</f>
        <v/>
      </c>
      <c r="AC290" s="9" t="str">
        <f>IFERROR(SUM(Table1[[#This Row],[Spotted  (g)]:[PUK3  (g)]])/Table1[[#This Row],[Sample Qty  (g)]],"")</f>
        <v/>
      </c>
      <c r="AD290" s="9" t="str">
        <f>IFERROR(SUM(R290,Q290)/Table1[[#This Row],[Sample Qty  (g)]],"")</f>
        <v/>
      </c>
      <c r="AE290" s="9" t="str">
        <f>IFERROR(Table1[[#This Row],[Dessert/NW  (g)]]/Table1[[#This Row],[Sample Qty  (g)]],"")</f>
        <v/>
      </c>
      <c r="AF290" s="9" t="str">
        <f>IFERROR(SUM(Table1[[#This Row],[Oil  (g)]:[Dirty  (g)]])/Table1[[#This Row],[Sample Qty  (g)]],"")</f>
        <v/>
      </c>
      <c r="AG290" s="9" t="str">
        <f>IFERROR(Table1[[#This Row],[Rejection  (g)]]/Table1[[#This Row],[Sample Qty  (g)]],"")</f>
        <v/>
      </c>
      <c r="AH290" s="9" t="str">
        <f>IFERROR(Table1[[#This Row],[Husk  (g)]]/Table1[[#This Row],[Sample Qty  (g)]],"")</f>
        <v/>
      </c>
    </row>
    <row r="291" spans="2:34" ht="12" x14ac:dyDescent="0.25">
      <c r="B291" s="8"/>
      <c r="C291" s="7">
        <f>WEEKNUM(Table1[[#This Row],[Date]])</f>
        <v>0</v>
      </c>
      <c r="D291" s="7"/>
      <c r="Y291" s="7">
        <f>SUM(Table1[[#This Row],[Good Kernels  (g)]:[Husk  (g)]])</f>
        <v>0</v>
      </c>
      <c r="Z291" s="9" t="str">
        <f>IFERROR(Table1[[#This Row],[Good Kernels  (g)]]/Table1[[#This Row],[Sample Qty  (g)]],"")</f>
        <v/>
      </c>
      <c r="AA291" s="9" t="str">
        <f>IFERROR(SUM(Table1[[#This Row],[Pieces  (g)]:[Butts (g)]])/Table1[[#This Row],[Sample Qty  (g)]],"")</f>
        <v/>
      </c>
      <c r="AB291" s="9" t="str">
        <f>IFERROR(Table1[[#This Row],[Scorched (g)]]/Table1[[#This Row],[Sample Qty  (g)]],"")</f>
        <v/>
      </c>
      <c r="AC291" s="9" t="str">
        <f>IFERROR(SUM(Table1[[#This Row],[Spotted  (g)]:[PUK3  (g)]])/Table1[[#This Row],[Sample Qty  (g)]],"")</f>
        <v/>
      </c>
      <c r="AD291" s="9" t="str">
        <f>IFERROR(SUM(R291,Q291)/Table1[[#This Row],[Sample Qty  (g)]],"")</f>
        <v/>
      </c>
      <c r="AE291" s="9" t="str">
        <f>IFERROR(Table1[[#This Row],[Dessert/NW  (g)]]/Table1[[#This Row],[Sample Qty  (g)]],"")</f>
        <v/>
      </c>
      <c r="AF291" s="9" t="str">
        <f>IFERROR(SUM(Table1[[#This Row],[Oil  (g)]:[Dirty  (g)]])/Table1[[#This Row],[Sample Qty  (g)]],"")</f>
        <v/>
      </c>
      <c r="AG291" s="9" t="str">
        <f>IFERROR(Table1[[#This Row],[Rejection  (g)]]/Table1[[#This Row],[Sample Qty  (g)]],"")</f>
        <v/>
      </c>
      <c r="AH291" s="9" t="str">
        <f>IFERROR(Table1[[#This Row],[Husk  (g)]]/Table1[[#This Row],[Sample Qty  (g)]],"")</f>
        <v/>
      </c>
    </row>
    <row r="292" spans="2:34" ht="12" x14ac:dyDescent="0.25">
      <c r="B292" s="8"/>
      <c r="C292" s="7">
        <f>WEEKNUM(Table1[[#This Row],[Date]])</f>
        <v>0</v>
      </c>
      <c r="D292" s="7"/>
      <c r="Y292" s="7">
        <f>SUM(Table1[[#This Row],[Good Kernels  (g)]:[Husk  (g)]])</f>
        <v>0</v>
      </c>
      <c r="Z292" s="9" t="str">
        <f>IFERROR(Table1[[#This Row],[Good Kernels  (g)]]/Table1[[#This Row],[Sample Qty  (g)]],"")</f>
        <v/>
      </c>
      <c r="AA292" s="9" t="str">
        <f>IFERROR(SUM(Table1[[#This Row],[Pieces  (g)]:[Butts (g)]])/Table1[[#This Row],[Sample Qty  (g)]],"")</f>
        <v/>
      </c>
      <c r="AB292" s="9" t="str">
        <f>IFERROR(Table1[[#This Row],[Scorched (g)]]/Table1[[#This Row],[Sample Qty  (g)]],"")</f>
        <v/>
      </c>
      <c r="AC292" s="9" t="str">
        <f>IFERROR(SUM(Table1[[#This Row],[Spotted  (g)]:[PUK3  (g)]])/Table1[[#This Row],[Sample Qty  (g)]],"")</f>
        <v/>
      </c>
      <c r="AD292" s="9" t="str">
        <f>IFERROR(SUM(R292,Q292)/Table1[[#This Row],[Sample Qty  (g)]],"")</f>
        <v/>
      </c>
      <c r="AE292" s="9" t="str">
        <f>IFERROR(Table1[[#This Row],[Dessert/NW  (g)]]/Table1[[#This Row],[Sample Qty  (g)]],"")</f>
        <v/>
      </c>
      <c r="AF292" s="9" t="str">
        <f>IFERROR(SUM(Table1[[#This Row],[Oil  (g)]:[Dirty  (g)]])/Table1[[#This Row],[Sample Qty  (g)]],"")</f>
        <v/>
      </c>
      <c r="AG292" s="9" t="str">
        <f>IFERROR(Table1[[#This Row],[Rejection  (g)]]/Table1[[#This Row],[Sample Qty  (g)]],"")</f>
        <v/>
      </c>
      <c r="AH292" s="9" t="str">
        <f>IFERROR(Table1[[#This Row],[Husk  (g)]]/Table1[[#This Row],[Sample Qty  (g)]],"")</f>
        <v/>
      </c>
    </row>
    <row r="293" spans="2:34" ht="12" x14ac:dyDescent="0.25">
      <c r="B293" s="8"/>
      <c r="C293" s="7">
        <f>WEEKNUM(Table1[[#This Row],[Date]])</f>
        <v>0</v>
      </c>
      <c r="D293" s="7"/>
      <c r="Y293" s="7">
        <f>SUM(Table1[[#This Row],[Good Kernels  (g)]:[Husk  (g)]])</f>
        <v>0</v>
      </c>
      <c r="Z293" s="9" t="str">
        <f>IFERROR(Table1[[#This Row],[Good Kernels  (g)]]/Table1[[#This Row],[Sample Qty  (g)]],"")</f>
        <v/>
      </c>
      <c r="AA293" s="9" t="str">
        <f>IFERROR(SUM(Table1[[#This Row],[Pieces  (g)]:[Butts (g)]])/Table1[[#This Row],[Sample Qty  (g)]],"")</f>
        <v/>
      </c>
      <c r="AB293" s="9" t="str">
        <f>IFERROR(Table1[[#This Row],[Scorched (g)]]/Table1[[#This Row],[Sample Qty  (g)]],"")</f>
        <v/>
      </c>
      <c r="AC293" s="9" t="str">
        <f>IFERROR(SUM(Table1[[#This Row],[Spotted  (g)]:[PUK3  (g)]])/Table1[[#This Row],[Sample Qty  (g)]],"")</f>
        <v/>
      </c>
      <c r="AD293" s="9" t="str">
        <f>IFERROR(SUM(R293,Q293)/Table1[[#This Row],[Sample Qty  (g)]],"")</f>
        <v/>
      </c>
      <c r="AE293" s="9" t="str">
        <f>IFERROR(Table1[[#This Row],[Dessert/NW  (g)]]/Table1[[#This Row],[Sample Qty  (g)]],"")</f>
        <v/>
      </c>
      <c r="AF293" s="9" t="str">
        <f>IFERROR(SUM(Table1[[#This Row],[Oil  (g)]:[Dirty  (g)]])/Table1[[#This Row],[Sample Qty  (g)]],"")</f>
        <v/>
      </c>
      <c r="AG293" s="9" t="str">
        <f>IFERROR(Table1[[#This Row],[Rejection  (g)]]/Table1[[#This Row],[Sample Qty  (g)]],"")</f>
        <v/>
      </c>
      <c r="AH293" s="9" t="str">
        <f>IFERROR(Table1[[#This Row],[Husk  (g)]]/Table1[[#This Row],[Sample Qty  (g)]],"")</f>
        <v/>
      </c>
    </row>
    <row r="294" spans="2:34" ht="12" x14ac:dyDescent="0.25">
      <c r="B294" s="8"/>
      <c r="C294" s="7">
        <f>WEEKNUM(Table1[[#This Row],[Date]])</f>
        <v>0</v>
      </c>
      <c r="D294" s="7"/>
      <c r="Y294" s="7">
        <f>SUM(Table1[[#This Row],[Good Kernels  (g)]:[Husk  (g)]])</f>
        <v>0</v>
      </c>
      <c r="Z294" s="9" t="str">
        <f>IFERROR(Table1[[#This Row],[Good Kernels  (g)]]/Table1[[#This Row],[Sample Qty  (g)]],"")</f>
        <v/>
      </c>
      <c r="AA294" s="9" t="str">
        <f>IFERROR(SUM(Table1[[#This Row],[Pieces  (g)]:[Butts (g)]])/Table1[[#This Row],[Sample Qty  (g)]],"")</f>
        <v/>
      </c>
      <c r="AB294" s="9" t="str">
        <f>IFERROR(Table1[[#This Row],[Scorched (g)]]/Table1[[#This Row],[Sample Qty  (g)]],"")</f>
        <v/>
      </c>
      <c r="AC294" s="9" t="str">
        <f>IFERROR(SUM(Table1[[#This Row],[Spotted  (g)]:[PUK3  (g)]])/Table1[[#This Row],[Sample Qty  (g)]],"")</f>
        <v/>
      </c>
      <c r="AD294" s="9" t="str">
        <f>IFERROR(SUM(R294,Q294)/Table1[[#This Row],[Sample Qty  (g)]],"")</f>
        <v/>
      </c>
      <c r="AE294" s="9" t="str">
        <f>IFERROR(Table1[[#This Row],[Dessert/NW  (g)]]/Table1[[#This Row],[Sample Qty  (g)]],"")</f>
        <v/>
      </c>
      <c r="AF294" s="9" t="str">
        <f>IFERROR(SUM(Table1[[#This Row],[Oil  (g)]:[Dirty  (g)]])/Table1[[#This Row],[Sample Qty  (g)]],"")</f>
        <v/>
      </c>
      <c r="AG294" s="9" t="str">
        <f>IFERROR(Table1[[#This Row],[Rejection  (g)]]/Table1[[#This Row],[Sample Qty  (g)]],"")</f>
        <v/>
      </c>
      <c r="AH294" s="9" t="str">
        <f>IFERROR(Table1[[#This Row],[Husk  (g)]]/Table1[[#This Row],[Sample Qty  (g)]],"")</f>
        <v/>
      </c>
    </row>
    <row r="295" spans="2:34" ht="12" x14ac:dyDescent="0.25">
      <c r="B295" s="8"/>
      <c r="C295" s="7">
        <f>WEEKNUM(Table1[[#This Row],[Date]])</f>
        <v>0</v>
      </c>
      <c r="D295" s="7"/>
      <c r="Y295" s="7">
        <f>SUM(Table1[[#This Row],[Good Kernels  (g)]:[Husk  (g)]])</f>
        <v>0</v>
      </c>
      <c r="Z295" s="9" t="str">
        <f>IFERROR(Table1[[#This Row],[Good Kernels  (g)]]/Table1[[#This Row],[Sample Qty  (g)]],"")</f>
        <v/>
      </c>
      <c r="AA295" s="9" t="str">
        <f>IFERROR(SUM(Table1[[#This Row],[Pieces  (g)]:[Butts (g)]])/Table1[[#This Row],[Sample Qty  (g)]],"")</f>
        <v/>
      </c>
      <c r="AB295" s="9" t="str">
        <f>IFERROR(Table1[[#This Row],[Scorched (g)]]/Table1[[#This Row],[Sample Qty  (g)]],"")</f>
        <v/>
      </c>
      <c r="AC295" s="9" t="str">
        <f>IFERROR(SUM(Table1[[#This Row],[Spotted  (g)]:[PUK3  (g)]])/Table1[[#This Row],[Sample Qty  (g)]],"")</f>
        <v/>
      </c>
      <c r="AD295" s="9" t="str">
        <f>IFERROR(SUM(R295,Q295)/Table1[[#This Row],[Sample Qty  (g)]],"")</f>
        <v/>
      </c>
      <c r="AE295" s="9" t="str">
        <f>IFERROR(Table1[[#This Row],[Dessert/NW  (g)]]/Table1[[#This Row],[Sample Qty  (g)]],"")</f>
        <v/>
      </c>
      <c r="AF295" s="9" t="str">
        <f>IFERROR(SUM(Table1[[#This Row],[Oil  (g)]:[Dirty  (g)]])/Table1[[#This Row],[Sample Qty  (g)]],"")</f>
        <v/>
      </c>
      <c r="AG295" s="9" t="str">
        <f>IFERROR(Table1[[#This Row],[Rejection  (g)]]/Table1[[#This Row],[Sample Qty  (g)]],"")</f>
        <v/>
      </c>
      <c r="AH295" s="9" t="str">
        <f>IFERROR(Table1[[#This Row],[Husk  (g)]]/Table1[[#This Row],[Sample Qty  (g)]],"")</f>
        <v/>
      </c>
    </row>
    <row r="296" spans="2:34" ht="12" x14ac:dyDescent="0.25">
      <c r="B296" s="8"/>
      <c r="C296" s="7">
        <f>WEEKNUM(Table1[[#This Row],[Date]])</f>
        <v>0</v>
      </c>
      <c r="D296" s="7"/>
      <c r="Y296" s="7">
        <f>SUM(Table1[[#This Row],[Good Kernels  (g)]:[Husk  (g)]])</f>
        <v>0</v>
      </c>
      <c r="Z296" s="9" t="str">
        <f>IFERROR(Table1[[#This Row],[Good Kernels  (g)]]/Table1[[#This Row],[Sample Qty  (g)]],"")</f>
        <v/>
      </c>
      <c r="AA296" s="9" t="str">
        <f>IFERROR(SUM(Table1[[#This Row],[Pieces  (g)]:[Butts (g)]])/Table1[[#This Row],[Sample Qty  (g)]],"")</f>
        <v/>
      </c>
      <c r="AB296" s="9" t="str">
        <f>IFERROR(Table1[[#This Row],[Scorched (g)]]/Table1[[#This Row],[Sample Qty  (g)]],"")</f>
        <v/>
      </c>
      <c r="AC296" s="9" t="str">
        <f>IFERROR(SUM(Table1[[#This Row],[Spotted  (g)]:[PUK3  (g)]])/Table1[[#This Row],[Sample Qty  (g)]],"")</f>
        <v/>
      </c>
      <c r="AD296" s="9" t="str">
        <f>IFERROR(SUM(R296,Q296)/Table1[[#This Row],[Sample Qty  (g)]],"")</f>
        <v/>
      </c>
      <c r="AE296" s="9" t="str">
        <f>IFERROR(Table1[[#This Row],[Dessert/NW  (g)]]/Table1[[#This Row],[Sample Qty  (g)]],"")</f>
        <v/>
      </c>
      <c r="AF296" s="9" t="str">
        <f>IFERROR(SUM(Table1[[#This Row],[Oil  (g)]:[Dirty  (g)]])/Table1[[#This Row],[Sample Qty  (g)]],"")</f>
        <v/>
      </c>
      <c r="AG296" s="9" t="str">
        <f>IFERROR(Table1[[#This Row],[Rejection  (g)]]/Table1[[#This Row],[Sample Qty  (g)]],"")</f>
        <v/>
      </c>
      <c r="AH296" s="9" t="str">
        <f>IFERROR(Table1[[#This Row],[Husk  (g)]]/Table1[[#This Row],[Sample Qty  (g)]],"")</f>
        <v/>
      </c>
    </row>
    <row r="297" spans="2:34" ht="12" x14ac:dyDescent="0.25">
      <c r="B297" s="8"/>
      <c r="C297" s="7">
        <f>WEEKNUM(Table1[[#This Row],[Date]])</f>
        <v>0</v>
      </c>
      <c r="D297" s="7"/>
      <c r="Y297" s="7">
        <f>SUM(Table1[[#This Row],[Good Kernels  (g)]:[Husk  (g)]])</f>
        <v>0</v>
      </c>
      <c r="Z297" s="9" t="str">
        <f>IFERROR(Table1[[#This Row],[Good Kernels  (g)]]/Table1[[#This Row],[Sample Qty  (g)]],"")</f>
        <v/>
      </c>
      <c r="AA297" s="9" t="str">
        <f>IFERROR(SUM(Table1[[#This Row],[Pieces  (g)]:[Butts (g)]])/Table1[[#This Row],[Sample Qty  (g)]],"")</f>
        <v/>
      </c>
      <c r="AB297" s="9" t="str">
        <f>IFERROR(Table1[[#This Row],[Scorched (g)]]/Table1[[#This Row],[Sample Qty  (g)]],"")</f>
        <v/>
      </c>
      <c r="AC297" s="9" t="str">
        <f>IFERROR(SUM(Table1[[#This Row],[Spotted  (g)]:[PUK3  (g)]])/Table1[[#This Row],[Sample Qty  (g)]],"")</f>
        <v/>
      </c>
      <c r="AD297" s="9" t="str">
        <f>IFERROR(SUM(R297,Q297)/Table1[[#This Row],[Sample Qty  (g)]],"")</f>
        <v/>
      </c>
      <c r="AE297" s="9" t="str">
        <f>IFERROR(Table1[[#This Row],[Dessert/NW  (g)]]/Table1[[#This Row],[Sample Qty  (g)]],"")</f>
        <v/>
      </c>
      <c r="AF297" s="9" t="str">
        <f>IFERROR(SUM(Table1[[#This Row],[Oil  (g)]:[Dirty  (g)]])/Table1[[#This Row],[Sample Qty  (g)]],"")</f>
        <v/>
      </c>
      <c r="AG297" s="9" t="str">
        <f>IFERROR(Table1[[#This Row],[Rejection  (g)]]/Table1[[#This Row],[Sample Qty  (g)]],"")</f>
        <v/>
      </c>
      <c r="AH297" s="9" t="str">
        <f>IFERROR(Table1[[#This Row],[Husk  (g)]]/Table1[[#This Row],[Sample Qty  (g)]],"")</f>
        <v/>
      </c>
    </row>
    <row r="298" spans="2:34" ht="12" x14ac:dyDescent="0.25">
      <c r="B298" s="8"/>
      <c r="C298" s="7">
        <f>WEEKNUM(Table1[[#This Row],[Date]])</f>
        <v>0</v>
      </c>
      <c r="D298" s="7"/>
      <c r="Y298" s="7">
        <f>SUM(Table1[[#This Row],[Good Kernels  (g)]:[Husk  (g)]])</f>
        <v>0</v>
      </c>
      <c r="Z298" s="9" t="str">
        <f>IFERROR(Table1[[#This Row],[Good Kernels  (g)]]/Table1[[#This Row],[Sample Qty  (g)]],"")</f>
        <v/>
      </c>
      <c r="AA298" s="9" t="str">
        <f>IFERROR(SUM(Table1[[#This Row],[Pieces  (g)]:[Butts (g)]])/Table1[[#This Row],[Sample Qty  (g)]],"")</f>
        <v/>
      </c>
      <c r="AB298" s="9" t="str">
        <f>IFERROR(Table1[[#This Row],[Scorched (g)]]/Table1[[#This Row],[Sample Qty  (g)]],"")</f>
        <v/>
      </c>
      <c r="AC298" s="9" t="str">
        <f>IFERROR(SUM(Table1[[#This Row],[Spotted  (g)]:[PUK3  (g)]])/Table1[[#This Row],[Sample Qty  (g)]],"")</f>
        <v/>
      </c>
      <c r="AD298" s="9" t="str">
        <f>IFERROR(SUM(R298,Q298)/Table1[[#This Row],[Sample Qty  (g)]],"")</f>
        <v/>
      </c>
      <c r="AE298" s="9" t="str">
        <f>IFERROR(Table1[[#This Row],[Dessert/NW  (g)]]/Table1[[#This Row],[Sample Qty  (g)]],"")</f>
        <v/>
      </c>
      <c r="AF298" s="9" t="str">
        <f>IFERROR(SUM(Table1[[#This Row],[Oil  (g)]:[Dirty  (g)]])/Table1[[#This Row],[Sample Qty  (g)]],"")</f>
        <v/>
      </c>
      <c r="AG298" s="9" t="str">
        <f>IFERROR(Table1[[#This Row],[Rejection  (g)]]/Table1[[#This Row],[Sample Qty  (g)]],"")</f>
        <v/>
      </c>
      <c r="AH298" s="9" t="str">
        <f>IFERROR(Table1[[#This Row],[Husk  (g)]]/Table1[[#This Row],[Sample Qty  (g)]],"")</f>
        <v/>
      </c>
    </row>
    <row r="299" spans="2:34" ht="12" x14ac:dyDescent="0.25">
      <c r="B299" s="8"/>
      <c r="C299" s="7">
        <f>WEEKNUM(Table1[[#This Row],[Date]])</f>
        <v>0</v>
      </c>
      <c r="D299" s="7"/>
      <c r="Y299" s="7">
        <f>SUM(Table1[[#This Row],[Good Kernels  (g)]:[Husk  (g)]])</f>
        <v>0</v>
      </c>
      <c r="Z299" s="9" t="str">
        <f>IFERROR(Table1[[#This Row],[Good Kernels  (g)]]/Table1[[#This Row],[Sample Qty  (g)]],"")</f>
        <v/>
      </c>
      <c r="AA299" s="9" t="str">
        <f>IFERROR(SUM(Table1[[#This Row],[Pieces  (g)]:[Butts (g)]])/Table1[[#This Row],[Sample Qty  (g)]],"")</f>
        <v/>
      </c>
      <c r="AB299" s="9" t="str">
        <f>IFERROR(Table1[[#This Row],[Scorched (g)]]/Table1[[#This Row],[Sample Qty  (g)]],"")</f>
        <v/>
      </c>
      <c r="AC299" s="9" t="str">
        <f>IFERROR(SUM(Table1[[#This Row],[Spotted  (g)]:[PUK3  (g)]])/Table1[[#This Row],[Sample Qty  (g)]],"")</f>
        <v/>
      </c>
      <c r="AD299" s="9" t="str">
        <f>IFERROR(SUM(R299,Q299)/Table1[[#This Row],[Sample Qty  (g)]],"")</f>
        <v/>
      </c>
      <c r="AE299" s="9" t="str">
        <f>IFERROR(Table1[[#This Row],[Dessert/NW  (g)]]/Table1[[#This Row],[Sample Qty  (g)]],"")</f>
        <v/>
      </c>
      <c r="AF299" s="9" t="str">
        <f>IFERROR(SUM(Table1[[#This Row],[Oil  (g)]:[Dirty  (g)]])/Table1[[#This Row],[Sample Qty  (g)]],"")</f>
        <v/>
      </c>
      <c r="AG299" s="9" t="str">
        <f>IFERROR(Table1[[#This Row],[Rejection  (g)]]/Table1[[#This Row],[Sample Qty  (g)]],"")</f>
        <v/>
      </c>
      <c r="AH299" s="9" t="str">
        <f>IFERROR(Table1[[#This Row],[Husk  (g)]]/Table1[[#This Row],[Sample Qty  (g)]],"")</f>
        <v/>
      </c>
    </row>
    <row r="300" spans="2:34" ht="12" x14ac:dyDescent="0.25">
      <c r="B300" s="8"/>
      <c r="C300" s="7">
        <f>WEEKNUM(Table1[[#This Row],[Date]])</f>
        <v>0</v>
      </c>
      <c r="D300" s="7"/>
      <c r="Y300" s="7">
        <f>SUM(Table1[[#This Row],[Good Kernels  (g)]:[Husk  (g)]])</f>
        <v>0</v>
      </c>
      <c r="Z300" s="9" t="str">
        <f>IFERROR(Table1[[#This Row],[Good Kernels  (g)]]/Table1[[#This Row],[Sample Qty  (g)]],"")</f>
        <v/>
      </c>
      <c r="AA300" s="9" t="str">
        <f>IFERROR(SUM(Table1[[#This Row],[Pieces  (g)]:[Butts (g)]])/Table1[[#This Row],[Sample Qty  (g)]],"")</f>
        <v/>
      </c>
      <c r="AB300" s="9" t="str">
        <f>IFERROR(Table1[[#This Row],[Scorched (g)]]/Table1[[#This Row],[Sample Qty  (g)]],"")</f>
        <v/>
      </c>
      <c r="AC300" s="9" t="str">
        <f>IFERROR(SUM(Table1[[#This Row],[Spotted  (g)]:[PUK3  (g)]])/Table1[[#This Row],[Sample Qty  (g)]],"")</f>
        <v/>
      </c>
      <c r="AD300" s="9" t="str">
        <f>IFERROR(SUM(R300,Q300)/Table1[[#This Row],[Sample Qty  (g)]],"")</f>
        <v/>
      </c>
      <c r="AE300" s="9" t="str">
        <f>IFERROR(Table1[[#This Row],[Dessert/NW  (g)]]/Table1[[#This Row],[Sample Qty  (g)]],"")</f>
        <v/>
      </c>
      <c r="AF300" s="9" t="str">
        <f>IFERROR(SUM(Table1[[#This Row],[Oil  (g)]:[Dirty  (g)]])/Table1[[#This Row],[Sample Qty  (g)]],"")</f>
        <v/>
      </c>
      <c r="AG300" s="9" t="str">
        <f>IFERROR(Table1[[#This Row],[Rejection  (g)]]/Table1[[#This Row],[Sample Qty  (g)]],"")</f>
        <v/>
      </c>
      <c r="AH300" s="9" t="str">
        <f>IFERROR(Table1[[#This Row],[Husk  (g)]]/Table1[[#This Row],[Sample Qty  (g)]],"")</f>
        <v/>
      </c>
    </row>
    <row r="301" spans="2:34" ht="12" x14ac:dyDescent="0.25">
      <c r="B301" s="8"/>
      <c r="C301" s="7">
        <f>WEEKNUM(Table1[[#This Row],[Date]])</f>
        <v>0</v>
      </c>
      <c r="D301" s="7"/>
      <c r="Y301" s="7">
        <f>SUM(Table1[[#This Row],[Good Kernels  (g)]:[Husk  (g)]])</f>
        <v>0</v>
      </c>
      <c r="Z301" s="9" t="str">
        <f>IFERROR(Table1[[#This Row],[Good Kernels  (g)]]/Table1[[#This Row],[Sample Qty  (g)]],"")</f>
        <v/>
      </c>
      <c r="AA301" s="9" t="str">
        <f>IFERROR(SUM(Table1[[#This Row],[Pieces  (g)]:[Butts (g)]])/Table1[[#This Row],[Sample Qty  (g)]],"")</f>
        <v/>
      </c>
      <c r="AB301" s="9" t="str">
        <f>IFERROR(Table1[[#This Row],[Scorched (g)]]/Table1[[#This Row],[Sample Qty  (g)]],"")</f>
        <v/>
      </c>
      <c r="AC301" s="9" t="str">
        <f>IFERROR(SUM(Table1[[#This Row],[Spotted  (g)]:[PUK3  (g)]])/Table1[[#This Row],[Sample Qty  (g)]],"")</f>
        <v/>
      </c>
      <c r="AD301" s="9" t="str">
        <f>IFERROR(SUM(R301,Q301)/Table1[[#This Row],[Sample Qty  (g)]],"")</f>
        <v/>
      </c>
      <c r="AE301" s="9" t="str">
        <f>IFERROR(Table1[[#This Row],[Dessert/NW  (g)]]/Table1[[#This Row],[Sample Qty  (g)]],"")</f>
        <v/>
      </c>
      <c r="AF301" s="9" t="str">
        <f>IFERROR(SUM(Table1[[#This Row],[Oil  (g)]:[Dirty  (g)]])/Table1[[#This Row],[Sample Qty  (g)]],"")</f>
        <v/>
      </c>
      <c r="AG301" s="9" t="str">
        <f>IFERROR(Table1[[#This Row],[Rejection  (g)]]/Table1[[#This Row],[Sample Qty  (g)]],"")</f>
        <v/>
      </c>
      <c r="AH301" s="9" t="str">
        <f>IFERROR(Table1[[#This Row],[Husk  (g)]]/Table1[[#This Row],[Sample Qty  (g)]],"")</f>
        <v/>
      </c>
    </row>
    <row r="302" spans="2:34" ht="12" x14ac:dyDescent="0.25">
      <c r="B302" s="8"/>
      <c r="C302" s="7">
        <f>WEEKNUM(Table1[[#This Row],[Date]])</f>
        <v>0</v>
      </c>
      <c r="D302" s="7"/>
      <c r="Y302" s="7">
        <f>SUM(Table1[[#This Row],[Good Kernels  (g)]:[Husk  (g)]])</f>
        <v>0</v>
      </c>
      <c r="Z302" s="9" t="str">
        <f>IFERROR(Table1[[#This Row],[Good Kernels  (g)]]/Table1[[#This Row],[Sample Qty  (g)]],"")</f>
        <v/>
      </c>
      <c r="AA302" s="9" t="str">
        <f>IFERROR(SUM(Table1[[#This Row],[Pieces  (g)]:[Butts (g)]])/Table1[[#This Row],[Sample Qty  (g)]],"")</f>
        <v/>
      </c>
      <c r="AB302" s="9" t="str">
        <f>IFERROR(Table1[[#This Row],[Scorched (g)]]/Table1[[#This Row],[Sample Qty  (g)]],"")</f>
        <v/>
      </c>
      <c r="AC302" s="9" t="str">
        <f>IFERROR(SUM(Table1[[#This Row],[Spotted  (g)]:[PUK3  (g)]])/Table1[[#This Row],[Sample Qty  (g)]],"")</f>
        <v/>
      </c>
      <c r="AD302" s="9" t="str">
        <f>IFERROR(SUM(R302,Q302)/Table1[[#This Row],[Sample Qty  (g)]],"")</f>
        <v/>
      </c>
      <c r="AE302" s="9" t="str">
        <f>IFERROR(Table1[[#This Row],[Dessert/NW  (g)]]/Table1[[#This Row],[Sample Qty  (g)]],"")</f>
        <v/>
      </c>
      <c r="AF302" s="9" t="str">
        <f>IFERROR(SUM(Table1[[#This Row],[Oil  (g)]:[Dirty  (g)]])/Table1[[#This Row],[Sample Qty  (g)]],"")</f>
        <v/>
      </c>
      <c r="AG302" s="9" t="str">
        <f>IFERROR(Table1[[#This Row],[Rejection  (g)]]/Table1[[#This Row],[Sample Qty  (g)]],"")</f>
        <v/>
      </c>
      <c r="AH302" s="9" t="str">
        <f>IFERROR(Table1[[#This Row],[Husk  (g)]]/Table1[[#This Row],[Sample Qty  (g)]],"")</f>
        <v/>
      </c>
    </row>
    <row r="303" spans="2:34" ht="12" x14ac:dyDescent="0.25">
      <c r="B303" s="8"/>
      <c r="C303" s="7">
        <f>WEEKNUM(Table1[[#This Row],[Date]])</f>
        <v>0</v>
      </c>
      <c r="D303" s="7"/>
      <c r="Y303" s="7">
        <f>SUM(Table1[[#This Row],[Good Kernels  (g)]:[Husk  (g)]])</f>
        <v>0</v>
      </c>
      <c r="Z303" s="9" t="str">
        <f>IFERROR(Table1[[#This Row],[Good Kernels  (g)]]/Table1[[#This Row],[Sample Qty  (g)]],"")</f>
        <v/>
      </c>
      <c r="AA303" s="9" t="str">
        <f>IFERROR(SUM(Table1[[#This Row],[Pieces  (g)]:[Butts (g)]])/Table1[[#This Row],[Sample Qty  (g)]],"")</f>
        <v/>
      </c>
      <c r="AB303" s="9" t="str">
        <f>IFERROR(Table1[[#This Row],[Scorched (g)]]/Table1[[#This Row],[Sample Qty  (g)]],"")</f>
        <v/>
      </c>
      <c r="AC303" s="9" t="str">
        <f>IFERROR(SUM(Table1[[#This Row],[Spotted  (g)]:[PUK3  (g)]])/Table1[[#This Row],[Sample Qty  (g)]],"")</f>
        <v/>
      </c>
      <c r="AD303" s="9" t="str">
        <f>IFERROR(SUM(R303,Q303)/Table1[[#This Row],[Sample Qty  (g)]],"")</f>
        <v/>
      </c>
      <c r="AE303" s="9" t="str">
        <f>IFERROR(Table1[[#This Row],[Dessert/NW  (g)]]/Table1[[#This Row],[Sample Qty  (g)]],"")</f>
        <v/>
      </c>
      <c r="AF303" s="9" t="str">
        <f>IFERROR(SUM(Table1[[#This Row],[Oil  (g)]:[Dirty  (g)]])/Table1[[#This Row],[Sample Qty  (g)]],"")</f>
        <v/>
      </c>
      <c r="AG303" s="9" t="str">
        <f>IFERROR(Table1[[#This Row],[Rejection  (g)]]/Table1[[#This Row],[Sample Qty  (g)]],"")</f>
        <v/>
      </c>
      <c r="AH303" s="9" t="str">
        <f>IFERROR(Table1[[#This Row],[Husk  (g)]]/Table1[[#This Row],[Sample Qty  (g)]],"")</f>
        <v/>
      </c>
    </row>
    <row r="304" spans="2:34" ht="12" x14ac:dyDescent="0.25">
      <c r="B304" s="8"/>
      <c r="C304" s="7">
        <f>WEEKNUM(Table1[[#This Row],[Date]])</f>
        <v>0</v>
      </c>
      <c r="D304" s="7"/>
      <c r="Y304" s="7">
        <f>SUM(Table1[[#This Row],[Good Kernels  (g)]:[Husk  (g)]])</f>
        <v>0</v>
      </c>
      <c r="Z304" s="9" t="str">
        <f>IFERROR(Table1[[#This Row],[Good Kernels  (g)]]/Table1[[#This Row],[Sample Qty  (g)]],"")</f>
        <v/>
      </c>
      <c r="AA304" s="9" t="str">
        <f>IFERROR(SUM(Table1[[#This Row],[Pieces  (g)]:[Butts (g)]])/Table1[[#This Row],[Sample Qty  (g)]],"")</f>
        <v/>
      </c>
      <c r="AB304" s="9" t="str">
        <f>IFERROR(Table1[[#This Row],[Scorched (g)]]/Table1[[#This Row],[Sample Qty  (g)]],"")</f>
        <v/>
      </c>
      <c r="AC304" s="9" t="str">
        <f>IFERROR(SUM(Table1[[#This Row],[Spotted  (g)]:[PUK3  (g)]])/Table1[[#This Row],[Sample Qty  (g)]],"")</f>
        <v/>
      </c>
      <c r="AD304" s="9" t="str">
        <f>IFERROR(SUM(R304,Q304)/Table1[[#This Row],[Sample Qty  (g)]],"")</f>
        <v/>
      </c>
      <c r="AE304" s="9" t="str">
        <f>IFERROR(Table1[[#This Row],[Dessert/NW  (g)]]/Table1[[#This Row],[Sample Qty  (g)]],"")</f>
        <v/>
      </c>
      <c r="AF304" s="9" t="str">
        <f>IFERROR(SUM(Table1[[#This Row],[Oil  (g)]:[Dirty  (g)]])/Table1[[#This Row],[Sample Qty  (g)]],"")</f>
        <v/>
      </c>
      <c r="AG304" s="9" t="str">
        <f>IFERROR(Table1[[#This Row],[Rejection  (g)]]/Table1[[#This Row],[Sample Qty  (g)]],"")</f>
        <v/>
      </c>
      <c r="AH304" s="9" t="str">
        <f>IFERROR(Table1[[#This Row],[Husk  (g)]]/Table1[[#This Row],[Sample Qty  (g)]],"")</f>
        <v/>
      </c>
    </row>
    <row r="305" spans="2:34" ht="12" x14ac:dyDescent="0.25">
      <c r="B305" s="8"/>
      <c r="C305" s="7">
        <f>WEEKNUM(Table1[[#This Row],[Date]])</f>
        <v>0</v>
      </c>
      <c r="D305" s="7"/>
      <c r="Y305" s="7">
        <f>SUM(Table1[[#This Row],[Good Kernels  (g)]:[Husk  (g)]])</f>
        <v>0</v>
      </c>
      <c r="Z305" s="9" t="str">
        <f>IFERROR(Table1[[#This Row],[Good Kernels  (g)]]/Table1[[#This Row],[Sample Qty  (g)]],"")</f>
        <v/>
      </c>
      <c r="AA305" s="9" t="str">
        <f>IFERROR(SUM(Table1[[#This Row],[Pieces  (g)]:[Butts (g)]])/Table1[[#This Row],[Sample Qty  (g)]],"")</f>
        <v/>
      </c>
      <c r="AB305" s="9" t="str">
        <f>IFERROR(Table1[[#This Row],[Scorched (g)]]/Table1[[#This Row],[Sample Qty  (g)]],"")</f>
        <v/>
      </c>
      <c r="AC305" s="9" t="str">
        <f>IFERROR(SUM(Table1[[#This Row],[Spotted  (g)]:[PUK3  (g)]])/Table1[[#This Row],[Sample Qty  (g)]],"")</f>
        <v/>
      </c>
      <c r="AD305" s="9" t="str">
        <f>IFERROR(SUM(R305,Q305)/Table1[[#This Row],[Sample Qty  (g)]],"")</f>
        <v/>
      </c>
      <c r="AE305" s="9" t="str">
        <f>IFERROR(Table1[[#This Row],[Dessert/NW  (g)]]/Table1[[#This Row],[Sample Qty  (g)]],"")</f>
        <v/>
      </c>
      <c r="AF305" s="9" t="str">
        <f>IFERROR(SUM(Table1[[#This Row],[Oil  (g)]:[Dirty  (g)]])/Table1[[#This Row],[Sample Qty  (g)]],"")</f>
        <v/>
      </c>
      <c r="AG305" s="9" t="str">
        <f>IFERROR(Table1[[#This Row],[Rejection  (g)]]/Table1[[#This Row],[Sample Qty  (g)]],"")</f>
        <v/>
      </c>
      <c r="AH305" s="9" t="str">
        <f>IFERROR(Table1[[#This Row],[Husk  (g)]]/Table1[[#This Row],[Sample Qty  (g)]],"")</f>
        <v/>
      </c>
    </row>
    <row r="306" spans="2:34" ht="12" x14ac:dyDescent="0.25">
      <c r="B306" s="8"/>
      <c r="C306" s="7">
        <f>WEEKNUM(Table1[[#This Row],[Date]])</f>
        <v>0</v>
      </c>
      <c r="D306" s="7"/>
      <c r="Y306" s="7">
        <f>SUM(Table1[[#This Row],[Good Kernels  (g)]:[Husk  (g)]])</f>
        <v>0</v>
      </c>
      <c r="Z306" s="9" t="str">
        <f>IFERROR(Table1[[#This Row],[Good Kernels  (g)]]/Table1[[#This Row],[Sample Qty  (g)]],"")</f>
        <v/>
      </c>
      <c r="AA306" s="9" t="str">
        <f>IFERROR(SUM(Table1[[#This Row],[Pieces  (g)]:[Butts (g)]])/Table1[[#This Row],[Sample Qty  (g)]],"")</f>
        <v/>
      </c>
      <c r="AB306" s="9" t="str">
        <f>IFERROR(Table1[[#This Row],[Scorched (g)]]/Table1[[#This Row],[Sample Qty  (g)]],"")</f>
        <v/>
      </c>
      <c r="AC306" s="9" t="str">
        <f>IFERROR(SUM(Table1[[#This Row],[Spotted  (g)]:[PUK3  (g)]])/Table1[[#This Row],[Sample Qty  (g)]],"")</f>
        <v/>
      </c>
      <c r="AD306" s="9" t="str">
        <f>IFERROR(SUM(R306,Q306)/Table1[[#This Row],[Sample Qty  (g)]],"")</f>
        <v/>
      </c>
      <c r="AE306" s="9" t="str">
        <f>IFERROR(Table1[[#This Row],[Dessert/NW  (g)]]/Table1[[#This Row],[Sample Qty  (g)]],"")</f>
        <v/>
      </c>
      <c r="AF306" s="9" t="str">
        <f>IFERROR(SUM(Table1[[#This Row],[Oil  (g)]:[Dirty  (g)]])/Table1[[#This Row],[Sample Qty  (g)]],"")</f>
        <v/>
      </c>
      <c r="AG306" s="9" t="str">
        <f>IFERROR(Table1[[#This Row],[Rejection  (g)]]/Table1[[#This Row],[Sample Qty  (g)]],"")</f>
        <v/>
      </c>
      <c r="AH306" s="9" t="str">
        <f>IFERROR(Table1[[#This Row],[Husk  (g)]]/Table1[[#This Row],[Sample Qty  (g)]],"")</f>
        <v/>
      </c>
    </row>
    <row r="307" spans="2:34" ht="12" x14ac:dyDescent="0.25">
      <c r="B307" s="8"/>
      <c r="C307" s="7">
        <f>WEEKNUM(Table1[[#This Row],[Date]])</f>
        <v>0</v>
      </c>
      <c r="D307" s="7"/>
      <c r="Y307" s="7">
        <f>SUM(Table1[[#This Row],[Good Kernels  (g)]:[Husk  (g)]])</f>
        <v>0</v>
      </c>
      <c r="Z307" s="9" t="str">
        <f>IFERROR(Table1[[#This Row],[Good Kernels  (g)]]/Table1[[#This Row],[Sample Qty  (g)]],"")</f>
        <v/>
      </c>
      <c r="AA307" s="9" t="str">
        <f>IFERROR(SUM(Table1[[#This Row],[Pieces  (g)]:[Butts (g)]])/Table1[[#This Row],[Sample Qty  (g)]],"")</f>
        <v/>
      </c>
      <c r="AB307" s="9" t="str">
        <f>IFERROR(Table1[[#This Row],[Scorched (g)]]/Table1[[#This Row],[Sample Qty  (g)]],"")</f>
        <v/>
      </c>
      <c r="AC307" s="9" t="str">
        <f>IFERROR(SUM(Table1[[#This Row],[Spotted  (g)]:[PUK3  (g)]])/Table1[[#This Row],[Sample Qty  (g)]],"")</f>
        <v/>
      </c>
      <c r="AD307" s="9" t="str">
        <f>IFERROR(SUM(R307,Q307)/Table1[[#This Row],[Sample Qty  (g)]],"")</f>
        <v/>
      </c>
      <c r="AE307" s="9" t="str">
        <f>IFERROR(Table1[[#This Row],[Dessert/NW  (g)]]/Table1[[#This Row],[Sample Qty  (g)]],"")</f>
        <v/>
      </c>
      <c r="AF307" s="9" t="str">
        <f>IFERROR(SUM(Table1[[#This Row],[Oil  (g)]:[Dirty  (g)]])/Table1[[#This Row],[Sample Qty  (g)]],"")</f>
        <v/>
      </c>
      <c r="AG307" s="9" t="str">
        <f>IFERROR(Table1[[#This Row],[Rejection  (g)]]/Table1[[#This Row],[Sample Qty  (g)]],"")</f>
        <v/>
      </c>
      <c r="AH307" s="9" t="str">
        <f>IFERROR(Table1[[#This Row],[Husk  (g)]]/Table1[[#This Row],[Sample Qty  (g)]],"")</f>
        <v/>
      </c>
    </row>
    <row r="308" spans="2:34" ht="12" x14ac:dyDescent="0.25">
      <c r="B308" s="8"/>
      <c r="C308" s="7">
        <f>WEEKNUM(Table1[[#This Row],[Date]])</f>
        <v>0</v>
      </c>
      <c r="D308" s="7"/>
      <c r="Y308" s="7">
        <f>SUM(Table1[[#This Row],[Good Kernels  (g)]:[Husk  (g)]])</f>
        <v>0</v>
      </c>
      <c r="Z308" s="9" t="str">
        <f>IFERROR(Table1[[#This Row],[Good Kernels  (g)]]/Table1[[#This Row],[Sample Qty  (g)]],"")</f>
        <v/>
      </c>
      <c r="AA308" s="9" t="str">
        <f>IFERROR(SUM(Table1[[#This Row],[Pieces  (g)]:[Butts (g)]])/Table1[[#This Row],[Sample Qty  (g)]],"")</f>
        <v/>
      </c>
      <c r="AB308" s="9" t="str">
        <f>IFERROR(Table1[[#This Row],[Scorched (g)]]/Table1[[#This Row],[Sample Qty  (g)]],"")</f>
        <v/>
      </c>
      <c r="AC308" s="9" t="str">
        <f>IFERROR(SUM(Table1[[#This Row],[Spotted  (g)]:[PUK3  (g)]])/Table1[[#This Row],[Sample Qty  (g)]],"")</f>
        <v/>
      </c>
      <c r="AD308" s="9" t="str">
        <f>IFERROR(SUM(R308,Q308)/Table1[[#This Row],[Sample Qty  (g)]],"")</f>
        <v/>
      </c>
      <c r="AE308" s="9" t="str">
        <f>IFERROR(Table1[[#This Row],[Dessert/NW  (g)]]/Table1[[#This Row],[Sample Qty  (g)]],"")</f>
        <v/>
      </c>
      <c r="AF308" s="9" t="str">
        <f>IFERROR(SUM(Table1[[#This Row],[Oil  (g)]:[Dirty  (g)]])/Table1[[#This Row],[Sample Qty  (g)]],"")</f>
        <v/>
      </c>
      <c r="AG308" s="9" t="str">
        <f>IFERROR(Table1[[#This Row],[Rejection  (g)]]/Table1[[#This Row],[Sample Qty  (g)]],"")</f>
        <v/>
      </c>
      <c r="AH308" s="9" t="str">
        <f>IFERROR(Table1[[#This Row],[Husk  (g)]]/Table1[[#This Row],[Sample Qty  (g)]],"")</f>
        <v/>
      </c>
    </row>
    <row r="309" spans="2:34" ht="12" x14ac:dyDescent="0.25">
      <c r="B309" s="8"/>
      <c r="C309" s="7">
        <f>WEEKNUM(Table1[[#This Row],[Date]])</f>
        <v>0</v>
      </c>
      <c r="D309" s="7"/>
      <c r="Y309" s="7">
        <f>SUM(Table1[[#This Row],[Good Kernels  (g)]:[Husk  (g)]])</f>
        <v>0</v>
      </c>
      <c r="Z309" s="9" t="str">
        <f>IFERROR(Table1[[#This Row],[Good Kernels  (g)]]/Table1[[#This Row],[Sample Qty  (g)]],"")</f>
        <v/>
      </c>
      <c r="AA309" s="9" t="str">
        <f>IFERROR(SUM(Table1[[#This Row],[Pieces  (g)]:[Butts (g)]])/Table1[[#This Row],[Sample Qty  (g)]],"")</f>
        <v/>
      </c>
      <c r="AB309" s="9" t="str">
        <f>IFERROR(Table1[[#This Row],[Scorched (g)]]/Table1[[#This Row],[Sample Qty  (g)]],"")</f>
        <v/>
      </c>
      <c r="AC309" s="9" t="str">
        <f>IFERROR(SUM(Table1[[#This Row],[Spotted  (g)]:[PUK3  (g)]])/Table1[[#This Row],[Sample Qty  (g)]],"")</f>
        <v/>
      </c>
      <c r="AD309" s="9" t="str">
        <f>IFERROR(SUM(R309,Q309)/Table1[[#This Row],[Sample Qty  (g)]],"")</f>
        <v/>
      </c>
      <c r="AE309" s="9" t="str">
        <f>IFERROR(Table1[[#This Row],[Dessert/NW  (g)]]/Table1[[#This Row],[Sample Qty  (g)]],"")</f>
        <v/>
      </c>
      <c r="AF309" s="9" t="str">
        <f>IFERROR(SUM(Table1[[#This Row],[Oil  (g)]:[Dirty  (g)]])/Table1[[#This Row],[Sample Qty  (g)]],"")</f>
        <v/>
      </c>
      <c r="AG309" s="9" t="str">
        <f>IFERROR(Table1[[#This Row],[Rejection  (g)]]/Table1[[#This Row],[Sample Qty  (g)]],"")</f>
        <v/>
      </c>
      <c r="AH309" s="9" t="str">
        <f>IFERROR(Table1[[#This Row],[Husk  (g)]]/Table1[[#This Row],[Sample Qty  (g)]],"")</f>
        <v/>
      </c>
    </row>
    <row r="310" spans="2:34" ht="12" x14ac:dyDescent="0.25">
      <c r="B310" s="8"/>
      <c r="C310" s="7">
        <f>WEEKNUM(Table1[[#This Row],[Date]])</f>
        <v>0</v>
      </c>
      <c r="D310" s="7"/>
      <c r="Y310" s="7">
        <f>SUM(Table1[[#This Row],[Good Kernels  (g)]:[Husk  (g)]])</f>
        <v>0</v>
      </c>
      <c r="Z310" s="9" t="str">
        <f>IFERROR(Table1[[#This Row],[Good Kernels  (g)]]/Table1[[#This Row],[Sample Qty  (g)]],"")</f>
        <v/>
      </c>
      <c r="AA310" s="9" t="str">
        <f>IFERROR(SUM(Table1[[#This Row],[Pieces  (g)]:[Butts (g)]])/Table1[[#This Row],[Sample Qty  (g)]],"")</f>
        <v/>
      </c>
      <c r="AB310" s="9" t="str">
        <f>IFERROR(Table1[[#This Row],[Scorched (g)]]/Table1[[#This Row],[Sample Qty  (g)]],"")</f>
        <v/>
      </c>
      <c r="AC310" s="9" t="str">
        <f>IFERROR(SUM(Table1[[#This Row],[Spotted  (g)]:[PUK3  (g)]])/Table1[[#This Row],[Sample Qty  (g)]],"")</f>
        <v/>
      </c>
      <c r="AD310" s="9" t="str">
        <f>IFERROR(SUM(R310,Q310)/Table1[[#This Row],[Sample Qty  (g)]],"")</f>
        <v/>
      </c>
      <c r="AE310" s="9" t="str">
        <f>IFERROR(Table1[[#This Row],[Dessert/NW  (g)]]/Table1[[#This Row],[Sample Qty  (g)]],"")</f>
        <v/>
      </c>
      <c r="AF310" s="9" t="str">
        <f>IFERROR(SUM(Table1[[#This Row],[Oil  (g)]:[Dirty  (g)]])/Table1[[#This Row],[Sample Qty  (g)]],"")</f>
        <v/>
      </c>
      <c r="AG310" s="9" t="str">
        <f>IFERROR(Table1[[#This Row],[Rejection  (g)]]/Table1[[#This Row],[Sample Qty  (g)]],"")</f>
        <v/>
      </c>
      <c r="AH310" s="9" t="str">
        <f>IFERROR(Table1[[#This Row],[Husk  (g)]]/Table1[[#This Row],[Sample Qty  (g)]],"")</f>
        <v/>
      </c>
    </row>
    <row r="311" spans="2:34" ht="12" x14ac:dyDescent="0.25">
      <c r="B311" s="8"/>
      <c r="C311" s="7">
        <f>WEEKNUM(Table1[[#This Row],[Date]])</f>
        <v>0</v>
      </c>
      <c r="D311" s="7"/>
      <c r="Y311" s="7">
        <f>SUM(Table1[[#This Row],[Good Kernels  (g)]:[Husk  (g)]])</f>
        <v>0</v>
      </c>
      <c r="Z311" s="9" t="str">
        <f>IFERROR(Table1[[#This Row],[Good Kernels  (g)]]/Table1[[#This Row],[Sample Qty  (g)]],"")</f>
        <v/>
      </c>
      <c r="AA311" s="9" t="str">
        <f>IFERROR(SUM(Table1[[#This Row],[Pieces  (g)]:[Butts (g)]])/Table1[[#This Row],[Sample Qty  (g)]],"")</f>
        <v/>
      </c>
      <c r="AB311" s="9" t="str">
        <f>IFERROR(Table1[[#This Row],[Scorched (g)]]/Table1[[#This Row],[Sample Qty  (g)]],"")</f>
        <v/>
      </c>
      <c r="AC311" s="9" t="str">
        <f>IFERROR(SUM(Table1[[#This Row],[Spotted  (g)]:[PUK3  (g)]])/Table1[[#This Row],[Sample Qty  (g)]],"")</f>
        <v/>
      </c>
      <c r="AD311" s="9" t="str">
        <f>IFERROR(SUM(R311,Q311)/Table1[[#This Row],[Sample Qty  (g)]],"")</f>
        <v/>
      </c>
      <c r="AE311" s="9" t="str">
        <f>IFERROR(Table1[[#This Row],[Dessert/NW  (g)]]/Table1[[#This Row],[Sample Qty  (g)]],"")</f>
        <v/>
      </c>
      <c r="AF311" s="9" t="str">
        <f>IFERROR(SUM(Table1[[#This Row],[Oil  (g)]:[Dirty  (g)]])/Table1[[#This Row],[Sample Qty  (g)]],"")</f>
        <v/>
      </c>
      <c r="AG311" s="9" t="str">
        <f>IFERROR(Table1[[#This Row],[Rejection  (g)]]/Table1[[#This Row],[Sample Qty  (g)]],"")</f>
        <v/>
      </c>
      <c r="AH311" s="9" t="str">
        <f>IFERROR(Table1[[#This Row],[Husk  (g)]]/Table1[[#This Row],[Sample Qty  (g)]],"")</f>
        <v/>
      </c>
    </row>
    <row r="312" spans="2:34" ht="12" x14ac:dyDescent="0.25">
      <c r="B312" s="8"/>
      <c r="C312" s="7">
        <f>WEEKNUM(Table1[[#This Row],[Date]])</f>
        <v>0</v>
      </c>
      <c r="D312" s="7"/>
      <c r="Y312" s="7">
        <f>SUM(Table1[[#This Row],[Good Kernels  (g)]:[Husk  (g)]])</f>
        <v>0</v>
      </c>
      <c r="Z312" s="9" t="str">
        <f>IFERROR(Table1[[#This Row],[Good Kernels  (g)]]/Table1[[#This Row],[Sample Qty  (g)]],"")</f>
        <v/>
      </c>
      <c r="AA312" s="9" t="str">
        <f>IFERROR(SUM(Table1[[#This Row],[Pieces  (g)]:[Butts (g)]])/Table1[[#This Row],[Sample Qty  (g)]],"")</f>
        <v/>
      </c>
      <c r="AB312" s="9" t="str">
        <f>IFERROR(Table1[[#This Row],[Scorched (g)]]/Table1[[#This Row],[Sample Qty  (g)]],"")</f>
        <v/>
      </c>
      <c r="AC312" s="9" t="str">
        <f>IFERROR(SUM(Table1[[#This Row],[Spotted  (g)]:[PUK3  (g)]])/Table1[[#This Row],[Sample Qty  (g)]],"")</f>
        <v/>
      </c>
      <c r="AD312" s="9" t="str">
        <f>IFERROR(SUM(R312,Q312)/Table1[[#This Row],[Sample Qty  (g)]],"")</f>
        <v/>
      </c>
      <c r="AE312" s="9" t="str">
        <f>IFERROR(Table1[[#This Row],[Dessert/NW  (g)]]/Table1[[#This Row],[Sample Qty  (g)]],"")</f>
        <v/>
      </c>
      <c r="AF312" s="9" t="str">
        <f>IFERROR(SUM(Table1[[#This Row],[Oil  (g)]:[Dirty  (g)]])/Table1[[#This Row],[Sample Qty  (g)]],"")</f>
        <v/>
      </c>
      <c r="AG312" s="9" t="str">
        <f>IFERROR(Table1[[#This Row],[Rejection  (g)]]/Table1[[#This Row],[Sample Qty  (g)]],"")</f>
        <v/>
      </c>
      <c r="AH312" s="9" t="str">
        <f>IFERROR(Table1[[#This Row],[Husk  (g)]]/Table1[[#This Row],[Sample Qty  (g)]],"")</f>
        <v/>
      </c>
    </row>
    <row r="313" spans="2:34" ht="12" x14ac:dyDescent="0.25">
      <c r="B313" s="8"/>
      <c r="C313" s="7">
        <f>WEEKNUM(Table1[[#This Row],[Date]])</f>
        <v>0</v>
      </c>
      <c r="D313" s="7"/>
      <c r="Y313" s="7">
        <f>SUM(Table1[[#This Row],[Good Kernels  (g)]:[Husk  (g)]])</f>
        <v>0</v>
      </c>
      <c r="Z313" s="9" t="str">
        <f>IFERROR(Table1[[#This Row],[Good Kernels  (g)]]/Table1[[#This Row],[Sample Qty  (g)]],"")</f>
        <v/>
      </c>
      <c r="AA313" s="9" t="str">
        <f>IFERROR(SUM(Table1[[#This Row],[Pieces  (g)]:[Butts (g)]])/Table1[[#This Row],[Sample Qty  (g)]],"")</f>
        <v/>
      </c>
      <c r="AB313" s="9" t="str">
        <f>IFERROR(Table1[[#This Row],[Scorched (g)]]/Table1[[#This Row],[Sample Qty  (g)]],"")</f>
        <v/>
      </c>
      <c r="AC313" s="9" t="str">
        <f>IFERROR(SUM(Table1[[#This Row],[Spotted  (g)]:[PUK3  (g)]])/Table1[[#This Row],[Sample Qty  (g)]],"")</f>
        <v/>
      </c>
      <c r="AD313" s="9" t="str">
        <f>IFERROR(SUM(R313,Q313)/Table1[[#This Row],[Sample Qty  (g)]],"")</f>
        <v/>
      </c>
      <c r="AE313" s="9" t="str">
        <f>IFERROR(Table1[[#This Row],[Dessert/NW  (g)]]/Table1[[#This Row],[Sample Qty  (g)]],"")</f>
        <v/>
      </c>
      <c r="AF313" s="9" t="str">
        <f>IFERROR(SUM(Table1[[#This Row],[Oil  (g)]:[Dirty  (g)]])/Table1[[#This Row],[Sample Qty  (g)]],"")</f>
        <v/>
      </c>
      <c r="AG313" s="9" t="str">
        <f>IFERROR(Table1[[#This Row],[Rejection  (g)]]/Table1[[#This Row],[Sample Qty  (g)]],"")</f>
        <v/>
      </c>
      <c r="AH313" s="9" t="str">
        <f>IFERROR(Table1[[#This Row],[Husk  (g)]]/Table1[[#This Row],[Sample Qty  (g)]],"")</f>
        <v/>
      </c>
    </row>
    <row r="314" spans="2:34" ht="12" x14ac:dyDescent="0.25">
      <c r="B314" s="8"/>
      <c r="C314" s="7">
        <f>WEEKNUM(Table1[[#This Row],[Date]])</f>
        <v>0</v>
      </c>
      <c r="D314" s="7"/>
      <c r="Y314" s="7">
        <f>SUM(Table1[[#This Row],[Good Kernels  (g)]:[Husk  (g)]])</f>
        <v>0</v>
      </c>
      <c r="Z314" s="9" t="str">
        <f>IFERROR(Table1[[#This Row],[Good Kernels  (g)]]/Table1[[#This Row],[Sample Qty  (g)]],"")</f>
        <v/>
      </c>
      <c r="AA314" s="9" t="str">
        <f>IFERROR(SUM(Table1[[#This Row],[Pieces  (g)]:[Butts (g)]])/Table1[[#This Row],[Sample Qty  (g)]],"")</f>
        <v/>
      </c>
      <c r="AB314" s="9" t="str">
        <f>IFERROR(Table1[[#This Row],[Scorched (g)]]/Table1[[#This Row],[Sample Qty  (g)]],"")</f>
        <v/>
      </c>
      <c r="AC314" s="9" t="str">
        <f>IFERROR(SUM(Table1[[#This Row],[Spotted  (g)]:[PUK3  (g)]])/Table1[[#This Row],[Sample Qty  (g)]],"")</f>
        <v/>
      </c>
      <c r="AD314" s="9" t="str">
        <f>IFERROR(SUM(R314,Q314)/Table1[[#This Row],[Sample Qty  (g)]],"")</f>
        <v/>
      </c>
      <c r="AE314" s="9" t="str">
        <f>IFERROR(Table1[[#This Row],[Dessert/NW  (g)]]/Table1[[#This Row],[Sample Qty  (g)]],"")</f>
        <v/>
      </c>
      <c r="AF314" s="9" t="str">
        <f>IFERROR(SUM(Table1[[#This Row],[Oil  (g)]:[Dirty  (g)]])/Table1[[#This Row],[Sample Qty  (g)]],"")</f>
        <v/>
      </c>
      <c r="AG314" s="9" t="str">
        <f>IFERROR(Table1[[#This Row],[Rejection  (g)]]/Table1[[#This Row],[Sample Qty  (g)]],"")</f>
        <v/>
      </c>
      <c r="AH314" s="9" t="str">
        <f>IFERROR(Table1[[#This Row],[Husk  (g)]]/Table1[[#This Row],[Sample Qty  (g)]],"")</f>
        <v/>
      </c>
    </row>
    <row r="315" spans="2:34" ht="12" x14ac:dyDescent="0.25">
      <c r="B315" s="8"/>
      <c r="C315" s="7">
        <f>WEEKNUM(Table1[[#This Row],[Date]])</f>
        <v>0</v>
      </c>
      <c r="D315" s="7"/>
      <c r="Y315" s="7">
        <f>SUM(Table1[[#This Row],[Good Kernels  (g)]:[Husk  (g)]])</f>
        <v>0</v>
      </c>
      <c r="Z315" s="9" t="str">
        <f>IFERROR(Table1[[#This Row],[Good Kernels  (g)]]/Table1[[#This Row],[Sample Qty  (g)]],"")</f>
        <v/>
      </c>
      <c r="AA315" s="9" t="str">
        <f>IFERROR(SUM(Table1[[#This Row],[Pieces  (g)]:[Butts (g)]])/Table1[[#This Row],[Sample Qty  (g)]],"")</f>
        <v/>
      </c>
      <c r="AB315" s="9" t="str">
        <f>IFERROR(Table1[[#This Row],[Scorched (g)]]/Table1[[#This Row],[Sample Qty  (g)]],"")</f>
        <v/>
      </c>
      <c r="AC315" s="9" t="str">
        <f>IFERROR(SUM(Table1[[#This Row],[Spotted  (g)]:[PUK3  (g)]])/Table1[[#This Row],[Sample Qty  (g)]],"")</f>
        <v/>
      </c>
      <c r="AD315" s="9" t="str">
        <f>IFERROR(SUM(R315,Q315)/Table1[[#This Row],[Sample Qty  (g)]],"")</f>
        <v/>
      </c>
      <c r="AE315" s="9" t="str">
        <f>IFERROR(Table1[[#This Row],[Dessert/NW  (g)]]/Table1[[#This Row],[Sample Qty  (g)]],"")</f>
        <v/>
      </c>
      <c r="AF315" s="9" t="str">
        <f>IFERROR(SUM(Table1[[#This Row],[Oil  (g)]:[Dirty  (g)]])/Table1[[#This Row],[Sample Qty  (g)]],"")</f>
        <v/>
      </c>
      <c r="AG315" s="9" t="str">
        <f>IFERROR(Table1[[#This Row],[Rejection  (g)]]/Table1[[#This Row],[Sample Qty  (g)]],"")</f>
        <v/>
      </c>
      <c r="AH315" s="9" t="str">
        <f>IFERROR(Table1[[#This Row],[Husk  (g)]]/Table1[[#This Row],[Sample Qty  (g)]],"")</f>
        <v/>
      </c>
    </row>
    <row r="316" spans="2:34" ht="12" x14ac:dyDescent="0.25">
      <c r="B316" s="8"/>
      <c r="C316" s="7">
        <f>WEEKNUM(Table1[[#This Row],[Date]])</f>
        <v>0</v>
      </c>
      <c r="D316" s="7"/>
      <c r="Y316" s="7">
        <f>SUM(Table1[[#This Row],[Good Kernels  (g)]:[Husk  (g)]])</f>
        <v>0</v>
      </c>
      <c r="Z316" s="9" t="str">
        <f>IFERROR(Table1[[#This Row],[Good Kernels  (g)]]/Table1[[#This Row],[Sample Qty  (g)]],"")</f>
        <v/>
      </c>
      <c r="AA316" s="9" t="str">
        <f>IFERROR(SUM(Table1[[#This Row],[Pieces  (g)]:[Butts (g)]])/Table1[[#This Row],[Sample Qty  (g)]],"")</f>
        <v/>
      </c>
      <c r="AB316" s="9" t="str">
        <f>IFERROR(Table1[[#This Row],[Scorched (g)]]/Table1[[#This Row],[Sample Qty  (g)]],"")</f>
        <v/>
      </c>
      <c r="AC316" s="9" t="str">
        <f>IFERROR(SUM(Table1[[#This Row],[Spotted  (g)]:[PUK3  (g)]])/Table1[[#This Row],[Sample Qty  (g)]],"")</f>
        <v/>
      </c>
      <c r="AD316" s="9" t="str">
        <f>IFERROR(SUM(R316,Q316)/Table1[[#This Row],[Sample Qty  (g)]],"")</f>
        <v/>
      </c>
      <c r="AE316" s="9" t="str">
        <f>IFERROR(Table1[[#This Row],[Dessert/NW  (g)]]/Table1[[#This Row],[Sample Qty  (g)]],"")</f>
        <v/>
      </c>
      <c r="AF316" s="9" t="str">
        <f>IFERROR(SUM(Table1[[#This Row],[Oil  (g)]:[Dirty  (g)]])/Table1[[#This Row],[Sample Qty  (g)]],"")</f>
        <v/>
      </c>
      <c r="AG316" s="9" t="str">
        <f>IFERROR(Table1[[#This Row],[Rejection  (g)]]/Table1[[#This Row],[Sample Qty  (g)]],"")</f>
        <v/>
      </c>
      <c r="AH316" s="9" t="str">
        <f>IFERROR(Table1[[#This Row],[Husk  (g)]]/Table1[[#This Row],[Sample Qty  (g)]],"")</f>
        <v/>
      </c>
    </row>
    <row r="317" spans="2:34" ht="12" x14ac:dyDescent="0.25">
      <c r="B317" s="8"/>
      <c r="C317" s="7">
        <f>WEEKNUM(Table1[[#This Row],[Date]])</f>
        <v>0</v>
      </c>
      <c r="D317" s="7"/>
      <c r="Y317" s="7">
        <f>SUM(Table1[[#This Row],[Good Kernels  (g)]:[Husk  (g)]])</f>
        <v>0</v>
      </c>
      <c r="Z317" s="9" t="str">
        <f>IFERROR(Table1[[#This Row],[Good Kernels  (g)]]/Table1[[#This Row],[Sample Qty  (g)]],"")</f>
        <v/>
      </c>
      <c r="AA317" s="9" t="str">
        <f>IFERROR(SUM(Table1[[#This Row],[Pieces  (g)]:[Butts (g)]])/Table1[[#This Row],[Sample Qty  (g)]],"")</f>
        <v/>
      </c>
      <c r="AB317" s="9" t="str">
        <f>IFERROR(Table1[[#This Row],[Scorched (g)]]/Table1[[#This Row],[Sample Qty  (g)]],"")</f>
        <v/>
      </c>
      <c r="AC317" s="9" t="str">
        <f>IFERROR(SUM(Table1[[#This Row],[Spotted  (g)]:[PUK3  (g)]])/Table1[[#This Row],[Sample Qty  (g)]],"")</f>
        <v/>
      </c>
      <c r="AD317" s="9" t="str">
        <f>IFERROR(SUM(R317,Q317)/Table1[[#This Row],[Sample Qty  (g)]],"")</f>
        <v/>
      </c>
      <c r="AE317" s="9" t="str">
        <f>IFERROR(Table1[[#This Row],[Dessert/NW  (g)]]/Table1[[#This Row],[Sample Qty  (g)]],"")</f>
        <v/>
      </c>
      <c r="AF317" s="9" t="str">
        <f>IFERROR(SUM(Table1[[#This Row],[Oil  (g)]:[Dirty  (g)]])/Table1[[#This Row],[Sample Qty  (g)]],"")</f>
        <v/>
      </c>
      <c r="AG317" s="9" t="str">
        <f>IFERROR(Table1[[#This Row],[Rejection  (g)]]/Table1[[#This Row],[Sample Qty  (g)]],"")</f>
        <v/>
      </c>
      <c r="AH317" s="9" t="str">
        <f>IFERROR(Table1[[#This Row],[Husk  (g)]]/Table1[[#This Row],[Sample Qty  (g)]],"")</f>
        <v/>
      </c>
    </row>
    <row r="318" spans="2:34" ht="12" x14ac:dyDescent="0.25">
      <c r="B318" s="8"/>
      <c r="C318" s="7">
        <f>WEEKNUM(Table1[[#This Row],[Date]])</f>
        <v>0</v>
      </c>
      <c r="D318" s="7"/>
      <c r="Y318" s="7">
        <f>SUM(Table1[[#This Row],[Good Kernels  (g)]:[Husk  (g)]])</f>
        <v>0</v>
      </c>
      <c r="Z318" s="9" t="str">
        <f>IFERROR(Table1[[#This Row],[Good Kernels  (g)]]/Table1[[#This Row],[Sample Qty  (g)]],"")</f>
        <v/>
      </c>
      <c r="AA318" s="9" t="str">
        <f>IFERROR(SUM(Table1[[#This Row],[Pieces  (g)]:[Butts (g)]])/Table1[[#This Row],[Sample Qty  (g)]],"")</f>
        <v/>
      </c>
      <c r="AB318" s="9" t="str">
        <f>IFERROR(Table1[[#This Row],[Scorched (g)]]/Table1[[#This Row],[Sample Qty  (g)]],"")</f>
        <v/>
      </c>
      <c r="AC318" s="9" t="str">
        <f>IFERROR(SUM(Table1[[#This Row],[Spotted  (g)]:[PUK3  (g)]])/Table1[[#This Row],[Sample Qty  (g)]],"")</f>
        <v/>
      </c>
      <c r="AD318" s="9" t="str">
        <f>IFERROR(SUM(R318,Q318)/Table1[[#This Row],[Sample Qty  (g)]],"")</f>
        <v/>
      </c>
      <c r="AE318" s="9" t="str">
        <f>IFERROR(Table1[[#This Row],[Dessert/NW  (g)]]/Table1[[#This Row],[Sample Qty  (g)]],"")</f>
        <v/>
      </c>
      <c r="AF318" s="9" t="str">
        <f>IFERROR(SUM(Table1[[#This Row],[Oil  (g)]:[Dirty  (g)]])/Table1[[#This Row],[Sample Qty  (g)]],"")</f>
        <v/>
      </c>
      <c r="AG318" s="9" t="str">
        <f>IFERROR(Table1[[#This Row],[Rejection  (g)]]/Table1[[#This Row],[Sample Qty  (g)]],"")</f>
        <v/>
      </c>
      <c r="AH318" s="9" t="str">
        <f>IFERROR(Table1[[#This Row],[Husk  (g)]]/Table1[[#This Row],[Sample Qty  (g)]],"")</f>
        <v/>
      </c>
    </row>
    <row r="319" spans="2:34" ht="12" x14ac:dyDescent="0.25">
      <c r="B319" s="8"/>
      <c r="C319" s="7">
        <f>WEEKNUM(Table1[[#This Row],[Date]])</f>
        <v>0</v>
      </c>
      <c r="D319" s="7"/>
      <c r="Y319" s="7">
        <f>SUM(Table1[[#This Row],[Good Kernels  (g)]:[Husk  (g)]])</f>
        <v>0</v>
      </c>
      <c r="Z319" s="9" t="str">
        <f>IFERROR(Table1[[#This Row],[Good Kernels  (g)]]/Table1[[#This Row],[Sample Qty  (g)]],"")</f>
        <v/>
      </c>
      <c r="AA319" s="9" t="str">
        <f>IFERROR(SUM(Table1[[#This Row],[Pieces  (g)]:[Butts (g)]])/Table1[[#This Row],[Sample Qty  (g)]],"")</f>
        <v/>
      </c>
      <c r="AB319" s="9" t="str">
        <f>IFERROR(Table1[[#This Row],[Scorched (g)]]/Table1[[#This Row],[Sample Qty  (g)]],"")</f>
        <v/>
      </c>
      <c r="AC319" s="9" t="str">
        <f>IFERROR(SUM(Table1[[#This Row],[Spotted  (g)]:[PUK3  (g)]])/Table1[[#This Row],[Sample Qty  (g)]],"")</f>
        <v/>
      </c>
      <c r="AD319" s="9" t="str">
        <f>IFERROR(SUM(R319,Q319)/Table1[[#This Row],[Sample Qty  (g)]],"")</f>
        <v/>
      </c>
      <c r="AE319" s="9" t="str">
        <f>IFERROR(Table1[[#This Row],[Dessert/NW  (g)]]/Table1[[#This Row],[Sample Qty  (g)]],"")</f>
        <v/>
      </c>
      <c r="AF319" s="9" t="str">
        <f>IFERROR(SUM(Table1[[#This Row],[Oil  (g)]:[Dirty  (g)]])/Table1[[#This Row],[Sample Qty  (g)]],"")</f>
        <v/>
      </c>
      <c r="AG319" s="9" t="str">
        <f>IFERROR(Table1[[#This Row],[Rejection  (g)]]/Table1[[#This Row],[Sample Qty  (g)]],"")</f>
        <v/>
      </c>
      <c r="AH319" s="9" t="str">
        <f>IFERROR(Table1[[#This Row],[Husk  (g)]]/Table1[[#This Row],[Sample Qty  (g)]],"")</f>
        <v/>
      </c>
    </row>
    <row r="320" spans="2:34" ht="12" x14ac:dyDescent="0.25">
      <c r="B320" s="8"/>
      <c r="C320" s="7">
        <f>WEEKNUM(Table1[[#This Row],[Date]])</f>
        <v>0</v>
      </c>
      <c r="D320" s="7"/>
      <c r="Y320" s="7">
        <f>SUM(Table1[[#This Row],[Good Kernels  (g)]:[Husk  (g)]])</f>
        <v>0</v>
      </c>
      <c r="Z320" s="9" t="str">
        <f>IFERROR(Table1[[#This Row],[Good Kernels  (g)]]/Table1[[#This Row],[Sample Qty  (g)]],"")</f>
        <v/>
      </c>
      <c r="AA320" s="9" t="str">
        <f>IFERROR(SUM(Table1[[#This Row],[Pieces  (g)]:[Butts (g)]])/Table1[[#This Row],[Sample Qty  (g)]],"")</f>
        <v/>
      </c>
      <c r="AB320" s="9" t="str">
        <f>IFERROR(Table1[[#This Row],[Scorched (g)]]/Table1[[#This Row],[Sample Qty  (g)]],"")</f>
        <v/>
      </c>
      <c r="AC320" s="9" t="str">
        <f>IFERROR(SUM(Table1[[#This Row],[Spotted  (g)]:[PUK3  (g)]])/Table1[[#This Row],[Sample Qty  (g)]],"")</f>
        <v/>
      </c>
      <c r="AD320" s="9" t="str">
        <f>IFERROR(SUM(R320,Q320)/Table1[[#This Row],[Sample Qty  (g)]],"")</f>
        <v/>
      </c>
      <c r="AE320" s="9" t="str">
        <f>IFERROR(Table1[[#This Row],[Dessert/NW  (g)]]/Table1[[#This Row],[Sample Qty  (g)]],"")</f>
        <v/>
      </c>
      <c r="AF320" s="9" t="str">
        <f>IFERROR(SUM(Table1[[#This Row],[Oil  (g)]:[Dirty  (g)]])/Table1[[#This Row],[Sample Qty  (g)]],"")</f>
        <v/>
      </c>
      <c r="AG320" s="9" t="str">
        <f>IFERROR(Table1[[#This Row],[Rejection  (g)]]/Table1[[#This Row],[Sample Qty  (g)]],"")</f>
        <v/>
      </c>
      <c r="AH320" s="9" t="str">
        <f>IFERROR(Table1[[#This Row],[Husk  (g)]]/Table1[[#This Row],[Sample Qty  (g)]],"")</f>
        <v/>
      </c>
    </row>
    <row r="321" spans="2:34" ht="12" x14ac:dyDescent="0.25">
      <c r="B321" s="8"/>
      <c r="C321" s="7">
        <f>WEEKNUM(Table1[[#This Row],[Date]])</f>
        <v>0</v>
      </c>
      <c r="D321" s="7"/>
      <c r="Y321" s="7">
        <f>SUM(Table1[[#This Row],[Good Kernels  (g)]:[Husk  (g)]])</f>
        <v>0</v>
      </c>
      <c r="Z321" s="9" t="str">
        <f>IFERROR(Table1[[#This Row],[Good Kernels  (g)]]/Table1[[#This Row],[Sample Qty  (g)]],"")</f>
        <v/>
      </c>
      <c r="AA321" s="9" t="str">
        <f>IFERROR(SUM(Table1[[#This Row],[Pieces  (g)]:[Butts (g)]])/Table1[[#This Row],[Sample Qty  (g)]],"")</f>
        <v/>
      </c>
      <c r="AB321" s="9" t="str">
        <f>IFERROR(Table1[[#This Row],[Scorched (g)]]/Table1[[#This Row],[Sample Qty  (g)]],"")</f>
        <v/>
      </c>
      <c r="AC321" s="9" t="str">
        <f>IFERROR(SUM(Table1[[#This Row],[Spotted  (g)]:[PUK3  (g)]])/Table1[[#This Row],[Sample Qty  (g)]],"")</f>
        <v/>
      </c>
      <c r="AD321" s="9" t="str">
        <f>IFERROR(SUM(R321,Q321)/Table1[[#This Row],[Sample Qty  (g)]],"")</f>
        <v/>
      </c>
      <c r="AE321" s="9" t="str">
        <f>IFERROR(Table1[[#This Row],[Dessert/NW  (g)]]/Table1[[#This Row],[Sample Qty  (g)]],"")</f>
        <v/>
      </c>
      <c r="AF321" s="9" t="str">
        <f>IFERROR(SUM(Table1[[#This Row],[Oil  (g)]:[Dirty  (g)]])/Table1[[#This Row],[Sample Qty  (g)]],"")</f>
        <v/>
      </c>
      <c r="AG321" s="9" t="str">
        <f>IFERROR(Table1[[#This Row],[Rejection  (g)]]/Table1[[#This Row],[Sample Qty  (g)]],"")</f>
        <v/>
      </c>
      <c r="AH321" s="9" t="str">
        <f>IFERROR(Table1[[#This Row],[Husk  (g)]]/Table1[[#This Row],[Sample Qty  (g)]],"")</f>
        <v/>
      </c>
    </row>
    <row r="322" spans="2:34" ht="12" x14ac:dyDescent="0.25">
      <c r="B322" s="8"/>
      <c r="C322" s="7">
        <f>WEEKNUM(Table1[[#This Row],[Date]])</f>
        <v>0</v>
      </c>
      <c r="D322" s="7"/>
      <c r="Y322" s="7">
        <f>SUM(Table1[[#This Row],[Good Kernels  (g)]:[Husk  (g)]])</f>
        <v>0</v>
      </c>
      <c r="Z322" s="9" t="str">
        <f>IFERROR(Table1[[#This Row],[Good Kernels  (g)]]/Table1[[#This Row],[Sample Qty  (g)]],"")</f>
        <v/>
      </c>
      <c r="AA322" s="9" t="str">
        <f>IFERROR(SUM(Table1[[#This Row],[Pieces  (g)]:[Butts (g)]])/Table1[[#This Row],[Sample Qty  (g)]],"")</f>
        <v/>
      </c>
      <c r="AB322" s="9" t="str">
        <f>IFERROR(Table1[[#This Row],[Scorched (g)]]/Table1[[#This Row],[Sample Qty  (g)]],"")</f>
        <v/>
      </c>
      <c r="AC322" s="9" t="str">
        <f>IFERROR(SUM(Table1[[#This Row],[Spotted  (g)]:[PUK3  (g)]])/Table1[[#This Row],[Sample Qty  (g)]],"")</f>
        <v/>
      </c>
      <c r="AD322" s="9" t="str">
        <f>IFERROR(SUM(R322,Q322)/Table1[[#This Row],[Sample Qty  (g)]],"")</f>
        <v/>
      </c>
      <c r="AE322" s="9" t="str">
        <f>IFERROR(Table1[[#This Row],[Dessert/NW  (g)]]/Table1[[#This Row],[Sample Qty  (g)]],"")</f>
        <v/>
      </c>
      <c r="AF322" s="9" t="str">
        <f>IFERROR(SUM(Table1[[#This Row],[Oil  (g)]:[Dirty  (g)]])/Table1[[#This Row],[Sample Qty  (g)]],"")</f>
        <v/>
      </c>
      <c r="AG322" s="9" t="str">
        <f>IFERROR(Table1[[#This Row],[Rejection  (g)]]/Table1[[#This Row],[Sample Qty  (g)]],"")</f>
        <v/>
      </c>
      <c r="AH322" s="9" t="str">
        <f>IFERROR(Table1[[#This Row],[Husk  (g)]]/Table1[[#This Row],[Sample Qty  (g)]],"")</f>
        <v/>
      </c>
    </row>
    <row r="323" spans="2:34" ht="12" x14ac:dyDescent="0.25">
      <c r="B323" s="8"/>
      <c r="C323" s="7">
        <f>WEEKNUM(Table1[[#This Row],[Date]])</f>
        <v>0</v>
      </c>
      <c r="D323" s="7"/>
      <c r="Y323" s="7">
        <f>SUM(Table1[[#This Row],[Good Kernels  (g)]:[Husk  (g)]])</f>
        <v>0</v>
      </c>
      <c r="Z323" s="9" t="str">
        <f>IFERROR(Table1[[#This Row],[Good Kernels  (g)]]/Table1[[#This Row],[Sample Qty  (g)]],"")</f>
        <v/>
      </c>
      <c r="AA323" s="9" t="str">
        <f>IFERROR(SUM(Table1[[#This Row],[Pieces  (g)]:[Butts (g)]])/Table1[[#This Row],[Sample Qty  (g)]],"")</f>
        <v/>
      </c>
      <c r="AB323" s="9" t="str">
        <f>IFERROR(Table1[[#This Row],[Scorched (g)]]/Table1[[#This Row],[Sample Qty  (g)]],"")</f>
        <v/>
      </c>
      <c r="AC323" s="9" t="str">
        <f>IFERROR(SUM(Table1[[#This Row],[Spotted  (g)]:[PUK3  (g)]])/Table1[[#This Row],[Sample Qty  (g)]],"")</f>
        <v/>
      </c>
      <c r="AD323" s="9" t="str">
        <f>IFERROR(SUM(R323,Q323)/Table1[[#This Row],[Sample Qty  (g)]],"")</f>
        <v/>
      </c>
      <c r="AE323" s="9" t="str">
        <f>IFERROR(Table1[[#This Row],[Dessert/NW  (g)]]/Table1[[#This Row],[Sample Qty  (g)]],"")</f>
        <v/>
      </c>
      <c r="AF323" s="9" t="str">
        <f>IFERROR(SUM(Table1[[#This Row],[Oil  (g)]:[Dirty  (g)]])/Table1[[#This Row],[Sample Qty  (g)]],"")</f>
        <v/>
      </c>
      <c r="AG323" s="9" t="str">
        <f>IFERROR(Table1[[#This Row],[Rejection  (g)]]/Table1[[#This Row],[Sample Qty  (g)]],"")</f>
        <v/>
      </c>
      <c r="AH323" s="9" t="str">
        <f>IFERROR(Table1[[#This Row],[Husk  (g)]]/Table1[[#This Row],[Sample Qty  (g)]],"")</f>
        <v/>
      </c>
    </row>
    <row r="324" spans="2:34" ht="12" x14ac:dyDescent="0.25">
      <c r="B324" s="8"/>
      <c r="C324" s="7">
        <f>WEEKNUM(Table1[[#This Row],[Date]])</f>
        <v>0</v>
      </c>
      <c r="D324" s="7"/>
      <c r="Y324" s="7">
        <f>SUM(Table1[[#This Row],[Good Kernels  (g)]:[Husk  (g)]])</f>
        <v>0</v>
      </c>
      <c r="Z324" s="9" t="str">
        <f>IFERROR(Table1[[#This Row],[Good Kernels  (g)]]/Table1[[#This Row],[Sample Qty  (g)]],"")</f>
        <v/>
      </c>
      <c r="AA324" s="9" t="str">
        <f>IFERROR(SUM(Table1[[#This Row],[Pieces  (g)]:[Butts (g)]])/Table1[[#This Row],[Sample Qty  (g)]],"")</f>
        <v/>
      </c>
      <c r="AB324" s="9" t="str">
        <f>IFERROR(Table1[[#This Row],[Scorched (g)]]/Table1[[#This Row],[Sample Qty  (g)]],"")</f>
        <v/>
      </c>
      <c r="AC324" s="9" t="str">
        <f>IFERROR(SUM(Table1[[#This Row],[Spotted  (g)]:[PUK3  (g)]])/Table1[[#This Row],[Sample Qty  (g)]],"")</f>
        <v/>
      </c>
      <c r="AD324" s="9" t="str">
        <f>IFERROR(SUM(R324,Q324)/Table1[[#This Row],[Sample Qty  (g)]],"")</f>
        <v/>
      </c>
      <c r="AE324" s="9" t="str">
        <f>IFERROR(Table1[[#This Row],[Dessert/NW  (g)]]/Table1[[#This Row],[Sample Qty  (g)]],"")</f>
        <v/>
      </c>
      <c r="AF324" s="9" t="str">
        <f>IFERROR(SUM(Table1[[#This Row],[Oil  (g)]:[Dirty  (g)]])/Table1[[#This Row],[Sample Qty  (g)]],"")</f>
        <v/>
      </c>
      <c r="AG324" s="9" t="str">
        <f>IFERROR(Table1[[#This Row],[Rejection  (g)]]/Table1[[#This Row],[Sample Qty  (g)]],"")</f>
        <v/>
      </c>
      <c r="AH324" s="9" t="str">
        <f>IFERROR(Table1[[#This Row],[Husk  (g)]]/Table1[[#This Row],[Sample Qty  (g)]],"")</f>
        <v/>
      </c>
    </row>
    <row r="325" spans="2:34" ht="12" x14ac:dyDescent="0.25">
      <c r="B325" s="8"/>
      <c r="C325" s="7">
        <f>WEEKNUM(Table1[[#This Row],[Date]])</f>
        <v>0</v>
      </c>
      <c r="D325" s="7"/>
      <c r="Y325" s="7">
        <f>SUM(Table1[[#This Row],[Good Kernels  (g)]:[Husk  (g)]])</f>
        <v>0</v>
      </c>
      <c r="Z325" s="9" t="str">
        <f>IFERROR(Table1[[#This Row],[Good Kernels  (g)]]/Table1[[#This Row],[Sample Qty  (g)]],"")</f>
        <v/>
      </c>
      <c r="AA325" s="9" t="str">
        <f>IFERROR(SUM(Table1[[#This Row],[Pieces  (g)]:[Butts (g)]])/Table1[[#This Row],[Sample Qty  (g)]],"")</f>
        <v/>
      </c>
      <c r="AB325" s="9" t="str">
        <f>IFERROR(Table1[[#This Row],[Scorched (g)]]/Table1[[#This Row],[Sample Qty  (g)]],"")</f>
        <v/>
      </c>
      <c r="AC325" s="9" t="str">
        <f>IFERROR(SUM(Table1[[#This Row],[Spotted  (g)]:[PUK3  (g)]])/Table1[[#This Row],[Sample Qty  (g)]],"")</f>
        <v/>
      </c>
      <c r="AD325" s="9" t="str">
        <f>IFERROR(SUM(R325,Q325)/Table1[[#This Row],[Sample Qty  (g)]],"")</f>
        <v/>
      </c>
      <c r="AE325" s="9" t="str">
        <f>IFERROR(Table1[[#This Row],[Dessert/NW  (g)]]/Table1[[#This Row],[Sample Qty  (g)]],"")</f>
        <v/>
      </c>
      <c r="AF325" s="9" t="str">
        <f>IFERROR(SUM(Table1[[#This Row],[Oil  (g)]:[Dirty  (g)]])/Table1[[#This Row],[Sample Qty  (g)]],"")</f>
        <v/>
      </c>
      <c r="AG325" s="9" t="str">
        <f>IFERROR(Table1[[#This Row],[Rejection  (g)]]/Table1[[#This Row],[Sample Qty  (g)]],"")</f>
        <v/>
      </c>
      <c r="AH325" s="9" t="str">
        <f>IFERROR(Table1[[#This Row],[Husk  (g)]]/Table1[[#This Row],[Sample Qty  (g)]],"")</f>
        <v/>
      </c>
    </row>
    <row r="326" spans="2:34" ht="12" x14ac:dyDescent="0.25">
      <c r="B326" s="8"/>
      <c r="C326" s="7">
        <f>WEEKNUM(Table1[[#This Row],[Date]])</f>
        <v>0</v>
      </c>
      <c r="D326" s="7"/>
      <c r="Y326" s="7">
        <f>SUM(Table1[[#This Row],[Good Kernels  (g)]:[Husk  (g)]])</f>
        <v>0</v>
      </c>
      <c r="Z326" s="9" t="str">
        <f>IFERROR(Table1[[#This Row],[Good Kernels  (g)]]/Table1[[#This Row],[Sample Qty  (g)]],"")</f>
        <v/>
      </c>
      <c r="AA326" s="9" t="str">
        <f>IFERROR(SUM(Table1[[#This Row],[Pieces  (g)]:[Butts (g)]])/Table1[[#This Row],[Sample Qty  (g)]],"")</f>
        <v/>
      </c>
      <c r="AB326" s="9" t="str">
        <f>IFERROR(Table1[[#This Row],[Scorched (g)]]/Table1[[#This Row],[Sample Qty  (g)]],"")</f>
        <v/>
      </c>
      <c r="AC326" s="9" t="str">
        <f>IFERROR(SUM(Table1[[#This Row],[Spotted  (g)]:[PUK3  (g)]])/Table1[[#This Row],[Sample Qty  (g)]],"")</f>
        <v/>
      </c>
      <c r="AD326" s="9" t="str">
        <f>IFERROR(SUM(R326,Q326)/Table1[[#This Row],[Sample Qty  (g)]],"")</f>
        <v/>
      </c>
      <c r="AE326" s="9" t="str">
        <f>IFERROR(Table1[[#This Row],[Dessert/NW  (g)]]/Table1[[#This Row],[Sample Qty  (g)]],"")</f>
        <v/>
      </c>
      <c r="AF326" s="9" t="str">
        <f>IFERROR(SUM(Table1[[#This Row],[Oil  (g)]:[Dirty  (g)]])/Table1[[#This Row],[Sample Qty  (g)]],"")</f>
        <v/>
      </c>
      <c r="AG326" s="9" t="str">
        <f>IFERROR(Table1[[#This Row],[Rejection  (g)]]/Table1[[#This Row],[Sample Qty  (g)]],"")</f>
        <v/>
      </c>
      <c r="AH326" s="9" t="str">
        <f>IFERROR(Table1[[#This Row],[Husk  (g)]]/Table1[[#This Row],[Sample Qty  (g)]],"")</f>
        <v/>
      </c>
    </row>
    <row r="327" spans="2:34" ht="12" x14ac:dyDescent="0.25">
      <c r="B327" s="8"/>
      <c r="C327" s="7">
        <f>WEEKNUM(Table1[[#This Row],[Date]])</f>
        <v>0</v>
      </c>
      <c r="D327" s="7"/>
      <c r="Y327" s="7">
        <f>SUM(Table1[[#This Row],[Good Kernels  (g)]:[Husk  (g)]])</f>
        <v>0</v>
      </c>
      <c r="Z327" s="9" t="str">
        <f>IFERROR(Table1[[#This Row],[Good Kernels  (g)]]/Table1[[#This Row],[Sample Qty  (g)]],"")</f>
        <v/>
      </c>
      <c r="AA327" s="9" t="str">
        <f>IFERROR(SUM(Table1[[#This Row],[Pieces  (g)]:[Butts (g)]])/Table1[[#This Row],[Sample Qty  (g)]],"")</f>
        <v/>
      </c>
      <c r="AB327" s="9" t="str">
        <f>IFERROR(Table1[[#This Row],[Scorched (g)]]/Table1[[#This Row],[Sample Qty  (g)]],"")</f>
        <v/>
      </c>
      <c r="AC327" s="9" t="str">
        <f>IFERROR(SUM(Table1[[#This Row],[Spotted  (g)]:[PUK3  (g)]])/Table1[[#This Row],[Sample Qty  (g)]],"")</f>
        <v/>
      </c>
      <c r="AD327" s="9" t="str">
        <f>IFERROR(SUM(R327,Q327)/Table1[[#This Row],[Sample Qty  (g)]],"")</f>
        <v/>
      </c>
      <c r="AE327" s="9" t="str">
        <f>IFERROR(Table1[[#This Row],[Dessert/NW  (g)]]/Table1[[#This Row],[Sample Qty  (g)]],"")</f>
        <v/>
      </c>
      <c r="AF327" s="9" t="str">
        <f>IFERROR(SUM(Table1[[#This Row],[Oil  (g)]:[Dirty  (g)]])/Table1[[#This Row],[Sample Qty  (g)]],"")</f>
        <v/>
      </c>
      <c r="AG327" s="9" t="str">
        <f>IFERROR(Table1[[#This Row],[Rejection  (g)]]/Table1[[#This Row],[Sample Qty  (g)]],"")</f>
        <v/>
      </c>
      <c r="AH327" s="9" t="str">
        <f>IFERROR(Table1[[#This Row],[Husk  (g)]]/Table1[[#This Row],[Sample Qty  (g)]],"")</f>
        <v/>
      </c>
    </row>
    <row r="328" spans="2:34" ht="12" x14ac:dyDescent="0.25">
      <c r="B328" s="8"/>
      <c r="C328" s="7">
        <f>WEEKNUM(Table1[[#This Row],[Date]])</f>
        <v>0</v>
      </c>
      <c r="D328" s="7"/>
      <c r="Y328" s="7">
        <f>SUM(Table1[[#This Row],[Good Kernels  (g)]:[Husk  (g)]])</f>
        <v>0</v>
      </c>
      <c r="Z328" s="9" t="str">
        <f>IFERROR(Table1[[#This Row],[Good Kernels  (g)]]/Table1[[#This Row],[Sample Qty  (g)]],"")</f>
        <v/>
      </c>
      <c r="AA328" s="9" t="str">
        <f>IFERROR(SUM(Table1[[#This Row],[Pieces  (g)]:[Butts (g)]])/Table1[[#This Row],[Sample Qty  (g)]],"")</f>
        <v/>
      </c>
      <c r="AB328" s="9" t="str">
        <f>IFERROR(Table1[[#This Row],[Scorched (g)]]/Table1[[#This Row],[Sample Qty  (g)]],"")</f>
        <v/>
      </c>
      <c r="AC328" s="9" t="str">
        <f>IFERROR(SUM(Table1[[#This Row],[Spotted  (g)]:[PUK3  (g)]])/Table1[[#This Row],[Sample Qty  (g)]],"")</f>
        <v/>
      </c>
      <c r="AD328" s="9" t="str">
        <f>IFERROR(SUM(R328,Q328)/Table1[[#This Row],[Sample Qty  (g)]],"")</f>
        <v/>
      </c>
      <c r="AE328" s="9" t="str">
        <f>IFERROR(Table1[[#This Row],[Dessert/NW  (g)]]/Table1[[#This Row],[Sample Qty  (g)]],"")</f>
        <v/>
      </c>
      <c r="AF328" s="9" t="str">
        <f>IFERROR(SUM(Table1[[#This Row],[Oil  (g)]:[Dirty  (g)]])/Table1[[#This Row],[Sample Qty  (g)]],"")</f>
        <v/>
      </c>
      <c r="AG328" s="9" t="str">
        <f>IFERROR(Table1[[#This Row],[Rejection  (g)]]/Table1[[#This Row],[Sample Qty  (g)]],"")</f>
        <v/>
      </c>
      <c r="AH328" s="9" t="str">
        <f>IFERROR(Table1[[#This Row],[Husk  (g)]]/Table1[[#This Row],[Sample Qty  (g)]],"")</f>
        <v/>
      </c>
    </row>
    <row r="329" spans="2:34" ht="12" x14ac:dyDescent="0.25">
      <c r="B329" s="8"/>
      <c r="C329" s="7">
        <f>WEEKNUM(Table1[[#This Row],[Date]])</f>
        <v>0</v>
      </c>
      <c r="D329" s="7"/>
      <c r="Y329" s="7">
        <f>SUM(Table1[[#This Row],[Good Kernels  (g)]:[Husk  (g)]])</f>
        <v>0</v>
      </c>
      <c r="Z329" s="9" t="str">
        <f>IFERROR(Table1[[#This Row],[Good Kernels  (g)]]/Table1[[#This Row],[Sample Qty  (g)]],"")</f>
        <v/>
      </c>
      <c r="AA329" s="9" t="str">
        <f>IFERROR(SUM(Table1[[#This Row],[Pieces  (g)]:[Butts (g)]])/Table1[[#This Row],[Sample Qty  (g)]],"")</f>
        <v/>
      </c>
      <c r="AB329" s="9" t="str">
        <f>IFERROR(Table1[[#This Row],[Scorched (g)]]/Table1[[#This Row],[Sample Qty  (g)]],"")</f>
        <v/>
      </c>
      <c r="AC329" s="9" t="str">
        <f>IFERROR(SUM(Table1[[#This Row],[Spotted  (g)]:[PUK3  (g)]])/Table1[[#This Row],[Sample Qty  (g)]],"")</f>
        <v/>
      </c>
      <c r="AD329" s="9" t="str">
        <f>IFERROR(SUM(R329,Q329)/Table1[[#This Row],[Sample Qty  (g)]],"")</f>
        <v/>
      </c>
      <c r="AE329" s="9" t="str">
        <f>IFERROR(Table1[[#This Row],[Dessert/NW  (g)]]/Table1[[#This Row],[Sample Qty  (g)]],"")</f>
        <v/>
      </c>
      <c r="AF329" s="9" t="str">
        <f>IFERROR(SUM(Table1[[#This Row],[Oil  (g)]:[Dirty  (g)]])/Table1[[#This Row],[Sample Qty  (g)]],"")</f>
        <v/>
      </c>
      <c r="AG329" s="9" t="str">
        <f>IFERROR(Table1[[#This Row],[Rejection  (g)]]/Table1[[#This Row],[Sample Qty  (g)]],"")</f>
        <v/>
      </c>
      <c r="AH329" s="9" t="str">
        <f>IFERROR(Table1[[#This Row],[Husk  (g)]]/Table1[[#This Row],[Sample Qty  (g)]],"")</f>
        <v/>
      </c>
    </row>
    <row r="330" spans="2:34" ht="12" x14ac:dyDescent="0.25">
      <c r="B330" s="8"/>
      <c r="C330" s="7">
        <f>WEEKNUM(Table1[[#This Row],[Date]])</f>
        <v>0</v>
      </c>
      <c r="D330" s="7"/>
      <c r="Y330" s="7">
        <f>SUM(Table1[[#This Row],[Good Kernels  (g)]:[Husk  (g)]])</f>
        <v>0</v>
      </c>
      <c r="Z330" s="9" t="str">
        <f>IFERROR(Table1[[#This Row],[Good Kernels  (g)]]/Table1[[#This Row],[Sample Qty  (g)]],"")</f>
        <v/>
      </c>
      <c r="AA330" s="9" t="str">
        <f>IFERROR(SUM(Table1[[#This Row],[Pieces  (g)]:[Butts (g)]])/Table1[[#This Row],[Sample Qty  (g)]],"")</f>
        <v/>
      </c>
      <c r="AB330" s="9" t="str">
        <f>IFERROR(Table1[[#This Row],[Scorched (g)]]/Table1[[#This Row],[Sample Qty  (g)]],"")</f>
        <v/>
      </c>
      <c r="AC330" s="9" t="str">
        <f>IFERROR(SUM(Table1[[#This Row],[Spotted  (g)]:[PUK3  (g)]])/Table1[[#This Row],[Sample Qty  (g)]],"")</f>
        <v/>
      </c>
      <c r="AD330" s="9" t="str">
        <f>IFERROR(SUM(R330,Q330)/Table1[[#This Row],[Sample Qty  (g)]],"")</f>
        <v/>
      </c>
      <c r="AE330" s="9" t="str">
        <f>IFERROR(Table1[[#This Row],[Dessert/NW  (g)]]/Table1[[#This Row],[Sample Qty  (g)]],"")</f>
        <v/>
      </c>
      <c r="AF330" s="9" t="str">
        <f>IFERROR(SUM(Table1[[#This Row],[Oil  (g)]:[Dirty  (g)]])/Table1[[#This Row],[Sample Qty  (g)]],"")</f>
        <v/>
      </c>
      <c r="AG330" s="9" t="str">
        <f>IFERROR(Table1[[#This Row],[Rejection  (g)]]/Table1[[#This Row],[Sample Qty  (g)]],"")</f>
        <v/>
      </c>
      <c r="AH330" s="9" t="str">
        <f>IFERROR(Table1[[#This Row],[Husk  (g)]]/Table1[[#This Row],[Sample Qty  (g)]],"")</f>
        <v/>
      </c>
    </row>
    <row r="331" spans="2:34" ht="12" x14ac:dyDescent="0.25">
      <c r="B331" s="8"/>
      <c r="C331" s="7">
        <f>WEEKNUM(Table1[[#This Row],[Date]])</f>
        <v>0</v>
      </c>
      <c r="D331" s="7"/>
      <c r="Y331" s="7">
        <f>SUM(Table1[[#This Row],[Good Kernels  (g)]:[Husk  (g)]])</f>
        <v>0</v>
      </c>
      <c r="Z331" s="9" t="str">
        <f>IFERROR(Table1[[#This Row],[Good Kernels  (g)]]/Table1[[#This Row],[Sample Qty  (g)]],"")</f>
        <v/>
      </c>
      <c r="AA331" s="9" t="str">
        <f>IFERROR(SUM(Table1[[#This Row],[Pieces  (g)]:[Butts (g)]])/Table1[[#This Row],[Sample Qty  (g)]],"")</f>
        <v/>
      </c>
      <c r="AB331" s="9" t="str">
        <f>IFERROR(Table1[[#This Row],[Scorched (g)]]/Table1[[#This Row],[Sample Qty  (g)]],"")</f>
        <v/>
      </c>
      <c r="AC331" s="9" t="str">
        <f>IFERROR(SUM(Table1[[#This Row],[Spotted  (g)]:[PUK3  (g)]])/Table1[[#This Row],[Sample Qty  (g)]],"")</f>
        <v/>
      </c>
      <c r="AD331" s="9" t="str">
        <f>IFERROR(SUM(R331,Q331)/Table1[[#This Row],[Sample Qty  (g)]],"")</f>
        <v/>
      </c>
      <c r="AE331" s="9" t="str">
        <f>IFERROR(Table1[[#This Row],[Dessert/NW  (g)]]/Table1[[#This Row],[Sample Qty  (g)]],"")</f>
        <v/>
      </c>
      <c r="AF331" s="9" t="str">
        <f>IFERROR(SUM(Table1[[#This Row],[Oil  (g)]:[Dirty  (g)]])/Table1[[#This Row],[Sample Qty  (g)]],"")</f>
        <v/>
      </c>
      <c r="AG331" s="9" t="str">
        <f>IFERROR(Table1[[#This Row],[Rejection  (g)]]/Table1[[#This Row],[Sample Qty  (g)]],"")</f>
        <v/>
      </c>
      <c r="AH331" s="9" t="str">
        <f>IFERROR(Table1[[#This Row],[Husk  (g)]]/Table1[[#This Row],[Sample Qty  (g)]],"")</f>
        <v/>
      </c>
    </row>
    <row r="332" spans="2:34" ht="12" x14ac:dyDescent="0.25">
      <c r="B332" s="8"/>
      <c r="C332" s="7">
        <f>WEEKNUM(Table1[[#This Row],[Date]])</f>
        <v>0</v>
      </c>
      <c r="D332" s="7"/>
      <c r="Y332" s="7">
        <f>SUM(Table1[[#This Row],[Good Kernels  (g)]:[Husk  (g)]])</f>
        <v>0</v>
      </c>
      <c r="Z332" s="9" t="str">
        <f>IFERROR(Table1[[#This Row],[Good Kernels  (g)]]/Table1[[#This Row],[Sample Qty  (g)]],"")</f>
        <v/>
      </c>
      <c r="AA332" s="9" t="str">
        <f>IFERROR(SUM(Table1[[#This Row],[Pieces  (g)]:[Butts (g)]])/Table1[[#This Row],[Sample Qty  (g)]],"")</f>
        <v/>
      </c>
      <c r="AB332" s="9" t="str">
        <f>IFERROR(Table1[[#This Row],[Scorched (g)]]/Table1[[#This Row],[Sample Qty  (g)]],"")</f>
        <v/>
      </c>
      <c r="AC332" s="9" t="str">
        <f>IFERROR(SUM(Table1[[#This Row],[Spotted  (g)]:[PUK3  (g)]])/Table1[[#This Row],[Sample Qty  (g)]],"")</f>
        <v/>
      </c>
      <c r="AD332" s="9" t="str">
        <f>IFERROR(SUM(R332,Q332)/Table1[[#This Row],[Sample Qty  (g)]],"")</f>
        <v/>
      </c>
      <c r="AE332" s="9" t="str">
        <f>IFERROR(Table1[[#This Row],[Dessert/NW  (g)]]/Table1[[#This Row],[Sample Qty  (g)]],"")</f>
        <v/>
      </c>
      <c r="AF332" s="9" t="str">
        <f>IFERROR(SUM(Table1[[#This Row],[Oil  (g)]:[Dirty  (g)]])/Table1[[#This Row],[Sample Qty  (g)]],"")</f>
        <v/>
      </c>
      <c r="AG332" s="9" t="str">
        <f>IFERROR(Table1[[#This Row],[Rejection  (g)]]/Table1[[#This Row],[Sample Qty  (g)]],"")</f>
        <v/>
      </c>
      <c r="AH332" s="9" t="str">
        <f>IFERROR(Table1[[#This Row],[Husk  (g)]]/Table1[[#This Row],[Sample Qty  (g)]],"")</f>
        <v/>
      </c>
    </row>
    <row r="333" spans="2:34" ht="12" x14ac:dyDescent="0.25">
      <c r="B333" s="8"/>
      <c r="C333" s="7">
        <f>WEEKNUM(Table1[[#This Row],[Date]])</f>
        <v>0</v>
      </c>
      <c r="D333" s="7"/>
      <c r="Y333" s="7">
        <f>SUM(Table1[[#This Row],[Good Kernels  (g)]:[Husk  (g)]])</f>
        <v>0</v>
      </c>
      <c r="Z333" s="9" t="str">
        <f>IFERROR(Table1[[#This Row],[Good Kernels  (g)]]/Table1[[#This Row],[Sample Qty  (g)]],"")</f>
        <v/>
      </c>
      <c r="AA333" s="9" t="str">
        <f>IFERROR(SUM(Table1[[#This Row],[Pieces  (g)]:[Butts (g)]])/Table1[[#This Row],[Sample Qty  (g)]],"")</f>
        <v/>
      </c>
      <c r="AB333" s="9" t="str">
        <f>IFERROR(Table1[[#This Row],[Scorched (g)]]/Table1[[#This Row],[Sample Qty  (g)]],"")</f>
        <v/>
      </c>
      <c r="AC333" s="9" t="str">
        <f>IFERROR(SUM(Table1[[#This Row],[Spotted  (g)]:[PUK3  (g)]])/Table1[[#This Row],[Sample Qty  (g)]],"")</f>
        <v/>
      </c>
      <c r="AD333" s="9" t="str">
        <f>IFERROR(SUM(R333,Q333)/Table1[[#This Row],[Sample Qty  (g)]],"")</f>
        <v/>
      </c>
      <c r="AE333" s="9" t="str">
        <f>IFERROR(Table1[[#This Row],[Dessert/NW  (g)]]/Table1[[#This Row],[Sample Qty  (g)]],"")</f>
        <v/>
      </c>
      <c r="AF333" s="9" t="str">
        <f>IFERROR(SUM(Table1[[#This Row],[Oil  (g)]:[Dirty  (g)]])/Table1[[#This Row],[Sample Qty  (g)]],"")</f>
        <v/>
      </c>
      <c r="AG333" s="9" t="str">
        <f>IFERROR(Table1[[#This Row],[Rejection  (g)]]/Table1[[#This Row],[Sample Qty  (g)]],"")</f>
        <v/>
      </c>
      <c r="AH333" s="9" t="str">
        <f>IFERROR(Table1[[#This Row],[Husk  (g)]]/Table1[[#This Row],[Sample Qty  (g)]],"")</f>
        <v/>
      </c>
    </row>
    <row r="334" spans="2:34" ht="12" x14ac:dyDescent="0.25">
      <c r="B334" s="8"/>
      <c r="C334" s="7">
        <f>WEEKNUM(Table1[[#This Row],[Date]])</f>
        <v>0</v>
      </c>
      <c r="D334" s="7"/>
      <c r="Y334" s="7">
        <f>SUM(Table1[[#This Row],[Good Kernels  (g)]:[Husk  (g)]])</f>
        <v>0</v>
      </c>
      <c r="Z334" s="9" t="str">
        <f>IFERROR(Table1[[#This Row],[Good Kernels  (g)]]/Table1[[#This Row],[Sample Qty  (g)]],"")</f>
        <v/>
      </c>
      <c r="AA334" s="9" t="str">
        <f>IFERROR(SUM(Table1[[#This Row],[Pieces  (g)]:[Butts (g)]])/Table1[[#This Row],[Sample Qty  (g)]],"")</f>
        <v/>
      </c>
      <c r="AB334" s="9" t="str">
        <f>IFERROR(Table1[[#This Row],[Scorched (g)]]/Table1[[#This Row],[Sample Qty  (g)]],"")</f>
        <v/>
      </c>
      <c r="AC334" s="9" t="str">
        <f>IFERROR(SUM(Table1[[#This Row],[Spotted  (g)]:[PUK3  (g)]])/Table1[[#This Row],[Sample Qty  (g)]],"")</f>
        <v/>
      </c>
      <c r="AD334" s="9" t="str">
        <f>IFERROR(SUM(R334,Q334)/Table1[[#This Row],[Sample Qty  (g)]],"")</f>
        <v/>
      </c>
      <c r="AE334" s="9" t="str">
        <f>IFERROR(Table1[[#This Row],[Dessert/NW  (g)]]/Table1[[#This Row],[Sample Qty  (g)]],"")</f>
        <v/>
      </c>
      <c r="AF334" s="9" t="str">
        <f>IFERROR(SUM(Table1[[#This Row],[Oil  (g)]:[Dirty  (g)]])/Table1[[#This Row],[Sample Qty  (g)]],"")</f>
        <v/>
      </c>
      <c r="AG334" s="9" t="str">
        <f>IFERROR(Table1[[#This Row],[Rejection  (g)]]/Table1[[#This Row],[Sample Qty  (g)]],"")</f>
        <v/>
      </c>
      <c r="AH334" s="9" t="str">
        <f>IFERROR(Table1[[#This Row],[Husk  (g)]]/Table1[[#This Row],[Sample Qty  (g)]],"")</f>
        <v/>
      </c>
    </row>
    <row r="335" spans="2:34" ht="12" x14ac:dyDescent="0.25">
      <c r="B335" s="8"/>
      <c r="C335" s="7">
        <f>WEEKNUM(Table1[[#This Row],[Date]])</f>
        <v>0</v>
      </c>
      <c r="D335" s="7"/>
      <c r="Y335" s="7">
        <f>SUM(Table1[[#This Row],[Good Kernels  (g)]:[Husk  (g)]])</f>
        <v>0</v>
      </c>
      <c r="Z335" s="9" t="str">
        <f>IFERROR(Table1[[#This Row],[Good Kernels  (g)]]/Table1[[#This Row],[Sample Qty  (g)]],"")</f>
        <v/>
      </c>
      <c r="AA335" s="9" t="str">
        <f>IFERROR(SUM(Table1[[#This Row],[Pieces  (g)]:[Butts (g)]])/Table1[[#This Row],[Sample Qty  (g)]],"")</f>
        <v/>
      </c>
      <c r="AB335" s="9" t="str">
        <f>IFERROR(Table1[[#This Row],[Scorched (g)]]/Table1[[#This Row],[Sample Qty  (g)]],"")</f>
        <v/>
      </c>
      <c r="AC335" s="9" t="str">
        <f>IFERROR(SUM(Table1[[#This Row],[Spotted  (g)]:[PUK3  (g)]])/Table1[[#This Row],[Sample Qty  (g)]],"")</f>
        <v/>
      </c>
      <c r="AD335" s="9" t="str">
        <f>IFERROR(SUM(R335,Q335)/Table1[[#This Row],[Sample Qty  (g)]],"")</f>
        <v/>
      </c>
      <c r="AE335" s="9" t="str">
        <f>IFERROR(Table1[[#This Row],[Dessert/NW  (g)]]/Table1[[#This Row],[Sample Qty  (g)]],"")</f>
        <v/>
      </c>
      <c r="AF335" s="9" t="str">
        <f>IFERROR(SUM(Table1[[#This Row],[Oil  (g)]:[Dirty  (g)]])/Table1[[#This Row],[Sample Qty  (g)]],"")</f>
        <v/>
      </c>
      <c r="AG335" s="9" t="str">
        <f>IFERROR(Table1[[#This Row],[Rejection  (g)]]/Table1[[#This Row],[Sample Qty  (g)]],"")</f>
        <v/>
      </c>
      <c r="AH335" s="9" t="str">
        <f>IFERROR(Table1[[#This Row],[Husk  (g)]]/Table1[[#This Row],[Sample Qty  (g)]],"")</f>
        <v/>
      </c>
    </row>
    <row r="336" spans="2:34" ht="12" x14ac:dyDescent="0.25">
      <c r="B336" s="8"/>
      <c r="C336" s="7">
        <f>WEEKNUM(Table1[[#This Row],[Date]])</f>
        <v>0</v>
      </c>
      <c r="D336" s="7"/>
      <c r="Y336" s="7">
        <f>SUM(Table1[[#This Row],[Good Kernels  (g)]:[Husk  (g)]])</f>
        <v>0</v>
      </c>
      <c r="Z336" s="9" t="str">
        <f>IFERROR(Table1[[#This Row],[Good Kernels  (g)]]/Table1[[#This Row],[Sample Qty  (g)]],"")</f>
        <v/>
      </c>
      <c r="AA336" s="9" t="str">
        <f>IFERROR(SUM(Table1[[#This Row],[Pieces  (g)]:[Butts (g)]])/Table1[[#This Row],[Sample Qty  (g)]],"")</f>
        <v/>
      </c>
      <c r="AB336" s="9" t="str">
        <f>IFERROR(Table1[[#This Row],[Scorched (g)]]/Table1[[#This Row],[Sample Qty  (g)]],"")</f>
        <v/>
      </c>
      <c r="AC336" s="9" t="str">
        <f>IFERROR(SUM(Table1[[#This Row],[Spotted  (g)]:[PUK3  (g)]])/Table1[[#This Row],[Sample Qty  (g)]],"")</f>
        <v/>
      </c>
      <c r="AD336" s="9" t="str">
        <f>IFERROR(SUM(R336,Q336)/Table1[[#This Row],[Sample Qty  (g)]],"")</f>
        <v/>
      </c>
      <c r="AE336" s="9" t="str">
        <f>IFERROR(Table1[[#This Row],[Dessert/NW  (g)]]/Table1[[#This Row],[Sample Qty  (g)]],"")</f>
        <v/>
      </c>
      <c r="AF336" s="9" t="str">
        <f>IFERROR(SUM(Table1[[#This Row],[Oil  (g)]:[Dirty  (g)]])/Table1[[#This Row],[Sample Qty  (g)]],"")</f>
        <v/>
      </c>
      <c r="AG336" s="9" t="str">
        <f>IFERROR(Table1[[#This Row],[Rejection  (g)]]/Table1[[#This Row],[Sample Qty  (g)]],"")</f>
        <v/>
      </c>
      <c r="AH336" s="9" t="str">
        <f>IFERROR(Table1[[#This Row],[Husk  (g)]]/Table1[[#This Row],[Sample Qty  (g)]],"")</f>
        <v/>
      </c>
    </row>
    <row r="337" spans="2:34" ht="12" x14ac:dyDescent="0.25">
      <c r="B337" s="8"/>
      <c r="C337" s="7">
        <f>WEEKNUM(Table1[[#This Row],[Date]])</f>
        <v>0</v>
      </c>
      <c r="D337" s="7"/>
      <c r="Y337" s="7">
        <f>SUM(Table1[[#This Row],[Good Kernels  (g)]:[Husk  (g)]])</f>
        <v>0</v>
      </c>
      <c r="Z337" s="9" t="str">
        <f>IFERROR(Table1[[#This Row],[Good Kernels  (g)]]/Table1[[#This Row],[Sample Qty  (g)]],"")</f>
        <v/>
      </c>
      <c r="AA337" s="9" t="str">
        <f>IFERROR(SUM(Table1[[#This Row],[Pieces  (g)]:[Butts (g)]])/Table1[[#This Row],[Sample Qty  (g)]],"")</f>
        <v/>
      </c>
      <c r="AB337" s="9" t="str">
        <f>IFERROR(Table1[[#This Row],[Scorched (g)]]/Table1[[#This Row],[Sample Qty  (g)]],"")</f>
        <v/>
      </c>
      <c r="AC337" s="9" t="str">
        <f>IFERROR(SUM(Table1[[#This Row],[Spotted  (g)]:[PUK3  (g)]])/Table1[[#This Row],[Sample Qty  (g)]],"")</f>
        <v/>
      </c>
      <c r="AD337" s="9" t="str">
        <f>IFERROR(SUM(R337,Q337)/Table1[[#This Row],[Sample Qty  (g)]],"")</f>
        <v/>
      </c>
      <c r="AE337" s="9" t="str">
        <f>IFERROR(Table1[[#This Row],[Dessert/NW  (g)]]/Table1[[#This Row],[Sample Qty  (g)]],"")</f>
        <v/>
      </c>
      <c r="AF337" s="9" t="str">
        <f>IFERROR(SUM(Table1[[#This Row],[Oil  (g)]:[Dirty  (g)]])/Table1[[#This Row],[Sample Qty  (g)]],"")</f>
        <v/>
      </c>
      <c r="AG337" s="9" t="str">
        <f>IFERROR(Table1[[#This Row],[Rejection  (g)]]/Table1[[#This Row],[Sample Qty  (g)]],"")</f>
        <v/>
      </c>
      <c r="AH337" s="9" t="str">
        <f>IFERROR(Table1[[#This Row],[Husk  (g)]]/Table1[[#This Row],[Sample Qty  (g)]],"")</f>
        <v/>
      </c>
    </row>
    <row r="338" spans="2:34" ht="12" x14ac:dyDescent="0.25">
      <c r="B338" s="8"/>
      <c r="C338" s="7">
        <f>WEEKNUM(Table1[[#This Row],[Date]])</f>
        <v>0</v>
      </c>
      <c r="D338" s="7"/>
      <c r="Y338" s="7">
        <f>SUM(Table1[[#This Row],[Good Kernels  (g)]:[Husk  (g)]])</f>
        <v>0</v>
      </c>
      <c r="Z338" s="9" t="str">
        <f>IFERROR(Table1[[#This Row],[Good Kernels  (g)]]/Table1[[#This Row],[Sample Qty  (g)]],"")</f>
        <v/>
      </c>
      <c r="AA338" s="9" t="str">
        <f>IFERROR(SUM(Table1[[#This Row],[Pieces  (g)]:[Butts (g)]])/Table1[[#This Row],[Sample Qty  (g)]],"")</f>
        <v/>
      </c>
      <c r="AB338" s="9" t="str">
        <f>IFERROR(Table1[[#This Row],[Scorched (g)]]/Table1[[#This Row],[Sample Qty  (g)]],"")</f>
        <v/>
      </c>
      <c r="AC338" s="9" t="str">
        <f>IFERROR(SUM(Table1[[#This Row],[Spotted  (g)]:[PUK3  (g)]])/Table1[[#This Row],[Sample Qty  (g)]],"")</f>
        <v/>
      </c>
      <c r="AD338" s="9" t="str">
        <f>IFERROR(SUM(R338,Q338)/Table1[[#This Row],[Sample Qty  (g)]],"")</f>
        <v/>
      </c>
      <c r="AE338" s="9" t="str">
        <f>IFERROR(Table1[[#This Row],[Dessert/NW  (g)]]/Table1[[#This Row],[Sample Qty  (g)]],"")</f>
        <v/>
      </c>
      <c r="AF338" s="9" t="str">
        <f>IFERROR(SUM(Table1[[#This Row],[Oil  (g)]:[Dirty  (g)]])/Table1[[#This Row],[Sample Qty  (g)]],"")</f>
        <v/>
      </c>
      <c r="AG338" s="9" t="str">
        <f>IFERROR(Table1[[#This Row],[Rejection  (g)]]/Table1[[#This Row],[Sample Qty  (g)]],"")</f>
        <v/>
      </c>
      <c r="AH338" s="9" t="str">
        <f>IFERROR(Table1[[#This Row],[Husk  (g)]]/Table1[[#This Row],[Sample Qty  (g)]],"")</f>
        <v/>
      </c>
    </row>
    <row r="339" spans="2:34" ht="12" x14ac:dyDescent="0.25">
      <c r="B339" s="8"/>
      <c r="C339" s="7">
        <f>WEEKNUM(Table1[[#This Row],[Date]])</f>
        <v>0</v>
      </c>
      <c r="D339" s="7"/>
      <c r="Y339" s="7">
        <f>SUM(Table1[[#This Row],[Good Kernels  (g)]:[Husk  (g)]])</f>
        <v>0</v>
      </c>
      <c r="Z339" s="9" t="str">
        <f>IFERROR(Table1[[#This Row],[Good Kernels  (g)]]/Table1[[#This Row],[Sample Qty  (g)]],"")</f>
        <v/>
      </c>
      <c r="AA339" s="9" t="str">
        <f>IFERROR(SUM(Table1[[#This Row],[Pieces  (g)]:[Butts (g)]])/Table1[[#This Row],[Sample Qty  (g)]],"")</f>
        <v/>
      </c>
      <c r="AB339" s="9" t="str">
        <f>IFERROR(Table1[[#This Row],[Scorched (g)]]/Table1[[#This Row],[Sample Qty  (g)]],"")</f>
        <v/>
      </c>
      <c r="AC339" s="9" t="str">
        <f>IFERROR(SUM(Table1[[#This Row],[Spotted  (g)]:[PUK3  (g)]])/Table1[[#This Row],[Sample Qty  (g)]],"")</f>
        <v/>
      </c>
      <c r="AD339" s="9" t="str">
        <f>IFERROR(SUM(R339,Q339)/Table1[[#This Row],[Sample Qty  (g)]],"")</f>
        <v/>
      </c>
      <c r="AE339" s="9" t="str">
        <f>IFERROR(Table1[[#This Row],[Dessert/NW  (g)]]/Table1[[#This Row],[Sample Qty  (g)]],"")</f>
        <v/>
      </c>
      <c r="AF339" s="9" t="str">
        <f>IFERROR(SUM(Table1[[#This Row],[Oil  (g)]:[Dirty  (g)]])/Table1[[#This Row],[Sample Qty  (g)]],"")</f>
        <v/>
      </c>
      <c r="AG339" s="9" t="str">
        <f>IFERROR(Table1[[#This Row],[Rejection  (g)]]/Table1[[#This Row],[Sample Qty  (g)]],"")</f>
        <v/>
      </c>
      <c r="AH339" s="9" t="str">
        <f>IFERROR(Table1[[#This Row],[Husk  (g)]]/Table1[[#This Row],[Sample Qty  (g)]],"")</f>
        <v/>
      </c>
    </row>
    <row r="340" spans="2:34" ht="12" x14ac:dyDescent="0.25">
      <c r="B340" s="8"/>
      <c r="C340" s="7">
        <f>WEEKNUM(Table1[[#This Row],[Date]])</f>
        <v>0</v>
      </c>
      <c r="D340" s="7"/>
      <c r="Y340" s="7">
        <f>SUM(Table1[[#This Row],[Good Kernels  (g)]:[Husk  (g)]])</f>
        <v>0</v>
      </c>
      <c r="Z340" s="9" t="str">
        <f>IFERROR(Table1[[#This Row],[Good Kernels  (g)]]/Table1[[#This Row],[Sample Qty  (g)]],"")</f>
        <v/>
      </c>
      <c r="AA340" s="9" t="str">
        <f>IFERROR(SUM(Table1[[#This Row],[Pieces  (g)]:[Butts (g)]])/Table1[[#This Row],[Sample Qty  (g)]],"")</f>
        <v/>
      </c>
      <c r="AB340" s="9" t="str">
        <f>IFERROR(Table1[[#This Row],[Scorched (g)]]/Table1[[#This Row],[Sample Qty  (g)]],"")</f>
        <v/>
      </c>
      <c r="AC340" s="9" t="str">
        <f>IFERROR(SUM(Table1[[#This Row],[Spotted  (g)]:[PUK3  (g)]])/Table1[[#This Row],[Sample Qty  (g)]],"")</f>
        <v/>
      </c>
      <c r="AD340" s="9" t="str">
        <f>IFERROR(SUM(R340,Q340)/Table1[[#This Row],[Sample Qty  (g)]],"")</f>
        <v/>
      </c>
      <c r="AE340" s="9" t="str">
        <f>IFERROR(Table1[[#This Row],[Dessert/NW  (g)]]/Table1[[#This Row],[Sample Qty  (g)]],"")</f>
        <v/>
      </c>
      <c r="AF340" s="9" t="str">
        <f>IFERROR(SUM(Table1[[#This Row],[Oil  (g)]:[Dirty  (g)]])/Table1[[#This Row],[Sample Qty  (g)]],"")</f>
        <v/>
      </c>
      <c r="AG340" s="9" t="str">
        <f>IFERROR(Table1[[#This Row],[Rejection  (g)]]/Table1[[#This Row],[Sample Qty  (g)]],"")</f>
        <v/>
      </c>
      <c r="AH340" s="9" t="str">
        <f>IFERROR(Table1[[#This Row],[Husk  (g)]]/Table1[[#This Row],[Sample Qty  (g)]],"")</f>
        <v/>
      </c>
    </row>
    <row r="341" spans="2:34" ht="12" x14ac:dyDescent="0.25">
      <c r="B341" s="8"/>
      <c r="C341" s="7">
        <f>WEEKNUM(Table1[[#This Row],[Date]])</f>
        <v>0</v>
      </c>
      <c r="D341" s="7"/>
      <c r="Y341" s="7">
        <f>SUM(Table1[[#This Row],[Good Kernels  (g)]:[Husk  (g)]])</f>
        <v>0</v>
      </c>
      <c r="Z341" s="9" t="str">
        <f>IFERROR(Table1[[#This Row],[Good Kernels  (g)]]/Table1[[#This Row],[Sample Qty  (g)]],"")</f>
        <v/>
      </c>
      <c r="AA341" s="9" t="str">
        <f>IFERROR(SUM(Table1[[#This Row],[Pieces  (g)]:[Butts (g)]])/Table1[[#This Row],[Sample Qty  (g)]],"")</f>
        <v/>
      </c>
      <c r="AB341" s="9" t="str">
        <f>IFERROR(Table1[[#This Row],[Scorched (g)]]/Table1[[#This Row],[Sample Qty  (g)]],"")</f>
        <v/>
      </c>
      <c r="AC341" s="9" t="str">
        <f>IFERROR(SUM(Table1[[#This Row],[Spotted  (g)]:[PUK3  (g)]])/Table1[[#This Row],[Sample Qty  (g)]],"")</f>
        <v/>
      </c>
      <c r="AD341" s="9" t="str">
        <f>IFERROR(SUM(R341,Q341)/Table1[[#This Row],[Sample Qty  (g)]],"")</f>
        <v/>
      </c>
      <c r="AE341" s="9" t="str">
        <f>IFERROR(Table1[[#This Row],[Dessert/NW  (g)]]/Table1[[#This Row],[Sample Qty  (g)]],"")</f>
        <v/>
      </c>
      <c r="AF341" s="9" t="str">
        <f>IFERROR(SUM(Table1[[#This Row],[Oil  (g)]:[Dirty  (g)]])/Table1[[#This Row],[Sample Qty  (g)]],"")</f>
        <v/>
      </c>
      <c r="AG341" s="9" t="str">
        <f>IFERROR(Table1[[#This Row],[Rejection  (g)]]/Table1[[#This Row],[Sample Qty  (g)]],"")</f>
        <v/>
      </c>
      <c r="AH341" s="9" t="str">
        <f>IFERROR(Table1[[#This Row],[Husk  (g)]]/Table1[[#This Row],[Sample Qty  (g)]],"")</f>
        <v/>
      </c>
    </row>
    <row r="342" spans="2:34" ht="12" x14ac:dyDescent="0.25">
      <c r="B342" s="8"/>
      <c r="C342" s="7">
        <f>WEEKNUM(Table1[[#This Row],[Date]])</f>
        <v>0</v>
      </c>
      <c r="D342" s="7"/>
      <c r="Y342" s="7">
        <f>SUM(Table1[[#This Row],[Good Kernels  (g)]:[Husk  (g)]])</f>
        <v>0</v>
      </c>
      <c r="Z342" s="9" t="str">
        <f>IFERROR(Table1[[#This Row],[Good Kernels  (g)]]/Table1[[#This Row],[Sample Qty  (g)]],"")</f>
        <v/>
      </c>
      <c r="AA342" s="9" t="str">
        <f>IFERROR(SUM(Table1[[#This Row],[Pieces  (g)]:[Butts (g)]])/Table1[[#This Row],[Sample Qty  (g)]],"")</f>
        <v/>
      </c>
      <c r="AB342" s="9" t="str">
        <f>IFERROR(Table1[[#This Row],[Scorched (g)]]/Table1[[#This Row],[Sample Qty  (g)]],"")</f>
        <v/>
      </c>
      <c r="AC342" s="9" t="str">
        <f>IFERROR(SUM(Table1[[#This Row],[Spotted  (g)]:[PUK3  (g)]])/Table1[[#This Row],[Sample Qty  (g)]],"")</f>
        <v/>
      </c>
      <c r="AD342" s="9" t="str">
        <f>IFERROR(SUM(R342,Q342)/Table1[[#This Row],[Sample Qty  (g)]],"")</f>
        <v/>
      </c>
      <c r="AE342" s="9" t="str">
        <f>IFERROR(Table1[[#This Row],[Dessert/NW  (g)]]/Table1[[#This Row],[Sample Qty  (g)]],"")</f>
        <v/>
      </c>
      <c r="AF342" s="9" t="str">
        <f>IFERROR(SUM(Table1[[#This Row],[Oil  (g)]:[Dirty  (g)]])/Table1[[#This Row],[Sample Qty  (g)]],"")</f>
        <v/>
      </c>
      <c r="AG342" s="9" t="str">
        <f>IFERROR(Table1[[#This Row],[Rejection  (g)]]/Table1[[#This Row],[Sample Qty  (g)]],"")</f>
        <v/>
      </c>
      <c r="AH342" s="9" t="str">
        <f>IFERROR(Table1[[#This Row],[Husk  (g)]]/Table1[[#This Row],[Sample Qty  (g)]],"")</f>
        <v/>
      </c>
    </row>
    <row r="343" spans="2:34" ht="12" x14ac:dyDescent="0.25">
      <c r="B343" s="8"/>
      <c r="C343" s="7">
        <f>WEEKNUM(Table1[[#This Row],[Date]])</f>
        <v>0</v>
      </c>
      <c r="D343" s="7"/>
      <c r="Y343" s="7">
        <f>SUM(Table1[[#This Row],[Good Kernels  (g)]:[Husk  (g)]])</f>
        <v>0</v>
      </c>
      <c r="Z343" s="9" t="str">
        <f>IFERROR(Table1[[#This Row],[Good Kernels  (g)]]/Table1[[#This Row],[Sample Qty  (g)]],"")</f>
        <v/>
      </c>
      <c r="AA343" s="9" t="str">
        <f>IFERROR(SUM(Table1[[#This Row],[Pieces  (g)]:[Butts (g)]])/Table1[[#This Row],[Sample Qty  (g)]],"")</f>
        <v/>
      </c>
      <c r="AB343" s="9" t="str">
        <f>IFERROR(Table1[[#This Row],[Scorched (g)]]/Table1[[#This Row],[Sample Qty  (g)]],"")</f>
        <v/>
      </c>
      <c r="AC343" s="9" t="str">
        <f>IFERROR(SUM(Table1[[#This Row],[Spotted  (g)]:[PUK3  (g)]])/Table1[[#This Row],[Sample Qty  (g)]],"")</f>
        <v/>
      </c>
      <c r="AD343" s="9" t="str">
        <f>IFERROR(SUM(R343,Q343)/Table1[[#This Row],[Sample Qty  (g)]],"")</f>
        <v/>
      </c>
      <c r="AE343" s="9" t="str">
        <f>IFERROR(Table1[[#This Row],[Dessert/NW  (g)]]/Table1[[#This Row],[Sample Qty  (g)]],"")</f>
        <v/>
      </c>
      <c r="AF343" s="9" t="str">
        <f>IFERROR(SUM(Table1[[#This Row],[Oil  (g)]:[Dirty  (g)]])/Table1[[#This Row],[Sample Qty  (g)]],"")</f>
        <v/>
      </c>
      <c r="AG343" s="9" t="str">
        <f>IFERROR(Table1[[#This Row],[Rejection  (g)]]/Table1[[#This Row],[Sample Qty  (g)]],"")</f>
        <v/>
      </c>
      <c r="AH343" s="9" t="str">
        <f>IFERROR(Table1[[#This Row],[Husk  (g)]]/Table1[[#This Row],[Sample Qty  (g)]],"")</f>
        <v/>
      </c>
    </row>
    <row r="344" spans="2:34" ht="12" x14ac:dyDescent="0.25">
      <c r="B344" s="8"/>
      <c r="C344" s="7">
        <f>WEEKNUM(Table1[[#This Row],[Date]])</f>
        <v>0</v>
      </c>
      <c r="D344" s="7"/>
      <c r="Y344" s="7">
        <f>SUM(Table1[[#This Row],[Good Kernels  (g)]:[Husk  (g)]])</f>
        <v>0</v>
      </c>
      <c r="Z344" s="9" t="str">
        <f>IFERROR(Table1[[#This Row],[Good Kernels  (g)]]/Table1[[#This Row],[Sample Qty  (g)]],"")</f>
        <v/>
      </c>
      <c r="AA344" s="9" t="str">
        <f>IFERROR(SUM(Table1[[#This Row],[Pieces  (g)]:[Butts (g)]])/Table1[[#This Row],[Sample Qty  (g)]],"")</f>
        <v/>
      </c>
      <c r="AB344" s="9" t="str">
        <f>IFERROR(Table1[[#This Row],[Scorched (g)]]/Table1[[#This Row],[Sample Qty  (g)]],"")</f>
        <v/>
      </c>
      <c r="AC344" s="9" t="str">
        <f>IFERROR(SUM(Table1[[#This Row],[Spotted  (g)]:[PUK3  (g)]])/Table1[[#This Row],[Sample Qty  (g)]],"")</f>
        <v/>
      </c>
      <c r="AD344" s="9" t="str">
        <f>IFERROR(SUM(R344,Q344)/Table1[[#This Row],[Sample Qty  (g)]],"")</f>
        <v/>
      </c>
      <c r="AE344" s="9" t="str">
        <f>IFERROR(Table1[[#This Row],[Dessert/NW  (g)]]/Table1[[#This Row],[Sample Qty  (g)]],"")</f>
        <v/>
      </c>
      <c r="AF344" s="9" t="str">
        <f>IFERROR(SUM(Table1[[#This Row],[Oil  (g)]:[Dirty  (g)]])/Table1[[#This Row],[Sample Qty  (g)]],"")</f>
        <v/>
      </c>
      <c r="AG344" s="9" t="str">
        <f>IFERROR(Table1[[#This Row],[Rejection  (g)]]/Table1[[#This Row],[Sample Qty  (g)]],"")</f>
        <v/>
      </c>
      <c r="AH344" s="9" t="str">
        <f>IFERROR(Table1[[#This Row],[Husk  (g)]]/Table1[[#This Row],[Sample Qty  (g)]],"")</f>
        <v/>
      </c>
    </row>
    <row r="345" spans="2:34" ht="12" x14ac:dyDescent="0.25">
      <c r="B345" s="8"/>
      <c r="C345" s="7">
        <f>WEEKNUM(Table1[[#This Row],[Date]])</f>
        <v>0</v>
      </c>
      <c r="D345" s="7"/>
      <c r="Y345" s="7">
        <f>SUM(Table1[[#This Row],[Good Kernels  (g)]:[Husk  (g)]])</f>
        <v>0</v>
      </c>
      <c r="Z345" s="9" t="str">
        <f>IFERROR(Table1[[#This Row],[Good Kernels  (g)]]/Table1[[#This Row],[Sample Qty  (g)]],"")</f>
        <v/>
      </c>
      <c r="AA345" s="9" t="str">
        <f>IFERROR(SUM(Table1[[#This Row],[Pieces  (g)]:[Butts (g)]])/Table1[[#This Row],[Sample Qty  (g)]],"")</f>
        <v/>
      </c>
      <c r="AB345" s="9" t="str">
        <f>IFERROR(Table1[[#This Row],[Scorched (g)]]/Table1[[#This Row],[Sample Qty  (g)]],"")</f>
        <v/>
      </c>
      <c r="AC345" s="9" t="str">
        <f>IFERROR(SUM(Table1[[#This Row],[Spotted  (g)]:[PUK3  (g)]])/Table1[[#This Row],[Sample Qty  (g)]],"")</f>
        <v/>
      </c>
      <c r="AD345" s="9" t="str">
        <f>IFERROR(SUM(R345,Q345)/Table1[[#This Row],[Sample Qty  (g)]],"")</f>
        <v/>
      </c>
      <c r="AE345" s="9" t="str">
        <f>IFERROR(Table1[[#This Row],[Dessert/NW  (g)]]/Table1[[#This Row],[Sample Qty  (g)]],"")</f>
        <v/>
      </c>
      <c r="AF345" s="9" t="str">
        <f>IFERROR(SUM(Table1[[#This Row],[Oil  (g)]:[Dirty  (g)]])/Table1[[#This Row],[Sample Qty  (g)]],"")</f>
        <v/>
      </c>
      <c r="AG345" s="9" t="str">
        <f>IFERROR(Table1[[#This Row],[Rejection  (g)]]/Table1[[#This Row],[Sample Qty  (g)]],"")</f>
        <v/>
      </c>
      <c r="AH345" s="9" t="str">
        <f>IFERROR(Table1[[#This Row],[Husk  (g)]]/Table1[[#This Row],[Sample Qty  (g)]],"")</f>
        <v/>
      </c>
    </row>
    <row r="346" spans="2:34" ht="12" x14ac:dyDescent="0.25">
      <c r="B346" s="8"/>
      <c r="C346" s="7">
        <f>WEEKNUM(Table1[[#This Row],[Date]])</f>
        <v>0</v>
      </c>
      <c r="D346" s="7"/>
      <c r="Y346" s="7">
        <f>SUM(Table1[[#This Row],[Good Kernels  (g)]:[Husk  (g)]])</f>
        <v>0</v>
      </c>
      <c r="Z346" s="9" t="str">
        <f>IFERROR(Table1[[#This Row],[Good Kernels  (g)]]/Table1[[#This Row],[Sample Qty  (g)]],"")</f>
        <v/>
      </c>
      <c r="AA346" s="9" t="str">
        <f>IFERROR(SUM(Table1[[#This Row],[Pieces  (g)]:[Butts (g)]])/Table1[[#This Row],[Sample Qty  (g)]],"")</f>
        <v/>
      </c>
      <c r="AB346" s="9" t="str">
        <f>IFERROR(Table1[[#This Row],[Scorched (g)]]/Table1[[#This Row],[Sample Qty  (g)]],"")</f>
        <v/>
      </c>
      <c r="AC346" s="9" t="str">
        <f>IFERROR(SUM(Table1[[#This Row],[Spotted  (g)]:[PUK3  (g)]])/Table1[[#This Row],[Sample Qty  (g)]],"")</f>
        <v/>
      </c>
      <c r="AD346" s="9" t="str">
        <f>IFERROR(SUM(R346,Q346)/Table1[[#This Row],[Sample Qty  (g)]],"")</f>
        <v/>
      </c>
      <c r="AE346" s="9" t="str">
        <f>IFERROR(Table1[[#This Row],[Dessert/NW  (g)]]/Table1[[#This Row],[Sample Qty  (g)]],"")</f>
        <v/>
      </c>
      <c r="AF346" s="9" t="str">
        <f>IFERROR(SUM(Table1[[#This Row],[Oil  (g)]:[Dirty  (g)]])/Table1[[#This Row],[Sample Qty  (g)]],"")</f>
        <v/>
      </c>
      <c r="AG346" s="9" t="str">
        <f>IFERROR(Table1[[#This Row],[Rejection  (g)]]/Table1[[#This Row],[Sample Qty  (g)]],"")</f>
        <v/>
      </c>
      <c r="AH346" s="9" t="str">
        <f>IFERROR(Table1[[#This Row],[Husk  (g)]]/Table1[[#This Row],[Sample Qty  (g)]],"")</f>
        <v/>
      </c>
    </row>
    <row r="347" spans="2:34" ht="12" x14ac:dyDescent="0.25">
      <c r="B347" s="8"/>
      <c r="C347" s="7">
        <f>WEEKNUM(Table1[[#This Row],[Date]])</f>
        <v>0</v>
      </c>
      <c r="D347" s="7"/>
      <c r="Y347" s="7">
        <f>SUM(Table1[[#This Row],[Good Kernels  (g)]:[Husk  (g)]])</f>
        <v>0</v>
      </c>
      <c r="Z347" s="9" t="str">
        <f>IFERROR(Table1[[#This Row],[Good Kernels  (g)]]/Table1[[#This Row],[Sample Qty  (g)]],"")</f>
        <v/>
      </c>
      <c r="AA347" s="9" t="str">
        <f>IFERROR(SUM(Table1[[#This Row],[Pieces  (g)]:[Butts (g)]])/Table1[[#This Row],[Sample Qty  (g)]],"")</f>
        <v/>
      </c>
      <c r="AB347" s="9" t="str">
        <f>IFERROR(Table1[[#This Row],[Scorched (g)]]/Table1[[#This Row],[Sample Qty  (g)]],"")</f>
        <v/>
      </c>
      <c r="AC347" s="9" t="str">
        <f>IFERROR(SUM(Table1[[#This Row],[Spotted  (g)]:[PUK3  (g)]])/Table1[[#This Row],[Sample Qty  (g)]],"")</f>
        <v/>
      </c>
      <c r="AD347" s="9" t="str">
        <f>IFERROR(SUM(R347,Q347)/Table1[[#This Row],[Sample Qty  (g)]],"")</f>
        <v/>
      </c>
      <c r="AE347" s="9" t="str">
        <f>IFERROR(Table1[[#This Row],[Dessert/NW  (g)]]/Table1[[#This Row],[Sample Qty  (g)]],"")</f>
        <v/>
      </c>
      <c r="AF347" s="9" t="str">
        <f>IFERROR(SUM(Table1[[#This Row],[Oil  (g)]:[Dirty  (g)]])/Table1[[#This Row],[Sample Qty  (g)]],"")</f>
        <v/>
      </c>
      <c r="AG347" s="9" t="str">
        <f>IFERROR(Table1[[#This Row],[Rejection  (g)]]/Table1[[#This Row],[Sample Qty  (g)]],"")</f>
        <v/>
      </c>
      <c r="AH347" s="9" t="str">
        <f>IFERROR(Table1[[#This Row],[Husk  (g)]]/Table1[[#This Row],[Sample Qty  (g)]],"")</f>
        <v/>
      </c>
    </row>
    <row r="348" spans="2:34" ht="12" x14ac:dyDescent="0.25">
      <c r="B348" s="8"/>
      <c r="C348" s="7">
        <f>WEEKNUM(Table1[[#This Row],[Date]])</f>
        <v>0</v>
      </c>
      <c r="D348" s="7"/>
      <c r="Y348" s="7">
        <f>SUM(Table1[[#This Row],[Good Kernels  (g)]:[Husk  (g)]])</f>
        <v>0</v>
      </c>
      <c r="Z348" s="9" t="str">
        <f>IFERROR(Table1[[#This Row],[Good Kernels  (g)]]/Table1[[#This Row],[Sample Qty  (g)]],"")</f>
        <v/>
      </c>
      <c r="AA348" s="9" t="str">
        <f>IFERROR(SUM(Table1[[#This Row],[Pieces  (g)]:[Butts (g)]])/Table1[[#This Row],[Sample Qty  (g)]],"")</f>
        <v/>
      </c>
      <c r="AB348" s="9" t="str">
        <f>IFERROR(Table1[[#This Row],[Scorched (g)]]/Table1[[#This Row],[Sample Qty  (g)]],"")</f>
        <v/>
      </c>
      <c r="AC348" s="9" t="str">
        <f>IFERROR(SUM(Table1[[#This Row],[Spotted  (g)]:[PUK3  (g)]])/Table1[[#This Row],[Sample Qty  (g)]],"")</f>
        <v/>
      </c>
      <c r="AD348" s="9" t="str">
        <f>IFERROR(SUM(R348,Q348)/Table1[[#This Row],[Sample Qty  (g)]],"")</f>
        <v/>
      </c>
      <c r="AE348" s="9" t="str">
        <f>IFERROR(Table1[[#This Row],[Dessert/NW  (g)]]/Table1[[#This Row],[Sample Qty  (g)]],"")</f>
        <v/>
      </c>
      <c r="AF348" s="9" t="str">
        <f>IFERROR(SUM(Table1[[#This Row],[Oil  (g)]:[Dirty  (g)]])/Table1[[#This Row],[Sample Qty  (g)]],"")</f>
        <v/>
      </c>
      <c r="AG348" s="9" t="str">
        <f>IFERROR(Table1[[#This Row],[Rejection  (g)]]/Table1[[#This Row],[Sample Qty  (g)]],"")</f>
        <v/>
      </c>
      <c r="AH348" s="9" t="str">
        <f>IFERROR(Table1[[#This Row],[Husk  (g)]]/Table1[[#This Row],[Sample Qty  (g)]],"")</f>
        <v/>
      </c>
    </row>
    <row r="349" spans="2:34" ht="12" x14ac:dyDescent="0.25">
      <c r="B349" s="8"/>
      <c r="C349" s="7">
        <f>WEEKNUM(Table1[[#This Row],[Date]])</f>
        <v>0</v>
      </c>
      <c r="D349" s="7"/>
      <c r="Y349" s="7">
        <f>SUM(Table1[[#This Row],[Good Kernels  (g)]:[Husk  (g)]])</f>
        <v>0</v>
      </c>
      <c r="Z349" s="9" t="str">
        <f>IFERROR(Table1[[#This Row],[Good Kernels  (g)]]/Table1[[#This Row],[Sample Qty  (g)]],"")</f>
        <v/>
      </c>
      <c r="AA349" s="9" t="str">
        <f>IFERROR(SUM(Table1[[#This Row],[Pieces  (g)]:[Butts (g)]])/Table1[[#This Row],[Sample Qty  (g)]],"")</f>
        <v/>
      </c>
      <c r="AB349" s="9" t="str">
        <f>IFERROR(Table1[[#This Row],[Scorched (g)]]/Table1[[#This Row],[Sample Qty  (g)]],"")</f>
        <v/>
      </c>
      <c r="AC349" s="9" t="str">
        <f>IFERROR(SUM(Table1[[#This Row],[Spotted  (g)]:[PUK3  (g)]])/Table1[[#This Row],[Sample Qty  (g)]],"")</f>
        <v/>
      </c>
      <c r="AD349" s="9" t="str">
        <f>IFERROR(SUM(R349,Q349)/Table1[[#This Row],[Sample Qty  (g)]],"")</f>
        <v/>
      </c>
      <c r="AE349" s="9" t="str">
        <f>IFERROR(Table1[[#This Row],[Dessert/NW  (g)]]/Table1[[#This Row],[Sample Qty  (g)]],"")</f>
        <v/>
      </c>
      <c r="AF349" s="9" t="str">
        <f>IFERROR(SUM(Table1[[#This Row],[Oil  (g)]:[Dirty  (g)]])/Table1[[#This Row],[Sample Qty  (g)]],"")</f>
        <v/>
      </c>
      <c r="AG349" s="9" t="str">
        <f>IFERROR(Table1[[#This Row],[Rejection  (g)]]/Table1[[#This Row],[Sample Qty  (g)]],"")</f>
        <v/>
      </c>
      <c r="AH349" s="9" t="str">
        <f>IFERROR(Table1[[#This Row],[Husk  (g)]]/Table1[[#This Row],[Sample Qty  (g)]],"")</f>
        <v/>
      </c>
    </row>
    <row r="350" spans="2:34" ht="12" x14ac:dyDescent="0.25">
      <c r="B350" s="8"/>
      <c r="C350" s="7">
        <f>WEEKNUM(Table1[[#This Row],[Date]])</f>
        <v>0</v>
      </c>
      <c r="D350" s="7"/>
      <c r="Y350" s="7">
        <f>SUM(Table1[[#This Row],[Good Kernels  (g)]:[Husk  (g)]])</f>
        <v>0</v>
      </c>
      <c r="Z350" s="9" t="str">
        <f>IFERROR(Table1[[#This Row],[Good Kernels  (g)]]/Table1[[#This Row],[Sample Qty  (g)]],"")</f>
        <v/>
      </c>
      <c r="AA350" s="9" t="str">
        <f>IFERROR(SUM(Table1[[#This Row],[Pieces  (g)]:[Butts (g)]])/Table1[[#This Row],[Sample Qty  (g)]],"")</f>
        <v/>
      </c>
      <c r="AB350" s="9" t="str">
        <f>IFERROR(Table1[[#This Row],[Scorched (g)]]/Table1[[#This Row],[Sample Qty  (g)]],"")</f>
        <v/>
      </c>
      <c r="AC350" s="9" t="str">
        <f>IFERROR(SUM(Table1[[#This Row],[Spotted  (g)]:[PUK3  (g)]])/Table1[[#This Row],[Sample Qty  (g)]],"")</f>
        <v/>
      </c>
      <c r="AD350" s="9" t="str">
        <f>IFERROR(SUM(R350,Q350)/Table1[[#This Row],[Sample Qty  (g)]],"")</f>
        <v/>
      </c>
      <c r="AE350" s="9" t="str">
        <f>IFERROR(Table1[[#This Row],[Dessert/NW  (g)]]/Table1[[#This Row],[Sample Qty  (g)]],"")</f>
        <v/>
      </c>
      <c r="AF350" s="9" t="str">
        <f>IFERROR(SUM(Table1[[#This Row],[Oil  (g)]:[Dirty  (g)]])/Table1[[#This Row],[Sample Qty  (g)]],"")</f>
        <v/>
      </c>
      <c r="AG350" s="9" t="str">
        <f>IFERROR(Table1[[#This Row],[Rejection  (g)]]/Table1[[#This Row],[Sample Qty  (g)]],"")</f>
        <v/>
      </c>
      <c r="AH350" s="9" t="str">
        <f>IFERROR(Table1[[#This Row],[Husk  (g)]]/Table1[[#This Row],[Sample Qty  (g)]],"")</f>
        <v/>
      </c>
    </row>
    <row r="351" spans="2:34" ht="12" x14ac:dyDescent="0.25">
      <c r="B351" s="8"/>
      <c r="C351" s="7">
        <f>WEEKNUM(Table1[[#This Row],[Date]])</f>
        <v>0</v>
      </c>
      <c r="D351" s="7"/>
      <c r="Y351" s="7">
        <f>SUM(Table1[[#This Row],[Good Kernels  (g)]:[Husk  (g)]])</f>
        <v>0</v>
      </c>
      <c r="Z351" s="9" t="str">
        <f>IFERROR(Table1[[#This Row],[Good Kernels  (g)]]/Table1[[#This Row],[Sample Qty  (g)]],"")</f>
        <v/>
      </c>
      <c r="AA351" s="9" t="str">
        <f>IFERROR(SUM(Table1[[#This Row],[Pieces  (g)]:[Butts (g)]])/Table1[[#This Row],[Sample Qty  (g)]],"")</f>
        <v/>
      </c>
      <c r="AB351" s="9" t="str">
        <f>IFERROR(Table1[[#This Row],[Scorched (g)]]/Table1[[#This Row],[Sample Qty  (g)]],"")</f>
        <v/>
      </c>
      <c r="AC351" s="9" t="str">
        <f>IFERROR(SUM(Table1[[#This Row],[Spotted  (g)]:[PUK3  (g)]])/Table1[[#This Row],[Sample Qty  (g)]],"")</f>
        <v/>
      </c>
      <c r="AD351" s="9" t="str">
        <f>IFERROR(SUM(R351,Q351)/Table1[[#This Row],[Sample Qty  (g)]],"")</f>
        <v/>
      </c>
      <c r="AE351" s="9" t="str">
        <f>IFERROR(Table1[[#This Row],[Dessert/NW  (g)]]/Table1[[#This Row],[Sample Qty  (g)]],"")</f>
        <v/>
      </c>
      <c r="AF351" s="9" t="str">
        <f>IFERROR(SUM(Table1[[#This Row],[Oil  (g)]:[Dirty  (g)]])/Table1[[#This Row],[Sample Qty  (g)]],"")</f>
        <v/>
      </c>
      <c r="AG351" s="9" t="str">
        <f>IFERROR(Table1[[#This Row],[Rejection  (g)]]/Table1[[#This Row],[Sample Qty  (g)]],"")</f>
        <v/>
      </c>
      <c r="AH351" s="9" t="str">
        <f>IFERROR(Table1[[#This Row],[Husk  (g)]]/Table1[[#This Row],[Sample Qty  (g)]],"")</f>
        <v/>
      </c>
    </row>
    <row r="352" spans="2:34" ht="12" x14ac:dyDescent="0.25">
      <c r="B352" s="8"/>
      <c r="C352" s="7">
        <f>WEEKNUM(Table1[[#This Row],[Date]])</f>
        <v>0</v>
      </c>
      <c r="D352" s="7"/>
      <c r="Y352" s="7">
        <f>SUM(Table1[[#This Row],[Good Kernels  (g)]:[Husk  (g)]])</f>
        <v>0</v>
      </c>
      <c r="Z352" s="9" t="str">
        <f>IFERROR(Table1[[#This Row],[Good Kernels  (g)]]/Table1[[#This Row],[Sample Qty  (g)]],"")</f>
        <v/>
      </c>
      <c r="AA352" s="9" t="str">
        <f>IFERROR(SUM(Table1[[#This Row],[Pieces  (g)]:[Butts (g)]])/Table1[[#This Row],[Sample Qty  (g)]],"")</f>
        <v/>
      </c>
      <c r="AB352" s="9" t="str">
        <f>IFERROR(Table1[[#This Row],[Scorched (g)]]/Table1[[#This Row],[Sample Qty  (g)]],"")</f>
        <v/>
      </c>
      <c r="AC352" s="9" t="str">
        <f>IFERROR(SUM(Table1[[#This Row],[Spotted  (g)]:[PUK3  (g)]])/Table1[[#This Row],[Sample Qty  (g)]],"")</f>
        <v/>
      </c>
      <c r="AD352" s="9" t="str">
        <f>IFERROR(SUM(R352,Q352)/Table1[[#This Row],[Sample Qty  (g)]],"")</f>
        <v/>
      </c>
      <c r="AE352" s="9" t="str">
        <f>IFERROR(Table1[[#This Row],[Dessert/NW  (g)]]/Table1[[#This Row],[Sample Qty  (g)]],"")</f>
        <v/>
      </c>
      <c r="AF352" s="9" t="str">
        <f>IFERROR(SUM(Table1[[#This Row],[Oil  (g)]:[Dirty  (g)]])/Table1[[#This Row],[Sample Qty  (g)]],"")</f>
        <v/>
      </c>
      <c r="AG352" s="9" t="str">
        <f>IFERROR(Table1[[#This Row],[Rejection  (g)]]/Table1[[#This Row],[Sample Qty  (g)]],"")</f>
        <v/>
      </c>
      <c r="AH352" s="9" t="str">
        <f>IFERROR(Table1[[#This Row],[Husk  (g)]]/Table1[[#This Row],[Sample Qty  (g)]],"")</f>
        <v/>
      </c>
    </row>
    <row r="353" spans="2:34" ht="12" x14ac:dyDescent="0.25">
      <c r="B353" s="8"/>
      <c r="C353" s="7">
        <f>WEEKNUM(Table1[[#This Row],[Date]])</f>
        <v>0</v>
      </c>
      <c r="D353" s="7"/>
      <c r="Y353" s="7">
        <f>SUM(Table1[[#This Row],[Good Kernels  (g)]:[Husk  (g)]])</f>
        <v>0</v>
      </c>
      <c r="Z353" s="9" t="str">
        <f>IFERROR(Table1[[#This Row],[Good Kernels  (g)]]/Table1[[#This Row],[Sample Qty  (g)]],"")</f>
        <v/>
      </c>
      <c r="AA353" s="9" t="str">
        <f>IFERROR(SUM(Table1[[#This Row],[Pieces  (g)]:[Butts (g)]])/Table1[[#This Row],[Sample Qty  (g)]],"")</f>
        <v/>
      </c>
      <c r="AB353" s="9" t="str">
        <f>IFERROR(Table1[[#This Row],[Scorched (g)]]/Table1[[#This Row],[Sample Qty  (g)]],"")</f>
        <v/>
      </c>
      <c r="AC353" s="9" t="str">
        <f>IFERROR(SUM(Table1[[#This Row],[Spotted  (g)]:[PUK3  (g)]])/Table1[[#This Row],[Sample Qty  (g)]],"")</f>
        <v/>
      </c>
      <c r="AD353" s="9" t="str">
        <f>IFERROR(SUM(R353,Q353)/Table1[[#This Row],[Sample Qty  (g)]],"")</f>
        <v/>
      </c>
      <c r="AE353" s="9" t="str">
        <f>IFERROR(Table1[[#This Row],[Dessert/NW  (g)]]/Table1[[#This Row],[Sample Qty  (g)]],"")</f>
        <v/>
      </c>
      <c r="AF353" s="9" t="str">
        <f>IFERROR(SUM(Table1[[#This Row],[Oil  (g)]:[Dirty  (g)]])/Table1[[#This Row],[Sample Qty  (g)]],"")</f>
        <v/>
      </c>
      <c r="AG353" s="9" t="str">
        <f>IFERROR(Table1[[#This Row],[Rejection  (g)]]/Table1[[#This Row],[Sample Qty  (g)]],"")</f>
        <v/>
      </c>
      <c r="AH353" s="9" t="str">
        <f>IFERROR(Table1[[#This Row],[Husk  (g)]]/Table1[[#This Row],[Sample Qty  (g)]],"")</f>
        <v/>
      </c>
    </row>
    <row r="354" spans="2:34" ht="12" x14ac:dyDescent="0.25">
      <c r="B354" s="8"/>
      <c r="C354" s="7">
        <f>WEEKNUM(Table1[[#This Row],[Date]])</f>
        <v>0</v>
      </c>
      <c r="D354" s="7"/>
      <c r="Y354" s="7">
        <f>SUM(Table1[[#This Row],[Good Kernels  (g)]:[Husk  (g)]])</f>
        <v>0</v>
      </c>
      <c r="Z354" s="9" t="str">
        <f>IFERROR(Table1[[#This Row],[Good Kernels  (g)]]/Table1[[#This Row],[Sample Qty  (g)]],"")</f>
        <v/>
      </c>
      <c r="AA354" s="9" t="str">
        <f>IFERROR(SUM(Table1[[#This Row],[Pieces  (g)]:[Butts (g)]])/Table1[[#This Row],[Sample Qty  (g)]],"")</f>
        <v/>
      </c>
      <c r="AB354" s="9" t="str">
        <f>IFERROR(Table1[[#This Row],[Scorched (g)]]/Table1[[#This Row],[Sample Qty  (g)]],"")</f>
        <v/>
      </c>
      <c r="AC354" s="9" t="str">
        <f>IFERROR(SUM(Table1[[#This Row],[Spotted  (g)]:[PUK3  (g)]])/Table1[[#This Row],[Sample Qty  (g)]],"")</f>
        <v/>
      </c>
      <c r="AD354" s="9" t="str">
        <f>IFERROR(SUM(R354,Q354)/Table1[[#This Row],[Sample Qty  (g)]],"")</f>
        <v/>
      </c>
      <c r="AE354" s="9" t="str">
        <f>IFERROR(Table1[[#This Row],[Dessert/NW  (g)]]/Table1[[#This Row],[Sample Qty  (g)]],"")</f>
        <v/>
      </c>
      <c r="AF354" s="9" t="str">
        <f>IFERROR(SUM(Table1[[#This Row],[Oil  (g)]:[Dirty  (g)]])/Table1[[#This Row],[Sample Qty  (g)]],"")</f>
        <v/>
      </c>
      <c r="AG354" s="9" t="str">
        <f>IFERROR(Table1[[#This Row],[Rejection  (g)]]/Table1[[#This Row],[Sample Qty  (g)]],"")</f>
        <v/>
      </c>
      <c r="AH354" s="9" t="str">
        <f>IFERROR(Table1[[#This Row],[Husk  (g)]]/Table1[[#This Row],[Sample Qty  (g)]],"")</f>
        <v/>
      </c>
    </row>
    <row r="355" spans="2:34" ht="12" x14ac:dyDescent="0.25">
      <c r="B355" s="8"/>
      <c r="C355" s="7">
        <f>WEEKNUM(Table1[[#This Row],[Date]])</f>
        <v>0</v>
      </c>
      <c r="D355" s="7"/>
      <c r="Y355" s="7">
        <f>SUM(Table1[[#This Row],[Good Kernels  (g)]:[Husk  (g)]])</f>
        <v>0</v>
      </c>
      <c r="Z355" s="9" t="str">
        <f>IFERROR(Table1[[#This Row],[Good Kernels  (g)]]/Table1[[#This Row],[Sample Qty  (g)]],"")</f>
        <v/>
      </c>
      <c r="AA355" s="9" t="str">
        <f>IFERROR(SUM(Table1[[#This Row],[Pieces  (g)]:[Butts (g)]])/Table1[[#This Row],[Sample Qty  (g)]],"")</f>
        <v/>
      </c>
      <c r="AB355" s="9" t="str">
        <f>IFERROR(Table1[[#This Row],[Scorched (g)]]/Table1[[#This Row],[Sample Qty  (g)]],"")</f>
        <v/>
      </c>
      <c r="AC355" s="9" t="str">
        <f>IFERROR(SUM(Table1[[#This Row],[Spotted  (g)]:[PUK3  (g)]])/Table1[[#This Row],[Sample Qty  (g)]],"")</f>
        <v/>
      </c>
      <c r="AD355" s="9" t="str">
        <f>IFERROR(SUM(R355,Q355)/Table1[[#This Row],[Sample Qty  (g)]],"")</f>
        <v/>
      </c>
      <c r="AE355" s="9" t="str">
        <f>IFERROR(Table1[[#This Row],[Dessert/NW  (g)]]/Table1[[#This Row],[Sample Qty  (g)]],"")</f>
        <v/>
      </c>
      <c r="AF355" s="9" t="str">
        <f>IFERROR(SUM(Table1[[#This Row],[Oil  (g)]:[Dirty  (g)]])/Table1[[#This Row],[Sample Qty  (g)]],"")</f>
        <v/>
      </c>
      <c r="AG355" s="9" t="str">
        <f>IFERROR(Table1[[#This Row],[Rejection  (g)]]/Table1[[#This Row],[Sample Qty  (g)]],"")</f>
        <v/>
      </c>
      <c r="AH355" s="9" t="str">
        <f>IFERROR(Table1[[#This Row],[Husk  (g)]]/Table1[[#This Row],[Sample Qty  (g)]],"")</f>
        <v/>
      </c>
    </row>
    <row r="356" spans="2:34" ht="12" x14ac:dyDescent="0.25">
      <c r="B356" s="8"/>
      <c r="C356" s="7">
        <f>WEEKNUM(Table1[[#This Row],[Date]])</f>
        <v>0</v>
      </c>
      <c r="D356" s="7"/>
      <c r="Y356" s="7">
        <f>SUM(Table1[[#This Row],[Good Kernels  (g)]:[Husk  (g)]])</f>
        <v>0</v>
      </c>
      <c r="Z356" s="9" t="str">
        <f>IFERROR(Table1[[#This Row],[Good Kernels  (g)]]/Table1[[#This Row],[Sample Qty  (g)]],"")</f>
        <v/>
      </c>
      <c r="AA356" s="9" t="str">
        <f>IFERROR(SUM(Table1[[#This Row],[Pieces  (g)]:[Butts (g)]])/Table1[[#This Row],[Sample Qty  (g)]],"")</f>
        <v/>
      </c>
      <c r="AB356" s="9" t="str">
        <f>IFERROR(Table1[[#This Row],[Scorched (g)]]/Table1[[#This Row],[Sample Qty  (g)]],"")</f>
        <v/>
      </c>
      <c r="AC356" s="9" t="str">
        <f>IFERROR(SUM(Table1[[#This Row],[Spotted  (g)]:[PUK3  (g)]])/Table1[[#This Row],[Sample Qty  (g)]],"")</f>
        <v/>
      </c>
      <c r="AD356" s="9" t="str">
        <f>IFERROR(SUM(R356,Q356)/Table1[[#This Row],[Sample Qty  (g)]],"")</f>
        <v/>
      </c>
      <c r="AE356" s="9" t="str">
        <f>IFERROR(Table1[[#This Row],[Dessert/NW  (g)]]/Table1[[#This Row],[Sample Qty  (g)]],"")</f>
        <v/>
      </c>
      <c r="AF356" s="9" t="str">
        <f>IFERROR(SUM(Table1[[#This Row],[Oil  (g)]:[Dirty  (g)]])/Table1[[#This Row],[Sample Qty  (g)]],"")</f>
        <v/>
      </c>
      <c r="AG356" s="9" t="str">
        <f>IFERROR(Table1[[#This Row],[Rejection  (g)]]/Table1[[#This Row],[Sample Qty  (g)]],"")</f>
        <v/>
      </c>
      <c r="AH356" s="9" t="str">
        <f>IFERROR(Table1[[#This Row],[Husk  (g)]]/Table1[[#This Row],[Sample Qty  (g)]],"")</f>
        <v/>
      </c>
    </row>
    <row r="357" spans="2:34" ht="12" x14ac:dyDescent="0.25">
      <c r="B357" s="8"/>
      <c r="C357" s="7">
        <f>WEEKNUM(Table1[[#This Row],[Date]])</f>
        <v>0</v>
      </c>
      <c r="D357" s="7"/>
      <c r="Y357" s="7">
        <f>SUM(Table1[[#This Row],[Good Kernels  (g)]:[Husk  (g)]])</f>
        <v>0</v>
      </c>
      <c r="Z357" s="9" t="str">
        <f>IFERROR(Table1[[#This Row],[Good Kernels  (g)]]/Table1[[#This Row],[Sample Qty  (g)]],"")</f>
        <v/>
      </c>
      <c r="AA357" s="9" t="str">
        <f>IFERROR(SUM(Table1[[#This Row],[Pieces  (g)]:[Butts (g)]])/Table1[[#This Row],[Sample Qty  (g)]],"")</f>
        <v/>
      </c>
      <c r="AB357" s="9" t="str">
        <f>IFERROR(Table1[[#This Row],[Scorched (g)]]/Table1[[#This Row],[Sample Qty  (g)]],"")</f>
        <v/>
      </c>
      <c r="AC357" s="9" t="str">
        <f>IFERROR(SUM(Table1[[#This Row],[Spotted  (g)]:[PUK3  (g)]])/Table1[[#This Row],[Sample Qty  (g)]],"")</f>
        <v/>
      </c>
      <c r="AD357" s="9" t="str">
        <f>IFERROR(SUM(R357,Q357)/Table1[[#This Row],[Sample Qty  (g)]],"")</f>
        <v/>
      </c>
      <c r="AE357" s="9" t="str">
        <f>IFERROR(Table1[[#This Row],[Dessert/NW  (g)]]/Table1[[#This Row],[Sample Qty  (g)]],"")</f>
        <v/>
      </c>
      <c r="AF357" s="9" t="str">
        <f>IFERROR(SUM(Table1[[#This Row],[Oil  (g)]:[Dirty  (g)]])/Table1[[#This Row],[Sample Qty  (g)]],"")</f>
        <v/>
      </c>
      <c r="AG357" s="9" t="str">
        <f>IFERROR(Table1[[#This Row],[Rejection  (g)]]/Table1[[#This Row],[Sample Qty  (g)]],"")</f>
        <v/>
      </c>
      <c r="AH357" s="9" t="str">
        <f>IFERROR(Table1[[#This Row],[Husk  (g)]]/Table1[[#This Row],[Sample Qty  (g)]],"")</f>
        <v/>
      </c>
    </row>
    <row r="358" spans="2:34" ht="12" x14ac:dyDescent="0.25">
      <c r="B358" s="8"/>
      <c r="C358" s="7">
        <f>WEEKNUM(Table1[[#This Row],[Date]])</f>
        <v>0</v>
      </c>
      <c r="D358" s="7"/>
      <c r="Y358" s="7">
        <f>SUM(Table1[[#This Row],[Good Kernels  (g)]:[Husk  (g)]])</f>
        <v>0</v>
      </c>
      <c r="Z358" s="9" t="str">
        <f>IFERROR(Table1[[#This Row],[Good Kernels  (g)]]/Table1[[#This Row],[Sample Qty  (g)]],"")</f>
        <v/>
      </c>
      <c r="AA358" s="9" t="str">
        <f>IFERROR(SUM(Table1[[#This Row],[Pieces  (g)]:[Butts (g)]])/Table1[[#This Row],[Sample Qty  (g)]],"")</f>
        <v/>
      </c>
      <c r="AB358" s="9" t="str">
        <f>IFERROR(Table1[[#This Row],[Scorched (g)]]/Table1[[#This Row],[Sample Qty  (g)]],"")</f>
        <v/>
      </c>
      <c r="AC358" s="9" t="str">
        <f>IFERROR(SUM(Table1[[#This Row],[Spotted  (g)]:[PUK3  (g)]])/Table1[[#This Row],[Sample Qty  (g)]],"")</f>
        <v/>
      </c>
      <c r="AD358" s="9" t="str">
        <f>IFERROR(SUM(R358,Q358)/Table1[[#This Row],[Sample Qty  (g)]],"")</f>
        <v/>
      </c>
      <c r="AE358" s="9" t="str">
        <f>IFERROR(Table1[[#This Row],[Dessert/NW  (g)]]/Table1[[#This Row],[Sample Qty  (g)]],"")</f>
        <v/>
      </c>
      <c r="AF358" s="9" t="str">
        <f>IFERROR(SUM(Table1[[#This Row],[Oil  (g)]:[Dirty  (g)]])/Table1[[#This Row],[Sample Qty  (g)]],"")</f>
        <v/>
      </c>
      <c r="AG358" s="9" t="str">
        <f>IFERROR(Table1[[#This Row],[Rejection  (g)]]/Table1[[#This Row],[Sample Qty  (g)]],"")</f>
        <v/>
      </c>
      <c r="AH358" s="9" t="str">
        <f>IFERROR(Table1[[#This Row],[Husk  (g)]]/Table1[[#This Row],[Sample Qty  (g)]],"")</f>
        <v/>
      </c>
    </row>
    <row r="359" spans="2:34" ht="12" x14ac:dyDescent="0.25">
      <c r="B359" s="8"/>
      <c r="C359" s="7">
        <f>WEEKNUM(Table1[[#This Row],[Date]])</f>
        <v>0</v>
      </c>
      <c r="D359" s="7"/>
      <c r="Y359" s="7">
        <f>SUM(Table1[[#This Row],[Good Kernels  (g)]:[Husk  (g)]])</f>
        <v>0</v>
      </c>
      <c r="Z359" s="9" t="str">
        <f>IFERROR(Table1[[#This Row],[Good Kernels  (g)]]/Table1[[#This Row],[Sample Qty  (g)]],"")</f>
        <v/>
      </c>
      <c r="AA359" s="9" t="str">
        <f>IFERROR(SUM(Table1[[#This Row],[Pieces  (g)]:[Butts (g)]])/Table1[[#This Row],[Sample Qty  (g)]],"")</f>
        <v/>
      </c>
      <c r="AB359" s="9" t="str">
        <f>IFERROR(Table1[[#This Row],[Scorched (g)]]/Table1[[#This Row],[Sample Qty  (g)]],"")</f>
        <v/>
      </c>
      <c r="AC359" s="9" t="str">
        <f>IFERROR(SUM(Table1[[#This Row],[Spotted  (g)]:[PUK3  (g)]])/Table1[[#This Row],[Sample Qty  (g)]],"")</f>
        <v/>
      </c>
      <c r="AD359" s="9" t="str">
        <f>IFERROR(SUM(R359,Q359)/Table1[[#This Row],[Sample Qty  (g)]],"")</f>
        <v/>
      </c>
      <c r="AE359" s="9" t="str">
        <f>IFERROR(Table1[[#This Row],[Dessert/NW  (g)]]/Table1[[#This Row],[Sample Qty  (g)]],"")</f>
        <v/>
      </c>
      <c r="AF359" s="9" t="str">
        <f>IFERROR(SUM(Table1[[#This Row],[Oil  (g)]:[Dirty  (g)]])/Table1[[#This Row],[Sample Qty  (g)]],"")</f>
        <v/>
      </c>
      <c r="AG359" s="9" t="str">
        <f>IFERROR(Table1[[#This Row],[Rejection  (g)]]/Table1[[#This Row],[Sample Qty  (g)]],"")</f>
        <v/>
      </c>
      <c r="AH359" s="9" t="str">
        <f>IFERROR(Table1[[#This Row],[Husk  (g)]]/Table1[[#This Row],[Sample Qty  (g)]],"")</f>
        <v/>
      </c>
    </row>
    <row r="360" spans="2:34" ht="12" x14ac:dyDescent="0.25">
      <c r="B360" s="8"/>
      <c r="C360" s="7">
        <f>WEEKNUM(Table1[[#This Row],[Date]])</f>
        <v>0</v>
      </c>
      <c r="D360" s="7"/>
      <c r="Y360" s="7">
        <f>SUM(Table1[[#This Row],[Good Kernels  (g)]:[Husk  (g)]])</f>
        <v>0</v>
      </c>
      <c r="Z360" s="9" t="str">
        <f>IFERROR(Table1[[#This Row],[Good Kernels  (g)]]/Table1[[#This Row],[Sample Qty  (g)]],"")</f>
        <v/>
      </c>
      <c r="AA360" s="9" t="str">
        <f>IFERROR(SUM(Table1[[#This Row],[Pieces  (g)]:[Butts (g)]])/Table1[[#This Row],[Sample Qty  (g)]],"")</f>
        <v/>
      </c>
      <c r="AB360" s="9" t="str">
        <f>IFERROR(Table1[[#This Row],[Scorched (g)]]/Table1[[#This Row],[Sample Qty  (g)]],"")</f>
        <v/>
      </c>
      <c r="AC360" s="9" t="str">
        <f>IFERROR(SUM(Table1[[#This Row],[Spotted  (g)]:[PUK3  (g)]])/Table1[[#This Row],[Sample Qty  (g)]],"")</f>
        <v/>
      </c>
      <c r="AD360" s="9" t="str">
        <f>IFERROR(SUM(R360,Q360)/Table1[[#This Row],[Sample Qty  (g)]],"")</f>
        <v/>
      </c>
      <c r="AE360" s="9" t="str">
        <f>IFERROR(Table1[[#This Row],[Dessert/NW  (g)]]/Table1[[#This Row],[Sample Qty  (g)]],"")</f>
        <v/>
      </c>
      <c r="AF360" s="9" t="str">
        <f>IFERROR(SUM(Table1[[#This Row],[Oil  (g)]:[Dirty  (g)]])/Table1[[#This Row],[Sample Qty  (g)]],"")</f>
        <v/>
      </c>
      <c r="AG360" s="9" t="str">
        <f>IFERROR(Table1[[#This Row],[Rejection  (g)]]/Table1[[#This Row],[Sample Qty  (g)]],"")</f>
        <v/>
      </c>
      <c r="AH360" s="9" t="str">
        <f>IFERROR(Table1[[#This Row],[Husk  (g)]]/Table1[[#This Row],[Sample Qty  (g)]],"")</f>
        <v/>
      </c>
    </row>
    <row r="361" spans="2:34" ht="12" x14ac:dyDescent="0.25">
      <c r="B361" s="8"/>
      <c r="C361" s="7">
        <f>WEEKNUM(Table1[[#This Row],[Date]])</f>
        <v>0</v>
      </c>
      <c r="D361" s="7"/>
      <c r="Y361" s="7">
        <f>SUM(Table1[[#This Row],[Good Kernels  (g)]:[Husk  (g)]])</f>
        <v>0</v>
      </c>
      <c r="Z361" s="9" t="str">
        <f>IFERROR(Table1[[#This Row],[Good Kernels  (g)]]/Table1[[#This Row],[Sample Qty  (g)]],"")</f>
        <v/>
      </c>
      <c r="AA361" s="9" t="str">
        <f>IFERROR(SUM(Table1[[#This Row],[Pieces  (g)]:[Butts (g)]])/Table1[[#This Row],[Sample Qty  (g)]],"")</f>
        <v/>
      </c>
      <c r="AB361" s="9" t="str">
        <f>IFERROR(Table1[[#This Row],[Scorched (g)]]/Table1[[#This Row],[Sample Qty  (g)]],"")</f>
        <v/>
      </c>
      <c r="AC361" s="9" t="str">
        <f>IFERROR(SUM(Table1[[#This Row],[Spotted  (g)]:[PUK3  (g)]])/Table1[[#This Row],[Sample Qty  (g)]],"")</f>
        <v/>
      </c>
      <c r="AD361" s="9" t="str">
        <f>IFERROR(SUM(R361,Q361)/Table1[[#This Row],[Sample Qty  (g)]],"")</f>
        <v/>
      </c>
      <c r="AE361" s="9" t="str">
        <f>IFERROR(Table1[[#This Row],[Dessert/NW  (g)]]/Table1[[#This Row],[Sample Qty  (g)]],"")</f>
        <v/>
      </c>
      <c r="AF361" s="9" t="str">
        <f>IFERROR(SUM(Table1[[#This Row],[Oil  (g)]:[Dirty  (g)]])/Table1[[#This Row],[Sample Qty  (g)]],"")</f>
        <v/>
      </c>
      <c r="AG361" s="9" t="str">
        <f>IFERROR(Table1[[#This Row],[Rejection  (g)]]/Table1[[#This Row],[Sample Qty  (g)]],"")</f>
        <v/>
      </c>
      <c r="AH361" s="9" t="str">
        <f>IFERROR(Table1[[#This Row],[Husk  (g)]]/Table1[[#This Row],[Sample Qty  (g)]],"")</f>
        <v/>
      </c>
    </row>
    <row r="362" spans="2:34" ht="12" x14ac:dyDescent="0.25">
      <c r="B362" s="8"/>
      <c r="C362" s="7">
        <f>WEEKNUM(Table1[[#This Row],[Date]])</f>
        <v>0</v>
      </c>
      <c r="D362" s="7"/>
      <c r="Y362" s="7">
        <f>SUM(Table1[[#This Row],[Good Kernels  (g)]:[Husk  (g)]])</f>
        <v>0</v>
      </c>
      <c r="Z362" s="9" t="str">
        <f>IFERROR(Table1[[#This Row],[Good Kernels  (g)]]/Table1[[#This Row],[Sample Qty  (g)]],"")</f>
        <v/>
      </c>
      <c r="AA362" s="9" t="str">
        <f>IFERROR(SUM(Table1[[#This Row],[Pieces  (g)]:[Butts (g)]])/Table1[[#This Row],[Sample Qty  (g)]],"")</f>
        <v/>
      </c>
      <c r="AB362" s="9" t="str">
        <f>IFERROR(Table1[[#This Row],[Scorched (g)]]/Table1[[#This Row],[Sample Qty  (g)]],"")</f>
        <v/>
      </c>
      <c r="AC362" s="9" t="str">
        <f>IFERROR(SUM(Table1[[#This Row],[Spotted  (g)]:[PUK3  (g)]])/Table1[[#This Row],[Sample Qty  (g)]],"")</f>
        <v/>
      </c>
      <c r="AD362" s="9" t="str">
        <f>IFERROR(SUM(R362,Q362)/Table1[[#This Row],[Sample Qty  (g)]],"")</f>
        <v/>
      </c>
      <c r="AE362" s="9" t="str">
        <f>IFERROR(Table1[[#This Row],[Dessert/NW  (g)]]/Table1[[#This Row],[Sample Qty  (g)]],"")</f>
        <v/>
      </c>
      <c r="AF362" s="9" t="str">
        <f>IFERROR(SUM(Table1[[#This Row],[Oil  (g)]:[Dirty  (g)]])/Table1[[#This Row],[Sample Qty  (g)]],"")</f>
        <v/>
      </c>
      <c r="AG362" s="9" t="str">
        <f>IFERROR(Table1[[#This Row],[Rejection  (g)]]/Table1[[#This Row],[Sample Qty  (g)]],"")</f>
        <v/>
      </c>
      <c r="AH362" s="9" t="str">
        <f>IFERROR(Table1[[#This Row],[Husk  (g)]]/Table1[[#This Row],[Sample Qty  (g)]],"")</f>
        <v/>
      </c>
    </row>
    <row r="363" spans="2:34" ht="12" x14ac:dyDescent="0.25">
      <c r="B363" s="8"/>
      <c r="C363" s="7">
        <f>WEEKNUM(Table1[[#This Row],[Date]])</f>
        <v>0</v>
      </c>
      <c r="D363" s="7"/>
      <c r="Y363" s="7">
        <f>SUM(Table1[[#This Row],[Good Kernels  (g)]:[Husk  (g)]])</f>
        <v>0</v>
      </c>
      <c r="Z363" s="9" t="str">
        <f>IFERROR(Table1[[#This Row],[Good Kernels  (g)]]/Table1[[#This Row],[Sample Qty  (g)]],"")</f>
        <v/>
      </c>
      <c r="AA363" s="9" t="str">
        <f>IFERROR(SUM(Table1[[#This Row],[Pieces  (g)]:[Butts (g)]])/Table1[[#This Row],[Sample Qty  (g)]],"")</f>
        <v/>
      </c>
      <c r="AB363" s="9" t="str">
        <f>IFERROR(Table1[[#This Row],[Scorched (g)]]/Table1[[#This Row],[Sample Qty  (g)]],"")</f>
        <v/>
      </c>
      <c r="AC363" s="9" t="str">
        <f>IFERROR(SUM(Table1[[#This Row],[Spotted  (g)]:[PUK3  (g)]])/Table1[[#This Row],[Sample Qty  (g)]],"")</f>
        <v/>
      </c>
      <c r="AD363" s="9" t="str">
        <f>IFERROR(SUM(R363,Q363)/Table1[[#This Row],[Sample Qty  (g)]],"")</f>
        <v/>
      </c>
      <c r="AE363" s="9" t="str">
        <f>IFERROR(Table1[[#This Row],[Dessert/NW  (g)]]/Table1[[#This Row],[Sample Qty  (g)]],"")</f>
        <v/>
      </c>
      <c r="AF363" s="9" t="str">
        <f>IFERROR(SUM(Table1[[#This Row],[Oil  (g)]:[Dirty  (g)]])/Table1[[#This Row],[Sample Qty  (g)]],"")</f>
        <v/>
      </c>
      <c r="AG363" s="9" t="str">
        <f>IFERROR(Table1[[#This Row],[Rejection  (g)]]/Table1[[#This Row],[Sample Qty  (g)]],"")</f>
        <v/>
      </c>
      <c r="AH363" s="9" t="str">
        <f>IFERROR(Table1[[#This Row],[Husk  (g)]]/Table1[[#This Row],[Sample Qty  (g)]],"")</f>
        <v/>
      </c>
    </row>
    <row r="364" spans="2:34" ht="12" x14ac:dyDescent="0.25">
      <c r="B364" s="8"/>
      <c r="C364" s="7">
        <f>WEEKNUM(Table1[[#This Row],[Date]])</f>
        <v>0</v>
      </c>
      <c r="D364" s="7"/>
      <c r="Y364" s="7">
        <f>SUM(Table1[[#This Row],[Good Kernels  (g)]:[Husk  (g)]])</f>
        <v>0</v>
      </c>
      <c r="Z364" s="9" t="str">
        <f>IFERROR(Table1[[#This Row],[Good Kernels  (g)]]/Table1[[#This Row],[Sample Qty  (g)]],"")</f>
        <v/>
      </c>
      <c r="AA364" s="9" t="str">
        <f>IFERROR(SUM(Table1[[#This Row],[Pieces  (g)]:[Butts (g)]])/Table1[[#This Row],[Sample Qty  (g)]],"")</f>
        <v/>
      </c>
      <c r="AB364" s="9" t="str">
        <f>IFERROR(Table1[[#This Row],[Scorched (g)]]/Table1[[#This Row],[Sample Qty  (g)]],"")</f>
        <v/>
      </c>
      <c r="AC364" s="9" t="str">
        <f>IFERROR(SUM(Table1[[#This Row],[Spotted  (g)]:[PUK3  (g)]])/Table1[[#This Row],[Sample Qty  (g)]],"")</f>
        <v/>
      </c>
      <c r="AD364" s="9" t="str">
        <f>IFERROR(SUM(R364,Q364)/Table1[[#This Row],[Sample Qty  (g)]],"")</f>
        <v/>
      </c>
      <c r="AE364" s="9" t="str">
        <f>IFERROR(Table1[[#This Row],[Dessert/NW  (g)]]/Table1[[#This Row],[Sample Qty  (g)]],"")</f>
        <v/>
      </c>
      <c r="AF364" s="9" t="str">
        <f>IFERROR(SUM(Table1[[#This Row],[Oil  (g)]:[Dirty  (g)]])/Table1[[#This Row],[Sample Qty  (g)]],"")</f>
        <v/>
      </c>
      <c r="AG364" s="9" t="str">
        <f>IFERROR(Table1[[#This Row],[Rejection  (g)]]/Table1[[#This Row],[Sample Qty  (g)]],"")</f>
        <v/>
      </c>
      <c r="AH364" s="9" t="str">
        <f>IFERROR(Table1[[#This Row],[Husk  (g)]]/Table1[[#This Row],[Sample Qty  (g)]],"")</f>
        <v/>
      </c>
    </row>
    <row r="365" spans="2:34" ht="12" x14ac:dyDescent="0.25">
      <c r="B365" s="8"/>
      <c r="C365" s="7">
        <f>WEEKNUM(Table1[[#This Row],[Date]])</f>
        <v>0</v>
      </c>
      <c r="D365" s="7"/>
      <c r="Y365" s="7">
        <f>SUM(Table1[[#This Row],[Good Kernels  (g)]:[Husk  (g)]])</f>
        <v>0</v>
      </c>
      <c r="Z365" s="9" t="str">
        <f>IFERROR(Table1[[#This Row],[Good Kernels  (g)]]/Table1[[#This Row],[Sample Qty  (g)]],"")</f>
        <v/>
      </c>
      <c r="AA365" s="9" t="str">
        <f>IFERROR(SUM(Table1[[#This Row],[Pieces  (g)]:[Butts (g)]])/Table1[[#This Row],[Sample Qty  (g)]],"")</f>
        <v/>
      </c>
      <c r="AB365" s="9" t="str">
        <f>IFERROR(Table1[[#This Row],[Scorched (g)]]/Table1[[#This Row],[Sample Qty  (g)]],"")</f>
        <v/>
      </c>
      <c r="AC365" s="9" t="str">
        <f>IFERROR(SUM(Table1[[#This Row],[Spotted  (g)]:[PUK3  (g)]])/Table1[[#This Row],[Sample Qty  (g)]],"")</f>
        <v/>
      </c>
      <c r="AD365" s="9" t="str">
        <f>IFERROR(SUM(R365,Q365)/Table1[[#This Row],[Sample Qty  (g)]],"")</f>
        <v/>
      </c>
      <c r="AE365" s="9" t="str">
        <f>IFERROR(Table1[[#This Row],[Dessert/NW  (g)]]/Table1[[#This Row],[Sample Qty  (g)]],"")</f>
        <v/>
      </c>
      <c r="AF365" s="9" t="str">
        <f>IFERROR(SUM(Table1[[#This Row],[Oil  (g)]:[Dirty  (g)]])/Table1[[#This Row],[Sample Qty  (g)]],"")</f>
        <v/>
      </c>
      <c r="AG365" s="9" t="str">
        <f>IFERROR(Table1[[#This Row],[Rejection  (g)]]/Table1[[#This Row],[Sample Qty  (g)]],"")</f>
        <v/>
      </c>
      <c r="AH365" s="9" t="str">
        <f>IFERROR(Table1[[#This Row],[Husk  (g)]]/Table1[[#This Row],[Sample Qty  (g)]],"")</f>
        <v/>
      </c>
    </row>
    <row r="366" spans="2:34" ht="12" x14ac:dyDescent="0.25">
      <c r="B366" s="8"/>
      <c r="C366" s="7">
        <f>WEEKNUM(Table1[[#This Row],[Date]])</f>
        <v>0</v>
      </c>
      <c r="D366" s="7"/>
      <c r="Y366" s="7">
        <f>SUM(Table1[[#This Row],[Good Kernels  (g)]:[Husk  (g)]])</f>
        <v>0</v>
      </c>
      <c r="Z366" s="9" t="str">
        <f>IFERROR(Table1[[#This Row],[Good Kernels  (g)]]/Table1[[#This Row],[Sample Qty  (g)]],"")</f>
        <v/>
      </c>
      <c r="AA366" s="9" t="str">
        <f>IFERROR(SUM(Table1[[#This Row],[Pieces  (g)]:[Butts (g)]])/Table1[[#This Row],[Sample Qty  (g)]],"")</f>
        <v/>
      </c>
      <c r="AB366" s="9" t="str">
        <f>IFERROR(Table1[[#This Row],[Scorched (g)]]/Table1[[#This Row],[Sample Qty  (g)]],"")</f>
        <v/>
      </c>
      <c r="AC366" s="9" t="str">
        <f>IFERROR(SUM(Table1[[#This Row],[Spotted  (g)]:[PUK3  (g)]])/Table1[[#This Row],[Sample Qty  (g)]],"")</f>
        <v/>
      </c>
      <c r="AD366" s="9" t="str">
        <f>IFERROR(SUM(R366,Q366)/Table1[[#This Row],[Sample Qty  (g)]],"")</f>
        <v/>
      </c>
      <c r="AE366" s="9" t="str">
        <f>IFERROR(Table1[[#This Row],[Dessert/NW  (g)]]/Table1[[#This Row],[Sample Qty  (g)]],"")</f>
        <v/>
      </c>
      <c r="AF366" s="9" t="str">
        <f>IFERROR(SUM(Table1[[#This Row],[Oil  (g)]:[Dirty  (g)]])/Table1[[#This Row],[Sample Qty  (g)]],"")</f>
        <v/>
      </c>
      <c r="AG366" s="9" t="str">
        <f>IFERROR(Table1[[#This Row],[Rejection  (g)]]/Table1[[#This Row],[Sample Qty  (g)]],"")</f>
        <v/>
      </c>
      <c r="AH366" s="9" t="str">
        <f>IFERROR(Table1[[#This Row],[Husk  (g)]]/Table1[[#This Row],[Sample Qty  (g)]],"")</f>
        <v/>
      </c>
    </row>
    <row r="367" spans="2:34" ht="12" x14ac:dyDescent="0.25">
      <c r="B367" s="8"/>
      <c r="C367" s="7">
        <f>WEEKNUM(Table1[[#This Row],[Date]])</f>
        <v>0</v>
      </c>
      <c r="D367" s="7"/>
      <c r="Y367" s="7">
        <f>SUM(Table1[[#This Row],[Good Kernels  (g)]:[Husk  (g)]])</f>
        <v>0</v>
      </c>
      <c r="Z367" s="9" t="str">
        <f>IFERROR(Table1[[#This Row],[Good Kernels  (g)]]/Table1[[#This Row],[Sample Qty  (g)]],"")</f>
        <v/>
      </c>
      <c r="AA367" s="9" t="str">
        <f>IFERROR(SUM(Table1[[#This Row],[Pieces  (g)]:[Butts (g)]])/Table1[[#This Row],[Sample Qty  (g)]],"")</f>
        <v/>
      </c>
      <c r="AB367" s="9" t="str">
        <f>IFERROR(Table1[[#This Row],[Scorched (g)]]/Table1[[#This Row],[Sample Qty  (g)]],"")</f>
        <v/>
      </c>
      <c r="AC367" s="9" t="str">
        <f>IFERROR(SUM(Table1[[#This Row],[Spotted  (g)]:[PUK3  (g)]])/Table1[[#This Row],[Sample Qty  (g)]],"")</f>
        <v/>
      </c>
      <c r="AD367" s="9" t="str">
        <f>IFERROR(SUM(R367,Q367)/Table1[[#This Row],[Sample Qty  (g)]],"")</f>
        <v/>
      </c>
      <c r="AE367" s="9" t="str">
        <f>IFERROR(Table1[[#This Row],[Dessert/NW  (g)]]/Table1[[#This Row],[Sample Qty  (g)]],"")</f>
        <v/>
      </c>
      <c r="AF367" s="9" t="str">
        <f>IFERROR(SUM(Table1[[#This Row],[Oil  (g)]:[Dirty  (g)]])/Table1[[#This Row],[Sample Qty  (g)]],"")</f>
        <v/>
      </c>
      <c r="AG367" s="9" t="str">
        <f>IFERROR(Table1[[#This Row],[Rejection  (g)]]/Table1[[#This Row],[Sample Qty  (g)]],"")</f>
        <v/>
      </c>
      <c r="AH367" s="9" t="str">
        <f>IFERROR(Table1[[#This Row],[Husk  (g)]]/Table1[[#This Row],[Sample Qty  (g)]],"")</f>
        <v/>
      </c>
    </row>
    <row r="368" spans="2:34" ht="12" x14ac:dyDescent="0.25">
      <c r="B368" s="8"/>
      <c r="C368" s="7">
        <f>WEEKNUM(Table1[[#This Row],[Date]])</f>
        <v>0</v>
      </c>
      <c r="D368" s="7"/>
      <c r="Y368" s="7">
        <f>SUM(Table1[[#This Row],[Good Kernels  (g)]:[Husk  (g)]])</f>
        <v>0</v>
      </c>
      <c r="Z368" s="9" t="str">
        <f>IFERROR(Table1[[#This Row],[Good Kernels  (g)]]/Table1[[#This Row],[Sample Qty  (g)]],"")</f>
        <v/>
      </c>
      <c r="AA368" s="9" t="str">
        <f>IFERROR(SUM(Table1[[#This Row],[Pieces  (g)]:[Butts (g)]])/Table1[[#This Row],[Sample Qty  (g)]],"")</f>
        <v/>
      </c>
      <c r="AB368" s="9" t="str">
        <f>IFERROR(Table1[[#This Row],[Scorched (g)]]/Table1[[#This Row],[Sample Qty  (g)]],"")</f>
        <v/>
      </c>
      <c r="AC368" s="9" t="str">
        <f>IFERROR(SUM(Table1[[#This Row],[Spotted  (g)]:[PUK3  (g)]])/Table1[[#This Row],[Sample Qty  (g)]],"")</f>
        <v/>
      </c>
      <c r="AD368" s="9" t="str">
        <f>IFERROR(SUM(R368,Q368)/Table1[[#This Row],[Sample Qty  (g)]],"")</f>
        <v/>
      </c>
      <c r="AE368" s="9" t="str">
        <f>IFERROR(Table1[[#This Row],[Dessert/NW  (g)]]/Table1[[#This Row],[Sample Qty  (g)]],"")</f>
        <v/>
      </c>
      <c r="AF368" s="9" t="str">
        <f>IFERROR(SUM(Table1[[#This Row],[Oil  (g)]:[Dirty  (g)]])/Table1[[#This Row],[Sample Qty  (g)]],"")</f>
        <v/>
      </c>
      <c r="AG368" s="9" t="str">
        <f>IFERROR(Table1[[#This Row],[Rejection  (g)]]/Table1[[#This Row],[Sample Qty  (g)]],"")</f>
        <v/>
      </c>
      <c r="AH368" s="9" t="str">
        <f>IFERROR(Table1[[#This Row],[Husk  (g)]]/Table1[[#This Row],[Sample Qty  (g)]],"")</f>
        <v/>
      </c>
    </row>
    <row r="369" spans="2:34" ht="12" x14ac:dyDescent="0.25">
      <c r="B369" s="8"/>
      <c r="C369" s="7">
        <f>WEEKNUM(Table1[[#This Row],[Date]])</f>
        <v>0</v>
      </c>
      <c r="D369" s="7"/>
      <c r="Y369" s="7">
        <f>SUM(Table1[[#This Row],[Good Kernels  (g)]:[Husk  (g)]])</f>
        <v>0</v>
      </c>
      <c r="Z369" s="9" t="str">
        <f>IFERROR(Table1[[#This Row],[Good Kernels  (g)]]/Table1[[#This Row],[Sample Qty  (g)]],"")</f>
        <v/>
      </c>
      <c r="AA369" s="9" t="str">
        <f>IFERROR(SUM(Table1[[#This Row],[Pieces  (g)]:[Butts (g)]])/Table1[[#This Row],[Sample Qty  (g)]],"")</f>
        <v/>
      </c>
      <c r="AB369" s="9" t="str">
        <f>IFERROR(Table1[[#This Row],[Scorched (g)]]/Table1[[#This Row],[Sample Qty  (g)]],"")</f>
        <v/>
      </c>
      <c r="AC369" s="9" t="str">
        <f>IFERROR(SUM(Table1[[#This Row],[Spotted  (g)]:[PUK3  (g)]])/Table1[[#This Row],[Sample Qty  (g)]],"")</f>
        <v/>
      </c>
      <c r="AD369" s="9" t="str">
        <f>IFERROR(SUM(R369,Q369)/Table1[[#This Row],[Sample Qty  (g)]],"")</f>
        <v/>
      </c>
      <c r="AE369" s="9" t="str">
        <f>IFERROR(Table1[[#This Row],[Dessert/NW  (g)]]/Table1[[#This Row],[Sample Qty  (g)]],"")</f>
        <v/>
      </c>
      <c r="AF369" s="9" t="str">
        <f>IFERROR(SUM(Table1[[#This Row],[Oil  (g)]:[Dirty  (g)]])/Table1[[#This Row],[Sample Qty  (g)]],"")</f>
        <v/>
      </c>
      <c r="AG369" s="9" t="str">
        <f>IFERROR(Table1[[#This Row],[Rejection  (g)]]/Table1[[#This Row],[Sample Qty  (g)]],"")</f>
        <v/>
      </c>
      <c r="AH369" s="9" t="str">
        <f>IFERROR(Table1[[#This Row],[Husk  (g)]]/Table1[[#This Row],[Sample Qty  (g)]],"")</f>
        <v/>
      </c>
    </row>
    <row r="370" spans="2:34" ht="12" x14ac:dyDescent="0.25">
      <c r="B370" s="8"/>
      <c r="C370" s="7">
        <f>WEEKNUM(Table1[[#This Row],[Date]])</f>
        <v>0</v>
      </c>
      <c r="D370" s="7"/>
      <c r="Y370" s="7">
        <f>SUM(Table1[[#This Row],[Good Kernels  (g)]:[Husk  (g)]])</f>
        <v>0</v>
      </c>
      <c r="Z370" s="9" t="str">
        <f>IFERROR(Table1[[#This Row],[Good Kernels  (g)]]/Table1[[#This Row],[Sample Qty  (g)]],"")</f>
        <v/>
      </c>
      <c r="AA370" s="9" t="str">
        <f>IFERROR(SUM(Table1[[#This Row],[Pieces  (g)]:[Butts (g)]])/Table1[[#This Row],[Sample Qty  (g)]],"")</f>
        <v/>
      </c>
      <c r="AB370" s="9" t="str">
        <f>IFERROR(Table1[[#This Row],[Scorched (g)]]/Table1[[#This Row],[Sample Qty  (g)]],"")</f>
        <v/>
      </c>
      <c r="AC370" s="9" t="str">
        <f>IFERROR(SUM(Table1[[#This Row],[Spotted  (g)]:[PUK3  (g)]])/Table1[[#This Row],[Sample Qty  (g)]],"")</f>
        <v/>
      </c>
      <c r="AD370" s="9" t="str">
        <f>IFERROR(SUM(R370,Q370)/Table1[[#This Row],[Sample Qty  (g)]],"")</f>
        <v/>
      </c>
      <c r="AE370" s="9" t="str">
        <f>IFERROR(Table1[[#This Row],[Dessert/NW  (g)]]/Table1[[#This Row],[Sample Qty  (g)]],"")</f>
        <v/>
      </c>
      <c r="AF370" s="9" t="str">
        <f>IFERROR(SUM(Table1[[#This Row],[Oil  (g)]:[Dirty  (g)]])/Table1[[#This Row],[Sample Qty  (g)]],"")</f>
        <v/>
      </c>
      <c r="AG370" s="9" t="str">
        <f>IFERROR(Table1[[#This Row],[Rejection  (g)]]/Table1[[#This Row],[Sample Qty  (g)]],"")</f>
        <v/>
      </c>
      <c r="AH370" s="9" t="str">
        <f>IFERROR(Table1[[#This Row],[Husk  (g)]]/Table1[[#This Row],[Sample Qty  (g)]],"")</f>
        <v/>
      </c>
    </row>
    <row r="371" spans="2:34" ht="12" x14ac:dyDescent="0.25">
      <c r="B371" s="8"/>
      <c r="C371" s="7">
        <f>WEEKNUM(Table1[[#This Row],[Date]])</f>
        <v>0</v>
      </c>
      <c r="D371" s="7"/>
      <c r="Y371" s="7">
        <f>SUM(Table1[[#This Row],[Good Kernels  (g)]:[Husk  (g)]])</f>
        <v>0</v>
      </c>
      <c r="Z371" s="9" t="str">
        <f>IFERROR(Table1[[#This Row],[Good Kernels  (g)]]/Table1[[#This Row],[Sample Qty  (g)]],"")</f>
        <v/>
      </c>
      <c r="AA371" s="9" t="str">
        <f>IFERROR(SUM(Table1[[#This Row],[Pieces  (g)]:[Butts (g)]])/Table1[[#This Row],[Sample Qty  (g)]],"")</f>
        <v/>
      </c>
      <c r="AB371" s="9" t="str">
        <f>IFERROR(Table1[[#This Row],[Scorched (g)]]/Table1[[#This Row],[Sample Qty  (g)]],"")</f>
        <v/>
      </c>
      <c r="AC371" s="9" t="str">
        <f>IFERROR(SUM(Table1[[#This Row],[Spotted  (g)]:[PUK3  (g)]])/Table1[[#This Row],[Sample Qty  (g)]],"")</f>
        <v/>
      </c>
      <c r="AD371" s="9" t="str">
        <f>IFERROR(SUM(R371,Q371)/Table1[[#This Row],[Sample Qty  (g)]],"")</f>
        <v/>
      </c>
      <c r="AE371" s="9" t="str">
        <f>IFERROR(Table1[[#This Row],[Dessert/NW  (g)]]/Table1[[#This Row],[Sample Qty  (g)]],"")</f>
        <v/>
      </c>
      <c r="AF371" s="9" t="str">
        <f>IFERROR(SUM(Table1[[#This Row],[Oil  (g)]:[Dirty  (g)]])/Table1[[#This Row],[Sample Qty  (g)]],"")</f>
        <v/>
      </c>
      <c r="AG371" s="9" t="str">
        <f>IFERROR(Table1[[#This Row],[Rejection  (g)]]/Table1[[#This Row],[Sample Qty  (g)]],"")</f>
        <v/>
      </c>
      <c r="AH371" s="9" t="str">
        <f>IFERROR(Table1[[#This Row],[Husk  (g)]]/Table1[[#This Row],[Sample Qty  (g)]],"")</f>
        <v/>
      </c>
    </row>
    <row r="372" spans="2:34" ht="12" x14ac:dyDescent="0.25">
      <c r="B372" s="8"/>
      <c r="C372" s="7">
        <f>WEEKNUM(Table1[[#This Row],[Date]])</f>
        <v>0</v>
      </c>
      <c r="D372" s="7"/>
      <c r="Y372" s="7">
        <f>SUM(Table1[[#This Row],[Good Kernels  (g)]:[Husk  (g)]])</f>
        <v>0</v>
      </c>
      <c r="Z372" s="9" t="str">
        <f>IFERROR(Table1[[#This Row],[Good Kernels  (g)]]/Table1[[#This Row],[Sample Qty  (g)]],"")</f>
        <v/>
      </c>
      <c r="AA372" s="9" t="str">
        <f>IFERROR(SUM(Table1[[#This Row],[Pieces  (g)]:[Butts (g)]])/Table1[[#This Row],[Sample Qty  (g)]],"")</f>
        <v/>
      </c>
      <c r="AB372" s="9" t="str">
        <f>IFERROR(Table1[[#This Row],[Scorched (g)]]/Table1[[#This Row],[Sample Qty  (g)]],"")</f>
        <v/>
      </c>
      <c r="AC372" s="9" t="str">
        <f>IFERROR(SUM(Table1[[#This Row],[Spotted  (g)]:[PUK3  (g)]])/Table1[[#This Row],[Sample Qty  (g)]],"")</f>
        <v/>
      </c>
      <c r="AD372" s="9" t="str">
        <f>IFERROR(SUM(R372,Q372)/Table1[[#This Row],[Sample Qty  (g)]],"")</f>
        <v/>
      </c>
      <c r="AE372" s="9" t="str">
        <f>IFERROR(Table1[[#This Row],[Dessert/NW  (g)]]/Table1[[#This Row],[Sample Qty  (g)]],"")</f>
        <v/>
      </c>
      <c r="AF372" s="9" t="str">
        <f>IFERROR(SUM(Table1[[#This Row],[Oil  (g)]:[Dirty  (g)]])/Table1[[#This Row],[Sample Qty  (g)]],"")</f>
        <v/>
      </c>
      <c r="AG372" s="9" t="str">
        <f>IFERROR(Table1[[#This Row],[Rejection  (g)]]/Table1[[#This Row],[Sample Qty  (g)]],"")</f>
        <v/>
      </c>
      <c r="AH372" s="9" t="str">
        <f>IFERROR(Table1[[#This Row],[Husk  (g)]]/Table1[[#This Row],[Sample Qty  (g)]],"")</f>
        <v/>
      </c>
    </row>
    <row r="373" spans="2:34" ht="12" x14ac:dyDescent="0.25">
      <c r="B373" s="8"/>
      <c r="C373" s="7">
        <f>WEEKNUM(Table1[[#This Row],[Date]])</f>
        <v>0</v>
      </c>
      <c r="D373" s="7"/>
      <c r="Y373" s="7">
        <f>SUM(Table1[[#This Row],[Good Kernels  (g)]:[Husk  (g)]])</f>
        <v>0</v>
      </c>
      <c r="Z373" s="9" t="str">
        <f>IFERROR(Table1[[#This Row],[Good Kernels  (g)]]/Table1[[#This Row],[Sample Qty  (g)]],"")</f>
        <v/>
      </c>
      <c r="AA373" s="9" t="str">
        <f>IFERROR(SUM(Table1[[#This Row],[Pieces  (g)]:[Butts (g)]])/Table1[[#This Row],[Sample Qty  (g)]],"")</f>
        <v/>
      </c>
      <c r="AB373" s="9" t="str">
        <f>IFERROR(Table1[[#This Row],[Scorched (g)]]/Table1[[#This Row],[Sample Qty  (g)]],"")</f>
        <v/>
      </c>
      <c r="AC373" s="9" t="str">
        <f>IFERROR(SUM(Table1[[#This Row],[Spotted  (g)]:[PUK3  (g)]])/Table1[[#This Row],[Sample Qty  (g)]],"")</f>
        <v/>
      </c>
      <c r="AD373" s="9" t="str">
        <f>IFERROR(SUM(R373,Q373)/Table1[[#This Row],[Sample Qty  (g)]],"")</f>
        <v/>
      </c>
      <c r="AE373" s="9" t="str">
        <f>IFERROR(Table1[[#This Row],[Dessert/NW  (g)]]/Table1[[#This Row],[Sample Qty  (g)]],"")</f>
        <v/>
      </c>
      <c r="AF373" s="9" t="str">
        <f>IFERROR(SUM(Table1[[#This Row],[Oil  (g)]:[Dirty  (g)]])/Table1[[#This Row],[Sample Qty  (g)]],"")</f>
        <v/>
      </c>
      <c r="AG373" s="9" t="str">
        <f>IFERROR(Table1[[#This Row],[Rejection  (g)]]/Table1[[#This Row],[Sample Qty  (g)]],"")</f>
        <v/>
      </c>
      <c r="AH373" s="9" t="str">
        <f>IFERROR(Table1[[#This Row],[Husk  (g)]]/Table1[[#This Row],[Sample Qty  (g)]],"")</f>
        <v/>
      </c>
    </row>
    <row r="374" spans="2:34" ht="12" x14ac:dyDescent="0.25">
      <c r="B374" s="8"/>
      <c r="C374" s="7">
        <f>WEEKNUM(Table1[[#This Row],[Date]])</f>
        <v>0</v>
      </c>
      <c r="D374" s="7"/>
      <c r="Y374" s="7">
        <f>SUM(Table1[[#This Row],[Good Kernels  (g)]:[Husk  (g)]])</f>
        <v>0</v>
      </c>
      <c r="Z374" s="9" t="str">
        <f>IFERROR(Table1[[#This Row],[Good Kernels  (g)]]/Table1[[#This Row],[Sample Qty  (g)]],"")</f>
        <v/>
      </c>
      <c r="AA374" s="9" t="str">
        <f>IFERROR(SUM(Table1[[#This Row],[Pieces  (g)]:[Butts (g)]])/Table1[[#This Row],[Sample Qty  (g)]],"")</f>
        <v/>
      </c>
      <c r="AB374" s="9" t="str">
        <f>IFERROR(Table1[[#This Row],[Scorched (g)]]/Table1[[#This Row],[Sample Qty  (g)]],"")</f>
        <v/>
      </c>
      <c r="AC374" s="9" t="str">
        <f>IFERROR(SUM(Table1[[#This Row],[Spotted  (g)]:[PUK3  (g)]])/Table1[[#This Row],[Sample Qty  (g)]],"")</f>
        <v/>
      </c>
      <c r="AD374" s="9" t="str">
        <f>IFERROR(SUM(R374,Q374)/Table1[[#This Row],[Sample Qty  (g)]],"")</f>
        <v/>
      </c>
      <c r="AE374" s="9" t="str">
        <f>IFERROR(Table1[[#This Row],[Dessert/NW  (g)]]/Table1[[#This Row],[Sample Qty  (g)]],"")</f>
        <v/>
      </c>
      <c r="AF374" s="9" t="str">
        <f>IFERROR(SUM(Table1[[#This Row],[Oil  (g)]:[Dirty  (g)]])/Table1[[#This Row],[Sample Qty  (g)]],"")</f>
        <v/>
      </c>
      <c r="AG374" s="9" t="str">
        <f>IFERROR(Table1[[#This Row],[Rejection  (g)]]/Table1[[#This Row],[Sample Qty  (g)]],"")</f>
        <v/>
      </c>
      <c r="AH374" s="9" t="str">
        <f>IFERROR(Table1[[#This Row],[Husk  (g)]]/Table1[[#This Row],[Sample Qty  (g)]],"")</f>
        <v/>
      </c>
    </row>
    <row r="375" spans="2:34" ht="12" x14ac:dyDescent="0.25">
      <c r="B375" s="8"/>
      <c r="C375" s="7">
        <f>WEEKNUM(Table1[[#This Row],[Date]])</f>
        <v>0</v>
      </c>
      <c r="D375" s="7"/>
      <c r="Y375" s="7">
        <f>SUM(Table1[[#This Row],[Good Kernels  (g)]:[Husk  (g)]])</f>
        <v>0</v>
      </c>
      <c r="Z375" s="9" t="str">
        <f>IFERROR(Table1[[#This Row],[Good Kernels  (g)]]/Table1[[#This Row],[Sample Qty  (g)]],"")</f>
        <v/>
      </c>
      <c r="AA375" s="9" t="str">
        <f>IFERROR(SUM(Table1[[#This Row],[Pieces  (g)]:[Butts (g)]])/Table1[[#This Row],[Sample Qty  (g)]],"")</f>
        <v/>
      </c>
      <c r="AB375" s="9" t="str">
        <f>IFERROR(Table1[[#This Row],[Scorched (g)]]/Table1[[#This Row],[Sample Qty  (g)]],"")</f>
        <v/>
      </c>
      <c r="AC375" s="9" t="str">
        <f>IFERROR(SUM(Table1[[#This Row],[Spotted  (g)]:[PUK3  (g)]])/Table1[[#This Row],[Sample Qty  (g)]],"")</f>
        <v/>
      </c>
      <c r="AD375" s="9" t="str">
        <f>IFERROR(SUM(R375,Q375)/Table1[[#This Row],[Sample Qty  (g)]],"")</f>
        <v/>
      </c>
      <c r="AE375" s="9" t="str">
        <f>IFERROR(Table1[[#This Row],[Dessert/NW  (g)]]/Table1[[#This Row],[Sample Qty  (g)]],"")</f>
        <v/>
      </c>
      <c r="AF375" s="9" t="str">
        <f>IFERROR(SUM(Table1[[#This Row],[Oil  (g)]:[Dirty  (g)]])/Table1[[#This Row],[Sample Qty  (g)]],"")</f>
        <v/>
      </c>
      <c r="AG375" s="9" t="str">
        <f>IFERROR(Table1[[#This Row],[Rejection  (g)]]/Table1[[#This Row],[Sample Qty  (g)]],"")</f>
        <v/>
      </c>
      <c r="AH375" s="9" t="str">
        <f>IFERROR(Table1[[#This Row],[Husk  (g)]]/Table1[[#This Row],[Sample Qty  (g)]],"")</f>
        <v/>
      </c>
    </row>
    <row r="376" spans="2:34" ht="12" x14ac:dyDescent="0.25">
      <c r="B376" s="8"/>
      <c r="C376" s="7">
        <f>WEEKNUM(Table1[[#This Row],[Date]])</f>
        <v>0</v>
      </c>
      <c r="D376" s="7"/>
      <c r="Y376" s="7">
        <f>SUM(Table1[[#This Row],[Good Kernels  (g)]:[Husk  (g)]])</f>
        <v>0</v>
      </c>
      <c r="Z376" s="9" t="str">
        <f>IFERROR(Table1[[#This Row],[Good Kernels  (g)]]/Table1[[#This Row],[Sample Qty  (g)]],"")</f>
        <v/>
      </c>
      <c r="AA376" s="9" t="str">
        <f>IFERROR(SUM(Table1[[#This Row],[Pieces  (g)]:[Butts (g)]])/Table1[[#This Row],[Sample Qty  (g)]],"")</f>
        <v/>
      </c>
      <c r="AB376" s="9" t="str">
        <f>IFERROR(Table1[[#This Row],[Scorched (g)]]/Table1[[#This Row],[Sample Qty  (g)]],"")</f>
        <v/>
      </c>
      <c r="AC376" s="9" t="str">
        <f>IFERROR(SUM(Table1[[#This Row],[Spotted  (g)]:[PUK3  (g)]])/Table1[[#This Row],[Sample Qty  (g)]],"")</f>
        <v/>
      </c>
      <c r="AD376" s="9" t="str">
        <f>IFERROR(SUM(R376,Q376)/Table1[[#This Row],[Sample Qty  (g)]],"")</f>
        <v/>
      </c>
      <c r="AE376" s="9" t="str">
        <f>IFERROR(Table1[[#This Row],[Dessert/NW  (g)]]/Table1[[#This Row],[Sample Qty  (g)]],"")</f>
        <v/>
      </c>
      <c r="AF376" s="9" t="str">
        <f>IFERROR(SUM(Table1[[#This Row],[Oil  (g)]:[Dirty  (g)]])/Table1[[#This Row],[Sample Qty  (g)]],"")</f>
        <v/>
      </c>
      <c r="AG376" s="9" t="str">
        <f>IFERROR(Table1[[#This Row],[Rejection  (g)]]/Table1[[#This Row],[Sample Qty  (g)]],"")</f>
        <v/>
      </c>
      <c r="AH376" s="9" t="str">
        <f>IFERROR(Table1[[#This Row],[Husk  (g)]]/Table1[[#This Row],[Sample Qty  (g)]],"")</f>
        <v/>
      </c>
    </row>
    <row r="377" spans="2:34" ht="12" x14ac:dyDescent="0.25">
      <c r="B377" s="8"/>
      <c r="C377" s="7">
        <f>WEEKNUM(Table1[[#This Row],[Date]])</f>
        <v>0</v>
      </c>
      <c r="D377" s="7"/>
      <c r="Y377" s="7">
        <f>SUM(Table1[[#This Row],[Good Kernels  (g)]:[Husk  (g)]])</f>
        <v>0</v>
      </c>
      <c r="Z377" s="9" t="str">
        <f>IFERROR(Table1[[#This Row],[Good Kernels  (g)]]/Table1[[#This Row],[Sample Qty  (g)]],"")</f>
        <v/>
      </c>
      <c r="AA377" s="9" t="str">
        <f>IFERROR(SUM(Table1[[#This Row],[Pieces  (g)]:[Butts (g)]])/Table1[[#This Row],[Sample Qty  (g)]],"")</f>
        <v/>
      </c>
      <c r="AB377" s="9" t="str">
        <f>IFERROR(Table1[[#This Row],[Scorched (g)]]/Table1[[#This Row],[Sample Qty  (g)]],"")</f>
        <v/>
      </c>
      <c r="AC377" s="9" t="str">
        <f>IFERROR(SUM(Table1[[#This Row],[Spotted  (g)]:[PUK3  (g)]])/Table1[[#This Row],[Sample Qty  (g)]],"")</f>
        <v/>
      </c>
      <c r="AD377" s="9" t="str">
        <f>IFERROR(SUM(R377,Q377)/Table1[[#This Row],[Sample Qty  (g)]],"")</f>
        <v/>
      </c>
      <c r="AE377" s="9" t="str">
        <f>IFERROR(Table1[[#This Row],[Dessert/NW  (g)]]/Table1[[#This Row],[Sample Qty  (g)]],"")</f>
        <v/>
      </c>
      <c r="AF377" s="9" t="str">
        <f>IFERROR(SUM(Table1[[#This Row],[Oil  (g)]:[Dirty  (g)]])/Table1[[#This Row],[Sample Qty  (g)]],"")</f>
        <v/>
      </c>
      <c r="AG377" s="9" t="str">
        <f>IFERROR(Table1[[#This Row],[Rejection  (g)]]/Table1[[#This Row],[Sample Qty  (g)]],"")</f>
        <v/>
      </c>
      <c r="AH377" s="9" t="str">
        <f>IFERROR(Table1[[#This Row],[Husk  (g)]]/Table1[[#This Row],[Sample Qty  (g)]],"")</f>
        <v/>
      </c>
    </row>
    <row r="378" spans="2:34" ht="12" x14ac:dyDescent="0.25">
      <c r="B378" s="8"/>
      <c r="C378" s="7">
        <f>WEEKNUM(Table1[[#This Row],[Date]])</f>
        <v>0</v>
      </c>
      <c r="D378" s="7"/>
      <c r="Y378" s="7">
        <f>SUM(Table1[[#This Row],[Good Kernels  (g)]:[Husk  (g)]])</f>
        <v>0</v>
      </c>
      <c r="Z378" s="9" t="str">
        <f>IFERROR(Table1[[#This Row],[Good Kernels  (g)]]/Table1[[#This Row],[Sample Qty  (g)]],"")</f>
        <v/>
      </c>
      <c r="AA378" s="9" t="str">
        <f>IFERROR(SUM(Table1[[#This Row],[Pieces  (g)]:[Butts (g)]])/Table1[[#This Row],[Sample Qty  (g)]],"")</f>
        <v/>
      </c>
      <c r="AB378" s="9" t="str">
        <f>IFERROR(Table1[[#This Row],[Scorched (g)]]/Table1[[#This Row],[Sample Qty  (g)]],"")</f>
        <v/>
      </c>
      <c r="AC378" s="9" t="str">
        <f>IFERROR(SUM(Table1[[#This Row],[Spotted  (g)]:[PUK3  (g)]])/Table1[[#This Row],[Sample Qty  (g)]],"")</f>
        <v/>
      </c>
      <c r="AD378" s="9" t="str">
        <f>IFERROR(SUM(R378,Q378)/Table1[[#This Row],[Sample Qty  (g)]],"")</f>
        <v/>
      </c>
      <c r="AE378" s="9" t="str">
        <f>IFERROR(Table1[[#This Row],[Dessert/NW  (g)]]/Table1[[#This Row],[Sample Qty  (g)]],"")</f>
        <v/>
      </c>
      <c r="AF378" s="9" t="str">
        <f>IFERROR(SUM(Table1[[#This Row],[Oil  (g)]:[Dirty  (g)]])/Table1[[#This Row],[Sample Qty  (g)]],"")</f>
        <v/>
      </c>
      <c r="AG378" s="9" t="str">
        <f>IFERROR(Table1[[#This Row],[Rejection  (g)]]/Table1[[#This Row],[Sample Qty  (g)]],"")</f>
        <v/>
      </c>
      <c r="AH378" s="9" t="str">
        <f>IFERROR(Table1[[#This Row],[Husk  (g)]]/Table1[[#This Row],[Sample Qty  (g)]],"")</f>
        <v/>
      </c>
    </row>
    <row r="379" spans="2:34" ht="12" x14ac:dyDescent="0.25">
      <c r="B379" s="8"/>
      <c r="C379" s="7">
        <f>WEEKNUM(Table1[[#This Row],[Date]])</f>
        <v>0</v>
      </c>
      <c r="D379" s="7"/>
      <c r="Y379" s="7">
        <f>SUM(Table1[[#This Row],[Good Kernels  (g)]:[Husk  (g)]])</f>
        <v>0</v>
      </c>
      <c r="Z379" s="9" t="str">
        <f>IFERROR(Table1[[#This Row],[Good Kernels  (g)]]/Table1[[#This Row],[Sample Qty  (g)]],"")</f>
        <v/>
      </c>
      <c r="AA379" s="9" t="str">
        <f>IFERROR(SUM(Table1[[#This Row],[Pieces  (g)]:[Butts (g)]])/Table1[[#This Row],[Sample Qty  (g)]],"")</f>
        <v/>
      </c>
      <c r="AB379" s="9" t="str">
        <f>IFERROR(Table1[[#This Row],[Scorched (g)]]/Table1[[#This Row],[Sample Qty  (g)]],"")</f>
        <v/>
      </c>
      <c r="AC379" s="9" t="str">
        <f>IFERROR(SUM(Table1[[#This Row],[Spotted  (g)]:[PUK3  (g)]])/Table1[[#This Row],[Sample Qty  (g)]],"")</f>
        <v/>
      </c>
      <c r="AD379" s="9" t="str">
        <f>IFERROR(SUM(R379,Q379)/Table1[[#This Row],[Sample Qty  (g)]],"")</f>
        <v/>
      </c>
      <c r="AE379" s="9" t="str">
        <f>IFERROR(Table1[[#This Row],[Dessert/NW  (g)]]/Table1[[#This Row],[Sample Qty  (g)]],"")</f>
        <v/>
      </c>
      <c r="AF379" s="9" t="str">
        <f>IFERROR(SUM(Table1[[#This Row],[Oil  (g)]:[Dirty  (g)]])/Table1[[#This Row],[Sample Qty  (g)]],"")</f>
        <v/>
      </c>
      <c r="AG379" s="9" t="str">
        <f>IFERROR(Table1[[#This Row],[Rejection  (g)]]/Table1[[#This Row],[Sample Qty  (g)]],"")</f>
        <v/>
      </c>
      <c r="AH379" s="9" t="str">
        <f>IFERROR(Table1[[#This Row],[Husk  (g)]]/Table1[[#This Row],[Sample Qty  (g)]],"")</f>
        <v/>
      </c>
    </row>
    <row r="380" spans="2:34" ht="12" x14ac:dyDescent="0.25">
      <c r="B380" s="8"/>
      <c r="C380" s="7">
        <f>WEEKNUM(Table1[[#This Row],[Date]])</f>
        <v>0</v>
      </c>
      <c r="D380" s="7"/>
      <c r="Y380" s="7">
        <f>SUM(Table1[[#This Row],[Good Kernels  (g)]:[Husk  (g)]])</f>
        <v>0</v>
      </c>
      <c r="Z380" s="9" t="str">
        <f>IFERROR(Table1[[#This Row],[Good Kernels  (g)]]/Table1[[#This Row],[Sample Qty  (g)]],"")</f>
        <v/>
      </c>
      <c r="AA380" s="9" t="str">
        <f>IFERROR(SUM(Table1[[#This Row],[Pieces  (g)]:[Butts (g)]])/Table1[[#This Row],[Sample Qty  (g)]],"")</f>
        <v/>
      </c>
      <c r="AB380" s="9" t="str">
        <f>IFERROR(Table1[[#This Row],[Scorched (g)]]/Table1[[#This Row],[Sample Qty  (g)]],"")</f>
        <v/>
      </c>
      <c r="AC380" s="9" t="str">
        <f>IFERROR(SUM(Table1[[#This Row],[Spotted  (g)]:[PUK3  (g)]])/Table1[[#This Row],[Sample Qty  (g)]],"")</f>
        <v/>
      </c>
      <c r="AD380" s="9" t="str">
        <f>IFERROR(SUM(R380,Q380)/Table1[[#This Row],[Sample Qty  (g)]],"")</f>
        <v/>
      </c>
      <c r="AE380" s="9" t="str">
        <f>IFERROR(Table1[[#This Row],[Dessert/NW  (g)]]/Table1[[#This Row],[Sample Qty  (g)]],"")</f>
        <v/>
      </c>
      <c r="AF380" s="9" t="str">
        <f>IFERROR(SUM(Table1[[#This Row],[Oil  (g)]:[Dirty  (g)]])/Table1[[#This Row],[Sample Qty  (g)]],"")</f>
        <v/>
      </c>
      <c r="AG380" s="9" t="str">
        <f>IFERROR(Table1[[#This Row],[Rejection  (g)]]/Table1[[#This Row],[Sample Qty  (g)]],"")</f>
        <v/>
      </c>
      <c r="AH380" s="9" t="str">
        <f>IFERROR(Table1[[#This Row],[Husk  (g)]]/Table1[[#This Row],[Sample Qty  (g)]],"")</f>
        <v/>
      </c>
    </row>
    <row r="381" spans="2:34" ht="12" x14ac:dyDescent="0.25">
      <c r="B381" s="8"/>
      <c r="C381" s="7">
        <f>WEEKNUM(Table1[[#This Row],[Date]])</f>
        <v>0</v>
      </c>
      <c r="D381" s="7"/>
      <c r="Y381" s="7">
        <f>SUM(Table1[[#This Row],[Good Kernels  (g)]:[Husk  (g)]])</f>
        <v>0</v>
      </c>
      <c r="Z381" s="9" t="str">
        <f>IFERROR(Table1[[#This Row],[Good Kernels  (g)]]/Table1[[#This Row],[Sample Qty  (g)]],"")</f>
        <v/>
      </c>
      <c r="AA381" s="9" t="str">
        <f>IFERROR(SUM(Table1[[#This Row],[Pieces  (g)]:[Butts (g)]])/Table1[[#This Row],[Sample Qty  (g)]],"")</f>
        <v/>
      </c>
      <c r="AB381" s="9" t="str">
        <f>IFERROR(Table1[[#This Row],[Scorched (g)]]/Table1[[#This Row],[Sample Qty  (g)]],"")</f>
        <v/>
      </c>
      <c r="AC381" s="9" t="str">
        <f>IFERROR(SUM(Table1[[#This Row],[Spotted  (g)]:[PUK3  (g)]])/Table1[[#This Row],[Sample Qty  (g)]],"")</f>
        <v/>
      </c>
      <c r="AD381" s="9" t="str">
        <f>IFERROR(SUM(R381,Q381)/Table1[[#This Row],[Sample Qty  (g)]],"")</f>
        <v/>
      </c>
      <c r="AE381" s="9" t="str">
        <f>IFERROR(Table1[[#This Row],[Dessert/NW  (g)]]/Table1[[#This Row],[Sample Qty  (g)]],"")</f>
        <v/>
      </c>
      <c r="AF381" s="9" t="str">
        <f>IFERROR(SUM(Table1[[#This Row],[Oil  (g)]:[Dirty  (g)]])/Table1[[#This Row],[Sample Qty  (g)]],"")</f>
        <v/>
      </c>
      <c r="AG381" s="9" t="str">
        <f>IFERROR(Table1[[#This Row],[Rejection  (g)]]/Table1[[#This Row],[Sample Qty  (g)]],"")</f>
        <v/>
      </c>
      <c r="AH381" s="9" t="str">
        <f>IFERROR(Table1[[#This Row],[Husk  (g)]]/Table1[[#This Row],[Sample Qty  (g)]],"")</f>
        <v/>
      </c>
    </row>
    <row r="382" spans="2:34" ht="12" x14ac:dyDescent="0.25">
      <c r="B382" s="8"/>
      <c r="C382" s="7">
        <f>WEEKNUM(Table1[[#This Row],[Date]])</f>
        <v>0</v>
      </c>
      <c r="D382" s="7"/>
      <c r="Y382" s="7">
        <f>SUM(Table1[[#This Row],[Good Kernels  (g)]:[Husk  (g)]])</f>
        <v>0</v>
      </c>
      <c r="Z382" s="9" t="str">
        <f>IFERROR(Table1[[#This Row],[Good Kernels  (g)]]/Table1[[#This Row],[Sample Qty  (g)]],"")</f>
        <v/>
      </c>
      <c r="AA382" s="9" t="str">
        <f>IFERROR(SUM(Table1[[#This Row],[Pieces  (g)]:[Butts (g)]])/Table1[[#This Row],[Sample Qty  (g)]],"")</f>
        <v/>
      </c>
      <c r="AB382" s="9" t="str">
        <f>IFERROR(Table1[[#This Row],[Scorched (g)]]/Table1[[#This Row],[Sample Qty  (g)]],"")</f>
        <v/>
      </c>
      <c r="AC382" s="9" t="str">
        <f>IFERROR(SUM(Table1[[#This Row],[Spotted  (g)]:[PUK3  (g)]])/Table1[[#This Row],[Sample Qty  (g)]],"")</f>
        <v/>
      </c>
      <c r="AD382" s="9" t="str">
        <f>IFERROR(SUM(R382,Q382)/Table1[[#This Row],[Sample Qty  (g)]],"")</f>
        <v/>
      </c>
      <c r="AE382" s="9" t="str">
        <f>IFERROR(Table1[[#This Row],[Dessert/NW  (g)]]/Table1[[#This Row],[Sample Qty  (g)]],"")</f>
        <v/>
      </c>
      <c r="AF382" s="9" t="str">
        <f>IFERROR(SUM(Table1[[#This Row],[Oil  (g)]:[Dirty  (g)]])/Table1[[#This Row],[Sample Qty  (g)]],"")</f>
        <v/>
      </c>
      <c r="AG382" s="9" t="str">
        <f>IFERROR(Table1[[#This Row],[Rejection  (g)]]/Table1[[#This Row],[Sample Qty  (g)]],"")</f>
        <v/>
      </c>
      <c r="AH382" s="9" t="str">
        <f>IFERROR(Table1[[#This Row],[Husk  (g)]]/Table1[[#This Row],[Sample Qty  (g)]],"")</f>
        <v/>
      </c>
    </row>
    <row r="383" spans="2:34" ht="12" x14ac:dyDescent="0.25">
      <c r="B383" s="8"/>
      <c r="C383" s="7">
        <f>WEEKNUM(Table1[[#This Row],[Date]])</f>
        <v>0</v>
      </c>
      <c r="D383" s="7"/>
      <c r="Y383" s="7">
        <f>SUM(Table1[[#This Row],[Good Kernels  (g)]:[Husk  (g)]])</f>
        <v>0</v>
      </c>
      <c r="Z383" s="9" t="str">
        <f>IFERROR(Table1[[#This Row],[Good Kernels  (g)]]/Table1[[#This Row],[Sample Qty  (g)]],"")</f>
        <v/>
      </c>
      <c r="AA383" s="9" t="str">
        <f>IFERROR(SUM(Table1[[#This Row],[Pieces  (g)]:[Butts (g)]])/Table1[[#This Row],[Sample Qty  (g)]],"")</f>
        <v/>
      </c>
      <c r="AB383" s="9" t="str">
        <f>IFERROR(Table1[[#This Row],[Scorched (g)]]/Table1[[#This Row],[Sample Qty  (g)]],"")</f>
        <v/>
      </c>
      <c r="AC383" s="9" t="str">
        <f>IFERROR(SUM(Table1[[#This Row],[Spotted  (g)]:[PUK3  (g)]])/Table1[[#This Row],[Sample Qty  (g)]],"")</f>
        <v/>
      </c>
      <c r="AD383" s="9" t="str">
        <f>IFERROR(SUM(R383,Q383)/Table1[[#This Row],[Sample Qty  (g)]],"")</f>
        <v/>
      </c>
      <c r="AE383" s="9" t="str">
        <f>IFERROR(Table1[[#This Row],[Dessert/NW  (g)]]/Table1[[#This Row],[Sample Qty  (g)]],"")</f>
        <v/>
      </c>
      <c r="AF383" s="9" t="str">
        <f>IFERROR(SUM(Table1[[#This Row],[Oil  (g)]:[Dirty  (g)]])/Table1[[#This Row],[Sample Qty  (g)]],"")</f>
        <v/>
      </c>
      <c r="AG383" s="9" t="str">
        <f>IFERROR(Table1[[#This Row],[Rejection  (g)]]/Table1[[#This Row],[Sample Qty  (g)]],"")</f>
        <v/>
      </c>
      <c r="AH383" s="9" t="str">
        <f>IFERROR(Table1[[#This Row],[Husk  (g)]]/Table1[[#This Row],[Sample Qty  (g)]],"")</f>
        <v/>
      </c>
    </row>
    <row r="384" spans="2:34" ht="12" x14ac:dyDescent="0.25">
      <c r="B384" s="8"/>
      <c r="C384" s="7">
        <f>WEEKNUM(Table1[[#This Row],[Date]])</f>
        <v>0</v>
      </c>
      <c r="D384" s="7"/>
      <c r="Y384" s="7">
        <f>SUM(Table1[[#This Row],[Good Kernels  (g)]:[Husk  (g)]])</f>
        <v>0</v>
      </c>
      <c r="Z384" s="9" t="str">
        <f>IFERROR(Table1[[#This Row],[Good Kernels  (g)]]/Table1[[#This Row],[Sample Qty  (g)]],"")</f>
        <v/>
      </c>
      <c r="AA384" s="9" t="str">
        <f>IFERROR(SUM(Table1[[#This Row],[Pieces  (g)]:[Butts (g)]])/Table1[[#This Row],[Sample Qty  (g)]],"")</f>
        <v/>
      </c>
      <c r="AB384" s="9" t="str">
        <f>IFERROR(Table1[[#This Row],[Scorched (g)]]/Table1[[#This Row],[Sample Qty  (g)]],"")</f>
        <v/>
      </c>
      <c r="AC384" s="9" t="str">
        <f>IFERROR(SUM(Table1[[#This Row],[Spotted  (g)]:[PUK3  (g)]])/Table1[[#This Row],[Sample Qty  (g)]],"")</f>
        <v/>
      </c>
      <c r="AD384" s="9" t="str">
        <f>IFERROR(SUM(R384,Q384)/Table1[[#This Row],[Sample Qty  (g)]],"")</f>
        <v/>
      </c>
      <c r="AE384" s="9" t="str">
        <f>IFERROR(Table1[[#This Row],[Dessert/NW  (g)]]/Table1[[#This Row],[Sample Qty  (g)]],"")</f>
        <v/>
      </c>
      <c r="AF384" s="9" t="str">
        <f>IFERROR(SUM(Table1[[#This Row],[Oil  (g)]:[Dirty  (g)]])/Table1[[#This Row],[Sample Qty  (g)]],"")</f>
        <v/>
      </c>
      <c r="AG384" s="9" t="str">
        <f>IFERROR(Table1[[#This Row],[Rejection  (g)]]/Table1[[#This Row],[Sample Qty  (g)]],"")</f>
        <v/>
      </c>
      <c r="AH384" s="9" t="str">
        <f>IFERROR(Table1[[#This Row],[Husk  (g)]]/Table1[[#This Row],[Sample Qty  (g)]],"")</f>
        <v/>
      </c>
    </row>
    <row r="385" spans="2:34" ht="12" x14ac:dyDescent="0.25">
      <c r="B385" s="8"/>
      <c r="C385" s="7">
        <f>WEEKNUM(Table1[[#This Row],[Date]])</f>
        <v>0</v>
      </c>
      <c r="D385" s="7"/>
      <c r="Y385" s="7">
        <f>SUM(Table1[[#This Row],[Good Kernels  (g)]:[Husk  (g)]])</f>
        <v>0</v>
      </c>
      <c r="Z385" s="9" t="str">
        <f>IFERROR(Table1[[#This Row],[Good Kernels  (g)]]/Table1[[#This Row],[Sample Qty  (g)]],"")</f>
        <v/>
      </c>
      <c r="AA385" s="9" t="str">
        <f>IFERROR(SUM(Table1[[#This Row],[Pieces  (g)]:[Butts (g)]])/Table1[[#This Row],[Sample Qty  (g)]],"")</f>
        <v/>
      </c>
      <c r="AB385" s="9" t="str">
        <f>IFERROR(Table1[[#This Row],[Scorched (g)]]/Table1[[#This Row],[Sample Qty  (g)]],"")</f>
        <v/>
      </c>
      <c r="AC385" s="9" t="str">
        <f>IFERROR(SUM(Table1[[#This Row],[Spotted  (g)]:[PUK3  (g)]])/Table1[[#This Row],[Sample Qty  (g)]],"")</f>
        <v/>
      </c>
      <c r="AD385" s="9" t="str">
        <f>IFERROR(SUM(R385,Q385)/Table1[[#This Row],[Sample Qty  (g)]],"")</f>
        <v/>
      </c>
      <c r="AE385" s="9" t="str">
        <f>IFERROR(Table1[[#This Row],[Dessert/NW  (g)]]/Table1[[#This Row],[Sample Qty  (g)]],"")</f>
        <v/>
      </c>
      <c r="AF385" s="9" t="str">
        <f>IFERROR(SUM(Table1[[#This Row],[Oil  (g)]:[Dirty  (g)]])/Table1[[#This Row],[Sample Qty  (g)]],"")</f>
        <v/>
      </c>
      <c r="AG385" s="9" t="str">
        <f>IFERROR(Table1[[#This Row],[Rejection  (g)]]/Table1[[#This Row],[Sample Qty  (g)]],"")</f>
        <v/>
      </c>
      <c r="AH385" s="9" t="str">
        <f>IFERROR(Table1[[#This Row],[Husk  (g)]]/Table1[[#This Row],[Sample Qty  (g)]],"")</f>
        <v/>
      </c>
    </row>
    <row r="386" spans="2:34" ht="12" x14ac:dyDescent="0.25">
      <c r="B386" s="8"/>
      <c r="C386" s="7">
        <f>WEEKNUM(Table1[[#This Row],[Date]])</f>
        <v>0</v>
      </c>
      <c r="D386" s="7"/>
      <c r="Y386" s="7">
        <f>SUM(Table1[[#This Row],[Good Kernels  (g)]:[Husk  (g)]])</f>
        <v>0</v>
      </c>
      <c r="Z386" s="9" t="str">
        <f>IFERROR(Table1[[#This Row],[Good Kernels  (g)]]/Table1[[#This Row],[Sample Qty  (g)]],"")</f>
        <v/>
      </c>
      <c r="AA386" s="9" t="str">
        <f>IFERROR(SUM(Table1[[#This Row],[Pieces  (g)]:[Butts (g)]])/Table1[[#This Row],[Sample Qty  (g)]],"")</f>
        <v/>
      </c>
      <c r="AB386" s="9" t="str">
        <f>IFERROR(Table1[[#This Row],[Scorched (g)]]/Table1[[#This Row],[Sample Qty  (g)]],"")</f>
        <v/>
      </c>
      <c r="AC386" s="9" t="str">
        <f>IFERROR(SUM(Table1[[#This Row],[Spotted  (g)]:[PUK3  (g)]])/Table1[[#This Row],[Sample Qty  (g)]],"")</f>
        <v/>
      </c>
      <c r="AD386" s="9" t="str">
        <f>IFERROR(SUM(R386,Q386)/Table1[[#This Row],[Sample Qty  (g)]],"")</f>
        <v/>
      </c>
      <c r="AE386" s="9" t="str">
        <f>IFERROR(Table1[[#This Row],[Dessert/NW  (g)]]/Table1[[#This Row],[Sample Qty  (g)]],"")</f>
        <v/>
      </c>
      <c r="AF386" s="9" t="str">
        <f>IFERROR(SUM(Table1[[#This Row],[Oil  (g)]:[Dirty  (g)]])/Table1[[#This Row],[Sample Qty  (g)]],"")</f>
        <v/>
      </c>
      <c r="AG386" s="9" t="str">
        <f>IFERROR(Table1[[#This Row],[Rejection  (g)]]/Table1[[#This Row],[Sample Qty  (g)]],"")</f>
        <v/>
      </c>
      <c r="AH386" s="9" t="str">
        <f>IFERROR(Table1[[#This Row],[Husk  (g)]]/Table1[[#This Row],[Sample Qty  (g)]],"")</f>
        <v/>
      </c>
    </row>
    <row r="387" spans="2:34" ht="12" x14ac:dyDescent="0.25">
      <c r="B387" s="8"/>
      <c r="C387" s="7">
        <f>WEEKNUM(Table1[[#This Row],[Date]])</f>
        <v>0</v>
      </c>
      <c r="D387" s="7"/>
      <c r="Y387" s="7">
        <f>SUM(Table1[[#This Row],[Good Kernels  (g)]:[Husk  (g)]])</f>
        <v>0</v>
      </c>
      <c r="Z387" s="9" t="str">
        <f>IFERROR(Table1[[#This Row],[Good Kernels  (g)]]/Table1[[#This Row],[Sample Qty  (g)]],"")</f>
        <v/>
      </c>
      <c r="AA387" s="9" t="str">
        <f>IFERROR(SUM(Table1[[#This Row],[Pieces  (g)]:[Butts (g)]])/Table1[[#This Row],[Sample Qty  (g)]],"")</f>
        <v/>
      </c>
      <c r="AB387" s="9" t="str">
        <f>IFERROR(Table1[[#This Row],[Scorched (g)]]/Table1[[#This Row],[Sample Qty  (g)]],"")</f>
        <v/>
      </c>
      <c r="AC387" s="9" t="str">
        <f>IFERROR(SUM(Table1[[#This Row],[Spotted  (g)]:[PUK3  (g)]])/Table1[[#This Row],[Sample Qty  (g)]],"")</f>
        <v/>
      </c>
      <c r="AD387" s="9" t="str">
        <f>IFERROR(SUM(R387,Q387)/Table1[[#This Row],[Sample Qty  (g)]],"")</f>
        <v/>
      </c>
      <c r="AE387" s="9" t="str">
        <f>IFERROR(Table1[[#This Row],[Dessert/NW  (g)]]/Table1[[#This Row],[Sample Qty  (g)]],"")</f>
        <v/>
      </c>
      <c r="AF387" s="9" t="str">
        <f>IFERROR(SUM(Table1[[#This Row],[Oil  (g)]:[Dirty  (g)]])/Table1[[#This Row],[Sample Qty  (g)]],"")</f>
        <v/>
      </c>
      <c r="AG387" s="9" t="str">
        <f>IFERROR(Table1[[#This Row],[Rejection  (g)]]/Table1[[#This Row],[Sample Qty  (g)]],"")</f>
        <v/>
      </c>
      <c r="AH387" s="9" t="str">
        <f>IFERROR(Table1[[#This Row],[Husk  (g)]]/Table1[[#This Row],[Sample Qty  (g)]],"")</f>
        <v/>
      </c>
    </row>
    <row r="388" spans="2:34" ht="12" x14ac:dyDescent="0.25">
      <c r="B388" s="8"/>
      <c r="C388" s="7">
        <f>WEEKNUM(Table1[[#This Row],[Date]])</f>
        <v>0</v>
      </c>
      <c r="D388" s="7"/>
      <c r="Y388" s="7">
        <f>SUM(Table1[[#This Row],[Good Kernels  (g)]:[Husk  (g)]])</f>
        <v>0</v>
      </c>
      <c r="Z388" s="9" t="str">
        <f>IFERROR(Table1[[#This Row],[Good Kernels  (g)]]/Table1[[#This Row],[Sample Qty  (g)]],"")</f>
        <v/>
      </c>
      <c r="AA388" s="9" t="str">
        <f>IFERROR(SUM(Table1[[#This Row],[Pieces  (g)]:[Butts (g)]])/Table1[[#This Row],[Sample Qty  (g)]],"")</f>
        <v/>
      </c>
      <c r="AB388" s="9" t="str">
        <f>IFERROR(Table1[[#This Row],[Scorched (g)]]/Table1[[#This Row],[Sample Qty  (g)]],"")</f>
        <v/>
      </c>
      <c r="AC388" s="9" t="str">
        <f>IFERROR(SUM(Table1[[#This Row],[Spotted  (g)]:[PUK3  (g)]])/Table1[[#This Row],[Sample Qty  (g)]],"")</f>
        <v/>
      </c>
      <c r="AD388" s="9" t="str">
        <f>IFERROR(SUM(R388,Q388)/Table1[[#This Row],[Sample Qty  (g)]],"")</f>
        <v/>
      </c>
      <c r="AE388" s="9" t="str">
        <f>IFERROR(Table1[[#This Row],[Dessert/NW  (g)]]/Table1[[#This Row],[Sample Qty  (g)]],"")</f>
        <v/>
      </c>
      <c r="AF388" s="9" t="str">
        <f>IFERROR(SUM(Table1[[#This Row],[Oil  (g)]:[Dirty  (g)]])/Table1[[#This Row],[Sample Qty  (g)]],"")</f>
        <v/>
      </c>
      <c r="AG388" s="9" t="str">
        <f>IFERROR(Table1[[#This Row],[Rejection  (g)]]/Table1[[#This Row],[Sample Qty  (g)]],"")</f>
        <v/>
      </c>
      <c r="AH388" s="9" t="str">
        <f>IFERROR(Table1[[#This Row],[Husk  (g)]]/Table1[[#This Row],[Sample Qty  (g)]],"")</f>
        <v/>
      </c>
    </row>
    <row r="389" spans="2:34" ht="12" x14ac:dyDescent="0.25">
      <c r="B389" s="8"/>
      <c r="C389" s="7">
        <f>WEEKNUM(Table1[[#This Row],[Date]])</f>
        <v>0</v>
      </c>
      <c r="D389" s="7"/>
      <c r="Y389" s="7">
        <f>SUM(Table1[[#This Row],[Good Kernels  (g)]:[Husk  (g)]])</f>
        <v>0</v>
      </c>
      <c r="Z389" s="9" t="str">
        <f>IFERROR(Table1[[#This Row],[Good Kernels  (g)]]/Table1[[#This Row],[Sample Qty  (g)]],"")</f>
        <v/>
      </c>
      <c r="AA389" s="9" t="str">
        <f>IFERROR(SUM(Table1[[#This Row],[Pieces  (g)]:[Butts (g)]])/Table1[[#This Row],[Sample Qty  (g)]],"")</f>
        <v/>
      </c>
      <c r="AB389" s="9" t="str">
        <f>IFERROR(Table1[[#This Row],[Scorched (g)]]/Table1[[#This Row],[Sample Qty  (g)]],"")</f>
        <v/>
      </c>
      <c r="AC389" s="9" t="str">
        <f>IFERROR(SUM(Table1[[#This Row],[Spotted  (g)]:[PUK3  (g)]])/Table1[[#This Row],[Sample Qty  (g)]],"")</f>
        <v/>
      </c>
      <c r="AD389" s="9" t="str">
        <f>IFERROR(SUM(R389,Q389)/Table1[[#This Row],[Sample Qty  (g)]],"")</f>
        <v/>
      </c>
      <c r="AE389" s="9" t="str">
        <f>IFERROR(Table1[[#This Row],[Dessert/NW  (g)]]/Table1[[#This Row],[Sample Qty  (g)]],"")</f>
        <v/>
      </c>
      <c r="AF389" s="9" t="str">
        <f>IFERROR(SUM(Table1[[#This Row],[Oil  (g)]:[Dirty  (g)]])/Table1[[#This Row],[Sample Qty  (g)]],"")</f>
        <v/>
      </c>
      <c r="AG389" s="9" t="str">
        <f>IFERROR(Table1[[#This Row],[Rejection  (g)]]/Table1[[#This Row],[Sample Qty  (g)]],"")</f>
        <v/>
      </c>
      <c r="AH389" s="9" t="str">
        <f>IFERROR(Table1[[#This Row],[Husk  (g)]]/Table1[[#This Row],[Sample Qty  (g)]],"")</f>
        <v/>
      </c>
    </row>
    <row r="390" spans="2:34" ht="12" x14ac:dyDescent="0.25">
      <c r="B390" s="8"/>
      <c r="C390" s="7">
        <f>WEEKNUM(Table1[[#This Row],[Date]])</f>
        <v>0</v>
      </c>
      <c r="D390" s="7"/>
      <c r="Y390" s="7">
        <f>SUM(Table1[[#This Row],[Good Kernels  (g)]:[Husk  (g)]])</f>
        <v>0</v>
      </c>
      <c r="Z390" s="9" t="str">
        <f>IFERROR(Table1[[#This Row],[Good Kernels  (g)]]/Table1[[#This Row],[Sample Qty  (g)]],"")</f>
        <v/>
      </c>
      <c r="AA390" s="9" t="str">
        <f>IFERROR(SUM(Table1[[#This Row],[Pieces  (g)]:[Butts (g)]])/Table1[[#This Row],[Sample Qty  (g)]],"")</f>
        <v/>
      </c>
      <c r="AB390" s="9" t="str">
        <f>IFERROR(Table1[[#This Row],[Scorched (g)]]/Table1[[#This Row],[Sample Qty  (g)]],"")</f>
        <v/>
      </c>
      <c r="AC390" s="9" t="str">
        <f>IFERROR(SUM(Table1[[#This Row],[Spotted  (g)]:[PUK3  (g)]])/Table1[[#This Row],[Sample Qty  (g)]],"")</f>
        <v/>
      </c>
      <c r="AD390" s="9" t="str">
        <f>IFERROR(SUM(R390,Q390)/Table1[[#This Row],[Sample Qty  (g)]],"")</f>
        <v/>
      </c>
      <c r="AE390" s="9" t="str">
        <f>IFERROR(Table1[[#This Row],[Dessert/NW  (g)]]/Table1[[#This Row],[Sample Qty  (g)]],"")</f>
        <v/>
      </c>
      <c r="AF390" s="9" t="str">
        <f>IFERROR(SUM(Table1[[#This Row],[Oil  (g)]:[Dirty  (g)]])/Table1[[#This Row],[Sample Qty  (g)]],"")</f>
        <v/>
      </c>
      <c r="AG390" s="9" t="str">
        <f>IFERROR(Table1[[#This Row],[Rejection  (g)]]/Table1[[#This Row],[Sample Qty  (g)]],"")</f>
        <v/>
      </c>
      <c r="AH390" s="9" t="str">
        <f>IFERROR(Table1[[#This Row],[Husk  (g)]]/Table1[[#This Row],[Sample Qty  (g)]],"")</f>
        <v/>
      </c>
    </row>
    <row r="391" spans="2:34" ht="12" x14ac:dyDescent="0.25">
      <c r="B391" s="8"/>
      <c r="C391" s="7">
        <f>WEEKNUM(Table1[[#This Row],[Date]])</f>
        <v>0</v>
      </c>
      <c r="D391" s="7"/>
      <c r="Y391" s="7">
        <f>SUM(Table1[[#This Row],[Good Kernels  (g)]:[Husk  (g)]])</f>
        <v>0</v>
      </c>
      <c r="Z391" s="9" t="str">
        <f>IFERROR(Table1[[#This Row],[Good Kernels  (g)]]/Table1[[#This Row],[Sample Qty  (g)]],"")</f>
        <v/>
      </c>
      <c r="AA391" s="9" t="str">
        <f>IFERROR(SUM(Table1[[#This Row],[Pieces  (g)]:[Butts (g)]])/Table1[[#This Row],[Sample Qty  (g)]],"")</f>
        <v/>
      </c>
      <c r="AB391" s="9" t="str">
        <f>IFERROR(Table1[[#This Row],[Scorched (g)]]/Table1[[#This Row],[Sample Qty  (g)]],"")</f>
        <v/>
      </c>
      <c r="AC391" s="9" t="str">
        <f>IFERROR(SUM(Table1[[#This Row],[Spotted  (g)]:[PUK3  (g)]])/Table1[[#This Row],[Sample Qty  (g)]],"")</f>
        <v/>
      </c>
      <c r="AD391" s="9" t="str">
        <f>IFERROR(SUM(R391,Q391)/Table1[[#This Row],[Sample Qty  (g)]],"")</f>
        <v/>
      </c>
      <c r="AE391" s="9" t="str">
        <f>IFERROR(Table1[[#This Row],[Dessert/NW  (g)]]/Table1[[#This Row],[Sample Qty  (g)]],"")</f>
        <v/>
      </c>
      <c r="AF391" s="9" t="str">
        <f>IFERROR(SUM(Table1[[#This Row],[Oil  (g)]:[Dirty  (g)]])/Table1[[#This Row],[Sample Qty  (g)]],"")</f>
        <v/>
      </c>
      <c r="AG391" s="9" t="str">
        <f>IFERROR(Table1[[#This Row],[Rejection  (g)]]/Table1[[#This Row],[Sample Qty  (g)]],"")</f>
        <v/>
      </c>
      <c r="AH391" s="9" t="str">
        <f>IFERROR(Table1[[#This Row],[Husk  (g)]]/Table1[[#This Row],[Sample Qty  (g)]],"")</f>
        <v/>
      </c>
    </row>
    <row r="392" spans="2:34" ht="12" x14ac:dyDescent="0.25">
      <c r="B392" s="8"/>
      <c r="C392" s="7">
        <f>WEEKNUM(Table1[[#This Row],[Date]])</f>
        <v>0</v>
      </c>
      <c r="D392" s="7"/>
      <c r="Y392" s="7">
        <f>SUM(Table1[[#This Row],[Good Kernels  (g)]:[Husk  (g)]])</f>
        <v>0</v>
      </c>
      <c r="Z392" s="9" t="str">
        <f>IFERROR(Table1[[#This Row],[Good Kernels  (g)]]/Table1[[#This Row],[Sample Qty  (g)]],"")</f>
        <v/>
      </c>
      <c r="AA392" s="9" t="str">
        <f>IFERROR(SUM(Table1[[#This Row],[Pieces  (g)]:[Butts (g)]])/Table1[[#This Row],[Sample Qty  (g)]],"")</f>
        <v/>
      </c>
      <c r="AB392" s="9" t="str">
        <f>IFERROR(Table1[[#This Row],[Scorched (g)]]/Table1[[#This Row],[Sample Qty  (g)]],"")</f>
        <v/>
      </c>
      <c r="AC392" s="9" t="str">
        <f>IFERROR(SUM(Table1[[#This Row],[Spotted  (g)]:[PUK3  (g)]])/Table1[[#This Row],[Sample Qty  (g)]],"")</f>
        <v/>
      </c>
      <c r="AD392" s="9" t="str">
        <f>IFERROR(SUM(R392,Q392)/Table1[[#This Row],[Sample Qty  (g)]],"")</f>
        <v/>
      </c>
      <c r="AE392" s="9" t="str">
        <f>IFERROR(Table1[[#This Row],[Dessert/NW  (g)]]/Table1[[#This Row],[Sample Qty  (g)]],"")</f>
        <v/>
      </c>
      <c r="AF392" s="9" t="str">
        <f>IFERROR(SUM(Table1[[#This Row],[Oil  (g)]:[Dirty  (g)]])/Table1[[#This Row],[Sample Qty  (g)]],"")</f>
        <v/>
      </c>
      <c r="AG392" s="9" t="str">
        <f>IFERROR(Table1[[#This Row],[Rejection  (g)]]/Table1[[#This Row],[Sample Qty  (g)]],"")</f>
        <v/>
      </c>
      <c r="AH392" s="9" t="str">
        <f>IFERROR(Table1[[#This Row],[Husk  (g)]]/Table1[[#This Row],[Sample Qty  (g)]],"")</f>
        <v/>
      </c>
    </row>
    <row r="393" spans="2:34" ht="12" x14ac:dyDescent="0.25">
      <c r="B393" s="8"/>
      <c r="C393" s="7">
        <f>WEEKNUM(Table1[[#This Row],[Date]])</f>
        <v>0</v>
      </c>
      <c r="D393" s="7"/>
      <c r="Y393" s="7">
        <f>SUM(Table1[[#This Row],[Good Kernels  (g)]:[Husk  (g)]])</f>
        <v>0</v>
      </c>
      <c r="Z393" s="9" t="str">
        <f>IFERROR(Table1[[#This Row],[Good Kernels  (g)]]/Table1[[#This Row],[Sample Qty  (g)]],"")</f>
        <v/>
      </c>
      <c r="AA393" s="9" t="str">
        <f>IFERROR(SUM(Table1[[#This Row],[Pieces  (g)]:[Butts (g)]])/Table1[[#This Row],[Sample Qty  (g)]],"")</f>
        <v/>
      </c>
      <c r="AB393" s="9" t="str">
        <f>IFERROR(Table1[[#This Row],[Scorched (g)]]/Table1[[#This Row],[Sample Qty  (g)]],"")</f>
        <v/>
      </c>
      <c r="AC393" s="9" t="str">
        <f>IFERROR(SUM(Table1[[#This Row],[Spotted  (g)]:[PUK3  (g)]])/Table1[[#This Row],[Sample Qty  (g)]],"")</f>
        <v/>
      </c>
      <c r="AD393" s="9" t="str">
        <f>IFERROR(SUM(R393,Q393)/Table1[[#This Row],[Sample Qty  (g)]],"")</f>
        <v/>
      </c>
      <c r="AE393" s="9" t="str">
        <f>IFERROR(Table1[[#This Row],[Dessert/NW  (g)]]/Table1[[#This Row],[Sample Qty  (g)]],"")</f>
        <v/>
      </c>
      <c r="AF393" s="9" t="str">
        <f>IFERROR(SUM(Table1[[#This Row],[Oil  (g)]:[Dirty  (g)]])/Table1[[#This Row],[Sample Qty  (g)]],"")</f>
        <v/>
      </c>
      <c r="AG393" s="9" t="str">
        <f>IFERROR(Table1[[#This Row],[Rejection  (g)]]/Table1[[#This Row],[Sample Qty  (g)]],"")</f>
        <v/>
      </c>
      <c r="AH393" s="9" t="str">
        <f>IFERROR(Table1[[#This Row],[Husk  (g)]]/Table1[[#This Row],[Sample Qty  (g)]],"")</f>
        <v/>
      </c>
    </row>
    <row r="394" spans="2:34" ht="12" x14ac:dyDescent="0.25">
      <c r="B394" s="8"/>
      <c r="C394" s="7">
        <f>WEEKNUM(Table1[[#This Row],[Date]])</f>
        <v>0</v>
      </c>
      <c r="D394" s="7"/>
      <c r="Y394" s="7">
        <f>SUM(Table1[[#This Row],[Good Kernels  (g)]:[Husk  (g)]])</f>
        <v>0</v>
      </c>
      <c r="Z394" s="9" t="str">
        <f>IFERROR(Table1[[#This Row],[Good Kernels  (g)]]/Table1[[#This Row],[Sample Qty  (g)]],"")</f>
        <v/>
      </c>
      <c r="AA394" s="9" t="str">
        <f>IFERROR(SUM(Table1[[#This Row],[Pieces  (g)]:[Butts (g)]])/Table1[[#This Row],[Sample Qty  (g)]],"")</f>
        <v/>
      </c>
      <c r="AB394" s="9" t="str">
        <f>IFERROR(Table1[[#This Row],[Scorched (g)]]/Table1[[#This Row],[Sample Qty  (g)]],"")</f>
        <v/>
      </c>
      <c r="AC394" s="9" t="str">
        <f>IFERROR(SUM(Table1[[#This Row],[Spotted  (g)]:[PUK3  (g)]])/Table1[[#This Row],[Sample Qty  (g)]],"")</f>
        <v/>
      </c>
      <c r="AD394" s="9" t="str">
        <f>IFERROR(SUM(R394,Q394)/Table1[[#This Row],[Sample Qty  (g)]],"")</f>
        <v/>
      </c>
      <c r="AE394" s="9" t="str">
        <f>IFERROR(Table1[[#This Row],[Dessert/NW  (g)]]/Table1[[#This Row],[Sample Qty  (g)]],"")</f>
        <v/>
      </c>
      <c r="AF394" s="9" t="str">
        <f>IFERROR(SUM(Table1[[#This Row],[Oil  (g)]:[Dirty  (g)]])/Table1[[#This Row],[Sample Qty  (g)]],"")</f>
        <v/>
      </c>
      <c r="AG394" s="9" t="str">
        <f>IFERROR(Table1[[#This Row],[Rejection  (g)]]/Table1[[#This Row],[Sample Qty  (g)]],"")</f>
        <v/>
      </c>
      <c r="AH394" s="9" t="str">
        <f>IFERROR(Table1[[#This Row],[Husk  (g)]]/Table1[[#This Row],[Sample Qty  (g)]],"")</f>
        <v/>
      </c>
    </row>
    <row r="395" spans="2:34" ht="12" x14ac:dyDescent="0.25">
      <c r="B395" s="8"/>
      <c r="C395" s="7">
        <f>WEEKNUM(Table1[[#This Row],[Date]])</f>
        <v>0</v>
      </c>
      <c r="D395" s="7"/>
      <c r="Y395" s="7">
        <f>SUM(Table1[[#This Row],[Good Kernels  (g)]:[Husk  (g)]])</f>
        <v>0</v>
      </c>
      <c r="Z395" s="9" t="str">
        <f>IFERROR(Table1[[#This Row],[Good Kernels  (g)]]/Table1[[#This Row],[Sample Qty  (g)]],"")</f>
        <v/>
      </c>
      <c r="AA395" s="9" t="str">
        <f>IFERROR(SUM(Table1[[#This Row],[Pieces  (g)]:[Butts (g)]])/Table1[[#This Row],[Sample Qty  (g)]],"")</f>
        <v/>
      </c>
      <c r="AB395" s="9" t="str">
        <f>IFERROR(Table1[[#This Row],[Scorched (g)]]/Table1[[#This Row],[Sample Qty  (g)]],"")</f>
        <v/>
      </c>
      <c r="AC395" s="9" t="str">
        <f>IFERROR(SUM(Table1[[#This Row],[Spotted  (g)]:[PUK3  (g)]])/Table1[[#This Row],[Sample Qty  (g)]],"")</f>
        <v/>
      </c>
      <c r="AD395" s="9" t="str">
        <f>IFERROR(SUM(R395,Q395)/Table1[[#This Row],[Sample Qty  (g)]],"")</f>
        <v/>
      </c>
      <c r="AE395" s="9" t="str">
        <f>IFERROR(Table1[[#This Row],[Dessert/NW  (g)]]/Table1[[#This Row],[Sample Qty  (g)]],"")</f>
        <v/>
      </c>
      <c r="AF395" s="9" t="str">
        <f>IFERROR(SUM(Table1[[#This Row],[Oil  (g)]:[Dirty  (g)]])/Table1[[#This Row],[Sample Qty  (g)]],"")</f>
        <v/>
      </c>
      <c r="AG395" s="9" t="str">
        <f>IFERROR(Table1[[#This Row],[Rejection  (g)]]/Table1[[#This Row],[Sample Qty  (g)]],"")</f>
        <v/>
      </c>
      <c r="AH395" s="9" t="str">
        <f>IFERROR(Table1[[#This Row],[Husk  (g)]]/Table1[[#This Row],[Sample Qty  (g)]],"")</f>
        <v/>
      </c>
    </row>
    <row r="396" spans="2:34" ht="12" x14ac:dyDescent="0.25">
      <c r="B396" s="8"/>
      <c r="C396" s="7">
        <f>WEEKNUM(Table1[[#This Row],[Date]])</f>
        <v>0</v>
      </c>
      <c r="D396" s="7"/>
      <c r="Y396" s="7">
        <f>SUM(Table1[[#This Row],[Good Kernels  (g)]:[Husk  (g)]])</f>
        <v>0</v>
      </c>
      <c r="Z396" s="9" t="str">
        <f>IFERROR(Table1[[#This Row],[Good Kernels  (g)]]/Table1[[#This Row],[Sample Qty  (g)]],"")</f>
        <v/>
      </c>
      <c r="AA396" s="9" t="str">
        <f>IFERROR(SUM(Table1[[#This Row],[Pieces  (g)]:[Butts (g)]])/Table1[[#This Row],[Sample Qty  (g)]],"")</f>
        <v/>
      </c>
      <c r="AB396" s="9" t="str">
        <f>IFERROR(Table1[[#This Row],[Scorched (g)]]/Table1[[#This Row],[Sample Qty  (g)]],"")</f>
        <v/>
      </c>
      <c r="AC396" s="9" t="str">
        <f>IFERROR(SUM(Table1[[#This Row],[Spotted  (g)]:[PUK3  (g)]])/Table1[[#This Row],[Sample Qty  (g)]],"")</f>
        <v/>
      </c>
      <c r="AD396" s="9" t="str">
        <f>IFERROR(SUM(R396,Q396)/Table1[[#This Row],[Sample Qty  (g)]],"")</f>
        <v/>
      </c>
      <c r="AE396" s="9" t="str">
        <f>IFERROR(Table1[[#This Row],[Dessert/NW  (g)]]/Table1[[#This Row],[Sample Qty  (g)]],"")</f>
        <v/>
      </c>
      <c r="AF396" s="9" t="str">
        <f>IFERROR(SUM(Table1[[#This Row],[Oil  (g)]:[Dirty  (g)]])/Table1[[#This Row],[Sample Qty  (g)]],"")</f>
        <v/>
      </c>
      <c r="AG396" s="9" t="str">
        <f>IFERROR(Table1[[#This Row],[Rejection  (g)]]/Table1[[#This Row],[Sample Qty  (g)]],"")</f>
        <v/>
      </c>
      <c r="AH396" s="9" t="str">
        <f>IFERROR(Table1[[#This Row],[Husk  (g)]]/Table1[[#This Row],[Sample Qty  (g)]],"")</f>
        <v/>
      </c>
    </row>
    <row r="397" spans="2:34" ht="12" x14ac:dyDescent="0.25">
      <c r="B397" s="8"/>
      <c r="C397" s="7">
        <f>WEEKNUM(Table1[[#This Row],[Date]])</f>
        <v>0</v>
      </c>
      <c r="D397" s="7"/>
      <c r="Y397" s="7">
        <f>SUM(Table1[[#This Row],[Good Kernels  (g)]:[Husk  (g)]])</f>
        <v>0</v>
      </c>
      <c r="Z397" s="9" t="str">
        <f>IFERROR(Table1[[#This Row],[Good Kernels  (g)]]/Table1[[#This Row],[Sample Qty  (g)]],"")</f>
        <v/>
      </c>
      <c r="AA397" s="9" t="str">
        <f>IFERROR(SUM(Table1[[#This Row],[Pieces  (g)]:[Butts (g)]])/Table1[[#This Row],[Sample Qty  (g)]],"")</f>
        <v/>
      </c>
      <c r="AB397" s="9" t="str">
        <f>IFERROR(Table1[[#This Row],[Scorched (g)]]/Table1[[#This Row],[Sample Qty  (g)]],"")</f>
        <v/>
      </c>
      <c r="AC397" s="9" t="str">
        <f>IFERROR(SUM(Table1[[#This Row],[Spotted  (g)]:[PUK3  (g)]])/Table1[[#This Row],[Sample Qty  (g)]],"")</f>
        <v/>
      </c>
      <c r="AD397" s="9" t="str">
        <f>IFERROR(SUM(R397,Q397)/Table1[[#This Row],[Sample Qty  (g)]],"")</f>
        <v/>
      </c>
      <c r="AE397" s="9" t="str">
        <f>IFERROR(Table1[[#This Row],[Dessert/NW  (g)]]/Table1[[#This Row],[Sample Qty  (g)]],"")</f>
        <v/>
      </c>
      <c r="AF397" s="9" t="str">
        <f>IFERROR(SUM(Table1[[#This Row],[Oil  (g)]:[Dirty  (g)]])/Table1[[#This Row],[Sample Qty  (g)]],"")</f>
        <v/>
      </c>
      <c r="AG397" s="9" t="str">
        <f>IFERROR(Table1[[#This Row],[Rejection  (g)]]/Table1[[#This Row],[Sample Qty  (g)]],"")</f>
        <v/>
      </c>
      <c r="AH397" s="9" t="str">
        <f>IFERROR(Table1[[#This Row],[Husk  (g)]]/Table1[[#This Row],[Sample Qty  (g)]],"")</f>
        <v/>
      </c>
    </row>
    <row r="398" spans="2:34" ht="12" x14ac:dyDescent="0.25">
      <c r="B398" s="8"/>
      <c r="C398" s="7">
        <f>WEEKNUM(Table1[[#This Row],[Date]])</f>
        <v>0</v>
      </c>
      <c r="D398" s="7"/>
      <c r="Y398" s="7">
        <f>SUM(Table1[[#This Row],[Good Kernels  (g)]:[Husk  (g)]])</f>
        <v>0</v>
      </c>
      <c r="Z398" s="9" t="str">
        <f>IFERROR(Table1[[#This Row],[Good Kernels  (g)]]/Table1[[#This Row],[Sample Qty  (g)]],"")</f>
        <v/>
      </c>
      <c r="AA398" s="9" t="str">
        <f>IFERROR(SUM(Table1[[#This Row],[Pieces  (g)]:[Butts (g)]])/Table1[[#This Row],[Sample Qty  (g)]],"")</f>
        <v/>
      </c>
      <c r="AB398" s="9" t="str">
        <f>IFERROR(Table1[[#This Row],[Scorched (g)]]/Table1[[#This Row],[Sample Qty  (g)]],"")</f>
        <v/>
      </c>
      <c r="AC398" s="9" t="str">
        <f>IFERROR(SUM(Table1[[#This Row],[Spotted  (g)]:[PUK3  (g)]])/Table1[[#This Row],[Sample Qty  (g)]],"")</f>
        <v/>
      </c>
      <c r="AD398" s="9" t="str">
        <f>IFERROR(SUM(R398,Q398)/Table1[[#This Row],[Sample Qty  (g)]],"")</f>
        <v/>
      </c>
      <c r="AE398" s="9" t="str">
        <f>IFERROR(Table1[[#This Row],[Dessert/NW  (g)]]/Table1[[#This Row],[Sample Qty  (g)]],"")</f>
        <v/>
      </c>
      <c r="AF398" s="9" t="str">
        <f>IFERROR(SUM(Table1[[#This Row],[Oil  (g)]:[Dirty  (g)]])/Table1[[#This Row],[Sample Qty  (g)]],"")</f>
        <v/>
      </c>
      <c r="AG398" s="9" t="str">
        <f>IFERROR(Table1[[#This Row],[Rejection  (g)]]/Table1[[#This Row],[Sample Qty  (g)]],"")</f>
        <v/>
      </c>
      <c r="AH398" s="9" t="str">
        <f>IFERROR(Table1[[#This Row],[Husk  (g)]]/Table1[[#This Row],[Sample Qty  (g)]],"")</f>
        <v/>
      </c>
    </row>
    <row r="399" spans="2:34" ht="12" x14ac:dyDescent="0.25">
      <c r="B399" s="8"/>
      <c r="C399" s="7">
        <f>WEEKNUM(Table1[[#This Row],[Date]])</f>
        <v>0</v>
      </c>
      <c r="D399" s="7"/>
      <c r="Y399" s="7">
        <f>SUM(Table1[[#This Row],[Good Kernels  (g)]:[Husk  (g)]])</f>
        <v>0</v>
      </c>
      <c r="Z399" s="9" t="str">
        <f>IFERROR(Table1[[#This Row],[Good Kernels  (g)]]/Table1[[#This Row],[Sample Qty  (g)]],"")</f>
        <v/>
      </c>
      <c r="AA399" s="9" t="str">
        <f>IFERROR(SUM(Table1[[#This Row],[Pieces  (g)]:[Butts (g)]])/Table1[[#This Row],[Sample Qty  (g)]],"")</f>
        <v/>
      </c>
      <c r="AB399" s="9" t="str">
        <f>IFERROR(Table1[[#This Row],[Scorched (g)]]/Table1[[#This Row],[Sample Qty  (g)]],"")</f>
        <v/>
      </c>
      <c r="AC399" s="9" t="str">
        <f>IFERROR(SUM(Table1[[#This Row],[Spotted  (g)]:[PUK3  (g)]])/Table1[[#This Row],[Sample Qty  (g)]],"")</f>
        <v/>
      </c>
      <c r="AD399" s="9" t="str">
        <f>IFERROR(SUM(R399,Q399)/Table1[[#This Row],[Sample Qty  (g)]],"")</f>
        <v/>
      </c>
      <c r="AE399" s="9" t="str">
        <f>IFERROR(Table1[[#This Row],[Dessert/NW  (g)]]/Table1[[#This Row],[Sample Qty  (g)]],"")</f>
        <v/>
      </c>
      <c r="AF399" s="9" t="str">
        <f>IFERROR(SUM(Table1[[#This Row],[Oil  (g)]:[Dirty  (g)]])/Table1[[#This Row],[Sample Qty  (g)]],"")</f>
        <v/>
      </c>
      <c r="AG399" s="9" t="str">
        <f>IFERROR(Table1[[#This Row],[Rejection  (g)]]/Table1[[#This Row],[Sample Qty  (g)]],"")</f>
        <v/>
      </c>
      <c r="AH399" s="9" t="str">
        <f>IFERROR(Table1[[#This Row],[Husk  (g)]]/Table1[[#This Row],[Sample Qty  (g)]],"")</f>
        <v/>
      </c>
    </row>
    <row r="400" spans="2:34" ht="12" x14ac:dyDescent="0.25">
      <c r="B400" s="8"/>
      <c r="C400" s="7">
        <f>WEEKNUM(Table1[[#This Row],[Date]])</f>
        <v>0</v>
      </c>
      <c r="D400" s="7"/>
      <c r="Y400" s="7">
        <f>SUM(Table1[[#This Row],[Good Kernels  (g)]:[Husk  (g)]])</f>
        <v>0</v>
      </c>
      <c r="Z400" s="9" t="str">
        <f>IFERROR(Table1[[#This Row],[Good Kernels  (g)]]/Table1[[#This Row],[Sample Qty  (g)]],"")</f>
        <v/>
      </c>
      <c r="AA400" s="9" t="str">
        <f>IFERROR(SUM(Table1[[#This Row],[Pieces  (g)]:[Butts (g)]])/Table1[[#This Row],[Sample Qty  (g)]],"")</f>
        <v/>
      </c>
      <c r="AB400" s="9" t="str">
        <f>IFERROR(Table1[[#This Row],[Scorched (g)]]/Table1[[#This Row],[Sample Qty  (g)]],"")</f>
        <v/>
      </c>
      <c r="AC400" s="9" t="str">
        <f>IFERROR(SUM(Table1[[#This Row],[Spotted  (g)]:[PUK3  (g)]])/Table1[[#This Row],[Sample Qty  (g)]],"")</f>
        <v/>
      </c>
      <c r="AD400" s="9" t="str">
        <f>IFERROR(SUM(R400,Q400)/Table1[[#This Row],[Sample Qty  (g)]],"")</f>
        <v/>
      </c>
      <c r="AE400" s="9" t="str">
        <f>IFERROR(Table1[[#This Row],[Dessert/NW  (g)]]/Table1[[#This Row],[Sample Qty  (g)]],"")</f>
        <v/>
      </c>
      <c r="AF400" s="9" t="str">
        <f>IFERROR(SUM(Table1[[#This Row],[Oil  (g)]:[Dirty  (g)]])/Table1[[#This Row],[Sample Qty  (g)]],"")</f>
        <v/>
      </c>
      <c r="AG400" s="9" t="str">
        <f>IFERROR(Table1[[#This Row],[Rejection  (g)]]/Table1[[#This Row],[Sample Qty  (g)]],"")</f>
        <v/>
      </c>
      <c r="AH400" s="9" t="str">
        <f>IFERROR(Table1[[#This Row],[Husk  (g)]]/Table1[[#This Row],[Sample Qty  (g)]],"")</f>
        <v/>
      </c>
    </row>
    <row r="401" spans="2:34" ht="12" x14ac:dyDescent="0.25">
      <c r="B401" s="8"/>
      <c r="C401" s="7">
        <f>WEEKNUM(Table1[[#This Row],[Date]])</f>
        <v>0</v>
      </c>
      <c r="D401" s="7"/>
      <c r="Y401" s="7">
        <f>SUM(Table1[[#This Row],[Good Kernels  (g)]:[Husk  (g)]])</f>
        <v>0</v>
      </c>
      <c r="Z401" s="9" t="str">
        <f>IFERROR(Table1[[#This Row],[Good Kernels  (g)]]/Table1[[#This Row],[Sample Qty  (g)]],"")</f>
        <v/>
      </c>
      <c r="AA401" s="9" t="str">
        <f>IFERROR(SUM(Table1[[#This Row],[Pieces  (g)]:[Butts (g)]])/Table1[[#This Row],[Sample Qty  (g)]],"")</f>
        <v/>
      </c>
      <c r="AB401" s="9" t="str">
        <f>IFERROR(Table1[[#This Row],[Scorched (g)]]/Table1[[#This Row],[Sample Qty  (g)]],"")</f>
        <v/>
      </c>
      <c r="AC401" s="9" t="str">
        <f>IFERROR(SUM(Table1[[#This Row],[Spotted  (g)]:[PUK3  (g)]])/Table1[[#This Row],[Sample Qty  (g)]],"")</f>
        <v/>
      </c>
      <c r="AD401" s="9" t="str">
        <f>IFERROR(SUM(R401,Q401)/Table1[[#This Row],[Sample Qty  (g)]],"")</f>
        <v/>
      </c>
      <c r="AE401" s="9" t="str">
        <f>IFERROR(Table1[[#This Row],[Dessert/NW  (g)]]/Table1[[#This Row],[Sample Qty  (g)]],"")</f>
        <v/>
      </c>
      <c r="AF401" s="9" t="str">
        <f>IFERROR(SUM(Table1[[#This Row],[Oil  (g)]:[Dirty  (g)]])/Table1[[#This Row],[Sample Qty  (g)]],"")</f>
        <v/>
      </c>
      <c r="AG401" s="9" t="str">
        <f>IFERROR(Table1[[#This Row],[Rejection  (g)]]/Table1[[#This Row],[Sample Qty  (g)]],"")</f>
        <v/>
      </c>
      <c r="AH401" s="9" t="str">
        <f>IFERROR(Table1[[#This Row],[Husk  (g)]]/Table1[[#This Row],[Sample Qty  (g)]],"")</f>
        <v/>
      </c>
    </row>
    <row r="402" spans="2:34" ht="12" x14ac:dyDescent="0.25">
      <c r="B402" s="8"/>
      <c r="C402" s="7">
        <f>WEEKNUM(Table1[[#This Row],[Date]])</f>
        <v>0</v>
      </c>
      <c r="D402" s="7"/>
      <c r="Y402" s="7">
        <f>SUM(Table1[[#This Row],[Good Kernels  (g)]:[Husk  (g)]])</f>
        <v>0</v>
      </c>
      <c r="Z402" s="9" t="str">
        <f>IFERROR(Table1[[#This Row],[Good Kernels  (g)]]/Table1[[#This Row],[Sample Qty  (g)]],"")</f>
        <v/>
      </c>
      <c r="AA402" s="9" t="str">
        <f>IFERROR(SUM(Table1[[#This Row],[Pieces  (g)]:[Butts (g)]])/Table1[[#This Row],[Sample Qty  (g)]],"")</f>
        <v/>
      </c>
      <c r="AB402" s="9" t="str">
        <f>IFERROR(Table1[[#This Row],[Scorched (g)]]/Table1[[#This Row],[Sample Qty  (g)]],"")</f>
        <v/>
      </c>
      <c r="AC402" s="9" t="str">
        <f>IFERROR(SUM(Table1[[#This Row],[Spotted  (g)]:[PUK3  (g)]])/Table1[[#This Row],[Sample Qty  (g)]],"")</f>
        <v/>
      </c>
      <c r="AD402" s="9" t="str">
        <f>IFERROR(SUM(R402,Q402)/Table1[[#This Row],[Sample Qty  (g)]],"")</f>
        <v/>
      </c>
      <c r="AE402" s="9" t="str">
        <f>IFERROR(Table1[[#This Row],[Dessert/NW  (g)]]/Table1[[#This Row],[Sample Qty  (g)]],"")</f>
        <v/>
      </c>
      <c r="AF402" s="9" t="str">
        <f>IFERROR(SUM(Table1[[#This Row],[Oil  (g)]:[Dirty  (g)]])/Table1[[#This Row],[Sample Qty  (g)]],"")</f>
        <v/>
      </c>
      <c r="AG402" s="9" t="str">
        <f>IFERROR(Table1[[#This Row],[Rejection  (g)]]/Table1[[#This Row],[Sample Qty  (g)]],"")</f>
        <v/>
      </c>
      <c r="AH402" s="9" t="str">
        <f>IFERROR(Table1[[#This Row],[Husk  (g)]]/Table1[[#This Row],[Sample Qty  (g)]],"")</f>
        <v/>
      </c>
    </row>
    <row r="403" spans="2:34" ht="12" x14ac:dyDescent="0.25">
      <c r="B403" s="8"/>
      <c r="C403" s="7">
        <f>WEEKNUM(Table1[[#This Row],[Date]])</f>
        <v>0</v>
      </c>
      <c r="D403" s="7"/>
      <c r="Y403" s="7">
        <f>SUM(Table1[[#This Row],[Good Kernels  (g)]:[Husk  (g)]])</f>
        <v>0</v>
      </c>
      <c r="Z403" s="9" t="str">
        <f>IFERROR(Table1[[#This Row],[Good Kernels  (g)]]/Table1[[#This Row],[Sample Qty  (g)]],"")</f>
        <v/>
      </c>
      <c r="AA403" s="9" t="str">
        <f>IFERROR(SUM(Table1[[#This Row],[Pieces  (g)]:[Butts (g)]])/Table1[[#This Row],[Sample Qty  (g)]],"")</f>
        <v/>
      </c>
      <c r="AB403" s="9" t="str">
        <f>IFERROR(Table1[[#This Row],[Scorched (g)]]/Table1[[#This Row],[Sample Qty  (g)]],"")</f>
        <v/>
      </c>
      <c r="AC403" s="9" t="str">
        <f>IFERROR(SUM(Table1[[#This Row],[Spotted  (g)]:[PUK3  (g)]])/Table1[[#This Row],[Sample Qty  (g)]],"")</f>
        <v/>
      </c>
      <c r="AD403" s="9" t="str">
        <f>IFERROR(SUM(R403,Q403)/Table1[[#This Row],[Sample Qty  (g)]],"")</f>
        <v/>
      </c>
      <c r="AE403" s="9" t="str">
        <f>IFERROR(Table1[[#This Row],[Dessert/NW  (g)]]/Table1[[#This Row],[Sample Qty  (g)]],"")</f>
        <v/>
      </c>
      <c r="AF403" s="9" t="str">
        <f>IFERROR(SUM(Table1[[#This Row],[Oil  (g)]:[Dirty  (g)]])/Table1[[#This Row],[Sample Qty  (g)]],"")</f>
        <v/>
      </c>
      <c r="AG403" s="9" t="str">
        <f>IFERROR(Table1[[#This Row],[Rejection  (g)]]/Table1[[#This Row],[Sample Qty  (g)]],"")</f>
        <v/>
      </c>
      <c r="AH403" s="9" t="str">
        <f>IFERROR(Table1[[#This Row],[Husk  (g)]]/Table1[[#This Row],[Sample Qty  (g)]],"")</f>
        <v/>
      </c>
    </row>
    <row r="404" spans="2:34" ht="12" x14ac:dyDescent="0.25">
      <c r="B404" s="8"/>
      <c r="C404" s="7">
        <f>WEEKNUM(Table1[[#This Row],[Date]])</f>
        <v>0</v>
      </c>
      <c r="D404" s="7"/>
      <c r="Y404" s="7">
        <f>SUM(Table1[[#This Row],[Good Kernels  (g)]:[Husk  (g)]])</f>
        <v>0</v>
      </c>
      <c r="Z404" s="9" t="str">
        <f>IFERROR(Table1[[#This Row],[Good Kernels  (g)]]/Table1[[#This Row],[Sample Qty  (g)]],"")</f>
        <v/>
      </c>
      <c r="AA404" s="9" t="str">
        <f>IFERROR(SUM(Table1[[#This Row],[Pieces  (g)]:[Butts (g)]])/Table1[[#This Row],[Sample Qty  (g)]],"")</f>
        <v/>
      </c>
      <c r="AB404" s="9" t="str">
        <f>IFERROR(Table1[[#This Row],[Scorched (g)]]/Table1[[#This Row],[Sample Qty  (g)]],"")</f>
        <v/>
      </c>
      <c r="AC404" s="9" t="str">
        <f>IFERROR(SUM(Table1[[#This Row],[Spotted  (g)]:[PUK3  (g)]])/Table1[[#This Row],[Sample Qty  (g)]],"")</f>
        <v/>
      </c>
      <c r="AD404" s="9" t="str">
        <f>IFERROR(SUM(R404,Q404)/Table1[[#This Row],[Sample Qty  (g)]],"")</f>
        <v/>
      </c>
      <c r="AE404" s="9" t="str">
        <f>IFERROR(Table1[[#This Row],[Dessert/NW  (g)]]/Table1[[#This Row],[Sample Qty  (g)]],"")</f>
        <v/>
      </c>
      <c r="AF404" s="9" t="str">
        <f>IFERROR(SUM(Table1[[#This Row],[Oil  (g)]:[Dirty  (g)]])/Table1[[#This Row],[Sample Qty  (g)]],"")</f>
        <v/>
      </c>
      <c r="AG404" s="9" t="str">
        <f>IFERROR(Table1[[#This Row],[Rejection  (g)]]/Table1[[#This Row],[Sample Qty  (g)]],"")</f>
        <v/>
      </c>
      <c r="AH404" s="9" t="str">
        <f>IFERROR(Table1[[#This Row],[Husk  (g)]]/Table1[[#This Row],[Sample Qty  (g)]],"")</f>
        <v/>
      </c>
    </row>
    <row r="405" spans="2:34" ht="12" x14ac:dyDescent="0.25">
      <c r="B405" s="8"/>
      <c r="C405" s="7">
        <f>WEEKNUM(Table1[[#This Row],[Date]])</f>
        <v>0</v>
      </c>
      <c r="D405" s="7"/>
      <c r="Y405" s="7">
        <f>SUM(Table1[[#This Row],[Good Kernels  (g)]:[Husk  (g)]])</f>
        <v>0</v>
      </c>
      <c r="Z405" s="9" t="str">
        <f>IFERROR(Table1[[#This Row],[Good Kernels  (g)]]/Table1[[#This Row],[Sample Qty  (g)]],"")</f>
        <v/>
      </c>
      <c r="AA405" s="9" t="str">
        <f>IFERROR(SUM(Table1[[#This Row],[Pieces  (g)]:[Butts (g)]])/Table1[[#This Row],[Sample Qty  (g)]],"")</f>
        <v/>
      </c>
      <c r="AB405" s="9" t="str">
        <f>IFERROR(Table1[[#This Row],[Scorched (g)]]/Table1[[#This Row],[Sample Qty  (g)]],"")</f>
        <v/>
      </c>
      <c r="AC405" s="9" t="str">
        <f>IFERROR(SUM(Table1[[#This Row],[Spotted  (g)]:[PUK3  (g)]])/Table1[[#This Row],[Sample Qty  (g)]],"")</f>
        <v/>
      </c>
      <c r="AD405" s="9" t="str">
        <f>IFERROR(SUM(R405,Q405)/Table1[[#This Row],[Sample Qty  (g)]],"")</f>
        <v/>
      </c>
      <c r="AE405" s="9" t="str">
        <f>IFERROR(Table1[[#This Row],[Dessert/NW  (g)]]/Table1[[#This Row],[Sample Qty  (g)]],"")</f>
        <v/>
      </c>
      <c r="AF405" s="9" t="str">
        <f>IFERROR(SUM(Table1[[#This Row],[Oil  (g)]:[Dirty  (g)]])/Table1[[#This Row],[Sample Qty  (g)]],"")</f>
        <v/>
      </c>
      <c r="AG405" s="9" t="str">
        <f>IFERROR(Table1[[#This Row],[Rejection  (g)]]/Table1[[#This Row],[Sample Qty  (g)]],"")</f>
        <v/>
      </c>
      <c r="AH405" s="9" t="str">
        <f>IFERROR(Table1[[#This Row],[Husk  (g)]]/Table1[[#This Row],[Sample Qty  (g)]],"")</f>
        <v/>
      </c>
    </row>
    <row r="406" spans="2:34" ht="12" x14ac:dyDescent="0.25">
      <c r="B406" s="8"/>
      <c r="C406" s="7">
        <f>WEEKNUM(Table1[[#This Row],[Date]])</f>
        <v>0</v>
      </c>
      <c r="D406" s="7"/>
      <c r="Y406" s="7">
        <f>SUM(Table1[[#This Row],[Good Kernels  (g)]:[Husk  (g)]])</f>
        <v>0</v>
      </c>
      <c r="Z406" s="9" t="str">
        <f>IFERROR(Table1[[#This Row],[Good Kernels  (g)]]/Table1[[#This Row],[Sample Qty  (g)]],"")</f>
        <v/>
      </c>
      <c r="AA406" s="9" t="str">
        <f>IFERROR(SUM(Table1[[#This Row],[Pieces  (g)]:[Butts (g)]])/Table1[[#This Row],[Sample Qty  (g)]],"")</f>
        <v/>
      </c>
      <c r="AB406" s="9" t="str">
        <f>IFERROR(Table1[[#This Row],[Scorched (g)]]/Table1[[#This Row],[Sample Qty  (g)]],"")</f>
        <v/>
      </c>
      <c r="AC406" s="9" t="str">
        <f>IFERROR(SUM(Table1[[#This Row],[Spotted  (g)]:[PUK3  (g)]])/Table1[[#This Row],[Sample Qty  (g)]],"")</f>
        <v/>
      </c>
      <c r="AD406" s="9" t="str">
        <f>IFERROR(SUM(R406,Q406)/Table1[[#This Row],[Sample Qty  (g)]],"")</f>
        <v/>
      </c>
      <c r="AE406" s="9" t="str">
        <f>IFERROR(Table1[[#This Row],[Dessert/NW  (g)]]/Table1[[#This Row],[Sample Qty  (g)]],"")</f>
        <v/>
      </c>
      <c r="AF406" s="9" t="str">
        <f>IFERROR(SUM(Table1[[#This Row],[Oil  (g)]:[Dirty  (g)]])/Table1[[#This Row],[Sample Qty  (g)]],"")</f>
        <v/>
      </c>
      <c r="AG406" s="9" t="str">
        <f>IFERROR(Table1[[#This Row],[Rejection  (g)]]/Table1[[#This Row],[Sample Qty  (g)]],"")</f>
        <v/>
      </c>
      <c r="AH406" s="9" t="str">
        <f>IFERROR(Table1[[#This Row],[Husk  (g)]]/Table1[[#This Row],[Sample Qty  (g)]],"")</f>
        <v/>
      </c>
    </row>
    <row r="407" spans="2:34" ht="12" x14ac:dyDescent="0.25">
      <c r="B407" s="8"/>
      <c r="C407" s="7">
        <f>WEEKNUM(Table1[[#This Row],[Date]])</f>
        <v>0</v>
      </c>
      <c r="D407" s="7"/>
      <c r="Y407" s="7">
        <f>SUM(Table1[[#This Row],[Good Kernels  (g)]:[Husk  (g)]])</f>
        <v>0</v>
      </c>
      <c r="Z407" s="9" t="str">
        <f>IFERROR(Table1[[#This Row],[Good Kernels  (g)]]/Table1[[#This Row],[Sample Qty  (g)]],"")</f>
        <v/>
      </c>
      <c r="AA407" s="9" t="str">
        <f>IFERROR(SUM(Table1[[#This Row],[Pieces  (g)]:[Butts (g)]])/Table1[[#This Row],[Sample Qty  (g)]],"")</f>
        <v/>
      </c>
      <c r="AB407" s="9" t="str">
        <f>IFERROR(Table1[[#This Row],[Scorched (g)]]/Table1[[#This Row],[Sample Qty  (g)]],"")</f>
        <v/>
      </c>
      <c r="AC407" s="9" t="str">
        <f>IFERROR(SUM(Table1[[#This Row],[Spotted  (g)]:[PUK3  (g)]])/Table1[[#This Row],[Sample Qty  (g)]],"")</f>
        <v/>
      </c>
      <c r="AD407" s="9" t="str">
        <f>IFERROR(SUM(R407,Q407)/Table1[[#This Row],[Sample Qty  (g)]],"")</f>
        <v/>
      </c>
      <c r="AE407" s="9" t="str">
        <f>IFERROR(Table1[[#This Row],[Dessert/NW  (g)]]/Table1[[#This Row],[Sample Qty  (g)]],"")</f>
        <v/>
      </c>
      <c r="AF407" s="9" t="str">
        <f>IFERROR(SUM(Table1[[#This Row],[Oil  (g)]:[Dirty  (g)]])/Table1[[#This Row],[Sample Qty  (g)]],"")</f>
        <v/>
      </c>
      <c r="AG407" s="9" t="str">
        <f>IFERROR(Table1[[#This Row],[Rejection  (g)]]/Table1[[#This Row],[Sample Qty  (g)]],"")</f>
        <v/>
      </c>
      <c r="AH407" s="9" t="str">
        <f>IFERROR(Table1[[#This Row],[Husk  (g)]]/Table1[[#This Row],[Sample Qty  (g)]],"")</f>
        <v/>
      </c>
    </row>
    <row r="408" spans="2:34" ht="12" x14ac:dyDescent="0.25">
      <c r="B408" s="8"/>
      <c r="C408" s="7">
        <f>WEEKNUM(Table1[[#This Row],[Date]])</f>
        <v>0</v>
      </c>
      <c r="D408" s="7"/>
      <c r="Y408" s="7">
        <f>SUM(Table1[[#This Row],[Good Kernels  (g)]:[Husk  (g)]])</f>
        <v>0</v>
      </c>
      <c r="Z408" s="9" t="str">
        <f>IFERROR(Table1[[#This Row],[Good Kernels  (g)]]/Table1[[#This Row],[Sample Qty  (g)]],"")</f>
        <v/>
      </c>
      <c r="AA408" s="9" t="str">
        <f>IFERROR(SUM(Table1[[#This Row],[Pieces  (g)]:[Butts (g)]])/Table1[[#This Row],[Sample Qty  (g)]],"")</f>
        <v/>
      </c>
      <c r="AB408" s="9" t="str">
        <f>IFERROR(Table1[[#This Row],[Scorched (g)]]/Table1[[#This Row],[Sample Qty  (g)]],"")</f>
        <v/>
      </c>
      <c r="AC408" s="9" t="str">
        <f>IFERROR(SUM(Table1[[#This Row],[Spotted  (g)]:[PUK3  (g)]])/Table1[[#This Row],[Sample Qty  (g)]],"")</f>
        <v/>
      </c>
      <c r="AD408" s="9" t="str">
        <f>IFERROR(SUM(R408,Q408)/Table1[[#This Row],[Sample Qty  (g)]],"")</f>
        <v/>
      </c>
      <c r="AE408" s="9" t="str">
        <f>IFERROR(Table1[[#This Row],[Dessert/NW  (g)]]/Table1[[#This Row],[Sample Qty  (g)]],"")</f>
        <v/>
      </c>
      <c r="AF408" s="9" t="str">
        <f>IFERROR(SUM(Table1[[#This Row],[Oil  (g)]:[Dirty  (g)]])/Table1[[#This Row],[Sample Qty  (g)]],"")</f>
        <v/>
      </c>
      <c r="AG408" s="9" t="str">
        <f>IFERROR(Table1[[#This Row],[Rejection  (g)]]/Table1[[#This Row],[Sample Qty  (g)]],"")</f>
        <v/>
      </c>
      <c r="AH408" s="9" t="str">
        <f>IFERROR(Table1[[#This Row],[Husk  (g)]]/Table1[[#This Row],[Sample Qty  (g)]],"")</f>
        <v/>
      </c>
    </row>
    <row r="409" spans="2:34" ht="12" x14ac:dyDescent="0.25">
      <c r="B409" s="8"/>
      <c r="C409" s="7">
        <f>WEEKNUM(Table1[[#This Row],[Date]])</f>
        <v>0</v>
      </c>
      <c r="D409" s="7"/>
      <c r="Y409" s="7">
        <f>SUM(Table1[[#This Row],[Good Kernels  (g)]:[Husk  (g)]])</f>
        <v>0</v>
      </c>
      <c r="Z409" s="9" t="str">
        <f>IFERROR(Table1[[#This Row],[Good Kernels  (g)]]/Table1[[#This Row],[Sample Qty  (g)]],"")</f>
        <v/>
      </c>
      <c r="AA409" s="9" t="str">
        <f>IFERROR(SUM(Table1[[#This Row],[Pieces  (g)]:[Butts (g)]])/Table1[[#This Row],[Sample Qty  (g)]],"")</f>
        <v/>
      </c>
      <c r="AB409" s="9" t="str">
        <f>IFERROR(Table1[[#This Row],[Scorched (g)]]/Table1[[#This Row],[Sample Qty  (g)]],"")</f>
        <v/>
      </c>
      <c r="AC409" s="9" t="str">
        <f>IFERROR(SUM(Table1[[#This Row],[Spotted  (g)]:[PUK3  (g)]])/Table1[[#This Row],[Sample Qty  (g)]],"")</f>
        <v/>
      </c>
      <c r="AD409" s="9" t="str">
        <f>IFERROR(SUM(R409,Q409)/Table1[[#This Row],[Sample Qty  (g)]],"")</f>
        <v/>
      </c>
      <c r="AE409" s="9" t="str">
        <f>IFERROR(Table1[[#This Row],[Dessert/NW  (g)]]/Table1[[#This Row],[Sample Qty  (g)]],"")</f>
        <v/>
      </c>
      <c r="AF409" s="9" t="str">
        <f>IFERROR(SUM(Table1[[#This Row],[Oil  (g)]:[Dirty  (g)]])/Table1[[#This Row],[Sample Qty  (g)]],"")</f>
        <v/>
      </c>
      <c r="AG409" s="9" t="str">
        <f>IFERROR(Table1[[#This Row],[Rejection  (g)]]/Table1[[#This Row],[Sample Qty  (g)]],"")</f>
        <v/>
      </c>
      <c r="AH409" s="9" t="str">
        <f>IFERROR(Table1[[#This Row],[Husk  (g)]]/Table1[[#This Row],[Sample Qty  (g)]],"")</f>
        <v/>
      </c>
    </row>
    <row r="410" spans="2:34" ht="12" x14ac:dyDescent="0.25">
      <c r="B410" s="8"/>
      <c r="C410" s="7">
        <f>WEEKNUM(Table1[[#This Row],[Date]])</f>
        <v>0</v>
      </c>
      <c r="D410" s="7"/>
      <c r="Y410" s="7">
        <f>SUM(Table1[[#This Row],[Good Kernels  (g)]:[Husk  (g)]])</f>
        <v>0</v>
      </c>
      <c r="Z410" s="9" t="str">
        <f>IFERROR(Table1[[#This Row],[Good Kernels  (g)]]/Table1[[#This Row],[Sample Qty  (g)]],"")</f>
        <v/>
      </c>
      <c r="AA410" s="9" t="str">
        <f>IFERROR(SUM(Table1[[#This Row],[Pieces  (g)]:[Butts (g)]])/Table1[[#This Row],[Sample Qty  (g)]],"")</f>
        <v/>
      </c>
      <c r="AB410" s="9" t="str">
        <f>IFERROR(Table1[[#This Row],[Scorched (g)]]/Table1[[#This Row],[Sample Qty  (g)]],"")</f>
        <v/>
      </c>
      <c r="AC410" s="9" t="str">
        <f>IFERROR(SUM(Table1[[#This Row],[Spotted  (g)]:[PUK3  (g)]])/Table1[[#This Row],[Sample Qty  (g)]],"")</f>
        <v/>
      </c>
      <c r="AD410" s="9" t="str">
        <f>IFERROR(SUM(R410,Q410)/Table1[[#This Row],[Sample Qty  (g)]],"")</f>
        <v/>
      </c>
      <c r="AE410" s="9" t="str">
        <f>IFERROR(Table1[[#This Row],[Dessert/NW  (g)]]/Table1[[#This Row],[Sample Qty  (g)]],"")</f>
        <v/>
      </c>
      <c r="AF410" s="9" t="str">
        <f>IFERROR(SUM(Table1[[#This Row],[Oil  (g)]:[Dirty  (g)]])/Table1[[#This Row],[Sample Qty  (g)]],"")</f>
        <v/>
      </c>
      <c r="AG410" s="9" t="str">
        <f>IFERROR(Table1[[#This Row],[Rejection  (g)]]/Table1[[#This Row],[Sample Qty  (g)]],"")</f>
        <v/>
      </c>
      <c r="AH410" s="9" t="str">
        <f>IFERROR(Table1[[#This Row],[Husk  (g)]]/Table1[[#This Row],[Sample Qty  (g)]],"")</f>
        <v/>
      </c>
    </row>
    <row r="411" spans="2:34" ht="12" x14ac:dyDescent="0.25">
      <c r="B411" s="8"/>
      <c r="C411" s="7">
        <f>WEEKNUM(Table1[[#This Row],[Date]])</f>
        <v>0</v>
      </c>
      <c r="D411" s="7"/>
      <c r="Y411" s="7">
        <f>SUM(Table1[[#This Row],[Good Kernels  (g)]:[Husk  (g)]])</f>
        <v>0</v>
      </c>
      <c r="Z411" s="9" t="str">
        <f>IFERROR(Table1[[#This Row],[Good Kernels  (g)]]/Table1[[#This Row],[Sample Qty  (g)]],"")</f>
        <v/>
      </c>
      <c r="AA411" s="9" t="str">
        <f>IFERROR(SUM(Table1[[#This Row],[Pieces  (g)]:[Butts (g)]])/Table1[[#This Row],[Sample Qty  (g)]],"")</f>
        <v/>
      </c>
      <c r="AB411" s="9" t="str">
        <f>IFERROR(Table1[[#This Row],[Scorched (g)]]/Table1[[#This Row],[Sample Qty  (g)]],"")</f>
        <v/>
      </c>
      <c r="AC411" s="9" t="str">
        <f>IFERROR(SUM(Table1[[#This Row],[Spotted  (g)]:[PUK3  (g)]])/Table1[[#This Row],[Sample Qty  (g)]],"")</f>
        <v/>
      </c>
      <c r="AD411" s="9" t="str">
        <f>IFERROR(SUM(R411,Q411)/Table1[[#This Row],[Sample Qty  (g)]],"")</f>
        <v/>
      </c>
      <c r="AE411" s="9" t="str">
        <f>IFERROR(Table1[[#This Row],[Dessert/NW  (g)]]/Table1[[#This Row],[Sample Qty  (g)]],"")</f>
        <v/>
      </c>
      <c r="AF411" s="9" t="str">
        <f>IFERROR(SUM(Table1[[#This Row],[Oil  (g)]:[Dirty  (g)]])/Table1[[#This Row],[Sample Qty  (g)]],"")</f>
        <v/>
      </c>
      <c r="AG411" s="9" t="str">
        <f>IFERROR(Table1[[#This Row],[Rejection  (g)]]/Table1[[#This Row],[Sample Qty  (g)]],"")</f>
        <v/>
      </c>
      <c r="AH411" s="9" t="str">
        <f>IFERROR(Table1[[#This Row],[Husk  (g)]]/Table1[[#This Row],[Sample Qty  (g)]],"")</f>
        <v/>
      </c>
    </row>
  </sheetData>
  <mergeCells count="1">
    <mergeCell ref="J1:U2"/>
  </mergeCells>
  <phoneticPr fontId="3" type="noConversion"/>
  <pageMargins left="0.25" right="0.25" top="0.75" bottom="0.75" header="0.3" footer="0.3"/>
  <pageSetup paperSize="9" scale="1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sailokesh rachamallu</cp:lastModifiedBy>
  <cp:lastPrinted>2026-07-04T16:12:19Z</cp:lastPrinted>
  <dcterms:created xsi:type="dcterms:W3CDTF">2015-06-05T18:17:20Z</dcterms:created>
  <dcterms:modified xsi:type="dcterms:W3CDTF">2026-08-20T22:45:39Z</dcterms:modified>
</cp:coreProperties>
</file>