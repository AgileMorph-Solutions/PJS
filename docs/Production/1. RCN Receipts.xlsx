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13_ncr:1_{3718D831-BFBC-4F2E-ACDD-4838D8A2EE4D}" xr6:coauthVersionLast="47" xr6:coauthVersionMax="47" xr10:uidLastSave="{00000000-0000-0000-0000-000000000000}"/>
  <bookViews>
    <workbookView xWindow="-108" yWindow="-108" windowWidth="23256" windowHeight="13896" xr2:uid="{11D64CD5-665B-4BFC-8A82-72CE054F0336}"/>
  </bookViews>
  <sheets>
    <sheet name="1. RCN Receip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6" i="2" l="1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A116" i="2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K110" i="2"/>
  <c r="K111" i="2"/>
  <c r="K112" i="2"/>
  <c r="K113" i="2"/>
  <c r="K114" i="2"/>
  <c r="K115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A110" i="2"/>
  <c r="A111" i="2"/>
  <c r="A112" i="2"/>
  <c r="A113" i="2" s="1"/>
  <c r="A114" i="2" s="1"/>
  <c r="A115" i="2" s="1"/>
  <c r="K102" i="2"/>
  <c r="K103" i="2"/>
  <c r="K104" i="2"/>
  <c r="K105" i="2"/>
  <c r="K106" i="2"/>
  <c r="K107" i="2"/>
  <c r="K108" i="2"/>
  <c r="K109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A67" i="2"/>
  <c r="A68" i="2"/>
  <c r="A69" i="2"/>
  <c r="A70" i="2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J66" i="2" l="1"/>
  <c r="J65" i="2"/>
  <c r="J63" i="2"/>
  <c r="J62" i="2"/>
  <c r="J61" i="2" l="1"/>
  <c r="J60" i="2"/>
  <c r="J59" i="2" l="1"/>
  <c r="J58" i="2"/>
  <c r="J57" i="2"/>
  <c r="J56" i="2"/>
  <c r="J55" i="2"/>
  <c r="J54" i="2"/>
  <c r="J53" i="2"/>
  <c r="J52" i="2"/>
  <c r="J42" i="2" l="1"/>
  <c r="J32" i="2"/>
  <c r="J30" i="2"/>
  <c r="J29" i="2"/>
  <c r="J28" i="2"/>
  <c r="J27" i="2"/>
  <c r="K28" i="2" l="1"/>
  <c r="K27" i="2"/>
  <c r="K29" i="2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K3" i="2"/>
  <c r="D3" i="2"/>
  <c r="C3" i="2"/>
  <c r="K1" i="2" l="1"/>
</calcChain>
</file>

<file path=xl/sharedStrings.xml><?xml version="1.0" encoding="utf-8"?>
<sst xmlns="http://schemas.openxmlformats.org/spreadsheetml/2006/main" count="223" uniqueCount="31">
  <si>
    <t>S.No</t>
  </si>
  <si>
    <t>Date</t>
  </si>
  <si>
    <t>Month</t>
  </si>
  <si>
    <t>Year</t>
  </si>
  <si>
    <t>Crop Year</t>
  </si>
  <si>
    <t>BIN No</t>
  </si>
  <si>
    <t>Received Gross Qty (kgs)</t>
  </si>
  <si>
    <t>Pallets+Bags Wt (kgs)</t>
  </si>
  <si>
    <t>Net Weight (kgs)</t>
  </si>
  <si>
    <t>RCN Stock Transfer Report (Warehouse to Calibration)</t>
  </si>
  <si>
    <t>ANA-01</t>
  </si>
  <si>
    <t>BIN-03B</t>
  </si>
  <si>
    <t>BIN-02</t>
  </si>
  <si>
    <t>ANA-02</t>
  </si>
  <si>
    <t>BIN-05</t>
  </si>
  <si>
    <t>BTM No</t>
  </si>
  <si>
    <t>ANA-05A</t>
  </si>
  <si>
    <t>BIN-02A</t>
  </si>
  <si>
    <t>ANA-02A</t>
  </si>
  <si>
    <t>Source Bin No</t>
  </si>
  <si>
    <t>BIN-02B</t>
  </si>
  <si>
    <t>BIN-08A</t>
  </si>
  <si>
    <t>ANA-03B</t>
  </si>
  <si>
    <t>BIN-16</t>
  </si>
  <si>
    <t>BIN-10</t>
  </si>
  <si>
    <t>BIN-15</t>
  </si>
  <si>
    <t>BIN-04</t>
  </si>
  <si>
    <t>BIN-08B</t>
  </si>
  <si>
    <t>BIN-11</t>
  </si>
  <si>
    <t>ANA-07</t>
  </si>
  <si>
    <t>BIN-03C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</si>
</sst>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0" xfId="0" applyFont="1" applyAlignment="1">
      <alignment vertical="center"/>
    </xf>
    <xf numFmtId="0" fontId="0" fillId="0" borderId="1" xfId="0" quotePrefix="1" applyBorder="1"/>
    <xf numFmtId="43" fontId="0" fillId="4" borderId="1" xfId="1" applyFont="1" applyFill="1" applyBorder="1"/>
    <xf numFmtId="16" fontId="0" fillId="0" borderId="2" xfId="0" applyNumberFormat="1" applyBorder="1"/>
    <xf numFmtId="0" fontId="0" fillId="0" borderId="2" xfId="0" applyBorder="1" applyAlignment="1">
      <alignment horizontal="right"/>
    </xf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horizontal="right"/>
    </xf>
    <xf numFmtId="43" fontId="0" fillId="0" borderId="1" xfId="1" applyFont="1" applyBorder="1"/>
    <xf numFmtId="0" fontId="0" fillId="0" borderId="2" xfId="0" applyBorder="1"/>
    <xf numFmtId="43" fontId="0" fillId="4" borderId="2" xfId="1" applyFont="1" applyFill="1" applyBorder="1"/>
    <xf numFmtId="43" fontId="0" fillId="0" borderId="1" xfId="1" applyFont="1" applyBorder="1" applyAlignment="1">
      <alignment horizontal="right"/>
    </xf>
    <xf numFmtId="43" fontId="0" fillId="2" borderId="0" xfId="1" applyFont="1" applyFill="1" applyAlignment="1">
      <alignment vertical="center"/>
    </xf>
    <xf numFmtId="43" fontId="0" fillId="0" borderId="2" xfId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176B-977F-45A9-8399-BB9C844CE80D}">
  <dimension ref="A1:K161"/>
  <sheetViews>
    <sheetView tabSelected="1" zoomScale="130" zoomScaleNormal="130" workbookViewId="0">
      <pane xSplit="11" ySplit="3" topLeftCell="L97" activePane="bottomRight" state="frozen"/>
      <selection pane="topRight" activeCell="K1" sqref="K1"/>
      <selection pane="bottomLeft" activeCell="A4" sqref="A4"/>
      <selection pane="bottomRight" activeCell="H105" sqref="H105"/>
    </sheetView>
  </sheetViews>
  <sheetFormatPr defaultRowHeight="14.4" x14ac:dyDescent="0.3"/>
  <cols>
    <col min="1" max="1" width="4.88671875" bestFit="1" customWidth="1"/>
    <col min="3" max="5" width="8.88671875" customWidth="1"/>
    <col min="6" max="6" width="11.6640625" customWidth="1"/>
    <col min="7" max="7" width="11.6640625" customWidth="1" collapsed="1"/>
    <col min="8" max="8" width="11.6640625" customWidth="1"/>
    <col min="9" max="11" width="15.44140625" customWidth="1"/>
  </cols>
  <sheetData>
    <row r="1" spans="1:11" ht="36.6" customHeight="1" x14ac:dyDescent="0.3">
      <c r="A1" s="6" t="s">
        <v>9</v>
      </c>
      <c r="K1" s="18">
        <f>SUBTOTAL(109,K3:K101)</f>
        <v>9279602.4999999963</v>
      </c>
    </row>
    <row r="2" spans="1:11" s="2" customFormat="1" ht="3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15</v>
      </c>
      <c r="G2" s="1" t="s">
        <v>19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x14ac:dyDescent="0.3">
      <c r="A3" s="3">
        <v>1</v>
      </c>
      <c r="B3" s="4">
        <v>46135</v>
      </c>
      <c r="C3" s="3" t="str">
        <f>TEXT(B3,"mmm-yy")</f>
        <v>Apr-26</v>
      </c>
      <c r="D3" s="3" t="str">
        <f>TEXT(B3,"YYYY")</f>
        <v>2026</v>
      </c>
      <c r="E3" s="3">
        <v>2026</v>
      </c>
      <c r="F3" s="3">
        <v>1001</v>
      </c>
      <c r="G3" s="5">
        <v>96</v>
      </c>
      <c r="H3" s="5" t="s">
        <v>10</v>
      </c>
      <c r="I3" s="14">
        <v>51148.65</v>
      </c>
      <c r="J3" s="14">
        <v>2449.5</v>
      </c>
      <c r="K3" s="8">
        <f>I3-J3</f>
        <v>48699.15</v>
      </c>
    </row>
    <row r="4" spans="1:11" x14ac:dyDescent="0.3">
      <c r="A4" s="3">
        <f>A3+1</f>
        <v>2</v>
      </c>
      <c r="B4" s="4">
        <v>46135</v>
      </c>
      <c r="C4" s="3" t="str">
        <f>TEXT(B4,"mmm-yy")</f>
        <v>Apr-26</v>
      </c>
      <c r="D4" s="3" t="str">
        <f>TEXT(B4,"YYYY")</f>
        <v>2026</v>
      </c>
      <c r="E4" s="3">
        <v>2026</v>
      </c>
      <c r="F4" s="3">
        <v>1001</v>
      </c>
      <c r="G4" s="5">
        <v>95</v>
      </c>
      <c r="H4" s="5" t="s">
        <v>10</v>
      </c>
      <c r="I4" s="14">
        <v>51148.65</v>
      </c>
      <c r="J4" s="14">
        <v>2449.5</v>
      </c>
      <c r="K4" s="8">
        <f t="shared" ref="K4:K67" si="0">I4-J4</f>
        <v>48699.15</v>
      </c>
    </row>
    <row r="5" spans="1:11" x14ac:dyDescent="0.3">
      <c r="A5" s="3">
        <f>A4+1</f>
        <v>3</v>
      </c>
      <c r="B5" s="4">
        <v>46137</v>
      </c>
      <c r="C5" s="3" t="str">
        <f t="shared" ref="C5:C68" si="1">TEXT(B5,"mmm-yy")</f>
        <v>Apr-26</v>
      </c>
      <c r="D5" s="3" t="str">
        <f t="shared" ref="D5:D66" si="2">TEXT(B5,"YYYY")</f>
        <v>2026</v>
      </c>
      <c r="E5" s="3">
        <v>2026</v>
      </c>
      <c r="F5" s="3">
        <v>1004</v>
      </c>
      <c r="G5" s="5">
        <v>122</v>
      </c>
      <c r="H5" s="5" t="s">
        <v>10</v>
      </c>
      <c r="I5" s="14">
        <v>46375.9</v>
      </c>
      <c r="J5" s="14">
        <v>2309</v>
      </c>
      <c r="K5" s="8">
        <f t="shared" si="0"/>
        <v>44066.9</v>
      </c>
    </row>
    <row r="6" spans="1:11" x14ac:dyDescent="0.3">
      <c r="A6" s="3">
        <f t="shared" ref="A6:A69" si="3">A5+1</f>
        <v>4</v>
      </c>
      <c r="B6" s="4">
        <v>46137</v>
      </c>
      <c r="C6" s="3" t="str">
        <f t="shared" si="1"/>
        <v>Apr-26</v>
      </c>
      <c r="D6" s="3" t="str">
        <f t="shared" si="2"/>
        <v>2026</v>
      </c>
      <c r="E6" s="3">
        <v>2026</v>
      </c>
      <c r="F6" s="3">
        <v>1004</v>
      </c>
      <c r="G6" s="5">
        <v>113</v>
      </c>
      <c r="H6" s="5" t="s">
        <v>10</v>
      </c>
      <c r="I6" s="14">
        <v>34772.6</v>
      </c>
      <c r="J6" s="14">
        <v>1858.7</v>
      </c>
      <c r="K6" s="8">
        <f t="shared" si="0"/>
        <v>32913.9</v>
      </c>
    </row>
    <row r="7" spans="1:11" x14ac:dyDescent="0.3">
      <c r="A7" s="3">
        <f t="shared" si="3"/>
        <v>5</v>
      </c>
      <c r="B7" s="4">
        <v>46140</v>
      </c>
      <c r="C7" s="3" t="str">
        <f t="shared" si="1"/>
        <v>Apr-26</v>
      </c>
      <c r="D7" s="3" t="str">
        <f t="shared" si="2"/>
        <v>2026</v>
      </c>
      <c r="E7" s="3">
        <v>2026</v>
      </c>
      <c r="F7" s="3">
        <v>1002</v>
      </c>
      <c r="G7" s="5">
        <v>172</v>
      </c>
      <c r="H7" s="5" t="s">
        <v>10</v>
      </c>
      <c r="I7" s="14">
        <v>40513.1</v>
      </c>
      <c r="J7" s="14">
        <v>2051.5</v>
      </c>
      <c r="K7" s="8">
        <f t="shared" si="0"/>
        <v>38461.599999999999</v>
      </c>
    </row>
    <row r="8" spans="1:11" x14ac:dyDescent="0.3">
      <c r="A8" s="3">
        <f t="shared" si="3"/>
        <v>6</v>
      </c>
      <c r="B8" s="4">
        <v>46140</v>
      </c>
      <c r="C8" s="3" t="str">
        <f t="shared" si="1"/>
        <v>Apr-26</v>
      </c>
      <c r="D8" s="3" t="str">
        <f t="shared" si="2"/>
        <v>2026</v>
      </c>
      <c r="E8" s="3">
        <v>2026</v>
      </c>
      <c r="F8" s="3">
        <v>1005</v>
      </c>
      <c r="G8" s="5">
        <v>107</v>
      </c>
      <c r="H8" s="5" t="s">
        <v>10</v>
      </c>
      <c r="I8" s="14">
        <v>47123.199999999997</v>
      </c>
      <c r="J8" s="14">
        <v>2403.1999999999998</v>
      </c>
      <c r="K8" s="8">
        <f t="shared" si="0"/>
        <v>44720</v>
      </c>
    </row>
    <row r="9" spans="1:11" x14ac:dyDescent="0.3">
      <c r="A9" s="3">
        <f t="shared" si="3"/>
        <v>7</v>
      </c>
      <c r="B9" s="4">
        <v>46142</v>
      </c>
      <c r="C9" s="3" t="str">
        <f t="shared" si="1"/>
        <v>Apr-26</v>
      </c>
      <c r="D9" s="3" t="str">
        <f t="shared" si="2"/>
        <v>2026</v>
      </c>
      <c r="E9" s="3">
        <v>2026</v>
      </c>
      <c r="F9" s="3">
        <v>1010</v>
      </c>
      <c r="G9" s="5">
        <v>139</v>
      </c>
      <c r="H9" s="5" t="s">
        <v>10</v>
      </c>
      <c r="I9" s="14">
        <v>42450.8</v>
      </c>
      <c r="J9" s="14">
        <v>1695</v>
      </c>
      <c r="K9" s="8">
        <f t="shared" si="0"/>
        <v>40755.800000000003</v>
      </c>
    </row>
    <row r="10" spans="1:11" x14ac:dyDescent="0.3">
      <c r="A10" s="3">
        <f t="shared" si="3"/>
        <v>8</v>
      </c>
      <c r="B10" s="4">
        <v>46142</v>
      </c>
      <c r="C10" s="3" t="str">
        <f t="shared" si="1"/>
        <v>Apr-26</v>
      </c>
      <c r="D10" s="3" t="str">
        <f t="shared" si="2"/>
        <v>2026</v>
      </c>
      <c r="E10" s="3">
        <v>2026</v>
      </c>
      <c r="F10" s="3">
        <v>1013</v>
      </c>
      <c r="G10" s="5">
        <v>125</v>
      </c>
      <c r="H10" s="5" t="s">
        <v>10</v>
      </c>
      <c r="I10" s="14">
        <v>46468.3</v>
      </c>
      <c r="J10" s="14">
        <v>2443.7999999999997</v>
      </c>
      <c r="K10" s="8">
        <f t="shared" si="0"/>
        <v>44024.5</v>
      </c>
    </row>
    <row r="11" spans="1:11" x14ac:dyDescent="0.3">
      <c r="A11" s="3">
        <f t="shared" si="3"/>
        <v>9</v>
      </c>
      <c r="B11" s="4">
        <v>46147</v>
      </c>
      <c r="C11" s="3" t="str">
        <f t="shared" si="1"/>
        <v>May-26</v>
      </c>
      <c r="D11" s="3" t="str">
        <f t="shared" si="2"/>
        <v>2026</v>
      </c>
      <c r="E11" s="3">
        <v>2026</v>
      </c>
      <c r="F11" s="3">
        <v>1006</v>
      </c>
      <c r="G11" s="5">
        <v>179</v>
      </c>
      <c r="H11" s="5" t="s">
        <v>10</v>
      </c>
      <c r="I11" s="14">
        <v>42570.3</v>
      </c>
      <c r="J11" s="14">
        <v>1960.2</v>
      </c>
      <c r="K11" s="8">
        <f t="shared" si="0"/>
        <v>40610.100000000006</v>
      </c>
    </row>
    <row r="12" spans="1:11" x14ac:dyDescent="0.3">
      <c r="A12" s="3">
        <f t="shared" si="3"/>
        <v>10</v>
      </c>
      <c r="B12" s="4">
        <v>46147</v>
      </c>
      <c r="C12" s="3" t="str">
        <f t="shared" si="1"/>
        <v>May-26</v>
      </c>
      <c r="D12" s="3" t="str">
        <f t="shared" si="2"/>
        <v>2026</v>
      </c>
      <c r="E12" s="3">
        <v>2026</v>
      </c>
      <c r="F12" s="3">
        <v>1007</v>
      </c>
      <c r="G12" s="5">
        <v>184</v>
      </c>
      <c r="H12" s="5" t="s">
        <v>10</v>
      </c>
      <c r="I12" s="14">
        <v>49994.7</v>
      </c>
      <c r="J12" s="14">
        <v>2530.4</v>
      </c>
      <c r="K12" s="8">
        <f t="shared" si="0"/>
        <v>47464.299999999996</v>
      </c>
    </row>
    <row r="13" spans="1:11" x14ac:dyDescent="0.3">
      <c r="A13" s="3">
        <f t="shared" si="3"/>
        <v>11</v>
      </c>
      <c r="B13" s="4">
        <v>46148</v>
      </c>
      <c r="C13" s="3" t="str">
        <f t="shared" si="1"/>
        <v>May-26</v>
      </c>
      <c r="D13" s="3" t="str">
        <f t="shared" si="2"/>
        <v>2026</v>
      </c>
      <c r="E13" s="3">
        <v>2026</v>
      </c>
      <c r="F13" s="3">
        <v>1008</v>
      </c>
      <c r="G13" s="5">
        <v>197</v>
      </c>
      <c r="H13" s="5" t="s">
        <v>10</v>
      </c>
      <c r="I13" s="14">
        <v>40137.1</v>
      </c>
      <c r="J13" s="14">
        <v>1925.1</v>
      </c>
      <c r="K13" s="8">
        <f t="shared" si="0"/>
        <v>38212</v>
      </c>
    </row>
    <row r="14" spans="1:11" x14ac:dyDescent="0.3">
      <c r="A14" s="3">
        <f t="shared" si="3"/>
        <v>12</v>
      </c>
      <c r="B14" s="4">
        <v>46148</v>
      </c>
      <c r="C14" s="3" t="str">
        <f t="shared" si="1"/>
        <v>May-26</v>
      </c>
      <c r="D14" s="3" t="str">
        <f t="shared" si="2"/>
        <v>2026</v>
      </c>
      <c r="E14" s="3">
        <v>2026</v>
      </c>
      <c r="F14" s="3">
        <v>1009</v>
      </c>
      <c r="G14" s="5">
        <v>193</v>
      </c>
      <c r="H14" s="5" t="s">
        <v>10</v>
      </c>
      <c r="I14" s="14">
        <v>43594.3</v>
      </c>
      <c r="J14" s="14">
        <v>2053</v>
      </c>
      <c r="K14" s="8">
        <f t="shared" si="0"/>
        <v>41541.300000000003</v>
      </c>
    </row>
    <row r="15" spans="1:11" x14ac:dyDescent="0.3">
      <c r="A15" s="3">
        <f t="shared" si="3"/>
        <v>13</v>
      </c>
      <c r="B15" s="4">
        <v>46153</v>
      </c>
      <c r="C15" s="3" t="str">
        <f t="shared" si="1"/>
        <v>May-26</v>
      </c>
      <c r="D15" s="3" t="str">
        <f t="shared" si="2"/>
        <v>2026</v>
      </c>
      <c r="E15" s="3">
        <v>2026</v>
      </c>
      <c r="F15" s="3">
        <v>1012</v>
      </c>
      <c r="G15" s="5">
        <v>178</v>
      </c>
      <c r="H15" s="5" t="s">
        <v>10</v>
      </c>
      <c r="I15" s="14">
        <v>51571.4</v>
      </c>
      <c r="J15" s="14">
        <v>2216.9</v>
      </c>
      <c r="K15" s="8">
        <f t="shared" si="0"/>
        <v>49354.5</v>
      </c>
    </row>
    <row r="16" spans="1:11" x14ac:dyDescent="0.3">
      <c r="A16" s="3">
        <f t="shared" si="3"/>
        <v>14</v>
      </c>
      <c r="B16" s="4">
        <v>46157</v>
      </c>
      <c r="C16" s="3" t="str">
        <f t="shared" si="1"/>
        <v>May-26</v>
      </c>
      <c r="D16" s="3" t="str">
        <f t="shared" si="2"/>
        <v>2026</v>
      </c>
      <c r="E16" s="3">
        <v>2026</v>
      </c>
      <c r="F16" s="3">
        <v>1011</v>
      </c>
      <c r="G16" s="5">
        <v>207</v>
      </c>
      <c r="H16" s="5" t="s">
        <v>10</v>
      </c>
      <c r="I16" s="14">
        <v>45652.4</v>
      </c>
      <c r="J16" s="14">
        <v>2198</v>
      </c>
      <c r="K16" s="8">
        <f t="shared" si="0"/>
        <v>43454.400000000001</v>
      </c>
    </row>
    <row r="17" spans="1:11" x14ac:dyDescent="0.3">
      <c r="A17" s="3">
        <f t="shared" si="3"/>
        <v>15</v>
      </c>
      <c r="B17" s="4">
        <v>46158</v>
      </c>
      <c r="C17" s="3" t="str">
        <f t="shared" si="1"/>
        <v>May-26</v>
      </c>
      <c r="D17" s="3" t="str">
        <f t="shared" si="2"/>
        <v>2026</v>
      </c>
      <c r="E17" s="3">
        <v>2026</v>
      </c>
      <c r="F17" s="5">
        <v>1014</v>
      </c>
      <c r="G17" s="5" t="s">
        <v>11</v>
      </c>
      <c r="H17" s="5" t="s">
        <v>10</v>
      </c>
      <c r="I17" s="14">
        <v>45211.199999999997</v>
      </c>
      <c r="J17" s="14">
        <v>2101</v>
      </c>
      <c r="K17" s="8">
        <f t="shared" si="0"/>
        <v>43110.2</v>
      </c>
    </row>
    <row r="18" spans="1:11" x14ac:dyDescent="0.3">
      <c r="A18" s="3">
        <f t="shared" si="3"/>
        <v>16</v>
      </c>
      <c r="B18" s="4">
        <v>46160</v>
      </c>
      <c r="C18" s="3" t="str">
        <f t="shared" si="1"/>
        <v>May-26</v>
      </c>
      <c r="D18" s="3" t="str">
        <f t="shared" si="2"/>
        <v>2026</v>
      </c>
      <c r="E18" s="3">
        <v>2026</v>
      </c>
      <c r="F18" s="3">
        <v>1016</v>
      </c>
      <c r="G18" s="5" t="s">
        <v>11</v>
      </c>
      <c r="H18" s="5" t="s">
        <v>10</v>
      </c>
      <c r="I18" s="14">
        <v>50879</v>
      </c>
      <c r="J18" s="14">
        <v>2386</v>
      </c>
      <c r="K18" s="8">
        <f t="shared" si="0"/>
        <v>48493</v>
      </c>
    </row>
    <row r="19" spans="1:11" x14ac:dyDescent="0.3">
      <c r="A19" s="3">
        <f t="shared" si="3"/>
        <v>17</v>
      </c>
      <c r="B19" s="4">
        <v>46161</v>
      </c>
      <c r="C19" s="3" t="str">
        <f t="shared" si="1"/>
        <v>May-26</v>
      </c>
      <c r="D19" s="3" t="str">
        <f t="shared" si="2"/>
        <v>2026</v>
      </c>
      <c r="E19" s="3">
        <v>2026</v>
      </c>
      <c r="F19" s="3">
        <v>1015</v>
      </c>
      <c r="G19" s="5" t="s">
        <v>11</v>
      </c>
      <c r="H19" s="5" t="s">
        <v>10</v>
      </c>
      <c r="I19" s="14">
        <v>47936</v>
      </c>
      <c r="J19" s="14">
        <v>2193</v>
      </c>
      <c r="K19" s="8">
        <f t="shared" si="0"/>
        <v>45743</v>
      </c>
    </row>
    <row r="20" spans="1:11" x14ac:dyDescent="0.3">
      <c r="A20" s="3">
        <f t="shared" si="3"/>
        <v>18</v>
      </c>
      <c r="B20" s="4">
        <v>46162</v>
      </c>
      <c r="C20" s="3" t="str">
        <f t="shared" si="1"/>
        <v>May-26</v>
      </c>
      <c r="D20" s="3" t="str">
        <f t="shared" si="2"/>
        <v>2026</v>
      </c>
      <c r="E20" s="3">
        <v>2026</v>
      </c>
      <c r="F20" s="3">
        <v>1018</v>
      </c>
      <c r="G20" s="5">
        <v>243</v>
      </c>
      <c r="H20" s="5" t="s">
        <v>10</v>
      </c>
      <c r="I20" s="14">
        <v>44309</v>
      </c>
      <c r="J20" s="14">
        <v>2096</v>
      </c>
      <c r="K20" s="8">
        <f t="shared" si="0"/>
        <v>42213</v>
      </c>
    </row>
    <row r="21" spans="1:11" x14ac:dyDescent="0.3">
      <c r="A21" s="3">
        <f t="shared" si="3"/>
        <v>19</v>
      </c>
      <c r="B21" s="4">
        <v>46164</v>
      </c>
      <c r="C21" s="3" t="str">
        <f t="shared" si="1"/>
        <v>May-26</v>
      </c>
      <c r="D21" s="3" t="str">
        <f t="shared" si="2"/>
        <v>2026</v>
      </c>
      <c r="E21" s="3">
        <v>2026</v>
      </c>
      <c r="F21" s="3">
        <v>1019</v>
      </c>
      <c r="G21" s="5" t="s">
        <v>11</v>
      </c>
      <c r="H21" s="5" t="s">
        <v>10</v>
      </c>
      <c r="I21" s="14">
        <v>103479.6</v>
      </c>
      <c r="J21" s="14">
        <v>4845.2</v>
      </c>
      <c r="K21" s="8">
        <f t="shared" si="0"/>
        <v>98634.400000000009</v>
      </c>
    </row>
    <row r="22" spans="1:11" x14ac:dyDescent="0.3">
      <c r="A22" s="3">
        <f t="shared" si="3"/>
        <v>20</v>
      </c>
      <c r="B22" s="4">
        <v>46168</v>
      </c>
      <c r="C22" s="3" t="str">
        <f t="shared" si="1"/>
        <v>May-26</v>
      </c>
      <c r="D22" s="3" t="str">
        <f t="shared" si="2"/>
        <v>2026</v>
      </c>
      <c r="E22" s="3">
        <v>2026</v>
      </c>
      <c r="F22" s="3">
        <v>1020</v>
      </c>
      <c r="G22" s="5" t="s">
        <v>11</v>
      </c>
      <c r="H22" s="5" t="s">
        <v>10</v>
      </c>
      <c r="I22" s="14">
        <v>41509</v>
      </c>
      <c r="J22" s="14">
        <v>1938</v>
      </c>
      <c r="K22" s="8">
        <f t="shared" si="0"/>
        <v>39571</v>
      </c>
    </row>
    <row r="23" spans="1:11" x14ac:dyDescent="0.3">
      <c r="A23" s="3">
        <f t="shared" si="3"/>
        <v>21</v>
      </c>
      <c r="B23" s="4">
        <v>46170</v>
      </c>
      <c r="C23" s="3" t="str">
        <f t="shared" si="1"/>
        <v>May-26</v>
      </c>
      <c r="D23" s="3" t="str">
        <f t="shared" si="2"/>
        <v>2026</v>
      </c>
      <c r="E23" s="3">
        <v>2026</v>
      </c>
      <c r="F23" s="3">
        <v>1022</v>
      </c>
      <c r="G23" s="5" t="s">
        <v>11</v>
      </c>
      <c r="H23" s="5" t="s">
        <v>10</v>
      </c>
      <c r="I23" s="14">
        <v>32297</v>
      </c>
      <c r="J23" s="14">
        <v>1663</v>
      </c>
      <c r="K23" s="8">
        <f t="shared" si="0"/>
        <v>30634</v>
      </c>
    </row>
    <row r="24" spans="1:11" x14ac:dyDescent="0.3">
      <c r="A24" s="3">
        <f t="shared" si="3"/>
        <v>22</v>
      </c>
      <c r="B24" s="4">
        <v>46169</v>
      </c>
      <c r="C24" s="3" t="str">
        <f t="shared" si="1"/>
        <v>May-26</v>
      </c>
      <c r="D24" s="3" t="str">
        <f t="shared" si="2"/>
        <v>2026</v>
      </c>
      <c r="E24" s="3">
        <v>2026</v>
      </c>
      <c r="F24" s="3">
        <v>1021</v>
      </c>
      <c r="G24" s="5" t="s">
        <v>11</v>
      </c>
      <c r="H24" s="5" t="s">
        <v>10</v>
      </c>
      <c r="I24" s="14">
        <v>77183</v>
      </c>
      <c r="J24" s="14">
        <v>3551</v>
      </c>
      <c r="K24" s="8">
        <f t="shared" si="0"/>
        <v>73632</v>
      </c>
    </row>
    <row r="25" spans="1:11" x14ac:dyDescent="0.3">
      <c r="A25" s="3">
        <f t="shared" si="3"/>
        <v>23</v>
      </c>
      <c r="B25" s="4">
        <v>46171</v>
      </c>
      <c r="C25" s="3" t="str">
        <f t="shared" si="1"/>
        <v>May-26</v>
      </c>
      <c r="D25" s="3" t="str">
        <f t="shared" si="2"/>
        <v>2026</v>
      </c>
      <c r="E25" s="3">
        <v>2026</v>
      </c>
      <c r="F25" s="3">
        <v>1023</v>
      </c>
      <c r="G25" s="5" t="s">
        <v>11</v>
      </c>
      <c r="H25" s="5" t="s">
        <v>10</v>
      </c>
      <c r="I25" s="14">
        <v>49948</v>
      </c>
      <c r="J25" s="14">
        <v>2385</v>
      </c>
      <c r="K25" s="8">
        <f t="shared" si="0"/>
        <v>47563</v>
      </c>
    </row>
    <row r="26" spans="1:11" x14ac:dyDescent="0.3">
      <c r="A26" s="3">
        <f t="shared" si="3"/>
        <v>24</v>
      </c>
      <c r="B26" s="4">
        <v>46175</v>
      </c>
      <c r="C26" s="3" t="str">
        <f t="shared" si="1"/>
        <v>Jun-26</v>
      </c>
      <c r="D26" s="3" t="str">
        <f t="shared" si="2"/>
        <v>2026</v>
      </c>
      <c r="E26" s="3">
        <v>2026</v>
      </c>
      <c r="F26" s="3">
        <v>1026</v>
      </c>
      <c r="G26" s="5" t="s">
        <v>11</v>
      </c>
      <c r="H26" s="5" t="s">
        <v>10</v>
      </c>
      <c r="I26" s="14">
        <v>69008.399999999994</v>
      </c>
      <c r="J26" s="14">
        <v>3244</v>
      </c>
      <c r="K26" s="8">
        <f t="shared" si="0"/>
        <v>65764.399999999994</v>
      </c>
    </row>
    <row r="27" spans="1:11" x14ac:dyDescent="0.3">
      <c r="A27" s="3">
        <f t="shared" si="3"/>
        <v>25</v>
      </c>
      <c r="B27" s="4">
        <v>46178</v>
      </c>
      <c r="C27" s="3" t="str">
        <f t="shared" si="1"/>
        <v>Jun-26</v>
      </c>
      <c r="D27" s="3" t="str">
        <f t="shared" si="2"/>
        <v>2026</v>
      </c>
      <c r="E27" s="3">
        <v>2026</v>
      </c>
      <c r="F27" s="3">
        <v>1027</v>
      </c>
      <c r="G27" s="5" t="s">
        <v>12</v>
      </c>
      <c r="H27" s="5" t="s">
        <v>13</v>
      </c>
      <c r="I27" s="14">
        <v>61335.4</v>
      </c>
      <c r="J27" s="14">
        <f>1898.5+523</f>
        <v>2421.5</v>
      </c>
      <c r="K27" s="8">
        <f t="shared" si="0"/>
        <v>58913.9</v>
      </c>
    </row>
    <row r="28" spans="1:11" x14ac:dyDescent="0.3">
      <c r="A28" s="3">
        <f t="shared" si="3"/>
        <v>26</v>
      </c>
      <c r="B28" s="4">
        <v>46179</v>
      </c>
      <c r="C28" s="3" t="str">
        <f t="shared" si="1"/>
        <v>Jun-26</v>
      </c>
      <c r="D28" s="3" t="str">
        <f t="shared" si="2"/>
        <v>2026</v>
      </c>
      <c r="E28" s="3">
        <v>2026</v>
      </c>
      <c r="F28" s="3">
        <v>1028</v>
      </c>
      <c r="G28" s="5" t="s">
        <v>12</v>
      </c>
      <c r="H28" s="5" t="s">
        <v>13</v>
      </c>
      <c r="I28" s="14">
        <v>91632.8</v>
      </c>
      <c r="J28" s="14">
        <f>2771.9+779.35</f>
        <v>3551.25</v>
      </c>
      <c r="K28" s="8">
        <f t="shared" si="0"/>
        <v>88081.55</v>
      </c>
    </row>
    <row r="29" spans="1:11" x14ac:dyDescent="0.3">
      <c r="A29" s="3">
        <f t="shared" si="3"/>
        <v>27</v>
      </c>
      <c r="B29" s="4">
        <v>46179</v>
      </c>
      <c r="C29" s="3" t="str">
        <f t="shared" si="1"/>
        <v>Jun-26</v>
      </c>
      <c r="D29" s="3" t="str">
        <f t="shared" si="2"/>
        <v>2026</v>
      </c>
      <c r="E29" s="3">
        <v>2026</v>
      </c>
      <c r="F29" s="3">
        <v>1029</v>
      </c>
      <c r="G29" s="5" t="s">
        <v>12</v>
      </c>
      <c r="H29" s="5" t="s">
        <v>13</v>
      </c>
      <c r="I29" s="14">
        <v>56756.9</v>
      </c>
      <c r="J29" s="14">
        <f>1816.3+484.25</f>
        <v>2300.5500000000002</v>
      </c>
      <c r="K29" s="8">
        <f t="shared" si="0"/>
        <v>54456.35</v>
      </c>
    </row>
    <row r="30" spans="1:11" x14ac:dyDescent="0.3">
      <c r="A30" s="3">
        <f t="shared" si="3"/>
        <v>28</v>
      </c>
      <c r="B30" s="4">
        <v>46180</v>
      </c>
      <c r="C30" s="3" t="str">
        <f t="shared" si="1"/>
        <v>Jun-26</v>
      </c>
      <c r="D30" s="3" t="str">
        <f t="shared" si="2"/>
        <v>2026</v>
      </c>
      <c r="E30" s="3">
        <v>2026</v>
      </c>
      <c r="F30" s="3">
        <v>1030</v>
      </c>
      <c r="G30" s="5" t="s">
        <v>12</v>
      </c>
      <c r="H30" s="5" t="s">
        <v>13</v>
      </c>
      <c r="I30" s="14">
        <v>91727.4</v>
      </c>
      <c r="J30" s="14">
        <f>3026.9+832.65</f>
        <v>3859.55</v>
      </c>
      <c r="K30" s="8">
        <f t="shared" si="0"/>
        <v>87867.849999999991</v>
      </c>
    </row>
    <row r="31" spans="1:11" x14ac:dyDescent="0.3">
      <c r="A31" s="3">
        <f t="shared" si="3"/>
        <v>29</v>
      </c>
      <c r="B31" s="4">
        <v>46181</v>
      </c>
      <c r="C31" s="3" t="str">
        <f t="shared" si="1"/>
        <v>Jun-26</v>
      </c>
      <c r="D31" s="3" t="str">
        <f t="shared" si="2"/>
        <v>2026</v>
      </c>
      <c r="E31" s="3">
        <v>2026</v>
      </c>
      <c r="F31" s="3">
        <v>1031</v>
      </c>
      <c r="G31" s="5" t="s">
        <v>12</v>
      </c>
      <c r="H31" s="5" t="s">
        <v>13</v>
      </c>
      <c r="I31" s="14">
        <v>96923</v>
      </c>
      <c r="J31" s="14">
        <v>3989.6000000000004</v>
      </c>
      <c r="K31" s="8">
        <f t="shared" si="0"/>
        <v>92933.4</v>
      </c>
    </row>
    <row r="32" spans="1:11" x14ac:dyDescent="0.3">
      <c r="A32" s="3">
        <f t="shared" si="3"/>
        <v>30</v>
      </c>
      <c r="B32" s="4">
        <v>46182</v>
      </c>
      <c r="C32" s="3" t="str">
        <f t="shared" si="1"/>
        <v>Jun-26</v>
      </c>
      <c r="D32" s="3" t="str">
        <f t="shared" si="2"/>
        <v>2026</v>
      </c>
      <c r="E32" s="3">
        <v>2026</v>
      </c>
      <c r="F32" s="3">
        <v>1032</v>
      </c>
      <c r="G32" s="5" t="s">
        <v>12</v>
      </c>
      <c r="H32" s="5" t="s">
        <v>13</v>
      </c>
      <c r="I32" s="14">
        <v>79042.5</v>
      </c>
      <c r="J32" s="14">
        <f>2573+699.4</f>
        <v>3272.4</v>
      </c>
      <c r="K32" s="8">
        <f t="shared" si="0"/>
        <v>75770.100000000006</v>
      </c>
    </row>
    <row r="33" spans="1:11" x14ac:dyDescent="0.3">
      <c r="A33" s="3">
        <f t="shared" si="3"/>
        <v>31</v>
      </c>
      <c r="B33" s="4">
        <v>46183</v>
      </c>
      <c r="C33" s="3" t="str">
        <f t="shared" si="1"/>
        <v>Jun-26</v>
      </c>
      <c r="D33" s="3" t="str">
        <f t="shared" si="2"/>
        <v>2026</v>
      </c>
      <c r="E33" s="3">
        <v>2026</v>
      </c>
      <c r="F33" s="3">
        <v>1033</v>
      </c>
      <c r="G33" s="5" t="s">
        <v>12</v>
      </c>
      <c r="H33" s="5" t="s">
        <v>13</v>
      </c>
      <c r="I33" s="14">
        <v>80892.600000000006</v>
      </c>
      <c r="J33" s="14">
        <v>3395.3</v>
      </c>
      <c r="K33" s="8">
        <f t="shared" si="0"/>
        <v>77497.3</v>
      </c>
    </row>
    <row r="34" spans="1:11" x14ac:dyDescent="0.3">
      <c r="A34" s="3">
        <f t="shared" si="3"/>
        <v>32</v>
      </c>
      <c r="B34" s="4">
        <v>46184</v>
      </c>
      <c r="C34" s="3" t="str">
        <f t="shared" si="1"/>
        <v>Jun-26</v>
      </c>
      <c r="D34" s="3" t="str">
        <f t="shared" si="2"/>
        <v>2026</v>
      </c>
      <c r="E34" s="3">
        <v>2026</v>
      </c>
      <c r="F34" s="3">
        <v>1034</v>
      </c>
      <c r="G34" s="5" t="s">
        <v>14</v>
      </c>
      <c r="H34" s="5" t="s">
        <v>16</v>
      </c>
      <c r="I34" s="14">
        <v>45204</v>
      </c>
      <c r="J34" s="14">
        <v>2149.66</v>
      </c>
      <c r="K34" s="8">
        <f t="shared" si="0"/>
        <v>43054.34</v>
      </c>
    </row>
    <row r="35" spans="1:11" x14ac:dyDescent="0.3">
      <c r="A35" s="3">
        <f t="shared" si="3"/>
        <v>33</v>
      </c>
      <c r="B35" s="4">
        <v>46184</v>
      </c>
      <c r="C35" s="3" t="str">
        <f t="shared" si="1"/>
        <v>Jun-26</v>
      </c>
      <c r="D35" s="3" t="str">
        <f t="shared" si="2"/>
        <v>2026</v>
      </c>
      <c r="E35" s="3">
        <v>2026</v>
      </c>
      <c r="F35" s="3">
        <v>1035</v>
      </c>
      <c r="G35" s="5" t="s">
        <v>14</v>
      </c>
      <c r="H35" s="5" t="s">
        <v>16</v>
      </c>
      <c r="I35" s="14">
        <v>64555</v>
      </c>
      <c r="J35" s="14">
        <v>3188.95</v>
      </c>
      <c r="K35" s="8">
        <f t="shared" si="0"/>
        <v>61366.05</v>
      </c>
    </row>
    <row r="36" spans="1:11" x14ac:dyDescent="0.3">
      <c r="A36" s="3">
        <f t="shared" si="3"/>
        <v>34</v>
      </c>
      <c r="B36" s="4">
        <v>46185</v>
      </c>
      <c r="C36" s="3" t="str">
        <f t="shared" si="1"/>
        <v>Jun-26</v>
      </c>
      <c r="D36" s="3" t="str">
        <f t="shared" si="2"/>
        <v>2026</v>
      </c>
      <c r="E36" s="3">
        <v>2026</v>
      </c>
      <c r="F36" s="3">
        <v>1036</v>
      </c>
      <c r="G36" s="5" t="s">
        <v>14</v>
      </c>
      <c r="H36" s="5" t="s">
        <v>16</v>
      </c>
      <c r="I36" s="14">
        <v>68016</v>
      </c>
      <c r="J36" s="14">
        <v>3223</v>
      </c>
      <c r="K36" s="8">
        <f t="shared" si="0"/>
        <v>64793</v>
      </c>
    </row>
    <row r="37" spans="1:11" x14ac:dyDescent="0.3">
      <c r="A37" s="3">
        <f t="shared" si="3"/>
        <v>35</v>
      </c>
      <c r="B37" s="4">
        <v>46186</v>
      </c>
      <c r="C37" s="3" t="str">
        <f t="shared" si="1"/>
        <v>Jun-26</v>
      </c>
      <c r="D37" s="3" t="str">
        <f t="shared" si="2"/>
        <v>2026</v>
      </c>
      <c r="E37" s="3">
        <v>2026</v>
      </c>
      <c r="F37" s="3">
        <v>1037</v>
      </c>
      <c r="G37" s="5" t="s">
        <v>14</v>
      </c>
      <c r="H37" s="5" t="s">
        <v>16</v>
      </c>
      <c r="I37" s="14">
        <v>73579</v>
      </c>
      <c r="J37" s="14">
        <v>3481</v>
      </c>
      <c r="K37" s="8">
        <f t="shared" si="0"/>
        <v>70098</v>
      </c>
    </row>
    <row r="38" spans="1:11" x14ac:dyDescent="0.3">
      <c r="A38" s="3">
        <f t="shared" si="3"/>
        <v>36</v>
      </c>
      <c r="B38" s="4">
        <v>46188</v>
      </c>
      <c r="C38" s="3" t="str">
        <f t="shared" si="1"/>
        <v>Jun-26</v>
      </c>
      <c r="D38" s="3" t="str">
        <f t="shared" si="2"/>
        <v>2026</v>
      </c>
      <c r="E38" s="3">
        <v>2026</v>
      </c>
      <c r="F38" s="3">
        <v>1038</v>
      </c>
      <c r="G38" s="5" t="s">
        <v>14</v>
      </c>
      <c r="H38" s="5" t="s">
        <v>16</v>
      </c>
      <c r="I38" s="14">
        <v>101548</v>
      </c>
      <c r="J38" s="14">
        <v>4601</v>
      </c>
      <c r="K38" s="8">
        <f t="shared" si="0"/>
        <v>96947</v>
      </c>
    </row>
    <row r="39" spans="1:11" x14ac:dyDescent="0.3">
      <c r="A39" s="3">
        <f t="shared" si="3"/>
        <v>37</v>
      </c>
      <c r="B39" s="4">
        <v>46189</v>
      </c>
      <c r="C39" s="3" t="str">
        <f t="shared" si="1"/>
        <v>Jun-26</v>
      </c>
      <c r="D39" s="3" t="str">
        <f t="shared" si="2"/>
        <v>2026</v>
      </c>
      <c r="E39" s="3">
        <v>2026</v>
      </c>
      <c r="F39" s="3">
        <v>1039</v>
      </c>
      <c r="G39" s="5" t="s">
        <v>14</v>
      </c>
      <c r="H39" s="5" t="s">
        <v>16</v>
      </c>
      <c r="I39" s="14">
        <v>105951</v>
      </c>
      <c r="J39" s="14">
        <v>5209</v>
      </c>
      <c r="K39" s="8">
        <f t="shared" si="0"/>
        <v>100742</v>
      </c>
    </row>
    <row r="40" spans="1:11" x14ac:dyDescent="0.3">
      <c r="A40" s="3">
        <f t="shared" si="3"/>
        <v>38</v>
      </c>
      <c r="B40" s="4">
        <v>46190</v>
      </c>
      <c r="C40" s="3" t="str">
        <f t="shared" si="1"/>
        <v>Jun-26</v>
      </c>
      <c r="D40" s="3" t="str">
        <f t="shared" si="2"/>
        <v>2026</v>
      </c>
      <c r="E40" s="3">
        <v>2026</v>
      </c>
      <c r="F40" s="3">
        <v>1040</v>
      </c>
      <c r="G40" s="5" t="s">
        <v>14</v>
      </c>
      <c r="H40" s="5" t="s">
        <v>16</v>
      </c>
      <c r="I40" s="14">
        <v>115911.6</v>
      </c>
      <c r="J40" s="14">
        <v>4640.05</v>
      </c>
      <c r="K40" s="8">
        <f t="shared" si="0"/>
        <v>111271.55</v>
      </c>
    </row>
    <row r="41" spans="1:11" x14ac:dyDescent="0.3">
      <c r="A41" s="3">
        <f t="shared" si="3"/>
        <v>39</v>
      </c>
      <c r="B41" s="4">
        <v>46191</v>
      </c>
      <c r="C41" s="3" t="str">
        <f t="shared" si="1"/>
        <v>Jun-26</v>
      </c>
      <c r="D41" s="3" t="str">
        <f t="shared" si="2"/>
        <v>2026</v>
      </c>
      <c r="E41" s="3">
        <v>2026</v>
      </c>
      <c r="F41" s="3">
        <v>1041</v>
      </c>
      <c r="G41" s="13" t="s">
        <v>14</v>
      </c>
      <c r="H41" s="13" t="s">
        <v>16</v>
      </c>
      <c r="I41" s="17">
        <v>160279</v>
      </c>
      <c r="J41" s="17">
        <v>6227</v>
      </c>
      <c r="K41" s="8">
        <f t="shared" si="0"/>
        <v>154052</v>
      </c>
    </row>
    <row r="42" spans="1:11" x14ac:dyDescent="0.3">
      <c r="A42" s="3">
        <f t="shared" si="3"/>
        <v>40</v>
      </c>
      <c r="B42" s="4">
        <v>46193</v>
      </c>
      <c r="C42" s="3" t="str">
        <f t="shared" si="1"/>
        <v>Jun-26</v>
      </c>
      <c r="D42" s="3" t="str">
        <f t="shared" si="2"/>
        <v>2026</v>
      </c>
      <c r="E42" s="3">
        <v>2026</v>
      </c>
      <c r="F42" s="3">
        <v>1042</v>
      </c>
      <c r="G42" s="13" t="s">
        <v>14</v>
      </c>
      <c r="H42" s="13" t="s">
        <v>16</v>
      </c>
      <c r="I42" s="17">
        <v>53526</v>
      </c>
      <c r="J42" s="17">
        <f>1838.4+467.35</f>
        <v>2305.75</v>
      </c>
      <c r="K42" s="8">
        <f t="shared" si="0"/>
        <v>51220.25</v>
      </c>
    </row>
    <row r="43" spans="1:11" x14ac:dyDescent="0.3">
      <c r="A43" s="3">
        <f t="shared" si="3"/>
        <v>41</v>
      </c>
      <c r="B43" s="4">
        <v>46195</v>
      </c>
      <c r="C43" s="3" t="str">
        <f t="shared" si="1"/>
        <v>Jun-26</v>
      </c>
      <c r="D43" s="3" t="str">
        <f t="shared" si="2"/>
        <v>2026</v>
      </c>
      <c r="E43" s="3">
        <v>2026</v>
      </c>
      <c r="F43" s="3">
        <v>1043</v>
      </c>
      <c r="G43" s="13" t="s">
        <v>14</v>
      </c>
      <c r="H43" s="13" t="s">
        <v>16</v>
      </c>
      <c r="I43" s="17">
        <v>98116</v>
      </c>
      <c r="J43" s="17">
        <v>4072.45</v>
      </c>
      <c r="K43" s="8">
        <f t="shared" si="0"/>
        <v>94043.55</v>
      </c>
    </row>
    <row r="44" spans="1:11" x14ac:dyDescent="0.3">
      <c r="A44" s="3">
        <f t="shared" si="3"/>
        <v>42</v>
      </c>
      <c r="B44" s="4">
        <v>46197</v>
      </c>
      <c r="C44" s="3" t="str">
        <f t="shared" si="1"/>
        <v>Jun-26</v>
      </c>
      <c r="D44" s="3" t="str">
        <f t="shared" si="2"/>
        <v>2026</v>
      </c>
      <c r="E44" s="3">
        <v>2026</v>
      </c>
      <c r="F44" s="3">
        <v>1044</v>
      </c>
      <c r="G44" s="13" t="s">
        <v>17</v>
      </c>
      <c r="H44" s="13" t="s">
        <v>18</v>
      </c>
      <c r="I44" s="17">
        <v>112691.6</v>
      </c>
      <c r="J44" s="17">
        <v>4530.2</v>
      </c>
      <c r="K44" s="8">
        <f t="shared" si="0"/>
        <v>108161.40000000001</v>
      </c>
    </row>
    <row r="45" spans="1:11" x14ac:dyDescent="0.3">
      <c r="A45" s="3">
        <f t="shared" si="3"/>
        <v>43</v>
      </c>
      <c r="B45" s="4">
        <v>46198</v>
      </c>
      <c r="C45" s="3" t="str">
        <f t="shared" si="1"/>
        <v>Jun-26</v>
      </c>
      <c r="D45" s="3" t="str">
        <f t="shared" si="2"/>
        <v>2026</v>
      </c>
      <c r="E45" s="3">
        <v>2026</v>
      </c>
      <c r="F45" s="3">
        <v>1045</v>
      </c>
      <c r="G45" s="13" t="s">
        <v>17</v>
      </c>
      <c r="H45" s="13" t="s">
        <v>18</v>
      </c>
      <c r="I45" s="17">
        <v>102851.6</v>
      </c>
      <c r="J45" s="17">
        <v>4111.8499999999995</v>
      </c>
      <c r="K45" s="8">
        <f t="shared" si="0"/>
        <v>98739.75</v>
      </c>
    </row>
    <row r="46" spans="1:11" x14ac:dyDescent="0.3">
      <c r="A46" s="3">
        <f t="shared" si="3"/>
        <v>44</v>
      </c>
      <c r="B46" s="4">
        <v>46199</v>
      </c>
      <c r="C46" s="3" t="str">
        <f t="shared" si="1"/>
        <v>Jun-26</v>
      </c>
      <c r="D46" s="3" t="str">
        <f t="shared" si="2"/>
        <v>2026</v>
      </c>
      <c r="E46" s="3">
        <v>2026</v>
      </c>
      <c r="F46" s="3">
        <v>1046</v>
      </c>
      <c r="G46" s="13" t="s">
        <v>17</v>
      </c>
      <c r="H46" s="13" t="s">
        <v>18</v>
      </c>
      <c r="I46" s="17">
        <v>120252.1</v>
      </c>
      <c r="J46" s="17">
        <v>4575.1000000000004</v>
      </c>
      <c r="K46" s="8">
        <f t="shared" si="0"/>
        <v>115677</v>
      </c>
    </row>
    <row r="47" spans="1:11" x14ac:dyDescent="0.3">
      <c r="A47" s="3">
        <f t="shared" si="3"/>
        <v>45</v>
      </c>
      <c r="B47" s="4">
        <v>46200</v>
      </c>
      <c r="C47" s="3" t="str">
        <f t="shared" si="1"/>
        <v>Jun-26</v>
      </c>
      <c r="D47" s="3" t="str">
        <f t="shared" si="2"/>
        <v>2026</v>
      </c>
      <c r="E47" s="3">
        <v>2026</v>
      </c>
      <c r="F47" s="3">
        <v>1047</v>
      </c>
      <c r="G47" s="13" t="s">
        <v>17</v>
      </c>
      <c r="H47" s="13" t="s">
        <v>18</v>
      </c>
      <c r="I47" s="17">
        <v>114357.2</v>
      </c>
      <c r="J47" s="17">
        <v>4517.7</v>
      </c>
      <c r="K47" s="8">
        <f t="shared" si="0"/>
        <v>109839.5</v>
      </c>
    </row>
    <row r="48" spans="1:11" x14ac:dyDescent="0.3">
      <c r="A48" s="3">
        <f t="shared" si="3"/>
        <v>46</v>
      </c>
      <c r="B48" s="4">
        <v>46202</v>
      </c>
      <c r="C48" s="3" t="str">
        <f t="shared" si="1"/>
        <v>Jun-26</v>
      </c>
      <c r="D48" s="3" t="str">
        <f t="shared" si="2"/>
        <v>2026</v>
      </c>
      <c r="E48" s="3">
        <v>2026</v>
      </c>
      <c r="F48" s="3">
        <v>1048</v>
      </c>
      <c r="G48" s="13" t="s">
        <v>17</v>
      </c>
      <c r="H48" s="13" t="s">
        <v>18</v>
      </c>
      <c r="I48" s="17">
        <v>87594.5</v>
      </c>
      <c r="J48" s="17">
        <v>3673.7</v>
      </c>
      <c r="K48" s="8">
        <f t="shared" si="0"/>
        <v>83920.8</v>
      </c>
    </row>
    <row r="49" spans="1:11" x14ac:dyDescent="0.3">
      <c r="A49" s="3">
        <f t="shared" si="3"/>
        <v>47</v>
      </c>
      <c r="B49" s="4">
        <v>46203</v>
      </c>
      <c r="C49" s="3" t="str">
        <f t="shared" si="1"/>
        <v>Jun-26</v>
      </c>
      <c r="D49" s="3" t="str">
        <f t="shared" si="2"/>
        <v>2026</v>
      </c>
      <c r="E49" s="3">
        <v>2026</v>
      </c>
      <c r="F49" s="3">
        <v>1049</v>
      </c>
      <c r="G49" s="13" t="s">
        <v>17</v>
      </c>
      <c r="H49" s="13" t="s">
        <v>18</v>
      </c>
      <c r="I49" s="17">
        <v>107540.1</v>
      </c>
      <c r="J49" s="17">
        <v>4593.3</v>
      </c>
      <c r="K49" s="8">
        <f t="shared" si="0"/>
        <v>102946.8</v>
      </c>
    </row>
    <row r="50" spans="1:11" x14ac:dyDescent="0.3">
      <c r="A50" s="3">
        <f t="shared" si="3"/>
        <v>48</v>
      </c>
      <c r="B50" s="4">
        <v>46204</v>
      </c>
      <c r="C50" s="3" t="str">
        <f t="shared" si="1"/>
        <v>Jul-26</v>
      </c>
      <c r="D50" s="3" t="str">
        <f t="shared" si="2"/>
        <v>2026</v>
      </c>
      <c r="E50" s="3">
        <v>2026</v>
      </c>
      <c r="F50" s="3">
        <v>1050</v>
      </c>
      <c r="G50" s="13" t="s">
        <v>17</v>
      </c>
      <c r="H50" s="13" t="s">
        <v>18</v>
      </c>
      <c r="I50" s="17">
        <v>230679.4</v>
      </c>
      <c r="J50" s="17">
        <v>9006.85</v>
      </c>
      <c r="K50" s="8">
        <f t="shared" si="0"/>
        <v>221672.55</v>
      </c>
    </row>
    <row r="51" spans="1:11" x14ac:dyDescent="0.3">
      <c r="A51" s="3">
        <f t="shared" si="3"/>
        <v>49</v>
      </c>
      <c r="B51" s="4">
        <v>46205</v>
      </c>
      <c r="C51" s="3" t="str">
        <f t="shared" si="1"/>
        <v>Jul-26</v>
      </c>
      <c r="D51" s="3" t="str">
        <f t="shared" si="2"/>
        <v>2026</v>
      </c>
      <c r="E51" s="3">
        <v>2026</v>
      </c>
      <c r="F51" s="3">
        <v>1051</v>
      </c>
      <c r="G51" s="13" t="s">
        <v>17</v>
      </c>
      <c r="H51" s="13" t="s">
        <v>18</v>
      </c>
      <c r="I51" s="17">
        <v>244434.9</v>
      </c>
      <c r="J51" s="17">
        <v>9759.4</v>
      </c>
      <c r="K51" s="8">
        <f t="shared" si="0"/>
        <v>234675.5</v>
      </c>
    </row>
    <row r="52" spans="1:11" x14ac:dyDescent="0.3">
      <c r="A52" s="3">
        <f t="shared" si="3"/>
        <v>50</v>
      </c>
      <c r="B52" s="4">
        <v>46209</v>
      </c>
      <c r="C52" s="3" t="str">
        <f t="shared" si="1"/>
        <v>Jul-26</v>
      </c>
      <c r="D52" s="3" t="str">
        <f t="shared" si="2"/>
        <v>2026</v>
      </c>
      <c r="E52" s="3">
        <v>2026</v>
      </c>
      <c r="F52" s="3">
        <v>1052</v>
      </c>
      <c r="G52" s="13" t="s">
        <v>20</v>
      </c>
      <c r="H52" s="13" t="s">
        <v>18</v>
      </c>
      <c r="I52" s="17">
        <v>226161.9</v>
      </c>
      <c r="J52" s="17">
        <f>7388.4+1954.55</f>
        <v>9342.9499999999989</v>
      </c>
      <c r="K52" s="8">
        <f t="shared" si="0"/>
        <v>216818.94999999998</v>
      </c>
    </row>
    <row r="53" spans="1:11" x14ac:dyDescent="0.3">
      <c r="A53" s="3">
        <f t="shared" si="3"/>
        <v>51</v>
      </c>
      <c r="B53" s="4">
        <v>46210</v>
      </c>
      <c r="C53" s="3" t="str">
        <f t="shared" si="1"/>
        <v>Jul-26</v>
      </c>
      <c r="D53" s="3" t="str">
        <f t="shared" si="2"/>
        <v>2026</v>
      </c>
      <c r="E53" s="3">
        <v>2026</v>
      </c>
      <c r="F53" s="3">
        <v>1053</v>
      </c>
      <c r="G53" s="13" t="s">
        <v>20</v>
      </c>
      <c r="H53" s="13" t="s">
        <v>18</v>
      </c>
      <c r="I53" s="17">
        <v>160177.5</v>
      </c>
      <c r="J53" s="17">
        <f>5170.5+1381.25</f>
        <v>6551.75</v>
      </c>
      <c r="K53" s="8">
        <f t="shared" si="0"/>
        <v>153625.75</v>
      </c>
    </row>
    <row r="54" spans="1:11" x14ac:dyDescent="0.3">
      <c r="A54" s="3">
        <f t="shared" si="3"/>
        <v>52</v>
      </c>
      <c r="B54" s="4">
        <v>46212</v>
      </c>
      <c r="C54" s="3" t="str">
        <f t="shared" si="1"/>
        <v>Jul-26</v>
      </c>
      <c r="D54" s="3" t="str">
        <f t="shared" si="2"/>
        <v>2026</v>
      </c>
      <c r="E54" s="3">
        <v>2026</v>
      </c>
      <c r="F54" s="3">
        <v>1054</v>
      </c>
      <c r="G54" s="13" t="s">
        <v>20</v>
      </c>
      <c r="H54" s="13" t="s">
        <v>18</v>
      </c>
      <c r="I54" s="17">
        <v>224785.1</v>
      </c>
      <c r="J54" s="17">
        <f>7410+1946.75</f>
        <v>9356.75</v>
      </c>
      <c r="K54" s="8">
        <f t="shared" si="0"/>
        <v>215428.35</v>
      </c>
    </row>
    <row r="55" spans="1:11" x14ac:dyDescent="0.3">
      <c r="A55" s="3">
        <f t="shared" si="3"/>
        <v>53</v>
      </c>
      <c r="B55" s="4">
        <v>46214</v>
      </c>
      <c r="C55" s="3" t="str">
        <f t="shared" si="1"/>
        <v>Jul-26</v>
      </c>
      <c r="D55" s="3" t="str">
        <f t="shared" si="2"/>
        <v>2026</v>
      </c>
      <c r="E55" s="3">
        <v>2026</v>
      </c>
      <c r="F55" s="3">
        <v>1055</v>
      </c>
      <c r="G55" s="13" t="s">
        <v>20</v>
      </c>
      <c r="H55" s="13" t="s">
        <v>18</v>
      </c>
      <c r="I55" s="17">
        <v>111500.7</v>
      </c>
      <c r="J55" s="17">
        <f>3710.7+993.85</f>
        <v>4704.55</v>
      </c>
      <c r="K55" s="8">
        <f t="shared" si="0"/>
        <v>106796.15</v>
      </c>
    </row>
    <row r="56" spans="1:11" x14ac:dyDescent="0.3">
      <c r="A56" s="3">
        <f t="shared" si="3"/>
        <v>54</v>
      </c>
      <c r="B56" s="4">
        <v>46216</v>
      </c>
      <c r="C56" s="3" t="str">
        <f t="shared" si="1"/>
        <v>Jul-26</v>
      </c>
      <c r="D56" s="3" t="str">
        <f t="shared" si="2"/>
        <v>2026</v>
      </c>
      <c r="E56" s="3">
        <v>2026</v>
      </c>
      <c r="F56" s="3">
        <v>101</v>
      </c>
      <c r="G56" s="13" t="s">
        <v>20</v>
      </c>
      <c r="H56" s="13" t="s">
        <v>18</v>
      </c>
      <c r="I56" s="17">
        <v>96214.1</v>
      </c>
      <c r="J56" s="17">
        <f>3158.3+854.1</f>
        <v>4012.4</v>
      </c>
      <c r="K56" s="8">
        <f t="shared" si="0"/>
        <v>92201.700000000012</v>
      </c>
    </row>
    <row r="57" spans="1:11" x14ac:dyDescent="0.3">
      <c r="A57" s="3">
        <f t="shared" si="3"/>
        <v>55</v>
      </c>
      <c r="B57" s="4">
        <v>46216</v>
      </c>
      <c r="C57" s="3" t="str">
        <f t="shared" si="1"/>
        <v>Jul-26</v>
      </c>
      <c r="D57" s="3" t="str">
        <f t="shared" si="2"/>
        <v>2026</v>
      </c>
      <c r="E57" s="3">
        <v>2026</v>
      </c>
      <c r="F57" s="3">
        <v>102</v>
      </c>
      <c r="G57" s="13" t="s">
        <v>20</v>
      </c>
      <c r="H57" s="13" t="s">
        <v>18</v>
      </c>
      <c r="I57" s="17">
        <v>93027.9</v>
      </c>
      <c r="J57" s="17">
        <f>3101.7+834.6</f>
        <v>3936.2999999999997</v>
      </c>
      <c r="K57" s="8">
        <f t="shared" si="0"/>
        <v>89091.599999999991</v>
      </c>
    </row>
    <row r="58" spans="1:11" x14ac:dyDescent="0.3">
      <c r="A58" s="3">
        <f t="shared" si="3"/>
        <v>56</v>
      </c>
      <c r="B58" s="4">
        <v>46217</v>
      </c>
      <c r="C58" s="3" t="str">
        <f t="shared" si="1"/>
        <v>Jul-26</v>
      </c>
      <c r="D58" s="3" t="str">
        <f t="shared" si="2"/>
        <v>2026</v>
      </c>
      <c r="E58" s="3">
        <v>2026</v>
      </c>
      <c r="F58" s="3">
        <v>103</v>
      </c>
      <c r="G58" s="13" t="s">
        <v>21</v>
      </c>
      <c r="H58" s="13" t="s">
        <v>18</v>
      </c>
      <c r="I58" s="17">
        <v>100356.6</v>
      </c>
      <c r="J58" s="17">
        <f>3180.2+837.85</f>
        <v>4018.0499999999997</v>
      </c>
      <c r="K58" s="8">
        <f t="shared" si="0"/>
        <v>96338.55</v>
      </c>
    </row>
    <row r="59" spans="1:11" x14ac:dyDescent="0.3">
      <c r="A59" s="3">
        <f t="shared" si="3"/>
        <v>57</v>
      </c>
      <c r="B59" s="4">
        <v>46218</v>
      </c>
      <c r="C59" s="3" t="str">
        <f t="shared" si="1"/>
        <v>Jul-26</v>
      </c>
      <c r="D59" s="3" t="str">
        <f t="shared" si="2"/>
        <v>2026</v>
      </c>
      <c r="E59" s="3">
        <v>2026</v>
      </c>
      <c r="F59" s="3">
        <v>104</v>
      </c>
      <c r="G59" s="13" t="s">
        <v>21</v>
      </c>
      <c r="H59" s="13" t="s">
        <v>18</v>
      </c>
      <c r="I59" s="17">
        <v>102254.3</v>
      </c>
      <c r="J59" s="17">
        <f>3340.3+866.45</f>
        <v>4206.75</v>
      </c>
      <c r="K59" s="8">
        <f t="shared" si="0"/>
        <v>98047.55</v>
      </c>
    </row>
    <row r="60" spans="1:11" x14ac:dyDescent="0.3">
      <c r="A60" s="3">
        <f t="shared" si="3"/>
        <v>58</v>
      </c>
      <c r="B60" s="4">
        <v>46219</v>
      </c>
      <c r="C60" s="3" t="str">
        <f t="shared" si="1"/>
        <v>Jul-26</v>
      </c>
      <c r="D60" s="3" t="str">
        <f t="shared" si="2"/>
        <v>2026</v>
      </c>
      <c r="E60" s="3">
        <v>2026</v>
      </c>
      <c r="F60" s="3">
        <v>105</v>
      </c>
      <c r="G60" s="13" t="s">
        <v>21</v>
      </c>
      <c r="H60" s="13" t="s">
        <v>18</v>
      </c>
      <c r="I60" s="17">
        <v>185021.6</v>
      </c>
      <c r="J60" s="17">
        <f>5904.3+1589.25</f>
        <v>7493.55</v>
      </c>
      <c r="K60" s="8">
        <f t="shared" si="0"/>
        <v>177528.05000000002</v>
      </c>
    </row>
    <row r="61" spans="1:11" x14ac:dyDescent="0.3">
      <c r="A61" s="3">
        <f t="shared" si="3"/>
        <v>59</v>
      </c>
      <c r="B61" s="4">
        <v>46220</v>
      </c>
      <c r="C61" s="3" t="str">
        <f t="shared" si="1"/>
        <v>Jul-26</v>
      </c>
      <c r="D61" s="3" t="str">
        <f t="shared" si="2"/>
        <v>2026</v>
      </c>
      <c r="E61" s="3">
        <v>2026</v>
      </c>
      <c r="F61" s="3">
        <v>106</v>
      </c>
      <c r="G61" s="13" t="s">
        <v>21</v>
      </c>
      <c r="H61" s="13" t="s">
        <v>18</v>
      </c>
      <c r="I61" s="17">
        <v>55817.5</v>
      </c>
      <c r="J61" s="17">
        <f>1859.9+477.75</f>
        <v>2337.65</v>
      </c>
      <c r="K61" s="8">
        <f t="shared" si="0"/>
        <v>53479.85</v>
      </c>
    </row>
    <row r="62" spans="1:11" x14ac:dyDescent="0.3">
      <c r="A62" s="3">
        <f t="shared" si="3"/>
        <v>60</v>
      </c>
      <c r="B62" s="4">
        <v>46221</v>
      </c>
      <c r="C62" s="3" t="str">
        <f t="shared" si="1"/>
        <v>Jul-26</v>
      </c>
      <c r="D62" s="3" t="str">
        <f t="shared" si="2"/>
        <v>2026</v>
      </c>
      <c r="E62" s="3">
        <v>2026</v>
      </c>
      <c r="F62" s="3">
        <v>107</v>
      </c>
      <c r="G62" s="13" t="s">
        <v>11</v>
      </c>
      <c r="H62" s="13" t="s">
        <v>18</v>
      </c>
      <c r="I62" s="17">
        <v>93913.7</v>
      </c>
      <c r="J62" s="17">
        <f>3010.8+780.65</f>
        <v>3791.4500000000003</v>
      </c>
      <c r="K62" s="8">
        <f t="shared" si="0"/>
        <v>90122.25</v>
      </c>
    </row>
    <row r="63" spans="1:11" x14ac:dyDescent="0.3">
      <c r="A63" s="3">
        <f t="shared" si="3"/>
        <v>61</v>
      </c>
      <c r="B63" s="4">
        <v>46222</v>
      </c>
      <c r="C63" s="3" t="str">
        <f t="shared" si="1"/>
        <v>Jul-26</v>
      </c>
      <c r="D63" s="3" t="str">
        <f t="shared" si="2"/>
        <v>2026</v>
      </c>
      <c r="E63" s="3">
        <v>2026</v>
      </c>
      <c r="F63" s="3">
        <v>108</v>
      </c>
      <c r="G63" s="13" t="s">
        <v>11</v>
      </c>
      <c r="H63" s="13" t="s">
        <v>22</v>
      </c>
      <c r="I63" s="17">
        <v>86128.9</v>
      </c>
      <c r="J63" s="17">
        <f>2641.2+703.3</f>
        <v>3344.5</v>
      </c>
      <c r="K63" s="8">
        <f t="shared" si="0"/>
        <v>82784.399999999994</v>
      </c>
    </row>
    <row r="64" spans="1:11" x14ac:dyDescent="0.3">
      <c r="A64" s="3">
        <f t="shared" si="3"/>
        <v>62</v>
      </c>
      <c r="B64" s="4">
        <v>46223</v>
      </c>
      <c r="C64" s="3" t="str">
        <f t="shared" si="1"/>
        <v>Jul-26</v>
      </c>
      <c r="D64" s="3" t="str">
        <f t="shared" si="2"/>
        <v>2026</v>
      </c>
      <c r="E64" s="3">
        <v>2026</v>
      </c>
      <c r="F64" s="3">
        <v>109</v>
      </c>
      <c r="G64" s="13" t="s">
        <v>11</v>
      </c>
      <c r="H64" s="13" t="s">
        <v>22</v>
      </c>
      <c r="I64" s="17">
        <v>174333.3</v>
      </c>
      <c r="J64" s="17">
        <v>6747.9500000000007</v>
      </c>
      <c r="K64" s="8">
        <f t="shared" si="0"/>
        <v>167585.34999999998</v>
      </c>
    </row>
    <row r="65" spans="1:11" x14ac:dyDescent="0.3">
      <c r="A65" s="3">
        <f t="shared" si="3"/>
        <v>63</v>
      </c>
      <c r="B65" s="4">
        <v>46224</v>
      </c>
      <c r="C65" s="3" t="str">
        <f t="shared" si="1"/>
        <v>Jul-26</v>
      </c>
      <c r="D65" s="3" t="str">
        <f t="shared" si="2"/>
        <v>2026</v>
      </c>
      <c r="E65" s="3">
        <v>2026</v>
      </c>
      <c r="F65" s="3">
        <v>110</v>
      </c>
      <c r="G65" s="13" t="s">
        <v>11</v>
      </c>
      <c r="H65" s="13" t="s">
        <v>22</v>
      </c>
      <c r="I65" s="17">
        <v>186066.7</v>
      </c>
      <c r="J65" s="17">
        <f>5928.4+1552.85</f>
        <v>7481.25</v>
      </c>
      <c r="K65" s="8">
        <f t="shared" si="0"/>
        <v>178585.45</v>
      </c>
    </row>
    <row r="66" spans="1:11" x14ac:dyDescent="0.3">
      <c r="A66" s="3">
        <f t="shared" si="3"/>
        <v>64</v>
      </c>
      <c r="B66" s="4">
        <v>46225</v>
      </c>
      <c r="C66" s="3" t="str">
        <f t="shared" si="1"/>
        <v>Jul-26</v>
      </c>
      <c r="D66" s="3" t="str">
        <f t="shared" si="2"/>
        <v>2026</v>
      </c>
      <c r="E66" s="3">
        <v>2026</v>
      </c>
      <c r="F66" s="3">
        <v>111</v>
      </c>
      <c r="G66" s="13" t="s">
        <v>11</v>
      </c>
      <c r="H66" s="13" t="s">
        <v>22</v>
      </c>
      <c r="I66" s="17">
        <v>233839.9</v>
      </c>
      <c r="J66" s="17">
        <f>7357.4+1953.25</f>
        <v>9310.65</v>
      </c>
      <c r="K66" s="8">
        <f t="shared" si="0"/>
        <v>224529.25</v>
      </c>
    </row>
    <row r="67" spans="1:11" x14ac:dyDescent="0.3">
      <c r="A67" s="3">
        <f t="shared" si="3"/>
        <v>65</v>
      </c>
      <c r="B67" s="4">
        <v>46226</v>
      </c>
      <c r="C67" s="3" t="str">
        <f t="shared" si="1"/>
        <v>Jul-26</v>
      </c>
      <c r="D67" s="3" t="str">
        <f t="shared" ref="D67:D101" si="4">TEXT(B67,"YYYY")</f>
        <v>2026</v>
      </c>
      <c r="E67" s="3">
        <v>2026</v>
      </c>
      <c r="F67" s="3">
        <v>112</v>
      </c>
      <c r="G67" s="13" t="s">
        <v>11</v>
      </c>
      <c r="H67" s="13" t="s">
        <v>22</v>
      </c>
      <c r="I67" s="17">
        <v>214697.1</v>
      </c>
      <c r="J67" s="17">
        <v>8398.7000000000007</v>
      </c>
      <c r="K67" s="8">
        <f t="shared" si="0"/>
        <v>206298.4</v>
      </c>
    </row>
    <row r="68" spans="1:11" x14ac:dyDescent="0.3">
      <c r="A68" s="3">
        <f t="shared" si="3"/>
        <v>66</v>
      </c>
      <c r="B68" s="4">
        <v>46227</v>
      </c>
      <c r="C68" s="3" t="str">
        <f t="shared" si="1"/>
        <v>Jul-26</v>
      </c>
      <c r="D68" s="3" t="str">
        <f t="shared" si="4"/>
        <v>2026</v>
      </c>
      <c r="E68" s="3">
        <v>2026</v>
      </c>
      <c r="F68" s="3">
        <v>113</v>
      </c>
      <c r="G68" s="13" t="s">
        <v>11</v>
      </c>
      <c r="H68" s="13" t="s">
        <v>22</v>
      </c>
      <c r="I68" s="17">
        <v>143519.6</v>
      </c>
      <c r="J68" s="17">
        <v>5687.7</v>
      </c>
      <c r="K68" s="8">
        <f t="shared" ref="K68:K131" si="5">I68-J68</f>
        <v>137831.9</v>
      </c>
    </row>
    <row r="69" spans="1:11" x14ac:dyDescent="0.3">
      <c r="A69" s="3">
        <f t="shared" si="3"/>
        <v>67</v>
      </c>
      <c r="B69" s="4">
        <v>46230</v>
      </c>
      <c r="C69" s="3" t="str">
        <f t="shared" ref="C69:C101" si="6">TEXT(B69,"mmm-yy")</f>
        <v>Jul-26</v>
      </c>
      <c r="D69" s="3" t="str">
        <f t="shared" si="4"/>
        <v>2026</v>
      </c>
      <c r="E69" s="3">
        <v>2026</v>
      </c>
      <c r="F69" s="3">
        <v>114</v>
      </c>
      <c r="G69" s="13" t="s">
        <v>11</v>
      </c>
      <c r="H69" s="13" t="s">
        <v>22</v>
      </c>
      <c r="I69" s="17">
        <v>127712.3</v>
      </c>
      <c r="J69" s="17">
        <v>5065.05</v>
      </c>
      <c r="K69" s="8">
        <f t="shared" si="5"/>
        <v>122647.25</v>
      </c>
    </row>
    <row r="70" spans="1:11" x14ac:dyDescent="0.3">
      <c r="A70" s="3">
        <f t="shared" ref="A70:A133" si="7">A69+1</f>
        <v>68</v>
      </c>
      <c r="B70" s="4">
        <v>46231</v>
      </c>
      <c r="C70" s="3" t="str">
        <f t="shared" si="6"/>
        <v>Jul-26</v>
      </c>
      <c r="D70" s="3" t="str">
        <f t="shared" si="4"/>
        <v>2026</v>
      </c>
      <c r="E70" s="3">
        <v>2026</v>
      </c>
      <c r="F70" s="3">
        <v>115</v>
      </c>
      <c r="G70" s="13" t="s">
        <v>11</v>
      </c>
      <c r="H70" s="13" t="s">
        <v>22</v>
      </c>
      <c r="I70" s="17">
        <v>140595.79999999999</v>
      </c>
      <c r="J70" s="17">
        <v>5511.85</v>
      </c>
      <c r="K70" s="8">
        <f t="shared" si="5"/>
        <v>135083.94999999998</v>
      </c>
    </row>
    <row r="71" spans="1:11" x14ac:dyDescent="0.3">
      <c r="A71" s="3">
        <f t="shared" si="7"/>
        <v>69</v>
      </c>
      <c r="B71" s="4">
        <v>46232</v>
      </c>
      <c r="C71" s="3" t="str">
        <f t="shared" si="6"/>
        <v>Jul-26</v>
      </c>
      <c r="D71" s="3" t="str">
        <f t="shared" si="4"/>
        <v>2026</v>
      </c>
      <c r="E71" s="3">
        <v>2026</v>
      </c>
      <c r="F71" s="3">
        <v>116</v>
      </c>
      <c r="G71" s="13" t="s">
        <v>11</v>
      </c>
      <c r="H71" s="13" t="s">
        <v>22</v>
      </c>
      <c r="I71" s="17">
        <v>141338.6</v>
      </c>
      <c r="J71" s="17">
        <v>5478.0499999999993</v>
      </c>
      <c r="K71" s="8">
        <f t="shared" si="5"/>
        <v>135860.55000000002</v>
      </c>
    </row>
    <row r="72" spans="1:11" x14ac:dyDescent="0.3">
      <c r="A72" s="3">
        <f t="shared" si="7"/>
        <v>70</v>
      </c>
      <c r="B72" s="4">
        <v>46233</v>
      </c>
      <c r="C72" s="3" t="str">
        <f t="shared" si="6"/>
        <v>Jul-26</v>
      </c>
      <c r="D72" s="3" t="str">
        <f t="shared" si="4"/>
        <v>2026</v>
      </c>
      <c r="E72" s="3">
        <v>2026</v>
      </c>
      <c r="F72" s="3">
        <v>117</v>
      </c>
      <c r="G72" s="13" t="s">
        <v>11</v>
      </c>
      <c r="H72" s="13" t="s">
        <v>22</v>
      </c>
      <c r="I72" s="17">
        <v>140767.29999999999</v>
      </c>
      <c r="J72" s="17">
        <v>5485.55</v>
      </c>
      <c r="K72" s="8">
        <f t="shared" si="5"/>
        <v>135281.75</v>
      </c>
    </row>
    <row r="73" spans="1:11" x14ac:dyDescent="0.3">
      <c r="A73" s="3">
        <f t="shared" si="7"/>
        <v>71</v>
      </c>
      <c r="B73" s="4">
        <v>46234</v>
      </c>
      <c r="C73" s="3" t="str">
        <f t="shared" si="6"/>
        <v>Jul-26</v>
      </c>
      <c r="D73" s="3" t="str">
        <f t="shared" si="4"/>
        <v>2026</v>
      </c>
      <c r="E73" s="3">
        <v>2026</v>
      </c>
      <c r="F73" s="3">
        <v>118</v>
      </c>
      <c r="G73" s="13" t="s">
        <v>11</v>
      </c>
      <c r="H73" s="13" t="s">
        <v>22</v>
      </c>
      <c r="I73" s="17">
        <v>133980.20000000001</v>
      </c>
      <c r="J73" s="17">
        <v>5235.3999999999996</v>
      </c>
      <c r="K73" s="8">
        <f t="shared" si="5"/>
        <v>128744.80000000002</v>
      </c>
    </row>
    <row r="74" spans="1:11" x14ac:dyDescent="0.3">
      <c r="A74" s="3">
        <f t="shared" si="7"/>
        <v>72</v>
      </c>
      <c r="B74" s="4">
        <v>46236</v>
      </c>
      <c r="C74" s="3" t="str">
        <f t="shared" si="6"/>
        <v>Aug-26</v>
      </c>
      <c r="D74" s="3" t="str">
        <f t="shared" si="4"/>
        <v>2026</v>
      </c>
      <c r="E74" s="3">
        <v>2026</v>
      </c>
      <c r="F74" s="3">
        <v>119</v>
      </c>
      <c r="G74" s="13" t="s">
        <v>11</v>
      </c>
      <c r="H74" s="13" t="s">
        <v>22</v>
      </c>
      <c r="I74" s="17">
        <v>122379.2</v>
      </c>
      <c r="J74" s="17">
        <v>4933.8500000000004</v>
      </c>
      <c r="K74" s="8">
        <f t="shared" si="5"/>
        <v>117445.34999999999</v>
      </c>
    </row>
    <row r="75" spans="1:11" x14ac:dyDescent="0.3">
      <c r="A75" s="3">
        <f t="shared" si="7"/>
        <v>73</v>
      </c>
      <c r="B75" s="4">
        <v>46237</v>
      </c>
      <c r="C75" s="3" t="str">
        <f t="shared" si="6"/>
        <v>Aug-26</v>
      </c>
      <c r="D75" s="3" t="str">
        <f t="shared" si="4"/>
        <v>2026</v>
      </c>
      <c r="E75" s="3">
        <v>2026</v>
      </c>
      <c r="F75" s="3">
        <v>120</v>
      </c>
      <c r="G75" s="13" t="s">
        <v>11</v>
      </c>
      <c r="H75" s="13" t="s">
        <v>22</v>
      </c>
      <c r="I75" s="17">
        <v>117259.4</v>
      </c>
      <c r="J75" s="17">
        <v>4606.2</v>
      </c>
      <c r="K75" s="8">
        <f t="shared" si="5"/>
        <v>112653.2</v>
      </c>
    </row>
    <row r="76" spans="1:11" x14ac:dyDescent="0.3">
      <c r="A76" s="3">
        <f t="shared" si="7"/>
        <v>74</v>
      </c>
      <c r="B76" s="4">
        <v>46237</v>
      </c>
      <c r="C76" s="3" t="str">
        <f t="shared" si="6"/>
        <v>Aug-26</v>
      </c>
      <c r="D76" s="3" t="str">
        <f t="shared" si="4"/>
        <v>2026</v>
      </c>
      <c r="E76" s="3">
        <v>2026</v>
      </c>
      <c r="F76" s="3">
        <v>120</v>
      </c>
      <c r="G76" s="13" t="s">
        <v>11</v>
      </c>
      <c r="H76" s="13" t="s">
        <v>22</v>
      </c>
      <c r="I76" s="17">
        <v>22122.2</v>
      </c>
      <c r="J76" s="17">
        <v>911.6</v>
      </c>
      <c r="K76" s="8">
        <f t="shared" si="5"/>
        <v>21210.600000000002</v>
      </c>
    </row>
    <row r="77" spans="1:11" x14ac:dyDescent="0.3">
      <c r="A77" s="3">
        <f t="shared" si="7"/>
        <v>75</v>
      </c>
      <c r="B77" s="4">
        <v>46238</v>
      </c>
      <c r="C77" s="3" t="str">
        <f t="shared" si="6"/>
        <v>Aug-26</v>
      </c>
      <c r="D77" s="3" t="str">
        <f t="shared" si="4"/>
        <v>2026</v>
      </c>
      <c r="E77" s="3">
        <v>2026</v>
      </c>
      <c r="F77" s="3">
        <v>121</v>
      </c>
      <c r="G77" s="13" t="s">
        <v>23</v>
      </c>
      <c r="H77" s="13" t="s">
        <v>22</v>
      </c>
      <c r="I77" s="17">
        <v>33387.699999999997</v>
      </c>
      <c r="J77" s="17">
        <v>1445.5</v>
      </c>
      <c r="K77" s="8">
        <f t="shared" si="5"/>
        <v>31942.199999999997</v>
      </c>
    </row>
    <row r="78" spans="1:11" x14ac:dyDescent="0.3">
      <c r="A78" s="3">
        <f t="shared" si="7"/>
        <v>76</v>
      </c>
      <c r="B78" s="4">
        <v>46238</v>
      </c>
      <c r="C78" s="3" t="str">
        <f t="shared" si="6"/>
        <v>Aug-26</v>
      </c>
      <c r="D78" s="3" t="str">
        <f t="shared" si="4"/>
        <v>2026</v>
      </c>
      <c r="E78" s="3">
        <v>2026</v>
      </c>
      <c r="F78" s="3">
        <v>121</v>
      </c>
      <c r="G78" s="13" t="s">
        <v>11</v>
      </c>
      <c r="H78" s="13" t="s">
        <v>22</v>
      </c>
      <c r="I78" s="17">
        <v>129133.5</v>
      </c>
      <c r="J78" s="17">
        <v>5089.5</v>
      </c>
      <c r="K78" s="8">
        <f t="shared" si="5"/>
        <v>124044</v>
      </c>
    </row>
    <row r="79" spans="1:11" x14ac:dyDescent="0.3">
      <c r="A79" s="3">
        <f t="shared" si="7"/>
        <v>77</v>
      </c>
      <c r="B79" s="4">
        <v>46239</v>
      </c>
      <c r="C79" s="3" t="str">
        <f t="shared" si="6"/>
        <v>Aug-26</v>
      </c>
      <c r="D79" s="3" t="str">
        <f t="shared" si="4"/>
        <v>2026</v>
      </c>
      <c r="E79" s="3">
        <v>2026</v>
      </c>
      <c r="F79" s="3">
        <v>122</v>
      </c>
      <c r="G79" s="13" t="s">
        <v>11</v>
      </c>
      <c r="H79" s="13" t="s">
        <v>22</v>
      </c>
      <c r="I79" s="17">
        <v>65889.100000000006</v>
      </c>
      <c r="J79" s="17">
        <v>2645.4</v>
      </c>
      <c r="K79" s="8">
        <f t="shared" si="5"/>
        <v>63243.700000000004</v>
      </c>
    </row>
    <row r="80" spans="1:11" x14ac:dyDescent="0.3">
      <c r="A80" s="3">
        <f t="shared" si="7"/>
        <v>78</v>
      </c>
      <c r="B80" s="4">
        <v>46239</v>
      </c>
      <c r="C80" s="3" t="str">
        <f t="shared" si="6"/>
        <v>Aug-26</v>
      </c>
      <c r="D80" s="3" t="str">
        <f t="shared" si="4"/>
        <v>2026</v>
      </c>
      <c r="E80" s="3">
        <v>2026</v>
      </c>
      <c r="F80" s="3">
        <v>122</v>
      </c>
      <c r="G80" s="13" t="s">
        <v>23</v>
      </c>
      <c r="H80" s="13" t="s">
        <v>22</v>
      </c>
      <c r="I80" s="17">
        <v>33059.800000000003</v>
      </c>
      <c r="J80" s="17">
        <v>1399.8</v>
      </c>
      <c r="K80" s="8">
        <f t="shared" si="5"/>
        <v>31660.000000000004</v>
      </c>
    </row>
    <row r="81" spans="1:11" x14ac:dyDescent="0.3">
      <c r="A81" s="3">
        <f t="shared" si="7"/>
        <v>79</v>
      </c>
      <c r="B81" s="4">
        <v>46239</v>
      </c>
      <c r="C81" s="3" t="str">
        <f t="shared" si="6"/>
        <v>Aug-26</v>
      </c>
      <c r="D81" s="3" t="str">
        <f t="shared" si="4"/>
        <v>2026</v>
      </c>
      <c r="E81" s="3">
        <v>2026</v>
      </c>
      <c r="F81" s="3">
        <v>122</v>
      </c>
      <c r="G81" s="13" t="s">
        <v>24</v>
      </c>
      <c r="H81" s="13" t="s">
        <v>22</v>
      </c>
      <c r="I81" s="17">
        <v>23278.9</v>
      </c>
      <c r="J81" s="17">
        <v>850.8</v>
      </c>
      <c r="K81" s="8">
        <f t="shared" si="5"/>
        <v>22428.100000000002</v>
      </c>
    </row>
    <row r="82" spans="1:11" x14ac:dyDescent="0.3">
      <c r="A82" s="3">
        <f t="shared" si="7"/>
        <v>80</v>
      </c>
      <c r="B82" s="4">
        <v>46240</v>
      </c>
      <c r="C82" s="3" t="str">
        <f t="shared" si="6"/>
        <v>Aug-26</v>
      </c>
      <c r="D82" s="3" t="str">
        <f t="shared" si="4"/>
        <v>2026</v>
      </c>
      <c r="E82" s="3">
        <v>2026</v>
      </c>
      <c r="F82" s="3">
        <v>123</v>
      </c>
      <c r="G82" s="13" t="s">
        <v>24</v>
      </c>
      <c r="H82" s="13" t="s">
        <v>22</v>
      </c>
      <c r="I82" s="17">
        <v>23271.9</v>
      </c>
      <c r="J82" s="17">
        <v>975.8</v>
      </c>
      <c r="K82" s="8">
        <f t="shared" si="5"/>
        <v>22296.100000000002</v>
      </c>
    </row>
    <row r="83" spans="1:11" x14ac:dyDescent="0.3">
      <c r="A83" s="3">
        <f t="shared" si="7"/>
        <v>81</v>
      </c>
      <c r="B83" s="4">
        <v>46240</v>
      </c>
      <c r="C83" s="3" t="str">
        <f t="shared" si="6"/>
        <v>Aug-26</v>
      </c>
      <c r="D83" s="3" t="str">
        <f t="shared" si="4"/>
        <v>2026</v>
      </c>
      <c r="E83" s="3">
        <v>2026</v>
      </c>
      <c r="F83" s="3">
        <v>123</v>
      </c>
      <c r="G83" s="13" t="s">
        <v>11</v>
      </c>
      <c r="H83" s="13" t="s">
        <v>22</v>
      </c>
      <c r="I83" s="17">
        <v>32628.799999999999</v>
      </c>
      <c r="J83" s="17">
        <v>1345.2</v>
      </c>
      <c r="K83" s="8">
        <f t="shared" si="5"/>
        <v>31283.599999999999</v>
      </c>
    </row>
    <row r="84" spans="1:11" x14ac:dyDescent="0.3">
      <c r="A84" s="3">
        <f t="shared" si="7"/>
        <v>82</v>
      </c>
      <c r="B84" s="4">
        <v>46240</v>
      </c>
      <c r="C84" s="3" t="str">
        <f t="shared" si="6"/>
        <v>Aug-26</v>
      </c>
      <c r="D84" s="3" t="str">
        <f t="shared" si="4"/>
        <v>2026</v>
      </c>
      <c r="E84" s="3">
        <v>2026</v>
      </c>
      <c r="F84" s="3">
        <v>123</v>
      </c>
      <c r="G84" s="13" t="s">
        <v>23</v>
      </c>
      <c r="H84" s="13" t="s">
        <v>22</v>
      </c>
      <c r="I84" s="17">
        <v>34329.800000000003</v>
      </c>
      <c r="J84" s="17">
        <v>1456.5</v>
      </c>
      <c r="K84" s="8">
        <f t="shared" si="5"/>
        <v>32873.300000000003</v>
      </c>
    </row>
    <row r="85" spans="1:11" x14ac:dyDescent="0.3">
      <c r="A85" s="3">
        <f t="shared" si="7"/>
        <v>83</v>
      </c>
      <c r="B85" s="4">
        <v>46243</v>
      </c>
      <c r="C85" s="3" t="str">
        <f t="shared" si="6"/>
        <v>Aug-26</v>
      </c>
      <c r="D85" s="3" t="str">
        <f t="shared" si="4"/>
        <v>2026</v>
      </c>
      <c r="E85" s="3">
        <v>2026</v>
      </c>
      <c r="F85" s="3">
        <v>124</v>
      </c>
      <c r="G85" s="13" t="s">
        <v>23</v>
      </c>
      <c r="H85" s="13" t="s">
        <v>22</v>
      </c>
      <c r="I85" s="17">
        <v>161808</v>
      </c>
      <c r="J85" s="17">
        <v>6517.1500000000005</v>
      </c>
      <c r="K85" s="8">
        <f t="shared" si="5"/>
        <v>155290.85</v>
      </c>
    </row>
    <row r="86" spans="1:11" x14ac:dyDescent="0.3">
      <c r="A86" s="3">
        <f t="shared" si="7"/>
        <v>84</v>
      </c>
      <c r="B86" s="4">
        <v>46244</v>
      </c>
      <c r="C86" s="3" t="str">
        <f t="shared" si="6"/>
        <v>Aug-26</v>
      </c>
      <c r="D86" s="3" t="str">
        <f t="shared" si="4"/>
        <v>2026</v>
      </c>
      <c r="E86" s="3">
        <v>2026</v>
      </c>
      <c r="F86" s="3">
        <v>125</v>
      </c>
      <c r="G86" s="13" t="s">
        <v>24</v>
      </c>
      <c r="H86" s="13" t="s">
        <v>22</v>
      </c>
      <c r="I86" s="17">
        <v>96509.1</v>
      </c>
      <c r="J86" s="17">
        <v>3729.1</v>
      </c>
      <c r="K86" s="8">
        <f t="shared" si="5"/>
        <v>92780</v>
      </c>
    </row>
    <row r="87" spans="1:11" x14ac:dyDescent="0.3">
      <c r="A87" s="3">
        <f t="shared" si="7"/>
        <v>85</v>
      </c>
      <c r="B87" s="4">
        <v>46245</v>
      </c>
      <c r="C87" s="3" t="str">
        <f t="shared" si="6"/>
        <v>Aug-26</v>
      </c>
      <c r="D87" s="3" t="str">
        <f t="shared" si="4"/>
        <v>2026</v>
      </c>
      <c r="E87" s="3">
        <v>2026</v>
      </c>
      <c r="F87" s="3">
        <v>126</v>
      </c>
      <c r="G87" s="13" t="s">
        <v>24</v>
      </c>
      <c r="H87" s="13" t="s">
        <v>22</v>
      </c>
      <c r="I87" s="17">
        <v>143492.5</v>
      </c>
      <c r="J87" s="17">
        <v>5499.2000000000007</v>
      </c>
      <c r="K87" s="8">
        <f t="shared" si="5"/>
        <v>137993.29999999999</v>
      </c>
    </row>
    <row r="88" spans="1:11" x14ac:dyDescent="0.3">
      <c r="A88" s="3">
        <f t="shared" si="7"/>
        <v>86</v>
      </c>
      <c r="B88" s="4">
        <v>46246</v>
      </c>
      <c r="C88" s="3" t="str">
        <f t="shared" si="6"/>
        <v>Aug-26</v>
      </c>
      <c r="D88" s="3" t="str">
        <f t="shared" si="4"/>
        <v>2026</v>
      </c>
      <c r="E88" s="3">
        <v>2026</v>
      </c>
      <c r="F88" s="3">
        <v>127</v>
      </c>
      <c r="G88" s="13" t="s">
        <v>24</v>
      </c>
      <c r="H88" s="13" t="s">
        <v>22</v>
      </c>
      <c r="I88" s="17">
        <v>145618.6</v>
      </c>
      <c r="J88" s="17">
        <v>5592.3</v>
      </c>
      <c r="K88" s="8">
        <f t="shared" si="5"/>
        <v>140026.30000000002</v>
      </c>
    </row>
    <row r="89" spans="1:11" x14ac:dyDescent="0.3">
      <c r="A89" s="3">
        <f t="shared" si="7"/>
        <v>87</v>
      </c>
      <c r="B89" s="4">
        <v>46247</v>
      </c>
      <c r="C89" s="3" t="str">
        <f t="shared" si="6"/>
        <v>Aug-26</v>
      </c>
      <c r="D89" s="3" t="str">
        <f t="shared" si="4"/>
        <v>2026</v>
      </c>
      <c r="E89" s="3">
        <v>2026</v>
      </c>
      <c r="F89" s="3">
        <v>128</v>
      </c>
      <c r="G89" s="13" t="s">
        <v>24</v>
      </c>
      <c r="H89" s="13" t="s">
        <v>22</v>
      </c>
      <c r="I89" s="17">
        <v>151735.20000000001</v>
      </c>
      <c r="J89" s="17">
        <v>6048.95</v>
      </c>
      <c r="K89" s="8">
        <f t="shared" si="5"/>
        <v>145686.25</v>
      </c>
    </row>
    <row r="90" spans="1:11" x14ac:dyDescent="0.3">
      <c r="A90" s="3">
        <f t="shared" si="7"/>
        <v>88</v>
      </c>
      <c r="B90" s="4">
        <v>46248</v>
      </c>
      <c r="C90" s="3" t="str">
        <f t="shared" si="6"/>
        <v>Aug-26</v>
      </c>
      <c r="D90" s="3" t="str">
        <f t="shared" si="4"/>
        <v>2026</v>
      </c>
      <c r="E90" s="3">
        <v>2026</v>
      </c>
      <c r="F90" s="3">
        <v>129</v>
      </c>
      <c r="G90" s="13" t="s">
        <v>24</v>
      </c>
      <c r="H90" s="13" t="s">
        <v>22</v>
      </c>
      <c r="I90" s="17">
        <v>174428.79999999999</v>
      </c>
      <c r="J90" s="17">
        <v>6971.35</v>
      </c>
      <c r="K90" s="8">
        <f t="shared" si="5"/>
        <v>167457.44999999998</v>
      </c>
    </row>
    <row r="91" spans="1:11" x14ac:dyDescent="0.3">
      <c r="A91" s="3">
        <f t="shared" si="7"/>
        <v>89</v>
      </c>
      <c r="B91" s="4">
        <v>46251</v>
      </c>
      <c r="C91" s="3" t="str">
        <f t="shared" si="6"/>
        <v>Aug-26</v>
      </c>
      <c r="D91" s="3" t="str">
        <f t="shared" si="4"/>
        <v>2026</v>
      </c>
      <c r="E91" s="3">
        <v>2026</v>
      </c>
      <c r="F91" s="3">
        <v>130</v>
      </c>
      <c r="G91" s="13" t="s">
        <v>24</v>
      </c>
      <c r="H91" s="13" t="s">
        <v>22</v>
      </c>
      <c r="I91" s="17">
        <v>102017.8</v>
      </c>
      <c r="J91" s="17">
        <v>4008.75</v>
      </c>
      <c r="K91" s="8">
        <f t="shared" si="5"/>
        <v>98009.05</v>
      </c>
    </row>
    <row r="92" spans="1:11" x14ac:dyDescent="0.3">
      <c r="A92" s="3">
        <f t="shared" si="7"/>
        <v>90</v>
      </c>
      <c r="B92" s="4">
        <v>46252</v>
      </c>
      <c r="C92" s="3" t="str">
        <f t="shared" si="6"/>
        <v>Aug-26</v>
      </c>
      <c r="D92" s="3" t="str">
        <f t="shared" si="4"/>
        <v>2026</v>
      </c>
      <c r="E92" s="3">
        <v>2026</v>
      </c>
      <c r="F92" s="3">
        <v>131</v>
      </c>
      <c r="G92" s="13" t="s">
        <v>24</v>
      </c>
      <c r="H92" s="13" t="s">
        <v>22</v>
      </c>
      <c r="I92" s="17">
        <v>53637.3</v>
      </c>
      <c r="J92" s="17">
        <v>2075.75</v>
      </c>
      <c r="K92" s="8">
        <f t="shared" si="5"/>
        <v>51561.55</v>
      </c>
    </row>
    <row r="93" spans="1:11" x14ac:dyDescent="0.3">
      <c r="A93" s="3">
        <f t="shared" si="7"/>
        <v>91</v>
      </c>
      <c r="B93" s="4">
        <v>46252</v>
      </c>
      <c r="C93" s="3" t="str">
        <f t="shared" si="6"/>
        <v>Aug-26</v>
      </c>
      <c r="D93" s="3" t="str">
        <f t="shared" si="4"/>
        <v>2026</v>
      </c>
      <c r="E93" s="3">
        <v>2026</v>
      </c>
      <c r="F93" s="3">
        <v>132</v>
      </c>
      <c r="G93" s="13" t="s">
        <v>11</v>
      </c>
      <c r="H93" s="13" t="s">
        <v>22</v>
      </c>
      <c r="I93" s="17">
        <v>160837.29999999999</v>
      </c>
      <c r="J93" s="17">
        <v>6852.7</v>
      </c>
      <c r="K93" s="8">
        <f t="shared" si="5"/>
        <v>153984.59999999998</v>
      </c>
    </row>
    <row r="94" spans="1:11" x14ac:dyDescent="0.3">
      <c r="A94" s="3">
        <f t="shared" si="7"/>
        <v>92</v>
      </c>
      <c r="B94" s="4">
        <v>46253</v>
      </c>
      <c r="C94" s="3" t="str">
        <f t="shared" si="6"/>
        <v>Aug-26</v>
      </c>
      <c r="D94" s="3" t="str">
        <f t="shared" si="4"/>
        <v>2026</v>
      </c>
      <c r="E94" s="3">
        <v>2026</v>
      </c>
      <c r="F94" s="3">
        <v>133</v>
      </c>
      <c r="G94" s="13" t="s">
        <v>11</v>
      </c>
      <c r="H94" s="13" t="s">
        <v>22</v>
      </c>
      <c r="I94" s="17">
        <v>119917.1</v>
      </c>
      <c r="J94" s="17">
        <v>5215.7</v>
      </c>
      <c r="K94" s="8">
        <f t="shared" si="5"/>
        <v>114701.40000000001</v>
      </c>
    </row>
    <row r="95" spans="1:11" x14ac:dyDescent="0.3">
      <c r="A95" s="3">
        <f t="shared" si="7"/>
        <v>93</v>
      </c>
      <c r="B95" s="4">
        <v>46254</v>
      </c>
      <c r="C95" s="3" t="str">
        <f t="shared" si="6"/>
        <v>Aug-26</v>
      </c>
      <c r="D95" s="3" t="str">
        <f t="shared" si="4"/>
        <v>2026</v>
      </c>
      <c r="E95" s="3">
        <v>2026</v>
      </c>
      <c r="F95" s="3">
        <v>134</v>
      </c>
      <c r="G95" s="13" t="s">
        <v>11</v>
      </c>
      <c r="H95" s="13" t="s">
        <v>22</v>
      </c>
      <c r="I95" s="17">
        <v>161817.1</v>
      </c>
      <c r="J95" s="17">
        <v>6772.65</v>
      </c>
      <c r="K95" s="8">
        <f t="shared" si="5"/>
        <v>155044.45000000001</v>
      </c>
    </row>
    <row r="96" spans="1:11" x14ac:dyDescent="0.3">
      <c r="A96" s="3">
        <f t="shared" si="7"/>
        <v>94</v>
      </c>
      <c r="B96" s="4">
        <v>46255</v>
      </c>
      <c r="C96" s="3" t="str">
        <f t="shared" si="6"/>
        <v>Aug-26</v>
      </c>
      <c r="D96" s="3" t="str">
        <f t="shared" si="4"/>
        <v>2026</v>
      </c>
      <c r="E96" s="3">
        <v>2026</v>
      </c>
      <c r="F96" s="3">
        <v>135</v>
      </c>
      <c r="G96" s="13" t="s">
        <v>11</v>
      </c>
      <c r="H96" s="13" t="s">
        <v>22</v>
      </c>
      <c r="I96" s="17">
        <v>150129.9</v>
      </c>
      <c r="J96" s="17">
        <v>6354.9500000000007</v>
      </c>
      <c r="K96" s="8">
        <f t="shared" si="5"/>
        <v>143774.94999999998</v>
      </c>
    </row>
    <row r="97" spans="1:11" x14ac:dyDescent="0.3">
      <c r="A97" s="3">
        <f t="shared" si="7"/>
        <v>95</v>
      </c>
      <c r="B97" s="4">
        <v>46256</v>
      </c>
      <c r="C97" s="3" t="str">
        <f t="shared" si="6"/>
        <v>Aug-26</v>
      </c>
      <c r="D97" s="3" t="str">
        <f t="shared" si="4"/>
        <v>2026</v>
      </c>
      <c r="E97" s="3">
        <v>2026</v>
      </c>
      <c r="F97" s="3">
        <v>136</v>
      </c>
      <c r="G97" s="13" t="s">
        <v>11</v>
      </c>
      <c r="H97" s="13" t="s">
        <v>22</v>
      </c>
      <c r="I97" s="17">
        <v>31939.599999999999</v>
      </c>
      <c r="J97" s="17">
        <v>1313.1</v>
      </c>
      <c r="K97" s="8">
        <f t="shared" si="5"/>
        <v>30626.5</v>
      </c>
    </row>
    <row r="98" spans="1:11" x14ac:dyDescent="0.3">
      <c r="A98" s="3">
        <f t="shared" si="7"/>
        <v>96</v>
      </c>
      <c r="B98" s="4">
        <v>46256</v>
      </c>
      <c r="C98" s="3" t="str">
        <f t="shared" si="6"/>
        <v>Aug-26</v>
      </c>
      <c r="D98" s="3" t="str">
        <f t="shared" si="4"/>
        <v>2026</v>
      </c>
      <c r="E98" s="3">
        <v>2026</v>
      </c>
      <c r="F98" s="3">
        <v>136</v>
      </c>
      <c r="G98" s="13" t="s">
        <v>25</v>
      </c>
      <c r="H98" s="13" t="s">
        <v>22</v>
      </c>
      <c r="I98" s="17">
        <v>96376.9</v>
      </c>
      <c r="J98" s="17">
        <v>3906.9</v>
      </c>
      <c r="K98" s="8">
        <f t="shared" si="5"/>
        <v>92470</v>
      </c>
    </row>
    <row r="99" spans="1:11" x14ac:dyDescent="0.3">
      <c r="A99" s="3">
        <f t="shared" si="7"/>
        <v>97</v>
      </c>
      <c r="B99" s="4">
        <v>46258</v>
      </c>
      <c r="C99" s="3" t="str">
        <f t="shared" si="6"/>
        <v>Aug-26</v>
      </c>
      <c r="D99" s="3" t="str">
        <f t="shared" si="4"/>
        <v>2026</v>
      </c>
      <c r="E99" s="3">
        <v>2026</v>
      </c>
      <c r="F99" s="3">
        <v>137</v>
      </c>
      <c r="G99" s="13" t="s">
        <v>11</v>
      </c>
      <c r="H99" s="13" t="s">
        <v>22</v>
      </c>
      <c r="I99" s="17">
        <v>232839.2</v>
      </c>
      <c r="J99" s="17">
        <v>9770.7999999999993</v>
      </c>
      <c r="K99" s="8">
        <f t="shared" si="5"/>
        <v>223068.40000000002</v>
      </c>
    </row>
    <row r="100" spans="1:11" x14ac:dyDescent="0.3">
      <c r="A100" s="3">
        <f t="shared" si="7"/>
        <v>98</v>
      </c>
      <c r="B100" s="4">
        <v>46259</v>
      </c>
      <c r="C100" s="3" t="str">
        <f t="shared" si="6"/>
        <v>Aug-26</v>
      </c>
      <c r="D100" s="3" t="str">
        <f t="shared" si="4"/>
        <v>2026</v>
      </c>
      <c r="E100" s="3">
        <v>2026</v>
      </c>
      <c r="F100" s="3">
        <v>138</v>
      </c>
      <c r="G100" s="13" t="s">
        <v>11</v>
      </c>
      <c r="H100" s="13" t="s">
        <v>22</v>
      </c>
      <c r="I100" s="17">
        <v>4078.76</v>
      </c>
      <c r="J100" s="17">
        <v>0</v>
      </c>
      <c r="K100" s="8">
        <f t="shared" si="5"/>
        <v>4078.76</v>
      </c>
    </row>
    <row r="101" spans="1:11" x14ac:dyDescent="0.3">
      <c r="A101" s="3">
        <f t="shared" si="7"/>
        <v>99</v>
      </c>
      <c r="B101" s="4">
        <v>46260</v>
      </c>
      <c r="C101" s="3" t="str">
        <f t="shared" si="6"/>
        <v>Aug-26</v>
      </c>
      <c r="D101" s="3" t="str">
        <f t="shared" si="4"/>
        <v>2026</v>
      </c>
      <c r="E101" s="3">
        <v>2026</v>
      </c>
      <c r="F101" s="7">
        <v>139</v>
      </c>
      <c r="G101" s="13" t="s">
        <v>26</v>
      </c>
      <c r="H101" s="13" t="s">
        <v>29</v>
      </c>
      <c r="I101" s="17">
        <v>125236</v>
      </c>
      <c r="J101" s="17">
        <v>5056.3500000000004</v>
      </c>
      <c r="K101" s="8">
        <f t="shared" si="5"/>
        <v>120179.65</v>
      </c>
    </row>
    <row r="102" spans="1:11" x14ac:dyDescent="0.3">
      <c r="A102" s="3">
        <f t="shared" si="7"/>
        <v>100</v>
      </c>
      <c r="B102" s="4">
        <v>46261</v>
      </c>
      <c r="C102" s="3" t="str">
        <f t="shared" ref="C102:C109" si="8">TEXT(B102,"mmm-yy")</f>
        <v>Aug-26</v>
      </c>
      <c r="D102" s="3" t="str">
        <f t="shared" ref="D102:D109" si="9">TEXT(B102,"YYYY")</f>
        <v>2026</v>
      </c>
      <c r="E102" s="3">
        <v>2026</v>
      </c>
      <c r="F102" s="3">
        <v>140</v>
      </c>
      <c r="G102" s="13" t="s">
        <v>27</v>
      </c>
      <c r="H102" s="13" t="s">
        <v>29</v>
      </c>
      <c r="I102" s="17">
        <v>210460.5</v>
      </c>
      <c r="J102" s="17">
        <v>8419.4</v>
      </c>
      <c r="K102" s="8">
        <f t="shared" si="5"/>
        <v>202041.1</v>
      </c>
    </row>
    <row r="103" spans="1:11" x14ac:dyDescent="0.3">
      <c r="A103" s="3">
        <f t="shared" si="7"/>
        <v>101</v>
      </c>
      <c r="B103" s="4">
        <v>46263</v>
      </c>
      <c r="C103" s="3" t="str">
        <f t="shared" si="8"/>
        <v>Aug-26</v>
      </c>
      <c r="D103" s="3" t="str">
        <f t="shared" si="9"/>
        <v>2026</v>
      </c>
      <c r="E103" s="3">
        <v>2026</v>
      </c>
      <c r="F103" s="3">
        <v>141</v>
      </c>
      <c r="G103" s="13" t="s">
        <v>27</v>
      </c>
      <c r="H103" s="13" t="s">
        <v>29</v>
      </c>
      <c r="I103" s="17">
        <v>280045.09999999998</v>
      </c>
      <c r="J103" s="17">
        <v>11293.65</v>
      </c>
      <c r="K103" s="8">
        <f t="shared" si="5"/>
        <v>268751.44999999995</v>
      </c>
    </row>
    <row r="104" spans="1:11" x14ac:dyDescent="0.3">
      <c r="A104" s="3">
        <f t="shared" si="7"/>
        <v>102</v>
      </c>
      <c r="B104" s="4">
        <v>46265</v>
      </c>
      <c r="C104" s="3" t="str">
        <f t="shared" si="8"/>
        <v>Aug-26</v>
      </c>
      <c r="D104" s="3" t="str">
        <f t="shared" si="9"/>
        <v>2026</v>
      </c>
      <c r="E104" s="3">
        <v>2026</v>
      </c>
      <c r="F104" s="3">
        <v>142</v>
      </c>
      <c r="G104" s="13" t="s">
        <v>28</v>
      </c>
      <c r="H104" s="13" t="s">
        <v>29</v>
      </c>
      <c r="I104" s="17">
        <v>257887.8</v>
      </c>
      <c r="J104" s="17">
        <v>10304.200000000001</v>
      </c>
      <c r="K104" s="8">
        <f t="shared" si="5"/>
        <v>247583.59999999998</v>
      </c>
    </row>
    <row r="105" spans="1:11" x14ac:dyDescent="0.3">
      <c r="A105" s="3">
        <f t="shared" si="7"/>
        <v>103</v>
      </c>
      <c r="B105" s="4">
        <v>46266</v>
      </c>
      <c r="C105" s="3" t="str">
        <f t="shared" si="8"/>
        <v>Sep-26</v>
      </c>
      <c r="D105" s="3" t="str">
        <f t="shared" si="9"/>
        <v>2026</v>
      </c>
      <c r="E105" s="3">
        <v>2026</v>
      </c>
      <c r="F105" s="3">
        <v>143</v>
      </c>
      <c r="G105" s="13" t="s">
        <v>28</v>
      </c>
      <c r="H105" s="13" t="s">
        <v>29</v>
      </c>
      <c r="I105" s="17">
        <v>187423.3</v>
      </c>
      <c r="J105" s="17">
        <v>7393.85</v>
      </c>
      <c r="K105" s="8">
        <f t="shared" si="5"/>
        <v>180029.44999999998</v>
      </c>
    </row>
    <row r="106" spans="1:11" x14ac:dyDescent="0.3">
      <c r="A106" s="15">
        <f t="shared" si="7"/>
        <v>104</v>
      </c>
      <c r="B106" s="9">
        <v>46267</v>
      </c>
      <c r="C106" s="15" t="str">
        <f t="shared" si="8"/>
        <v>Sep-26</v>
      </c>
      <c r="D106" s="15" t="str">
        <f t="shared" si="9"/>
        <v>2026</v>
      </c>
      <c r="E106" s="15">
        <v>2026</v>
      </c>
      <c r="F106" s="15">
        <v>144</v>
      </c>
      <c r="G106" s="10" t="s">
        <v>28</v>
      </c>
      <c r="H106" s="10" t="s">
        <v>29</v>
      </c>
      <c r="I106" s="19">
        <v>115047.8</v>
      </c>
      <c r="J106" s="19">
        <v>4746.8500000000004</v>
      </c>
      <c r="K106" s="16">
        <f t="shared" si="5"/>
        <v>110300.95</v>
      </c>
    </row>
    <row r="107" spans="1:11" x14ac:dyDescent="0.3">
      <c r="A107" s="11">
        <f t="shared" si="7"/>
        <v>105</v>
      </c>
      <c r="B107" s="12">
        <v>46268</v>
      </c>
      <c r="C107" s="11" t="str">
        <f t="shared" si="8"/>
        <v>Sep-26</v>
      </c>
      <c r="D107" s="11" t="str">
        <f t="shared" si="9"/>
        <v>2026</v>
      </c>
      <c r="E107" s="11">
        <v>2026</v>
      </c>
      <c r="F107" s="11">
        <v>145</v>
      </c>
      <c r="G107" s="13" t="s">
        <v>28</v>
      </c>
      <c r="H107" s="13" t="s">
        <v>29</v>
      </c>
      <c r="I107" s="17">
        <v>142375</v>
      </c>
      <c r="J107" s="17">
        <v>5853.9</v>
      </c>
      <c r="K107" s="8">
        <f t="shared" si="5"/>
        <v>136521.1</v>
      </c>
    </row>
    <row r="108" spans="1:11" x14ac:dyDescent="0.3">
      <c r="A108" s="11">
        <f t="shared" si="7"/>
        <v>106</v>
      </c>
      <c r="B108" s="12">
        <v>46269</v>
      </c>
      <c r="C108" s="11" t="str">
        <f t="shared" si="8"/>
        <v>Sep-26</v>
      </c>
      <c r="D108" s="11" t="str">
        <f t="shared" si="9"/>
        <v>2026</v>
      </c>
      <c r="E108" s="11">
        <v>2026</v>
      </c>
      <c r="F108" s="11">
        <v>146</v>
      </c>
      <c r="G108" s="13" t="s">
        <v>28</v>
      </c>
      <c r="H108" s="13" t="s">
        <v>29</v>
      </c>
      <c r="I108" s="17">
        <v>162690.4</v>
      </c>
      <c r="J108" s="17">
        <v>6561.9500000000007</v>
      </c>
      <c r="K108" s="8">
        <f t="shared" si="5"/>
        <v>156128.44999999998</v>
      </c>
    </row>
    <row r="109" spans="1:11" x14ac:dyDescent="0.3">
      <c r="A109" s="11">
        <f t="shared" si="7"/>
        <v>107</v>
      </c>
      <c r="B109" s="12">
        <v>46270</v>
      </c>
      <c r="C109" s="11" t="str">
        <f t="shared" si="8"/>
        <v>Sep-26</v>
      </c>
      <c r="D109" s="11" t="str">
        <f t="shared" si="9"/>
        <v>2026</v>
      </c>
      <c r="E109" s="11">
        <v>2026</v>
      </c>
      <c r="F109" s="11">
        <v>147</v>
      </c>
      <c r="G109" s="13" t="s">
        <v>28</v>
      </c>
      <c r="H109" s="13" t="s">
        <v>29</v>
      </c>
      <c r="I109" s="17">
        <v>167808.7</v>
      </c>
      <c r="J109" s="17">
        <v>6564.95</v>
      </c>
      <c r="K109" s="8">
        <f t="shared" si="5"/>
        <v>161243.75</v>
      </c>
    </row>
    <row r="110" spans="1:11" x14ac:dyDescent="0.3">
      <c r="A110" s="11">
        <f t="shared" si="7"/>
        <v>108</v>
      </c>
      <c r="B110" s="12">
        <v>46272</v>
      </c>
      <c r="C110" s="11" t="str">
        <f t="shared" ref="C110:C115" si="10">TEXT(B110,"mmm-yy")</f>
        <v>Sep-26</v>
      </c>
      <c r="D110" s="11" t="str">
        <f t="shared" ref="D110:D115" si="11">TEXT(B110,"YYYY")</f>
        <v>2026</v>
      </c>
      <c r="E110" s="11">
        <v>2026</v>
      </c>
      <c r="F110" s="11">
        <v>148</v>
      </c>
      <c r="G110" s="13" t="s">
        <v>28</v>
      </c>
      <c r="H110" s="13" t="s">
        <v>29</v>
      </c>
      <c r="I110" s="17">
        <v>195057.7</v>
      </c>
      <c r="J110" s="17">
        <v>7522.75</v>
      </c>
      <c r="K110" s="8">
        <f t="shared" si="5"/>
        <v>187534.95</v>
      </c>
    </row>
    <row r="111" spans="1:11" x14ac:dyDescent="0.3">
      <c r="A111" s="11">
        <f t="shared" si="7"/>
        <v>109</v>
      </c>
      <c r="B111" s="12">
        <v>46273</v>
      </c>
      <c r="C111" s="11" t="str">
        <f t="shared" si="10"/>
        <v>Sep-26</v>
      </c>
      <c r="D111" s="11" t="str">
        <f t="shared" si="11"/>
        <v>2026</v>
      </c>
      <c r="E111" s="11">
        <v>2026</v>
      </c>
      <c r="F111" s="11">
        <v>149</v>
      </c>
      <c r="G111" s="13" t="s">
        <v>30</v>
      </c>
      <c r="H111" s="13" t="s">
        <v>29</v>
      </c>
      <c r="I111" s="17">
        <v>127408.9</v>
      </c>
      <c r="J111" s="17">
        <v>4979</v>
      </c>
      <c r="K111" s="8">
        <f t="shared" si="5"/>
        <v>122429.9</v>
      </c>
    </row>
    <row r="112" spans="1:11" x14ac:dyDescent="0.3">
      <c r="A112" s="11">
        <f t="shared" si="7"/>
        <v>110</v>
      </c>
      <c r="B112" s="12">
        <v>46274</v>
      </c>
      <c r="C112" s="11" t="str">
        <f t="shared" si="10"/>
        <v>Sep-26</v>
      </c>
      <c r="D112" s="11" t="str">
        <f t="shared" si="11"/>
        <v>2026</v>
      </c>
      <c r="E112" s="11">
        <v>2026</v>
      </c>
      <c r="F112" s="11">
        <v>150</v>
      </c>
      <c r="G112" s="13" t="s">
        <v>30</v>
      </c>
      <c r="H112" s="13" t="s">
        <v>29</v>
      </c>
      <c r="I112" s="17">
        <v>203477.3</v>
      </c>
      <c r="J112" s="17">
        <v>8114.5</v>
      </c>
      <c r="K112" s="8">
        <f t="shared" si="5"/>
        <v>195362.8</v>
      </c>
    </row>
    <row r="113" spans="1:11" x14ac:dyDescent="0.3">
      <c r="A113" s="11">
        <f t="shared" si="7"/>
        <v>111</v>
      </c>
      <c r="B113" s="12">
        <v>46275</v>
      </c>
      <c r="C113" s="11" t="str">
        <f t="shared" si="10"/>
        <v>Sep-26</v>
      </c>
      <c r="D113" s="11" t="str">
        <f t="shared" si="11"/>
        <v>2026</v>
      </c>
      <c r="E113" s="11">
        <v>2026</v>
      </c>
      <c r="F113" s="11">
        <v>151</v>
      </c>
      <c r="G113" s="13" t="s">
        <v>30</v>
      </c>
      <c r="H113" s="13" t="s">
        <v>29</v>
      </c>
      <c r="I113" s="17">
        <v>150665.20000000001</v>
      </c>
      <c r="J113" s="17">
        <v>6190.65</v>
      </c>
      <c r="K113" s="8">
        <f t="shared" si="5"/>
        <v>144474.55000000002</v>
      </c>
    </row>
    <row r="114" spans="1:11" x14ac:dyDescent="0.3">
      <c r="A114" s="11">
        <f t="shared" si="7"/>
        <v>112</v>
      </c>
      <c r="B114" s="12">
        <v>46276</v>
      </c>
      <c r="C114" s="11" t="str">
        <f t="shared" si="10"/>
        <v>Sep-26</v>
      </c>
      <c r="D114" s="11" t="str">
        <f t="shared" si="11"/>
        <v>2026</v>
      </c>
      <c r="E114" s="11">
        <v>2026</v>
      </c>
      <c r="F114" s="11">
        <v>152</v>
      </c>
      <c r="G114" s="13" t="s">
        <v>30</v>
      </c>
      <c r="H114" s="13" t="s">
        <v>29</v>
      </c>
      <c r="I114" s="17">
        <v>147762.4</v>
      </c>
      <c r="J114" s="17">
        <v>5977.2</v>
      </c>
      <c r="K114" s="8">
        <f t="shared" si="5"/>
        <v>141785.19999999998</v>
      </c>
    </row>
    <row r="115" spans="1:11" x14ac:dyDescent="0.3">
      <c r="A115" s="11">
        <f t="shared" si="7"/>
        <v>113</v>
      </c>
      <c r="B115" s="12">
        <v>46277</v>
      </c>
      <c r="C115" s="11" t="str">
        <f t="shared" si="10"/>
        <v>Sep-26</v>
      </c>
      <c r="D115" s="11" t="str">
        <f t="shared" si="11"/>
        <v>2026</v>
      </c>
      <c r="E115" s="11">
        <v>2026</v>
      </c>
      <c r="F115" s="11">
        <v>153</v>
      </c>
      <c r="G115" s="13" t="s">
        <v>30</v>
      </c>
      <c r="H115" s="13" t="s">
        <v>29</v>
      </c>
      <c r="I115" s="17">
        <v>153162.4</v>
      </c>
      <c r="J115" s="17">
        <v>5997.15</v>
      </c>
      <c r="K115" s="8">
        <f t="shared" si="5"/>
        <v>147165.25</v>
      </c>
    </row>
    <row r="116" spans="1:11" x14ac:dyDescent="0.3">
      <c r="A116" s="11">
        <f t="shared" si="7"/>
        <v>114</v>
      </c>
      <c r="B116" s="11"/>
      <c r="C116" s="11"/>
      <c r="D116" s="11"/>
      <c r="E116" s="11"/>
      <c r="F116" s="11"/>
      <c r="G116" s="11"/>
      <c r="H116" s="11"/>
      <c r="I116" s="14"/>
      <c r="J116" s="14"/>
      <c r="K116" s="8">
        <f t="shared" si="5"/>
        <v>0</v>
      </c>
    </row>
    <row r="117" spans="1:11" x14ac:dyDescent="0.3">
      <c r="A117" s="11">
        <f t="shared" si="7"/>
        <v>115</v>
      </c>
      <c r="B117" s="11"/>
      <c r="C117" s="11"/>
      <c r="D117" s="11"/>
      <c r="E117" s="11"/>
      <c r="F117" s="11"/>
      <c r="G117" s="11"/>
      <c r="H117" s="11"/>
      <c r="I117" s="14"/>
      <c r="J117" s="14"/>
      <c r="K117" s="8">
        <f t="shared" si="5"/>
        <v>0</v>
      </c>
    </row>
    <row r="118" spans="1:11" x14ac:dyDescent="0.3">
      <c r="A118" s="11">
        <f t="shared" si="7"/>
        <v>116</v>
      </c>
      <c r="B118" s="11"/>
      <c r="C118" s="11"/>
      <c r="D118" s="11"/>
      <c r="E118" s="11"/>
      <c r="F118" s="11"/>
      <c r="G118" s="11"/>
      <c r="H118" s="11"/>
      <c r="I118" s="14"/>
      <c r="J118" s="14"/>
      <c r="K118" s="8">
        <f t="shared" si="5"/>
        <v>0</v>
      </c>
    </row>
    <row r="119" spans="1:11" x14ac:dyDescent="0.3">
      <c r="A119" s="11">
        <f t="shared" si="7"/>
        <v>117</v>
      </c>
      <c r="B119" s="11"/>
      <c r="C119" s="11"/>
      <c r="D119" s="11"/>
      <c r="E119" s="11"/>
      <c r="F119" s="11"/>
      <c r="G119" s="11"/>
      <c r="H119" s="11"/>
      <c r="I119" s="14"/>
      <c r="J119" s="14"/>
      <c r="K119" s="8">
        <f t="shared" si="5"/>
        <v>0</v>
      </c>
    </row>
    <row r="120" spans="1:11" x14ac:dyDescent="0.3">
      <c r="A120" s="11">
        <f t="shared" si="7"/>
        <v>118</v>
      </c>
      <c r="B120" s="11"/>
      <c r="C120" s="11"/>
      <c r="D120" s="11"/>
      <c r="E120" s="11"/>
      <c r="F120" s="11"/>
      <c r="G120" s="11"/>
      <c r="H120" s="11"/>
      <c r="I120" s="14"/>
      <c r="J120" s="14"/>
      <c r="K120" s="8">
        <f t="shared" si="5"/>
        <v>0</v>
      </c>
    </row>
    <row r="121" spans="1:11" x14ac:dyDescent="0.3">
      <c r="A121" s="11">
        <f t="shared" si="7"/>
        <v>119</v>
      </c>
      <c r="B121" s="11"/>
      <c r="C121" s="11"/>
      <c r="D121" s="11"/>
      <c r="E121" s="11"/>
      <c r="F121" s="11"/>
      <c r="G121" s="11"/>
      <c r="H121" s="11"/>
      <c r="I121" s="14"/>
      <c r="J121" s="14"/>
      <c r="K121" s="8">
        <f t="shared" si="5"/>
        <v>0</v>
      </c>
    </row>
    <row r="122" spans="1:11" x14ac:dyDescent="0.3">
      <c r="A122" s="11">
        <f t="shared" si="7"/>
        <v>120</v>
      </c>
      <c r="B122" s="11"/>
      <c r="C122" s="11"/>
      <c r="D122" s="11"/>
      <c r="E122" s="11"/>
      <c r="F122" s="11"/>
      <c r="G122" s="11"/>
      <c r="H122" s="11"/>
      <c r="I122" s="14"/>
      <c r="J122" s="14"/>
      <c r="K122" s="8">
        <f t="shared" si="5"/>
        <v>0</v>
      </c>
    </row>
    <row r="123" spans="1:11" x14ac:dyDescent="0.3">
      <c r="A123" s="11">
        <f t="shared" si="7"/>
        <v>121</v>
      </c>
      <c r="B123" s="11"/>
      <c r="C123" s="11"/>
      <c r="D123" s="11"/>
      <c r="E123" s="11"/>
      <c r="F123" s="11"/>
      <c r="G123" s="11"/>
      <c r="H123" s="11"/>
      <c r="I123" s="14"/>
      <c r="J123" s="14"/>
      <c r="K123" s="8">
        <f t="shared" si="5"/>
        <v>0</v>
      </c>
    </row>
    <row r="124" spans="1:11" x14ac:dyDescent="0.3">
      <c r="A124" s="11">
        <f t="shared" si="7"/>
        <v>122</v>
      </c>
      <c r="B124" s="11"/>
      <c r="C124" s="11"/>
      <c r="D124" s="11"/>
      <c r="E124" s="11"/>
      <c r="F124" s="11"/>
      <c r="G124" s="11"/>
      <c r="H124" s="11"/>
      <c r="I124" s="14"/>
      <c r="J124" s="14"/>
      <c r="K124" s="8">
        <f t="shared" si="5"/>
        <v>0</v>
      </c>
    </row>
    <row r="125" spans="1:11" x14ac:dyDescent="0.3">
      <c r="A125" s="11">
        <f t="shared" si="7"/>
        <v>123</v>
      </c>
      <c r="B125" s="11"/>
      <c r="C125" s="11"/>
      <c r="D125" s="11"/>
      <c r="E125" s="11"/>
      <c r="F125" s="11"/>
      <c r="G125" s="11"/>
      <c r="H125" s="11"/>
      <c r="I125" s="14"/>
      <c r="J125" s="14"/>
      <c r="K125" s="8">
        <f t="shared" si="5"/>
        <v>0</v>
      </c>
    </row>
    <row r="126" spans="1:11" x14ac:dyDescent="0.3">
      <c r="A126" s="11">
        <f t="shared" si="7"/>
        <v>124</v>
      </c>
      <c r="B126" s="11"/>
      <c r="C126" s="11"/>
      <c r="D126" s="11"/>
      <c r="E126" s="11"/>
      <c r="F126" s="11"/>
      <c r="G126" s="11"/>
      <c r="H126" s="11"/>
      <c r="I126" s="14"/>
      <c r="J126" s="14"/>
      <c r="K126" s="8">
        <f t="shared" si="5"/>
        <v>0</v>
      </c>
    </row>
    <row r="127" spans="1:11" x14ac:dyDescent="0.3">
      <c r="A127" s="11">
        <f t="shared" si="7"/>
        <v>125</v>
      </c>
      <c r="B127" s="11"/>
      <c r="C127" s="11"/>
      <c r="D127" s="11"/>
      <c r="E127" s="11"/>
      <c r="F127" s="11"/>
      <c r="G127" s="11"/>
      <c r="H127" s="11"/>
      <c r="I127" s="14"/>
      <c r="J127" s="14"/>
      <c r="K127" s="8">
        <f t="shared" si="5"/>
        <v>0</v>
      </c>
    </row>
    <row r="128" spans="1:11" x14ac:dyDescent="0.3">
      <c r="A128" s="11">
        <f t="shared" si="7"/>
        <v>126</v>
      </c>
      <c r="B128" s="11"/>
      <c r="C128" s="11"/>
      <c r="D128" s="11"/>
      <c r="E128" s="11"/>
      <c r="F128" s="11"/>
      <c r="G128" s="11"/>
      <c r="H128" s="11"/>
      <c r="I128" s="14"/>
      <c r="J128" s="14"/>
      <c r="K128" s="8">
        <f t="shared" si="5"/>
        <v>0</v>
      </c>
    </row>
    <row r="129" spans="1:11" x14ac:dyDescent="0.3">
      <c r="A129" s="11">
        <f t="shared" si="7"/>
        <v>127</v>
      </c>
      <c r="B129" s="11"/>
      <c r="C129" s="11"/>
      <c r="D129" s="11"/>
      <c r="E129" s="11"/>
      <c r="F129" s="11"/>
      <c r="G129" s="11"/>
      <c r="H129" s="11"/>
      <c r="I129" s="14"/>
      <c r="J129" s="14"/>
      <c r="K129" s="8">
        <f t="shared" si="5"/>
        <v>0</v>
      </c>
    </row>
    <row r="130" spans="1:11" x14ac:dyDescent="0.3">
      <c r="A130" s="11">
        <f t="shared" si="7"/>
        <v>128</v>
      </c>
      <c r="B130" s="11"/>
      <c r="C130" s="11"/>
      <c r="D130" s="11"/>
      <c r="E130" s="11"/>
      <c r="F130" s="11"/>
      <c r="G130" s="11"/>
      <c r="H130" s="11"/>
      <c r="I130" s="14"/>
      <c r="J130" s="14"/>
      <c r="K130" s="8">
        <f t="shared" si="5"/>
        <v>0</v>
      </c>
    </row>
    <row r="131" spans="1:11" x14ac:dyDescent="0.3">
      <c r="A131" s="11">
        <f t="shared" si="7"/>
        <v>129</v>
      </c>
      <c r="B131" s="11"/>
      <c r="C131" s="11"/>
      <c r="D131" s="11"/>
      <c r="E131" s="11"/>
      <c r="F131" s="11"/>
      <c r="G131" s="11"/>
      <c r="H131" s="11"/>
      <c r="I131" s="14"/>
      <c r="J131" s="14"/>
      <c r="K131" s="8">
        <f t="shared" si="5"/>
        <v>0</v>
      </c>
    </row>
    <row r="132" spans="1:11" x14ac:dyDescent="0.3">
      <c r="A132" s="11">
        <f t="shared" si="7"/>
        <v>130</v>
      </c>
      <c r="B132" s="11"/>
      <c r="C132" s="11"/>
      <c r="D132" s="11"/>
      <c r="E132" s="11"/>
      <c r="F132" s="11"/>
      <c r="G132" s="11"/>
      <c r="H132" s="11"/>
      <c r="I132" s="14"/>
      <c r="J132" s="14"/>
      <c r="K132" s="8">
        <f t="shared" ref="K132:K161" si="12">I132-J132</f>
        <v>0</v>
      </c>
    </row>
    <row r="133" spans="1:11" x14ac:dyDescent="0.3">
      <c r="A133" s="11">
        <f t="shared" si="7"/>
        <v>131</v>
      </c>
      <c r="B133" s="11"/>
      <c r="C133" s="11"/>
      <c r="D133" s="11"/>
      <c r="E133" s="11"/>
      <c r="F133" s="11"/>
      <c r="G133" s="11"/>
      <c r="H133" s="11"/>
      <c r="I133" s="14"/>
      <c r="J133" s="14"/>
      <c r="K133" s="8">
        <f t="shared" si="12"/>
        <v>0</v>
      </c>
    </row>
    <row r="134" spans="1:11" x14ac:dyDescent="0.3">
      <c r="A134" s="11">
        <f t="shared" ref="A134:A161" si="13">A133+1</f>
        <v>132</v>
      </c>
      <c r="B134" s="11"/>
      <c r="C134" s="11"/>
      <c r="D134" s="11"/>
      <c r="E134" s="11"/>
      <c r="F134" s="11"/>
      <c r="G134" s="11"/>
      <c r="H134" s="11"/>
      <c r="I134" s="14"/>
      <c r="J134" s="14"/>
      <c r="K134" s="8">
        <f t="shared" si="12"/>
        <v>0</v>
      </c>
    </row>
    <row r="135" spans="1:11" x14ac:dyDescent="0.3">
      <c r="A135" s="11">
        <f t="shared" si="13"/>
        <v>133</v>
      </c>
      <c r="B135" s="11"/>
      <c r="C135" s="11"/>
      <c r="D135" s="11"/>
      <c r="E135" s="11"/>
      <c r="F135" s="11"/>
      <c r="G135" s="11"/>
      <c r="H135" s="11"/>
      <c r="I135" s="14"/>
      <c r="J135" s="14"/>
      <c r="K135" s="8">
        <f t="shared" si="12"/>
        <v>0</v>
      </c>
    </row>
    <row r="136" spans="1:11" x14ac:dyDescent="0.3">
      <c r="A136" s="11">
        <f t="shared" si="13"/>
        <v>134</v>
      </c>
      <c r="B136" s="11"/>
      <c r="C136" s="11"/>
      <c r="D136" s="11"/>
      <c r="E136" s="11"/>
      <c r="F136" s="11"/>
      <c r="G136" s="11"/>
      <c r="H136" s="11"/>
      <c r="I136" s="14"/>
      <c r="J136" s="14"/>
      <c r="K136" s="8">
        <f t="shared" si="12"/>
        <v>0</v>
      </c>
    </row>
    <row r="137" spans="1:11" x14ac:dyDescent="0.3">
      <c r="A137" s="11">
        <f t="shared" si="13"/>
        <v>135</v>
      </c>
      <c r="B137" s="11"/>
      <c r="C137" s="11"/>
      <c r="D137" s="11"/>
      <c r="E137" s="11"/>
      <c r="F137" s="11"/>
      <c r="G137" s="11"/>
      <c r="H137" s="11"/>
      <c r="I137" s="14"/>
      <c r="J137" s="14"/>
      <c r="K137" s="8">
        <f t="shared" si="12"/>
        <v>0</v>
      </c>
    </row>
    <row r="138" spans="1:11" x14ac:dyDescent="0.3">
      <c r="A138" s="11">
        <f t="shared" si="13"/>
        <v>136</v>
      </c>
      <c r="B138" s="11"/>
      <c r="C138" s="11"/>
      <c r="D138" s="11"/>
      <c r="E138" s="11"/>
      <c r="F138" s="11"/>
      <c r="G138" s="11"/>
      <c r="H138" s="11"/>
      <c r="I138" s="14"/>
      <c r="J138" s="14"/>
      <c r="K138" s="8">
        <f t="shared" si="12"/>
        <v>0</v>
      </c>
    </row>
    <row r="139" spans="1:11" x14ac:dyDescent="0.3">
      <c r="A139" s="11">
        <f t="shared" si="13"/>
        <v>137</v>
      </c>
      <c r="B139" s="11"/>
      <c r="C139" s="11"/>
      <c r="D139" s="11"/>
      <c r="E139" s="11"/>
      <c r="F139" s="11"/>
      <c r="G139" s="11"/>
      <c r="H139" s="11"/>
      <c r="I139" s="14"/>
      <c r="J139" s="14"/>
      <c r="K139" s="8">
        <f t="shared" si="12"/>
        <v>0</v>
      </c>
    </row>
    <row r="140" spans="1:11" x14ac:dyDescent="0.3">
      <c r="A140" s="11">
        <f t="shared" si="13"/>
        <v>138</v>
      </c>
      <c r="B140" s="11"/>
      <c r="C140" s="11"/>
      <c r="D140" s="11"/>
      <c r="E140" s="11"/>
      <c r="F140" s="11"/>
      <c r="G140" s="11"/>
      <c r="H140" s="11"/>
      <c r="I140" s="14"/>
      <c r="J140" s="14"/>
      <c r="K140" s="8">
        <f t="shared" si="12"/>
        <v>0</v>
      </c>
    </row>
    <row r="141" spans="1:11" x14ac:dyDescent="0.3">
      <c r="A141" s="11">
        <f t="shared" si="13"/>
        <v>139</v>
      </c>
      <c r="B141" s="11"/>
      <c r="C141" s="11"/>
      <c r="D141" s="11"/>
      <c r="E141" s="11"/>
      <c r="F141" s="11"/>
      <c r="G141" s="11"/>
      <c r="H141" s="11"/>
      <c r="I141" s="14"/>
      <c r="J141" s="14"/>
      <c r="K141" s="8">
        <f t="shared" si="12"/>
        <v>0</v>
      </c>
    </row>
    <row r="142" spans="1:11" x14ac:dyDescent="0.3">
      <c r="A142" s="11">
        <f t="shared" si="13"/>
        <v>140</v>
      </c>
      <c r="B142" s="11"/>
      <c r="C142" s="11"/>
      <c r="D142" s="11"/>
      <c r="E142" s="11"/>
      <c r="F142" s="11"/>
      <c r="G142" s="11"/>
      <c r="H142" s="11"/>
      <c r="I142" s="14"/>
      <c r="J142" s="14"/>
      <c r="K142" s="8">
        <f t="shared" si="12"/>
        <v>0</v>
      </c>
    </row>
    <row r="143" spans="1:11" x14ac:dyDescent="0.3">
      <c r="A143" s="11">
        <f t="shared" si="13"/>
        <v>141</v>
      </c>
      <c r="B143" s="11"/>
      <c r="C143" s="11"/>
      <c r="D143" s="11"/>
      <c r="E143" s="11"/>
      <c r="F143" s="11"/>
      <c r="G143" s="11"/>
      <c r="H143" s="11"/>
      <c r="I143" s="14"/>
      <c r="J143" s="14"/>
      <c r="K143" s="8">
        <f t="shared" si="12"/>
        <v>0</v>
      </c>
    </row>
    <row r="144" spans="1:11" x14ac:dyDescent="0.3">
      <c r="A144" s="11">
        <f t="shared" si="13"/>
        <v>142</v>
      </c>
      <c r="B144" s="11"/>
      <c r="C144" s="11"/>
      <c r="D144" s="11"/>
      <c r="E144" s="11"/>
      <c r="F144" s="11"/>
      <c r="G144" s="11"/>
      <c r="H144" s="11"/>
      <c r="I144" s="14"/>
      <c r="J144" s="14"/>
      <c r="K144" s="8">
        <f t="shared" si="12"/>
        <v>0</v>
      </c>
    </row>
    <row r="145" spans="1:11" x14ac:dyDescent="0.3">
      <c r="A145" s="11">
        <f t="shared" si="13"/>
        <v>143</v>
      </c>
      <c r="B145" s="11"/>
      <c r="C145" s="11"/>
      <c r="D145" s="11"/>
      <c r="E145" s="11"/>
      <c r="F145" s="11"/>
      <c r="G145" s="11"/>
      <c r="H145" s="11"/>
      <c r="I145" s="14"/>
      <c r="J145" s="14"/>
      <c r="K145" s="8">
        <f t="shared" si="12"/>
        <v>0</v>
      </c>
    </row>
    <row r="146" spans="1:11" x14ac:dyDescent="0.3">
      <c r="A146" s="11">
        <f t="shared" si="13"/>
        <v>144</v>
      </c>
      <c r="B146" s="11"/>
      <c r="C146" s="11"/>
      <c r="D146" s="11"/>
      <c r="E146" s="11"/>
      <c r="F146" s="11"/>
      <c r="G146" s="11"/>
      <c r="H146" s="11"/>
      <c r="I146" s="14"/>
      <c r="J146" s="14"/>
      <c r="K146" s="8">
        <f t="shared" si="12"/>
        <v>0</v>
      </c>
    </row>
    <row r="147" spans="1:11" x14ac:dyDescent="0.3">
      <c r="A147" s="11">
        <f t="shared" si="13"/>
        <v>145</v>
      </c>
      <c r="B147" s="11"/>
      <c r="C147" s="11"/>
      <c r="D147" s="11"/>
      <c r="E147" s="11"/>
      <c r="F147" s="11"/>
      <c r="G147" s="11"/>
      <c r="H147" s="11"/>
      <c r="I147" s="14"/>
      <c r="J147" s="14"/>
      <c r="K147" s="8">
        <f t="shared" si="12"/>
        <v>0</v>
      </c>
    </row>
    <row r="148" spans="1:11" x14ac:dyDescent="0.3">
      <c r="A148" s="11">
        <f t="shared" si="13"/>
        <v>146</v>
      </c>
      <c r="B148" s="11"/>
      <c r="C148" s="11"/>
      <c r="D148" s="11"/>
      <c r="E148" s="11"/>
      <c r="F148" s="11"/>
      <c r="G148" s="11"/>
      <c r="H148" s="11"/>
      <c r="I148" s="14"/>
      <c r="J148" s="14"/>
      <c r="K148" s="8">
        <f t="shared" si="12"/>
        <v>0</v>
      </c>
    </row>
    <row r="149" spans="1:11" x14ac:dyDescent="0.3">
      <c r="A149" s="11">
        <f t="shared" si="13"/>
        <v>147</v>
      </c>
      <c r="B149" s="11"/>
      <c r="C149" s="11"/>
      <c r="D149" s="11"/>
      <c r="E149" s="11"/>
      <c r="F149" s="11"/>
      <c r="G149" s="11"/>
      <c r="H149" s="11"/>
      <c r="I149" s="14"/>
      <c r="J149" s="14"/>
      <c r="K149" s="8">
        <f t="shared" si="12"/>
        <v>0</v>
      </c>
    </row>
    <row r="150" spans="1:11" x14ac:dyDescent="0.3">
      <c r="A150" s="11">
        <f t="shared" si="13"/>
        <v>148</v>
      </c>
      <c r="B150" s="11"/>
      <c r="C150" s="11"/>
      <c r="D150" s="11"/>
      <c r="E150" s="11"/>
      <c r="F150" s="11"/>
      <c r="G150" s="11"/>
      <c r="H150" s="11"/>
      <c r="I150" s="14"/>
      <c r="J150" s="14"/>
      <c r="K150" s="8">
        <f t="shared" si="12"/>
        <v>0</v>
      </c>
    </row>
    <row r="151" spans="1:11" x14ac:dyDescent="0.3">
      <c r="A151" s="11">
        <f t="shared" si="13"/>
        <v>149</v>
      </c>
      <c r="B151" s="11"/>
      <c r="C151" s="11"/>
      <c r="D151" s="11"/>
      <c r="E151" s="11"/>
      <c r="F151" s="11"/>
      <c r="G151" s="11"/>
      <c r="H151" s="11"/>
      <c r="I151" s="14"/>
      <c r="J151" s="14"/>
      <c r="K151" s="8">
        <f t="shared" si="12"/>
        <v>0</v>
      </c>
    </row>
    <row r="152" spans="1:11" x14ac:dyDescent="0.3">
      <c r="A152" s="11">
        <f t="shared" si="13"/>
        <v>150</v>
      </c>
      <c r="B152" s="11"/>
      <c r="C152" s="11"/>
      <c r="D152" s="11"/>
      <c r="E152" s="11"/>
      <c r="F152" s="11"/>
      <c r="G152" s="11"/>
      <c r="H152" s="11"/>
      <c r="I152" s="14"/>
      <c r="J152" s="14"/>
      <c r="K152" s="8">
        <f t="shared" si="12"/>
        <v>0</v>
      </c>
    </row>
    <row r="153" spans="1:11" x14ac:dyDescent="0.3">
      <c r="A153" s="11">
        <f t="shared" si="13"/>
        <v>151</v>
      </c>
      <c r="B153" s="11"/>
      <c r="C153" s="11"/>
      <c r="D153" s="11"/>
      <c r="E153" s="11"/>
      <c r="F153" s="11"/>
      <c r="G153" s="11"/>
      <c r="H153" s="11"/>
      <c r="I153" s="14"/>
      <c r="J153" s="14"/>
      <c r="K153" s="8">
        <f t="shared" si="12"/>
        <v>0</v>
      </c>
    </row>
    <row r="154" spans="1:11" x14ac:dyDescent="0.3">
      <c r="A154" s="11">
        <f t="shared" si="13"/>
        <v>152</v>
      </c>
      <c r="B154" s="11"/>
      <c r="C154" s="11"/>
      <c r="D154" s="11"/>
      <c r="E154" s="11"/>
      <c r="F154" s="11"/>
      <c r="G154" s="11"/>
      <c r="H154" s="11"/>
      <c r="I154" s="14"/>
      <c r="J154" s="14"/>
      <c r="K154" s="8">
        <f t="shared" si="12"/>
        <v>0</v>
      </c>
    </row>
    <row r="155" spans="1:11" x14ac:dyDescent="0.3">
      <c r="A155" s="11">
        <f t="shared" si="13"/>
        <v>153</v>
      </c>
      <c r="B155" s="11"/>
      <c r="C155" s="11"/>
      <c r="D155" s="11"/>
      <c r="E155" s="11"/>
      <c r="F155" s="11"/>
      <c r="G155" s="11"/>
      <c r="H155" s="11"/>
      <c r="I155" s="14"/>
      <c r="J155" s="14"/>
      <c r="K155" s="8">
        <f t="shared" si="12"/>
        <v>0</v>
      </c>
    </row>
    <row r="156" spans="1:11" x14ac:dyDescent="0.3">
      <c r="A156" s="11">
        <f t="shared" si="13"/>
        <v>154</v>
      </c>
      <c r="B156" s="11"/>
      <c r="C156" s="11"/>
      <c r="D156" s="11"/>
      <c r="E156" s="11"/>
      <c r="F156" s="11"/>
      <c r="G156" s="11"/>
      <c r="H156" s="11"/>
      <c r="I156" s="14"/>
      <c r="J156" s="14"/>
      <c r="K156" s="8">
        <f t="shared" si="12"/>
        <v>0</v>
      </c>
    </row>
    <row r="157" spans="1:11" x14ac:dyDescent="0.3">
      <c r="A157" s="11">
        <f t="shared" si="13"/>
        <v>155</v>
      </c>
      <c r="B157" s="11"/>
      <c r="C157" s="11"/>
      <c r="D157" s="11"/>
      <c r="E157" s="11"/>
      <c r="F157" s="11"/>
      <c r="G157" s="11"/>
      <c r="H157" s="11"/>
      <c r="I157" s="14"/>
      <c r="J157" s="14"/>
      <c r="K157" s="8">
        <f t="shared" si="12"/>
        <v>0</v>
      </c>
    </row>
    <row r="158" spans="1:11" x14ac:dyDescent="0.3">
      <c r="A158" s="11">
        <f t="shared" si="13"/>
        <v>156</v>
      </c>
      <c r="B158" s="11"/>
      <c r="C158" s="11"/>
      <c r="D158" s="11"/>
      <c r="E158" s="11"/>
      <c r="F158" s="11"/>
      <c r="G158" s="11"/>
      <c r="H158" s="11"/>
      <c r="I158" s="14"/>
      <c r="J158" s="14"/>
      <c r="K158" s="8">
        <f t="shared" si="12"/>
        <v>0</v>
      </c>
    </row>
    <row r="159" spans="1:11" x14ac:dyDescent="0.3">
      <c r="A159" s="11">
        <f t="shared" si="13"/>
        <v>157</v>
      </c>
      <c r="B159" s="11"/>
      <c r="C159" s="11"/>
      <c r="D159" s="11"/>
      <c r="E159" s="11"/>
      <c r="F159" s="11"/>
      <c r="G159" s="11"/>
      <c r="H159" s="11"/>
      <c r="I159" s="14"/>
      <c r="J159" s="14"/>
      <c r="K159" s="8">
        <f t="shared" si="12"/>
        <v>0</v>
      </c>
    </row>
    <row r="160" spans="1:11" x14ac:dyDescent="0.3">
      <c r="A160" s="11">
        <f t="shared" si="13"/>
        <v>158</v>
      </c>
      <c r="B160" s="11"/>
      <c r="C160" s="11"/>
      <c r="D160" s="11"/>
      <c r="E160" s="11"/>
      <c r="F160" s="11"/>
      <c r="G160" s="11"/>
      <c r="H160" s="11"/>
      <c r="I160" s="14"/>
      <c r="J160" s="14"/>
      <c r="K160" s="8">
        <f t="shared" si="12"/>
        <v>0</v>
      </c>
    </row>
    <row r="161" spans="1:11" x14ac:dyDescent="0.3">
      <c r="A161" s="11">
        <f t="shared" si="13"/>
        <v>159</v>
      </c>
      <c r="B161" s="11"/>
      <c r="C161" s="11"/>
      <c r="D161" s="11"/>
      <c r="E161" s="11"/>
      <c r="F161" s="11"/>
      <c r="G161" s="11"/>
      <c r="H161" s="11"/>
      <c r="I161" s="14"/>
      <c r="J161" s="14"/>
      <c r="K161" s="8">
        <f t="shared" si="1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RCN Receipts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2026-05-20T23:40:11Z</dcterms:created>
  <dcterms:modified xsi:type="dcterms:W3CDTF">2026-09-16T15:01:47Z</dcterms:modified>
</cp:coreProperties>
</file>