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AA73DB92-1373-4343-8E24-27C4D0E7BA1C}" xr6:coauthVersionLast="47" xr6:coauthVersionMax="47" xr10:uidLastSave="{00000000-0000-0000-0000-000000000000}"/>
  <bookViews>
    <workbookView xWindow="-108" yWindow="-108" windowWidth="23256" windowHeight="13896" activeTab="2" xr2:uid="{AEFEF1BC-83ED-4689-BD69-DC8D15B63924}"/>
  </bookViews>
  <sheets>
    <sheet name="Sheet2" sheetId="2" r:id="rId1"/>
    <sheet name="Sheet3" sheetId="3" r:id="rId2"/>
    <sheet name="Sheet1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8" i="1"/>
  <c r="Z19" i="1"/>
  <c r="Z20" i="1"/>
  <c r="Z21" i="1"/>
  <c r="Z22" i="1"/>
  <c r="Z23" i="1"/>
  <c r="Z24" i="1"/>
  <c r="Z25" i="1"/>
  <c r="Z26" i="1"/>
  <c r="Z27" i="1"/>
  <c r="Z30" i="1"/>
  <c r="Z31" i="1"/>
  <c r="Z32" i="1"/>
  <c r="Z33" i="1"/>
  <c r="Z34" i="1"/>
  <c r="Z35" i="1"/>
  <c r="Z36" i="1"/>
  <c r="Z37" i="1"/>
  <c r="Z38" i="1"/>
  <c r="Z39" i="1"/>
  <c r="Z42" i="1"/>
  <c r="Z43" i="1"/>
  <c r="Z44" i="1"/>
  <c r="Z45" i="1"/>
  <c r="Z46" i="1"/>
  <c r="Z47" i="1"/>
  <c r="Z48" i="1"/>
  <c r="Z49" i="1"/>
  <c r="Z50" i="1"/>
  <c r="Z51" i="1"/>
  <c r="Z54" i="1"/>
  <c r="Z55" i="1"/>
  <c r="Z56" i="1"/>
  <c r="Z57" i="1"/>
  <c r="Z58" i="1"/>
  <c r="Z59" i="1"/>
  <c r="Z60" i="1"/>
  <c r="Z61" i="1"/>
  <c r="Z62" i="1"/>
  <c r="Z63" i="1"/>
  <c r="Z66" i="1"/>
  <c r="Z67" i="1"/>
  <c r="Z68" i="1"/>
  <c r="Z69" i="1"/>
  <c r="Z70" i="1"/>
  <c r="Z71" i="1"/>
  <c r="Z72" i="1"/>
  <c r="Z73" i="1"/>
  <c r="Z74" i="1"/>
  <c r="Z75" i="1"/>
  <c r="Z78" i="1"/>
  <c r="Z79" i="1"/>
  <c r="Z80" i="1"/>
  <c r="Z81" i="1"/>
  <c r="Z82" i="1"/>
  <c r="Z83" i="1"/>
  <c r="Z84" i="1"/>
  <c r="Z85" i="1"/>
  <c r="Z86" i="1"/>
  <c r="Z87" i="1"/>
  <c r="Z90" i="1"/>
  <c r="Z91" i="1"/>
  <c r="Z92" i="1"/>
  <c r="Z93" i="1"/>
  <c r="Z94" i="1"/>
  <c r="Z95" i="1"/>
  <c r="Z96" i="1"/>
  <c r="Z97" i="1"/>
  <c r="Z98" i="1"/>
  <c r="Z99" i="1"/>
  <c r="Z102" i="1"/>
  <c r="Z103" i="1"/>
  <c r="Z104" i="1"/>
  <c r="Z105" i="1"/>
  <c r="Z106" i="1"/>
  <c r="Z107" i="1"/>
  <c r="Z108" i="1"/>
  <c r="Z109" i="1"/>
  <c r="Z110" i="1"/>
  <c r="Z111" i="1"/>
  <c r="Z114" i="1"/>
  <c r="Z115" i="1"/>
  <c r="Z116" i="1"/>
  <c r="Z117" i="1"/>
  <c r="Z118" i="1"/>
  <c r="Z119" i="1"/>
  <c r="Z120" i="1"/>
  <c r="Z121" i="1"/>
  <c r="Z122" i="1"/>
  <c r="Z123" i="1"/>
  <c r="Z126" i="1"/>
  <c r="Z127" i="1"/>
  <c r="Z128" i="1"/>
  <c r="Z129" i="1"/>
  <c r="Z130" i="1"/>
  <c r="Z131" i="1"/>
  <c r="Z132" i="1"/>
  <c r="Z133" i="1"/>
  <c r="Z134" i="1"/>
  <c r="Z135" i="1"/>
  <c r="Z138" i="1"/>
  <c r="Z139" i="1"/>
  <c r="Z140" i="1"/>
  <c r="Z141" i="1"/>
  <c r="Z142" i="1"/>
  <c r="Z143" i="1"/>
  <c r="Z144" i="1"/>
  <c r="Z145" i="1"/>
  <c r="Z146" i="1"/>
  <c r="Z147" i="1"/>
  <c r="Z150" i="1"/>
  <c r="Z151" i="1"/>
  <c r="Z152" i="1"/>
  <c r="Z153" i="1"/>
  <c r="Z154" i="1"/>
  <c r="Z155" i="1"/>
  <c r="Z156" i="1"/>
  <c r="Z157" i="1"/>
  <c r="Z158" i="1"/>
  <c r="Z159" i="1"/>
  <c r="Z162" i="1"/>
  <c r="Z163" i="1"/>
  <c r="Z164" i="1"/>
  <c r="Z165" i="1"/>
  <c r="Z166" i="1"/>
  <c r="Z167" i="1"/>
  <c r="Z168" i="1"/>
  <c r="Z169" i="1"/>
  <c r="Z170" i="1"/>
  <c r="Z171" i="1"/>
  <c r="Z174" i="1"/>
  <c r="Z175" i="1"/>
  <c r="Z176" i="1"/>
  <c r="Z177" i="1"/>
  <c r="Z178" i="1"/>
  <c r="Z179" i="1"/>
  <c r="Z180" i="1"/>
  <c r="Z181" i="1"/>
  <c r="Z182" i="1"/>
  <c r="Z183" i="1"/>
  <c r="Z186" i="1"/>
  <c r="Z187" i="1"/>
  <c r="Z188" i="1"/>
  <c r="Z189" i="1"/>
  <c r="Z190" i="1"/>
  <c r="Z191" i="1"/>
  <c r="Z192" i="1"/>
  <c r="Z193" i="1"/>
  <c r="Z194" i="1"/>
  <c r="Z195" i="1"/>
  <c r="Z198" i="1"/>
  <c r="Z199" i="1"/>
  <c r="Z200" i="1"/>
  <c r="Z201" i="1"/>
  <c r="Z202" i="1"/>
  <c r="Z203" i="1"/>
  <c r="Z204" i="1"/>
  <c r="Z205" i="1"/>
  <c r="Z206" i="1"/>
  <c r="Z207" i="1"/>
  <c r="Z210" i="1"/>
  <c r="Z211" i="1"/>
  <c r="Z212" i="1"/>
  <c r="Z213" i="1"/>
  <c r="Z214" i="1"/>
  <c r="Z215" i="1"/>
  <c r="Z216" i="1"/>
  <c r="Z217" i="1"/>
  <c r="Z218" i="1"/>
  <c r="Z219" i="1"/>
  <c r="Z222" i="1"/>
  <c r="Z223" i="1"/>
  <c r="Z224" i="1"/>
  <c r="Z225" i="1"/>
  <c r="Z226" i="1"/>
  <c r="Z227" i="1"/>
  <c r="Z228" i="1"/>
  <c r="Z229" i="1"/>
  <c r="Z230" i="1"/>
  <c r="Z231" i="1"/>
  <c r="Z234" i="1"/>
  <c r="Z235" i="1"/>
  <c r="Z236" i="1"/>
  <c r="Z237" i="1"/>
  <c r="Z238" i="1"/>
  <c r="Z239" i="1"/>
  <c r="Z240" i="1"/>
  <c r="Z241" i="1"/>
  <c r="Z242" i="1"/>
  <c r="Z243" i="1"/>
  <c r="Z246" i="1"/>
  <c r="Z247" i="1"/>
  <c r="Z248" i="1"/>
  <c r="Z249" i="1"/>
  <c r="Z250" i="1"/>
  <c r="Z251" i="1"/>
  <c r="Z252" i="1"/>
  <c r="Z253" i="1"/>
  <c r="Z254" i="1"/>
  <c r="Z255" i="1"/>
  <c r="Z258" i="1"/>
  <c r="Z259" i="1"/>
  <c r="Z260" i="1"/>
  <c r="Z261" i="1"/>
  <c r="Z262" i="1"/>
  <c r="Z263" i="1"/>
  <c r="Z264" i="1"/>
  <c r="Z265" i="1"/>
  <c r="Z266" i="1"/>
  <c r="Z267" i="1"/>
  <c r="Z270" i="1"/>
  <c r="Z271" i="1"/>
  <c r="Z272" i="1"/>
  <c r="Z273" i="1"/>
  <c r="Z274" i="1"/>
  <c r="Z275" i="1"/>
  <c r="Z276" i="1"/>
  <c r="Z277" i="1"/>
  <c r="Z278" i="1"/>
  <c r="Z279" i="1"/>
  <c r="Z282" i="1"/>
  <c r="Z283" i="1"/>
  <c r="Z284" i="1"/>
  <c r="Z285" i="1"/>
  <c r="Z286" i="1"/>
  <c r="Z287" i="1"/>
  <c r="Z288" i="1"/>
  <c r="Z289" i="1"/>
  <c r="Z290" i="1"/>
  <c r="Z291" i="1"/>
  <c r="Z294" i="1"/>
  <c r="Z295" i="1"/>
  <c r="Z296" i="1"/>
  <c r="Z297" i="1"/>
  <c r="Z298" i="1"/>
  <c r="Z299" i="1"/>
  <c r="Z300" i="1"/>
  <c r="Z301" i="1"/>
  <c r="Z302" i="1"/>
  <c r="Z303" i="1"/>
  <c r="Z306" i="1"/>
  <c r="Z307" i="1"/>
  <c r="Z308" i="1"/>
  <c r="Z309" i="1"/>
  <c r="Z310" i="1"/>
  <c r="Z311" i="1"/>
  <c r="Z312" i="1"/>
  <c r="Z313" i="1"/>
  <c r="Z314" i="1"/>
  <c r="Z315" i="1"/>
  <c r="Z318" i="1"/>
  <c r="Z319" i="1"/>
  <c r="Z320" i="1"/>
  <c r="Z321" i="1"/>
  <c r="Z322" i="1"/>
  <c r="Z323" i="1"/>
  <c r="Z324" i="1"/>
  <c r="Z325" i="1"/>
  <c r="Z326" i="1"/>
  <c r="Z327" i="1"/>
  <c r="Z330" i="1"/>
  <c r="Z331" i="1"/>
  <c r="Z332" i="1"/>
  <c r="Z333" i="1"/>
  <c r="Z334" i="1"/>
  <c r="Z335" i="1"/>
  <c r="Z336" i="1"/>
  <c r="Z337" i="1"/>
  <c r="Z338" i="1"/>
  <c r="Z339" i="1"/>
  <c r="Z342" i="1"/>
  <c r="Z343" i="1"/>
  <c r="Z344" i="1"/>
  <c r="Z345" i="1"/>
  <c r="Z346" i="1"/>
  <c r="Z347" i="1"/>
  <c r="Z348" i="1"/>
  <c r="Z349" i="1"/>
  <c r="Z350" i="1"/>
  <c r="Z351" i="1"/>
  <c r="Z354" i="1"/>
  <c r="Z355" i="1"/>
  <c r="Z356" i="1"/>
  <c r="Z357" i="1"/>
  <c r="Z358" i="1"/>
  <c r="Z359" i="1"/>
  <c r="Z360" i="1"/>
  <c r="Z361" i="1"/>
  <c r="Z362" i="1"/>
  <c r="Z363" i="1"/>
  <c r="Z366" i="1"/>
  <c r="Z367" i="1"/>
  <c r="Z368" i="1"/>
  <c r="Z369" i="1"/>
  <c r="Z370" i="1"/>
  <c r="Z371" i="1"/>
  <c r="Z372" i="1"/>
  <c r="Z373" i="1"/>
  <c r="Z374" i="1"/>
  <c r="Z375" i="1"/>
  <c r="Z378" i="1"/>
  <c r="Z379" i="1"/>
  <c r="Z380" i="1"/>
  <c r="Z381" i="1"/>
  <c r="Z382" i="1"/>
  <c r="Z383" i="1"/>
  <c r="Z384" i="1"/>
  <c r="Z385" i="1"/>
  <c r="Z386" i="1"/>
  <c r="Z387" i="1"/>
  <c r="Z390" i="1"/>
  <c r="Z391" i="1"/>
  <c r="Z392" i="1"/>
  <c r="Z393" i="1"/>
  <c r="Z394" i="1"/>
  <c r="Z395" i="1"/>
  <c r="Z396" i="1"/>
  <c r="Z397" i="1"/>
  <c r="Z398" i="1"/>
  <c r="Z399" i="1"/>
  <c r="Z402" i="1"/>
  <c r="Z403" i="1"/>
  <c r="Z404" i="1"/>
  <c r="Z405" i="1"/>
  <c r="Z406" i="1"/>
  <c r="Z407" i="1"/>
  <c r="Z408" i="1"/>
  <c r="Z409" i="1"/>
  <c r="Z410" i="1"/>
  <c r="Z411" i="1"/>
  <c r="Z414" i="1"/>
  <c r="Z415" i="1"/>
  <c r="Z416" i="1"/>
  <c r="Z417" i="1"/>
  <c r="Z418" i="1"/>
  <c r="Z419" i="1"/>
  <c r="Z420" i="1"/>
  <c r="Z421" i="1"/>
  <c r="Z422" i="1"/>
  <c r="Z423" i="1"/>
  <c r="Z426" i="1"/>
  <c r="Z427" i="1"/>
  <c r="Z428" i="1"/>
  <c r="Z429" i="1"/>
  <c r="Z430" i="1"/>
  <c r="Z431" i="1"/>
  <c r="Z432" i="1"/>
  <c r="Z433" i="1"/>
  <c r="Z434" i="1"/>
  <c r="Z435" i="1"/>
  <c r="Z438" i="1"/>
  <c r="Z439" i="1"/>
  <c r="Z440" i="1"/>
  <c r="Z441" i="1"/>
  <c r="Z442" i="1"/>
  <c r="Z443" i="1"/>
  <c r="Z444" i="1"/>
  <c r="Z445" i="1"/>
  <c r="Z446" i="1"/>
  <c r="Z447" i="1"/>
  <c r="Z450" i="1"/>
  <c r="Z451" i="1"/>
  <c r="Z452" i="1"/>
  <c r="Z453" i="1"/>
  <c r="Z454" i="1"/>
  <c r="Z455" i="1"/>
  <c r="Z456" i="1"/>
  <c r="Z457" i="1"/>
  <c r="Z458" i="1"/>
  <c r="Z459" i="1"/>
  <c r="Z462" i="1"/>
  <c r="Z463" i="1"/>
  <c r="Z464" i="1"/>
  <c r="Z465" i="1"/>
  <c r="Z466" i="1"/>
  <c r="Z467" i="1"/>
  <c r="Z468" i="1"/>
  <c r="Z469" i="1"/>
  <c r="Z470" i="1"/>
  <c r="Z471" i="1"/>
  <c r="Z474" i="1"/>
  <c r="Z475" i="1"/>
  <c r="Z476" i="1"/>
  <c r="Z477" i="1"/>
  <c r="Z478" i="1"/>
  <c r="Z479" i="1"/>
  <c r="Z480" i="1"/>
  <c r="Z481" i="1"/>
  <c r="Z48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P4" i="1"/>
  <c r="Z4" i="1" s="1"/>
  <c r="P5" i="1"/>
  <c r="Z5" i="1" s="1"/>
  <c r="P6" i="1"/>
  <c r="P7" i="1"/>
  <c r="P8" i="1"/>
  <c r="P9" i="1"/>
  <c r="P10" i="1"/>
  <c r="P11" i="1"/>
  <c r="P12" i="1"/>
  <c r="P13" i="1"/>
  <c r="P14" i="1"/>
  <c r="P15" i="1"/>
  <c r="P16" i="1"/>
  <c r="Z16" i="1" s="1"/>
  <c r="P17" i="1"/>
  <c r="Z17" i="1" s="1"/>
  <c r="P18" i="1"/>
  <c r="P19" i="1"/>
  <c r="P20" i="1"/>
  <c r="P21" i="1"/>
  <c r="P22" i="1"/>
  <c r="P23" i="1"/>
  <c r="P24" i="1"/>
  <c r="P25" i="1"/>
  <c r="P26" i="1"/>
  <c r="P27" i="1"/>
  <c r="P28" i="1"/>
  <c r="Z28" i="1" s="1"/>
  <c r="P29" i="1"/>
  <c r="Z29" i="1" s="1"/>
  <c r="P30" i="1"/>
  <c r="P31" i="1"/>
  <c r="P32" i="1"/>
  <c r="P33" i="1"/>
  <c r="P34" i="1"/>
  <c r="P35" i="1"/>
  <c r="P36" i="1"/>
  <c r="P37" i="1"/>
  <c r="P38" i="1"/>
  <c r="P39" i="1"/>
  <c r="P40" i="1"/>
  <c r="Z40" i="1" s="1"/>
  <c r="P41" i="1"/>
  <c r="Z41" i="1" s="1"/>
  <c r="P42" i="1"/>
  <c r="P43" i="1"/>
  <c r="P44" i="1"/>
  <c r="P45" i="1"/>
  <c r="P46" i="1"/>
  <c r="P47" i="1"/>
  <c r="P48" i="1"/>
  <c r="P49" i="1"/>
  <c r="P50" i="1"/>
  <c r="P51" i="1"/>
  <c r="P52" i="1"/>
  <c r="Z52" i="1" s="1"/>
  <c r="P53" i="1"/>
  <c r="Z53" i="1" s="1"/>
  <c r="P54" i="1"/>
  <c r="P55" i="1"/>
  <c r="P56" i="1"/>
  <c r="P57" i="1"/>
  <c r="P58" i="1"/>
  <c r="P59" i="1"/>
  <c r="P60" i="1"/>
  <c r="P61" i="1"/>
  <c r="P62" i="1"/>
  <c r="P63" i="1"/>
  <c r="P64" i="1"/>
  <c r="Z64" i="1" s="1"/>
  <c r="P65" i="1"/>
  <c r="Z65" i="1" s="1"/>
  <c r="P66" i="1"/>
  <c r="P67" i="1"/>
  <c r="P68" i="1"/>
  <c r="P69" i="1"/>
  <c r="P70" i="1"/>
  <c r="P71" i="1"/>
  <c r="P72" i="1"/>
  <c r="P73" i="1"/>
  <c r="P74" i="1"/>
  <c r="P75" i="1"/>
  <c r="P76" i="1"/>
  <c r="Z76" i="1" s="1"/>
  <c r="P77" i="1"/>
  <c r="Z77" i="1" s="1"/>
  <c r="P78" i="1"/>
  <c r="P79" i="1"/>
  <c r="P80" i="1"/>
  <c r="P81" i="1"/>
  <c r="P82" i="1"/>
  <c r="P83" i="1"/>
  <c r="P84" i="1"/>
  <c r="P85" i="1"/>
  <c r="P86" i="1"/>
  <c r="P87" i="1"/>
  <c r="P88" i="1"/>
  <c r="Z88" i="1" s="1"/>
  <c r="P89" i="1"/>
  <c r="Z89" i="1" s="1"/>
  <c r="P90" i="1"/>
  <c r="P91" i="1"/>
  <c r="P92" i="1"/>
  <c r="P93" i="1"/>
  <c r="P94" i="1"/>
  <c r="P95" i="1"/>
  <c r="P96" i="1"/>
  <c r="P97" i="1"/>
  <c r="P98" i="1"/>
  <c r="P99" i="1"/>
  <c r="P100" i="1"/>
  <c r="Z100" i="1" s="1"/>
  <c r="P101" i="1"/>
  <c r="Z101" i="1" s="1"/>
  <c r="P102" i="1"/>
  <c r="P103" i="1"/>
  <c r="P104" i="1"/>
  <c r="P105" i="1"/>
  <c r="P106" i="1"/>
  <c r="P107" i="1"/>
  <c r="P108" i="1"/>
  <c r="P109" i="1"/>
  <c r="P110" i="1"/>
  <c r="P111" i="1"/>
  <c r="P112" i="1"/>
  <c r="Z112" i="1" s="1"/>
  <c r="P113" i="1"/>
  <c r="Z113" i="1" s="1"/>
  <c r="P114" i="1"/>
  <c r="P115" i="1"/>
  <c r="P116" i="1"/>
  <c r="P117" i="1"/>
  <c r="P118" i="1"/>
  <c r="P119" i="1"/>
  <c r="P120" i="1"/>
  <c r="P121" i="1"/>
  <c r="P122" i="1"/>
  <c r="P123" i="1"/>
  <c r="P124" i="1"/>
  <c r="Z124" i="1" s="1"/>
  <c r="P125" i="1"/>
  <c r="Z125" i="1" s="1"/>
  <c r="P126" i="1"/>
  <c r="P127" i="1"/>
  <c r="P128" i="1"/>
  <c r="P129" i="1"/>
  <c r="P130" i="1"/>
  <c r="P131" i="1"/>
  <c r="P132" i="1"/>
  <c r="P133" i="1"/>
  <c r="P134" i="1"/>
  <c r="P135" i="1"/>
  <c r="P136" i="1"/>
  <c r="Z136" i="1" s="1"/>
  <c r="P137" i="1"/>
  <c r="Z137" i="1" s="1"/>
  <c r="P138" i="1"/>
  <c r="P139" i="1"/>
  <c r="P140" i="1"/>
  <c r="P141" i="1"/>
  <c r="P142" i="1"/>
  <c r="P143" i="1"/>
  <c r="P144" i="1"/>
  <c r="P145" i="1"/>
  <c r="P146" i="1"/>
  <c r="P147" i="1"/>
  <c r="P148" i="1"/>
  <c r="Z148" i="1" s="1"/>
  <c r="P149" i="1"/>
  <c r="Z149" i="1" s="1"/>
  <c r="P150" i="1"/>
  <c r="P151" i="1"/>
  <c r="P152" i="1"/>
  <c r="P153" i="1"/>
  <c r="P154" i="1"/>
  <c r="P155" i="1"/>
  <c r="P156" i="1"/>
  <c r="P157" i="1"/>
  <c r="P158" i="1"/>
  <c r="P159" i="1"/>
  <c r="P160" i="1"/>
  <c r="Z160" i="1" s="1"/>
  <c r="P161" i="1"/>
  <c r="Z161" i="1" s="1"/>
  <c r="P162" i="1"/>
  <c r="P163" i="1"/>
  <c r="P164" i="1"/>
  <c r="P165" i="1"/>
  <c r="P166" i="1"/>
  <c r="P167" i="1"/>
  <c r="P168" i="1"/>
  <c r="P169" i="1"/>
  <c r="P170" i="1"/>
  <c r="P171" i="1"/>
  <c r="P172" i="1"/>
  <c r="Z172" i="1" s="1"/>
  <c r="P173" i="1"/>
  <c r="Z173" i="1" s="1"/>
  <c r="P174" i="1"/>
  <c r="P175" i="1"/>
  <c r="P176" i="1"/>
  <c r="P177" i="1"/>
  <c r="P178" i="1"/>
  <c r="P179" i="1"/>
  <c r="P180" i="1"/>
  <c r="P181" i="1"/>
  <c r="P182" i="1"/>
  <c r="P183" i="1"/>
  <c r="P184" i="1"/>
  <c r="Z184" i="1" s="1"/>
  <c r="P185" i="1"/>
  <c r="Z185" i="1" s="1"/>
  <c r="P186" i="1"/>
  <c r="P187" i="1"/>
  <c r="P188" i="1"/>
  <c r="P189" i="1"/>
  <c r="P190" i="1"/>
  <c r="P191" i="1"/>
  <c r="P192" i="1"/>
  <c r="P193" i="1"/>
  <c r="P194" i="1"/>
  <c r="P195" i="1"/>
  <c r="P196" i="1"/>
  <c r="Z196" i="1" s="1"/>
  <c r="P197" i="1"/>
  <c r="Z197" i="1" s="1"/>
  <c r="P198" i="1"/>
  <c r="P199" i="1"/>
  <c r="P200" i="1"/>
  <c r="P201" i="1"/>
  <c r="P202" i="1"/>
  <c r="P203" i="1"/>
  <c r="P204" i="1"/>
  <c r="P205" i="1"/>
  <c r="P206" i="1"/>
  <c r="P207" i="1"/>
  <c r="P208" i="1"/>
  <c r="Z208" i="1" s="1"/>
  <c r="P209" i="1"/>
  <c r="Z209" i="1" s="1"/>
  <c r="P210" i="1"/>
  <c r="P211" i="1"/>
  <c r="P212" i="1"/>
  <c r="P213" i="1"/>
  <c r="P214" i="1"/>
  <c r="P215" i="1"/>
  <c r="P216" i="1"/>
  <c r="P217" i="1"/>
  <c r="P218" i="1"/>
  <c r="P219" i="1"/>
  <c r="P220" i="1"/>
  <c r="Z220" i="1" s="1"/>
  <c r="P221" i="1"/>
  <c r="Z221" i="1" s="1"/>
  <c r="P222" i="1"/>
  <c r="P223" i="1"/>
  <c r="P224" i="1"/>
  <c r="P225" i="1"/>
  <c r="P226" i="1"/>
  <c r="P227" i="1"/>
  <c r="P228" i="1"/>
  <c r="P229" i="1"/>
  <c r="P230" i="1"/>
  <c r="P231" i="1"/>
  <c r="P232" i="1"/>
  <c r="Z232" i="1" s="1"/>
  <c r="P233" i="1"/>
  <c r="Z233" i="1" s="1"/>
  <c r="P234" i="1"/>
  <c r="P235" i="1"/>
  <c r="P236" i="1"/>
  <c r="P237" i="1"/>
  <c r="P238" i="1"/>
  <c r="P239" i="1"/>
  <c r="P240" i="1"/>
  <c r="P241" i="1"/>
  <c r="P242" i="1"/>
  <c r="P243" i="1"/>
  <c r="P244" i="1"/>
  <c r="Z244" i="1" s="1"/>
  <c r="P245" i="1"/>
  <c r="Z245" i="1" s="1"/>
  <c r="P246" i="1"/>
  <c r="P247" i="1"/>
  <c r="P248" i="1"/>
  <c r="P249" i="1"/>
  <c r="P250" i="1"/>
  <c r="P251" i="1"/>
  <c r="P252" i="1"/>
  <c r="P253" i="1"/>
  <c r="P254" i="1"/>
  <c r="P255" i="1"/>
  <c r="P256" i="1"/>
  <c r="Z256" i="1" s="1"/>
  <c r="P257" i="1"/>
  <c r="Z257" i="1" s="1"/>
  <c r="P258" i="1"/>
  <c r="P259" i="1"/>
  <c r="P260" i="1"/>
  <c r="P261" i="1"/>
  <c r="P262" i="1"/>
  <c r="P263" i="1"/>
  <c r="P264" i="1"/>
  <c r="P265" i="1"/>
  <c r="P266" i="1"/>
  <c r="P267" i="1"/>
  <c r="P268" i="1"/>
  <c r="Z268" i="1" s="1"/>
  <c r="P269" i="1"/>
  <c r="Z269" i="1" s="1"/>
  <c r="P270" i="1"/>
  <c r="P271" i="1"/>
  <c r="P272" i="1"/>
  <c r="P273" i="1"/>
  <c r="P274" i="1"/>
  <c r="P275" i="1"/>
  <c r="P276" i="1"/>
  <c r="P277" i="1"/>
  <c r="P278" i="1"/>
  <c r="P279" i="1"/>
  <c r="P280" i="1"/>
  <c r="Z280" i="1" s="1"/>
  <c r="P281" i="1"/>
  <c r="Z281" i="1" s="1"/>
  <c r="P282" i="1"/>
  <c r="P283" i="1"/>
  <c r="P284" i="1"/>
  <c r="P285" i="1"/>
  <c r="P286" i="1"/>
  <c r="P287" i="1"/>
  <c r="P288" i="1"/>
  <c r="P289" i="1"/>
  <c r="P290" i="1"/>
  <c r="P291" i="1"/>
  <c r="P292" i="1"/>
  <c r="Z292" i="1" s="1"/>
  <c r="P293" i="1"/>
  <c r="Z293" i="1" s="1"/>
  <c r="P294" i="1"/>
  <c r="P295" i="1"/>
  <c r="P296" i="1"/>
  <c r="P297" i="1"/>
  <c r="P298" i="1"/>
  <c r="P299" i="1"/>
  <c r="P300" i="1"/>
  <c r="P301" i="1"/>
  <c r="P302" i="1"/>
  <c r="P303" i="1"/>
  <c r="P304" i="1"/>
  <c r="Z304" i="1" s="1"/>
  <c r="P305" i="1"/>
  <c r="Z305" i="1" s="1"/>
  <c r="P306" i="1"/>
  <c r="P307" i="1"/>
  <c r="P308" i="1"/>
  <c r="P309" i="1"/>
  <c r="P310" i="1"/>
  <c r="P311" i="1"/>
  <c r="P312" i="1"/>
  <c r="P313" i="1"/>
  <c r="P314" i="1"/>
  <c r="P315" i="1"/>
  <c r="P316" i="1"/>
  <c r="Z316" i="1" s="1"/>
  <c r="P317" i="1"/>
  <c r="Z317" i="1" s="1"/>
  <c r="P318" i="1"/>
  <c r="P319" i="1"/>
  <c r="P320" i="1"/>
  <c r="P321" i="1"/>
  <c r="P322" i="1"/>
  <c r="P323" i="1"/>
  <c r="P324" i="1"/>
  <c r="P325" i="1"/>
  <c r="P326" i="1"/>
  <c r="P327" i="1"/>
  <c r="P328" i="1"/>
  <c r="Z328" i="1" s="1"/>
  <c r="P329" i="1"/>
  <c r="Z329" i="1" s="1"/>
  <c r="P330" i="1"/>
  <c r="P331" i="1"/>
  <c r="P332" i="1"/>
  <c r="P333" i="1"/>
  <c r="P334" i="1"/>
  <c r="P335" i="1"/>
  <c r="P336" i="1"/>
  <c r="P337" i="1"/>
  <c r="P338" i="1"/>
  <c r="P339" i="1"/>
  <c r="P340" i="1"/>
  <c r="Z340" i="1" s="1"/>
  <c r="P341" i="1"/>
  <c r="Z341" i="1" s="1"/>
  <c r="P342" i="1"/>
  <c r="P343" i="1"/>
  <c r="P344" i="1"/>
  <c r="P345" i="1"/>
  <c r="P346" i="1"/>
  <c r="P347" i="1"/>
  <c r="P348" i="1"/>
  <c r="P349" i="1"/>
  <c r="P350" i="1"/>
  <c r="P351" i="1"/>
  <c r="P352" i="1"/>
  <c r="Z352" i="1" s="1"/>
  <c r="P353" i="1"/>
  <c r="Z353" i="1" s="1"/>
  <c r="P354" i="1"/>
  <c r="P355" i="1"/>
  <c r="P356" i="1"/>
  <c r="P357" i="1"/>
  <c r="P358" i="1"/>
  <c r="P359" i="1"/>
  <c r="P360" i="1"/>
  <c r="P361" i="1"/>
  <c r="P362" i="1"/>
  <c r="P363" i="1"/>
  <c r="P364" i="1"/>
  <c r="Z364" i="1" s="1"/>
  <c r="P365" i="1"/>
  <c r="Z365" i="1" s="1"/>
  <c r="P366" i="1"/>
  <c r="P367" i="1"/>
  <c r="P368" i="1"/>
  <c r="P369" i="1"/>
  <c r="P370" i="1"/>
  <c r="P371" i="1"/>
  <c r="P372" i="1"/>
  <c r="P373" i="1"/>
  <c r="P374" i="1"/>
  <c r="P375" i="1"/>
  <c r="P376" i="1"/>
  <c r="Z376" i="1" s="1"/>
  <c r="P377" i="1"/>
  <c r="Z377" i="1" s="1"/>
  <c r="P378" i="1"/>
  <c r="P379" i="1"/>
  <c r="P380" i="1"/>
  <c r="P381" i="1"/>
  <c r="P382" i="1"/>
  <c r="P383" i="1"/>
  <c r="P384" i="1"/>
  <c r="P385" i="1"/>
  <c r="P386" i="1"/>
  <c r="P387" i="1"/>
  <c r="P388" i="1"/>
  <c r="Z388" i="1" s="1"/>
  <c r="P389" i="1"/>
  <c r="Z389" i="1" s="1"/>
  <c r="P390" i="1"/>
  <c r="P391" i="1"/>
  <c r="P392" i="1"/>
  <c r="P393" i="1"/>
  <c r="P394" i="1"/>
  <c r="P395" i="1"/>
  <c r="P396" i="1"/>
  <c r="P397" i="1"/>
  <c r="P398" i="1"/>
  <c r="P399" i="1"/>
  <c r="P400" i="1"/>
  <c r="Z400" i="1" s="1"/>
  <c r="P401" i="1"/>
  <c r="Z401" i="1" s="1"/>
  <c r="P402" i="1"/>
  <c r="P403" i="1"/>
  <c r="P404" i="1"/>
  <c r="P405" i="1"/>
  <c r="P406" i="1"/>
  <c r="P407" i="1"/>
  <c r="P408" i="1"/>
  <c r="P409" i="1"/>
  <c r="P410" i="1"/>
  <c r="P411" i="1"/>
  <c r="P412" i="1"/>
  <c r="Z412" i="1" s="1"/>
  <c r="P413" i="1"/>
  <c r="Z413" i="1" s="1"/>
  <c r="P414" i="1"/>
  <c r="P415" i="1"/>
  <c r="P416" i="1"/>
  <c r="P417" i="1"/>
  <c r="P418" i="1"/>
  <c r="P419" i="1"/>
  <c r="P420" i="1"/>
  <c r="P421" i="1"/>
  <c r="P422" i="1"/>
  <c r="P423" i="1"/>
  <c r="P424" i="1"/>
  <c r="Z424" i="1" s="1"/>
  <c r="P425" i="1"/>
  <c r="Z425" i="1" s="1"/>
  <c r="P426" i="1"/>
  <c r="P427" i="1"/>
  <c r="P428" i="1"/>
  <c r="P429" i="1"/>
  <c r="P430" i="1"/>
  <c r="P431" i="1"/>
  <c r="P432" i="1"/>
  <c r="P433" i="1"/>
  <c r="P434" i="1"/>
  <c r="P435" i="1"/>
  <c r="P436" i="1"/>
  <c r="Z436" i="1" s="1"/>
  <c r="P437" i="1"/>
  <c r="Z437" i="1" s="1"/>
  <c r="P438" i="1"/>
  <c r="P439" i="1"/>
  <c r="P440" i="1"/>
  <c r="P441" i="1"/>
  <c r="P442" i="1"/>
  <c r="P443" i="1"/>
  <c r="P444" i="1"/>
  <c r="P445" i="1"/>
  <c r="P446" i="1"/>
  <c r="P447" i="1"/>
  <c r="P448" i="1"/>
  <c r="Z448" i="1" s="1"/>
  <c r="P449" i="1"/>
  <c r="Z449" i="1" s="1"/>
  <c r="P450" i="1"/>
  <c r="P451" i="1"/>
  <c r="P452" i="1"/>
  <c r="P453" i="1"/>
  <c r="P454" i="1"/>
  <c r="P455" i="1"/>
  <c r="P456" i="1"/>
  <c r="P457" i="1"/>
  <c r="P458" i="1"/>
  <c r="P459" i="1"/>
  <c r="P460" i="1"/>
  <c r="Z460" i="1" s="1"/>
  <c r="P461" i="1"/>
  <c r="Z461" i="1" s="1"/>
  <c r="P462" i="1"/>
  <c r="P463" i="1"/>
  <c r="P464" i="1"/>
  <c r="P465" i="1"/>
  <c r="P466" i="1"/>
  <c r="P467" i="1"/>
  <c r="P468" i="1"/>
  <c r="P469" i="1"/>
  <c r="P470" i="1"/>
  <c r="P471" i="1"/>
  <c r="P472" i="1"/>
  <c r="Z472" i="1" s="1"/>
  <c r="P473" i="1"/>
  <c r="Z473" i="1" s="1"/>
  <c r="P474" i="1"/>
  <c r="P475" i="1"/>
  <c r="P476" i="1"/>
  <c r="P477" i="1"/>
  <c r="P478" i="1"/>
  <c r="P479" i="1"/>
  <c r="P480" i="1"/>
  <c r="P481" i="1"/>
  <c r="P482" i="1"/>
  <c r="C87" i="1"/>
  <c r="D87" i="1"/>
  <c r="Q87" i="1"/>
  <c r="S87" i="1" s="1"/>
  <c r="R87" i="1"/>
  <c r="U87" i="1" s="1"/>
  <c r="X87" i="1"/>
  <c r="Y87" i="1"/>
  <c r="V87" i="1" l="1"/>
  <c r="W87" i="1"/>
  <c r="T87" i="1"/>
  <c r="R82" i="1" l="1"/>
  <c r="C76" i="1"/>
  <c r="D76" i="1"/>
  <c r="Q32" i="1" l="1"/>
  <c r="Q33" i="1"/>
  <c r="C32" i="1"/>
  <c r="D32" i="1"/>
  <c r="C33" i="1"/>
  <c r="D33" i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U82" i="1"/>
  <c r="R83" i="1"/>
  <c r="R84" i="1"/>
  <c r="R85" i="1"/>
  <c r="R86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X16" i="1" l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7" i="1"/>
  <c r="C78" i="1"/>
  <c r="C79" i="1"/>
  <c r="C80" i="1"/>
  <c r="C81" i="1"/>
  <c r="C82" i="1"/>
  <c r="C83" i="1"/>
  <c r="C84" i="1"/>
  <c r="C85" i="1"/>
  <c r="C86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0" i="1"/>
  <c r="D81" i="1"/>
  <c r="D82" i="1"/>
  <c r="D83" i="1"/>
  <c r="D84" i="1"/>
  <c r="D85" i="1"/>
  <c r="D86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X15" i="1"/>
  <c r="X14" i="1"/>
  <c r="X13" i="1"/>
  <c r="X12" i="1"/>
  <c r="Q11" i="1"/>
  <c r="Y5" i="1"/>
  <c r="Y6" i="1"/>
  <c r="Y7" i="1"/>
  <c r="Y10" i="1"/>
  <c r="Y11" i="1"/>
  <c r="Y4" i="1"/>
  <c r="Q15" i="1"/>
  <c r="V15" i="1" s="1"/>
  <c r="Q16" i="1"/>
  <c r="W16" i="1" s="1"/>
  <c r="Q17" i="1"/>
  <c r="V17" i="1" s="1"/>
  <c r="Q18" i="1"/>
  <c r="S18" i="1" s="1"/>
  <c r="Q19" i="1"/>
  <c r="Q20" i="1"/>
  <c r="Q21" i="1"/>
  <c r="Q22" i="1"/>
  <c r="T22" i="1" s="1"/>
  <c r="Q23" i="1"/>
  <c r="Q24" i="1"/>
  <c r="V24" i="1" s="1"/>
  <c r="Q25" i="1"/>
  <c r="T25" i="1" s="1"/>
  <c r="Q26" i="1"/>
  <c r="W26" i="1" s="1"/>
  <c r="Q27" i="1"/>
  <c r="S27" i="1" s="1"/>
  <c r="Q28" i="1"/>
  <c r="V28" i="1" s="1"/>
  <c r="Q29" i="1"/>
  <c r="S29" i="1" s="1"/>
  <c r="Q30" i="1"/>
  <c r="V30" i="1" s="1"/>
  <c r="Q31" i="1"/>
  <c r="T32" i="1"/>
  <c r="T33" i="1"/>
  <c r="Q34" i="1"/>
  <c r="T34" i="1" s="1"/>
  <c r="Q35" i="1"/>
  <c r="T35" i="1" s="1"/>
  <c r="Q36" i="1"/>
  <c r="V36" i="1" s="1"/>
  <c r="Q37" i="1"/>
  <c r="T37" i="1" s="1"/>
  <c r="Q38" i="1"/>
  <c r="W38" i="1" s="1"/>
  <c r="Q39" i="1"/>
  <c r="S39" i="1" s="1"/>
  <c r="Q40" i="1"/>
  <c r="V40" i="1" s="1"/>
  <c r="Q41" i="1"/>
  <c r="V41" i="1" s="1"/>
  <c r="Q42" i="1"/>
  <c r="S42" i="1" s="1"/>
  <c r="Q43" i="1"/>
  <c r="Q44" i="1"/>
  <c r="T44" i="1" s="1"/>
  <c r="Q45" i="1"/>
  <c r="T45" i="1" s="1"/>
  <c r="Q46" i="1"/>
  <c r="Q47" i="1"/>
  <c r="W47" i="1" s="1"/>
  <c r="Q48" i="1"/>
  <c r="W48" i="1" s="1"/>
  <c r="Q49" i="1"/>
  <c r="S49" i="1" s="1"/>
  <c r="Q50" i="1"/>
  <c r="V50" i="1" s="1"/>
  <c r="Q51" i="1"/>
  <c r="S51" i="1" s="1"/>
  <c r="Q52" i="1"/>
  <c r="V52" i="1" s="1"/>
  <c r="Q53" i="1"/>
  <c r="W53" i="1" s="1"/>
  <c r="Q54" i="1"/>
  <c r="S54" i="1" s="1"/>
  <c r="Q55" i="1"/>
  <c r="Q56" i="1"/>
  <c r="T56" i="1" s="1"/>
  <c r="Q57" i="1"/>
  <c r="T57" i="1" s="1"/>
  <c r="Q58" i="1"/>
  <c r="Q59" i="1"/>
  <c r="T59" i="1" s="1"/>
  <c r="Q60" i="1"/>
  <c r="W60" i="1" s="1"/>
  <c r="Q61" i="1"/>
  <c r="T61" i="1" s="1"/>
  <c r="Q62" i="1"/>
  <c r="T62" i="1" s="1"/>
  <c r="Q63" i="1"/>
  <c r="S63" i="1" s="1"/>
  <c r="Q64" i="1"/>
  <c r="S64" i="1" s="1"/>
  <c r="Q65" i="1"/>
  <c r="S65" i="1" s="1"/>
  <c r="Q66" i="1"/>
  <c r="S66" i="1" s="1"/>
  <c r="Q67" i="1"/>
  <c r="Q68" i="1"/>
  <c r="T68" i="1" s="1"/>
  <c r="Q69" i="1"/>
  <c r="T69" i="1" s="1"/>
  <c r="Q70" i="1"/>
  <c r="T70" i="1" s="1"/>
  <c r="Q71" i="1"/>
  <c r="T71" i="1" s="1"/>
  <c r="Q72" i="1"/>
  <c r="S72" i="1" s="1"/>
  <c r="Q73" i="1"/>
  <c r="V73" i="1" s="1"/>
  <c r="Q74" i="1"/>
  <c r="V74" i="1" s="1"/>
  <c r="Q75" i="1"/>
  <c r="W75" i="1" s="1"/>
  <c r="Q76" i="1"/>
  <c r="W76" i="1" s="1"/>
  <c r="Q77" i="1"/>
  <c r="W77" i="1" s="1"/>
  <c r="Q78" i="1"/>
  <c r="S78" i="1" s="1"/>
  <c r="Q79" i="1"/>
  <c r="Q80" i="1"/>
  <c r="T80" i="1" s="1"/>
  <c r="Q81" i="1"/>
  <c r="T81" i="1" s="1"/>
  <c r="Q82" i="1"/>
  <c r="T82" i="1" s="1"/>
  <c r="Q83" i="1"/>
  <c r="T83" i="1" s="1"/>
  <c r="Q84" i="1"/>
  <c r="T84" i="1" s="1"/>
  <c r="Q85" i="1"/>
  <c r="T85" i="1" s="1"/>
  <c r="Q86" i="1"/>
  <c r="T86" i="1" s="1"/>
  <c r="Q88" i="1"/>
  <c r="V88" i="1" s="1"/>
  <c r="Q89" i="1"/>
  <c r="S89" i="1" s="1"/>
  <c r="Q90" i="1"/>
  <c r="W90" i="1" s="1"/>
  <c r="Q91" i="1"/>
  <c r="S91" i="1" s="1"/>
  <c r="Q92" i="1"/>
  <c r="Q93" i="1"/>
  <c r="T93" i="1" s="1"/>
  <c r="Q94" i="1"/>
  <c r="T94" i="1" s="1"/>
  <c r="Q95" i="1"/>
  <c r="T95" i="1" s="1"/>
  <c r="Q96" i="1"/>
  <c r="T96" i="1" s="1"/>
  <c r="Q97" i="1"/>
  <c r="T97" i="1" s="1"/>
  <c r="Q98" i="1"/>
  <c r="T98" i="1" s="1"/>
  <c r="Q99" i="1"/>
  <c r="V99" i="1" s="1"/>
  <c r="Q100" i="1"/>
  <c r="V100" i="1" s="1"/>
  <c r="Q101" i="1"/>
  <c r="S101" i="1" s="1"/>
  <c r="Q102" i="1"/>
  <c r="S102" i="1" s="1"/>
  <c r="Q103" i="1"/>
  <c r="S103" i="1" s="1"/>
  <c r="Q104" i="1"/>
  <c r="Q105" i="1"/>
  <c r="T105" i="1" s="1"/>
  <c r="Q106" i="1"/>
  <c r="T106" i="1" s="1"/>
  <c r="Q107" i="1"/>
  <c r="T107" i="1" s="1"/>
  <c r="Q108" i="1"/>
  <c r="T108" i="1" s="1"/>
  <c r="Q109" i="1"/>
  <c r="T109" i="1" s="1"/>
  <c r="Q110" i="1"/>
  <c r="T110" i="1" s="1"/>
  <c r="Q111" i="1"/>
  <c r="T111" i="1" s="1"/>
  <c r="Q112" i="1"/>
  <c r="W112" i="1" s="1"/>
  <c r="Q113" i="1"/>
  <c r="S113" i="1" s="1"/>
  <c r="Q114" i="1"/>
  <c r="V114" i="1" s="1"/>
  <c r="Q115" i="1"/>
  <c r="W115" i="1" s="1"/>
  <c r="Q116" i="1"/>
  <c r="Q117" i="1"/>
  <c r="T117" i="1" s="1"/>
  <c r="Q118" i="1"/>
  <c r="T118" i="1" s="1"/>
  <c r="Q119" i="1"/>
  <c r="Q120" i="1"/>
  <c r="S120" i="1" s="1"/>
  <c r="Q121" i="1"/>
  <c r="T121" i="1" s="1"/>
  <c r="Q122" i="1"/>
  <c r="T122" i="1" s="1"/>
  <c r="Q123" i="1"/>
  <c r="T123" i="1" s="1"/>
  <c r="Q124" i="1"/>
  <c r="S124" i="1" s="1"/>
  <c r="Q125" i="1"/>
  <c r="S125" i="1" s="1"/>
  <c r="Q126" i="1"/>
  <c r="W126" i="1" s="1"/>
  <c r="Q127" i="1"/>
  <c r="V127" i="1" s="1"/>
  <c r="Q128" i="1"/>
  <c r="Q129" i="1"/>
  <c r="T129" i="1" s="1"/>
  <c r="Q130" i="1"/>
  <c r="Q131" i="1"/>
  <c r="Q132" i="1"/>
  <c r="Q133" i="1"/>
  <c r="S133" i="1" s="1"/>
  <c r="Q134" i="1"/>
  <c r="S134" i="1" s="1"/>
  <c r="Q135" i="1"/>
  <c r="T135" i="1" s="1"/>
  <c r="Q136" i="1"/>
  <c r="S136" i="1" s="1"/>
  <c r="Q137" i="1"/>
  <c r="W137" i="1" s="1"/>
  <c r="Q138" i="1"/>
  <c r="V138" i="1" s="1"/>
  <c r="Q139" i="1"/>
  <c r="S139" i="1" s="1"/>
  <c r="Q140" i="1"/>
  <c r="Q141" i="1"/>
  <c r="T141" i="1" s="1"/>
  <c r="Q142" i="1"/>
  <c r="T142" i="1" s="1"/>
  <c r="Q143" i="1"/>
  <c r="Q144" i="1"/>
  <c r="S144" i="1" s="1"/>
  <c r="Q145" i="1"/>
  <c r="S145" i="1" s="1"/>
  <c r="Q146" i="1"/>
  <c r="S146" i="1" s="1"/>
  <c r="Q147" i="1"/>
  <c r="S147" i="1" s="1"/>
  <c r="Q148" i="1"/>
  <c r="W148" i="1" s="1"/>
  <c r="Q149" i="1"/>
  <c r="W149" i="1" s="1"/>
  <c r="Q150" i="1"/>
  <c r="S150" i="1" s="1"/>
  <c r="Q151" i="1"/>
  <c r="W151" i="1" s="1"/>
  <c r="Q152" i="1"/>
  <c r="Q153" i="1"/>
  <c r="T153" i="1" s="1"/>
  <c r="Q154" i="1"/>
  <c r="T154" i="1" s="1"/>
  <c r="Q155" i="1"/>
  <c r="T155" i="1" s="1"/>
  <c r="Q156" i="1"/>
  <c r="W156" i="1" s="1"/>
  <c r="Q157" i="1"/>
  <c r="W157" i="1" s="1"/>
  <c r="Q158" i="1"/>
  <c r="T158" i="1" s="1"/>
  <c r="Q159" i="1"/>
  <c r="S159" i="1" s="1"/>
  <c r="Q160" i="1"/>
  <c r="W160" i="1" s="1"/>
  <c r="Q161" i="1"/>
  <c r="V161" i="1" s="1"/>
  <c r="Q162" i="1"/>
  <c r="S162" i="1" s="1"/>
  <c r="Q163" i="1"/>
  <c r="W163" i="1" s="1"/>
  <c r="Q164" i="1"/>
  <c r="Q165" i="1"/>
  <c r="T165" i="1" s="1"/>
  <c r="Q166" i="1"/>
  <c r="T166" i="1" s="1"/>
  <c r="Q167" i="1"/>
  <c r="T167" i="1" s="1"/>
  <c r="Q168" i="1"/>
  <c r="T168" i="1" s="1"/>
  <c r="Q169" i="1"/>
  <c r="T169" i="1" s="1"/>
  <c r="Q170" i="1"/>
  <c r="V170" i="1" s="1"/>
  <c r="Q171" i="1"/>
  <c r="V171" i="1" s="1"/>
  <c r="Q172" i="1"/>
  <c r="V172" i="1" s="1"/>
  <c r="Q173" i="1"/>
  <c r="S173" i="1" s="1"/>
  <c r="Q174" i="1"/>
  <c r="W174" i="1" s="1"/>
  <c r="Q175" i="1"/>
  <c r="V175" i="1" s="1"/>
  <c r="Q176" i="1"/>
  <c r="Q177" i="1"/>
  <c r="T177" i="1" s="1"/>
  <c r="Q178" i="1"/>
  <c r="Q179" i="1"/>
  <c r="Q180" i="1"/>
  <c r="T180" i="1" s="1"/>
  <c r="Q181" i="1"/>
  <c r="T181" i="1" s="1"/>
  <c r="Q182" i="1"/>
  <c r="T182" i="1" s="1"/>
  <c r="Q183" i="1"/>
  <c r="T183" i="1" s="1"/>
  <c r="Q184" i="1"/>
  <c r="S184" i="1" s="1"/>
  <c r="Q185" i="1"/>
  <c r="S185" i="1" s="1"/>
  <c r="Q186" i="1"/>
  <c r="V186" i="1" s="1"/>
  <c r="Q187" i="1"/>
  <c r="S187" i="1" s="1"/>
  <c r="Q188" i="1"/>
  <c r="Q189" i="1"/>
  <c r="T189" i="1" s="1"/>
  <c r="Q190" i="1"/>
  <c r="T190" i="1" s="1"/>
  <c r="Q191" i="1"/>
  <c r="T191" i="1" s="1"/>
  <c r="Q192" i="1"/>
  <c r="T192" i="1" s="1"/>
  <c r="Q193" i="1"/>
  <c r="T193" i="1" s="1"/>
  <c r="Q194" i="1"/>
  <c r="T194" i="1" s="1"/>
  <c r="Q195" i="1"/>
  <c r="T195" i="1" s="1"/>
  <c r="Q196" i="1"/>
  <c r="W196" i="1" s="1"/>
  <c r="Q197" i="1"/>
  <c r="V197" i="1" s="1"/>
  <c r="Q198" i="1"/>
  <c r="V198" i="1" s="1"/>
  <c r="Q199" i="1"/>
  <c r="S199" i="1" s="1"/>
  <c r="Q200" i="1"/>
  <c r="Q201" i="1"/>
  <c r="T201" i="1" s="1"/>
  <c r="Q202" i="1"/>
  <c r="T202" i="1" s="1"/>
  <c r="Q203" i="1"/>
  <c r="Q204" i="1"/>
  <c r="T204" i="1" s="1"/>
  <c r="Q205" i="1"/>
  <c r="S205" i="1" s="1"/>
  <c r="Q206" i="1"/>
  <c r="S206" i="1" s="1"/>
  <c r="Q207" i="1"/>
  <c r="T207" i="1" s="1"/>
  <c r="Q208" i="1"/>
  <c r="W208" i="1" s="1"/>
  <c r="Q209" i="1"/>
  <c r="V209" i="1" s="1"/>
  <c r="Q210" i="1"/>
  <c r="W210" i="1" s="1"/>
  <c r="Q211" i="1"/>
  <c r="S211" i="1" s="1"/>
  <c r="Q212" i="1"/>
  <c r="Q213" i="1"/>
  <c r="T213" i="1" s="1"/>
  <c r="Q214" i="1"/>
  <c r="T214" i="1" s="1"/>
  <c r="Q215" i="1"/>
  <c r="Q216" i="1"/>
  <c r="V216" i="1" s="1"/>
  <c r="Q217" i="1"/>
  <c r="V217" i="1" s="1"/>
  <c r="Q218" i="1"/>
  <c r="V218" i="1" s="1"/>
  <c r="Q219" i="1"/>
  <c r="W219" i="1" s="1"/>
  <c r="Q220" i="1"/>
  <c r="S220" i="1" s="1"/>
  <c r="Q221" i="1"/>
  <c r="S221" i="1" s="1"/>
  <c r="Q222" i="1"/>
  <c r="V222" i="1" s="1"/>
  <c r="Q223" i="1"/>
  <c r="V223" i="1" s="1"/>
  <c r="Q224" i="1"/>
  <c r="Q225" i="1"/>
  <c r="T225" i="1" s="1"/>
  <c r="Q226" i="1"/>
  <c r="T226" i="1" s="1"/>
  <c r="Q227" i="1"/>
  <c r="Q228" i="1"/>
  <c r="S228" i="1" s="1"/>
  <c r="Q229" i="1"/>
  <c r="V229" i="1" s="1"/>
  <c r="Q230" i="1"/>
  <c r="V230" i="1" s="1"/>
  <c r="Q231" i="1"/>
  <c r="V231" i="1" s="1"/>
  <c r="Q232" i="1"/>
  <c r="V232" i="1" s="1"/>
  <c r="Q233" i="1"/>
  <c r="W233" i="1" s="1"/>
  <c r="Q234" i="1"/>
  <c r="S234" i="1" s="1"/>
  <c r="Q235" i="1"/>
  <c r="S235" i="1" s="1"/>
  <c r="Q236" i="1"/>
  <c r="Q237" i="1"/>
  <c r="T237" i="1" s="1"/>
  <c r="Q238" i="1"/>
  <c r="Q239" i="1"/>
  <c r="Q240" i="1"/>
  <c r="T240" i="1" s="1"/>
  <c r="Q241" i="1"/>
  <c r="T241" i="1" s="1"/>
  <c r="Q242" i="1"/>
  <c r="T242" i="1" s="1"/>
  <c r="Q243" i="1"/>
  <c r="T243" i="1" s="1"/>
  <c r="Q244" i="1"/>
  <c r="V244" i="1" s="1"/>
  <c r="Q245" i="1"/>
  <c r="W245" i="1" s="1"/>
  <c r="Q246" i="1"/>
  <c r="V246" i="1" s="1"/>
  <c r="Q247" i="1"/>
  <c r="W247" i="1" s="1"/>
  <c r="Q248" i="1"/>
  <c r="Q249" i="1"/>
  <c r="T249" i="1" s="1"/>
  <c r="Q250" i="1"/>
  <c r="Q251" i="1"/>
  <c r="T251" i="1" s="1"/>
  <c r="Q252" i="1"/>
  <c r="T252" i="1" s="1"/>
  <c r="Q253" i="1"/>
  <c r="T253" i="1" s="1"/>
  <c r="Q254" i="1"/>
  <c r="T254" i="1" s="1"/>
  <c r="Q255" i="1"/>
  <c r="V255" i="1" s="1"/>
  <c r="Q256" i="1"/>
  <c r="S256" i="1" s="1"/>
  <c r="Q257" i="1"/>
  <c r="V257" i="1" s="1"/>
  <c r="Q258" i="1"/>
  <c r="V258" i="1" s="1"/>
  <c r="Q259" i="1"/>
  <c r="V259" i="1" s="1"/>
  <c r="Q260" i="1"/>
  <c r="Q261" i="1"/>
  <c r="T261" i="1" s="1"/>
  <c r="Q262" i="1"/>
  <c r="Q263" i="1"/>
  <c r="Q264" i="1"/>
  <c r="V264" i="1" s="1"/>
  <c r="Q265" i="1"/>
  <c r="T265" i="1" s="1"/>
  <c r="Q266" i="1"/>
  <c r="T266" i="1" s="1"/>
  <c r="Q267" i="1"/>
  <c r="T267" i="1" s="1"/>
  <c r="Q268" i="1"/>
  <c r="S268" i="1" s="1"/>
  <c r="Q269" i="1"/>
  <c r="W269" i="1" s="1"/>
  <c r="Q270" i="1"/>
  <c r="W270" i="1" s="1"/>
  <c r="Q271" i="1"/>
  <c r="S271" i="1" s="1"/>
  <c r="Q272" i="1"/>
  <c r="Q273" i="1"/>
  <c r="T273" i="1" s="1"/>
  <c r="Q274" i="1"/>
  <c r="Q275" i="1"/>
  <c r="Q276" i="1"/>
  <c r="T276" i="1" s="1"/>
  <c r="Q277" i="1"/>
  <c r="T277" i="1" s="1"/>
  <c r="Q278" i="1"/>
  <c r="V278" i="1" s="1"/>
  <c r="Q279" i="1"/>
  <c r="T279" i="1" s="1"/>
  <c r="Q280" i="1"/>
  <c r="W280" i="1" s="1"/>
  <c r="Q281" i="1"/>
  <c r="W281" i="1" s="1"/>
  <c r="Q282" i="1"/>
  <c r="V282" i="1" s="1"/>
  <c r="Q283" i="1"/>
  <c r="W283" i="1" s="1"/>
  <c r="Q284" i="1"/>
  <c r="Q285" i="1"/>
  <c r="T285" i="1" s="1"/>
  <c r="Q286" i="1"/>
  <c r="Q287" i="1"/>
  <c r="Q288" i="1"/>
  <c r="S288" i="1" s="1"/>
  <c r="Q289" i="1"/>
  <c r="S289" i="1" s="1"/>
  <c r="Q290" i="1"/>
  <c r="W290" i="1" s="1"/>
  <c r="Q291" i="1"/>
  <c r="W291" i="1" s="1"/>
  <c r="Q292" i="1"/>
  <c r="W292" i="1" s="1"/>
  <c r="Q293" i="1"/>
  <c r="W293" i="1" s="1"/>
  <c r="Q294" i="1"/>
  <c r="S294" i="1" s="1"/>
  <c r="Q295" i="1"/>
  <c r="W295" i="1" s="1"/>
  <c r="Q296" i="1"/>
  <c r="Q297" i="1"/>
  <c r="T297" i="1" s="1"/>
  <c r="Q298" i="1"/>
  <c r="T298" i="1" s="1"/>
  <c r="Q299" i="1"/>
  <c r="T299" i="1" s="1"/>
  <c r="Q300" i="1"/>
  <c r="S300" i="1" s="1"/>
  <c r="Q301" i="1"/>
  <c r="S301" i="1" s="1"/>
  <c r="Q302" i="1"/>
  <c r="S302" i="1" s="1"/>
  <c r="Q303" i="1"/>
  <c r="W303" i="1" s="1"/>
  <c r="Q304" i="1"/>
  <c r="S304" i="1" s="1"/>
  <c r="Q305" i="1"/>
  <c r="S305" i="1" s="1"/>
  <c r="Q306" i="1"/>
  <c r="V306" i="1" s="1"/>
  <c r="Q307" i="1"/>
  <c r="V307" i="1" s="1"/>
  <c r="Q308" i="1"/>
  <c r="Q309" i="1"/>
  <c r="T309" i="1" s="1"/>
  <c r="Q310" i="1"/>
  <c r="T310" i="1" s="1"/>
  <c r="Q311" i="1"/>
  <c r="T311" i="1" s="1"/>
  <c r="Q312" i="1"/>
  <c r="T312" i="1" s="1"/>
  <c r="Q313" i="1"/>
  <c r="T313" i="1" s="1"/>
  <c r="Q314" i="1"/>
  <c r="S314" i="1" s="1"/>
  <c r="Q315" i="1"/>
  <c r="W315" i="1" s="1"/>
  <c r="Q316" i="1"/>
  <c r="S316" i="1" s="1"/>
  <c r="Q317" i="1"/>
  <c r="S317" i="1" s="1"/>
  <c r="Q318" i="1"/>
  <c r="W318" i="1" s="1"/>
  <c r="Q319" i="1"/>
  <c r="S319" i="1" s="1"/>
  <c r="Q320" i="1"/>
  <c r="Q321" i="1"/>
  <c r="T321" i="1" s="1"/>
  <c r="Q322" i="1"/>
  <c r="T322" i="1" s="1"/>
  <c r="Q323" i="1"/>
  <c r="T323" i="1" s="1"/>
  <c r="Q324" i="1"/>
  <c r="T324" i="1" s="1"/>
  <c r="Q325" i="1"/>
  <c r="T325" i="1" s="1"/>
  <c r="Q326" i="1"/>
  <c r="T326" i="1" s="1"/>
  <c r="Q327" i="1"/>
  <c r="S327" i="1" s="1"/>
  <c r="Q328" i="1"/>
  <c r="W328" i="1" s="1"/>
  <c r="Q329" i="1"/>
  <c r="V329" i="1" s="1"/>
  <c r="Q330" i="1"/>
  <c r="V330" i="1" s="1"/>
  <c r="Q331" i="1"/>
  <c r="V331" i="1" s="1"/>
  <c r="Q332" i="1"/>
  <c r="Q333" i="1"/>
  <c r="T333" i="1" s="1"/>
  <c r="Q334" i="1"/>
  <c r="Q335" i="1"/>
  <c r="Q336" i="1"/>
  <c r="V336" i="1" s="1"/>
  <c r="Q337" i="1"/>
  <c r="T337" i="1" s="1"/>
  <c r="Q338" i="1"/>
  <c r="T338" i="1" s="1"/>
  <c r="Q339" i="1"/>
  <c r="T339" i="1" s="1"/>
  <c r="Q340" i="1"/>
  <c r="V340" i="1" s="1"/>
  <c r="Q341" i="1"/>
  <c r="V341" i="1" s="1"/>
  <c r="Q342" i="1"/>
  <c r="W342" i="1" s="1"/>
  <c r="Q343" i="1"/>
  <c r="S343" i="1" s="1"/>
  <c r="Q344" i="1"/>
  <c r="Q345" i="1"/>
  <c r="T345" i="1" s="1"/>
  <c r="Q346" i="1"/>
  <c r="T346" i="1" s="1"/>
  <c r="Q347" i="1"/>
  <c r="Q348" i="1"/>
  <c r="W348" i="1" s="1"/>
  <c r="Q349" i="1"/>
  <c r="T349" i="1" s="1"/>
  <c r="Q350" i="1"/>
  <c r="T350" i="1" s="1"/>
  <c r="Q351" i="1"/>
  <c r="W351" i="1" s="1"/>
  <c r="Q352" i="1"/>
  <c r="S352" i="1" s="1"/>
  <c r="Q353" i="1"/>
  <c r="W353" i="1" s="1"/>
  <c r="Q354" i="1"/>
  <c r="S354" i="1" s="1"/>
  <c r="Q355" i="1"/>
  <c r="W355" i="1" s="1"/>
  <c r="Q356" i="1"/>
  <c r="Q357" i="1"/>
  <c r="T357" i="1" s="1"/>
  <c r="Q358" i="1"/>
  <c r="T358" i="1" s="1"/>
  <c r="Q359" i="1"/>
  <c r="T359" i="1" s="1"/>
  <c r="Q360" i="1"/>
  <c r="W360" i="1" s="1"/>
  <c r="Q361" i="1"/>
  <c r="T361" i="1" s="1"/>
  <c r="Q362" i="1"/>
  <c r="T362" i="1" s="1"/>
  <c r="Q363" i="1"/>
  <c r="S363" i="1" s="1"/>
  <c r="Q364" i="1"/>
  <c r="S364" i="1" s="1"/>
  <c r="Q365" i="1"/>
  <c r="S365" i="1" s="1"/>
  <c r="Q366" i="1"/>
  <c r="W366" i="1" s="1"/>
  <c r="Q367" i="1"/>
  <c r="W367" i="1" s="1"/>
  <c r="Q368" i="1"/>
  <c r="Q369" i="1"/>
  <c r="T369" i="1" s="1"/>
  <c r="Q370" i="1"/>
  <c r="T370" i="1" s="1"/>
  <c r="Q371" i="1"/>
  <c r="T371" i="1" s="1"/>
  <c r="Q372" i="1"/>
  <c r="T372" i="1" s="1"/>
  <c r="Q373" i="1"/>
  <c r="V373" i="1" s="1"/>
  <c r="Q374" i="1"/>
  <c r="V374" i="1" s="1"/>
  <c r="Q375" i="1"/>
  <c r="T375" i="1" s="1"/>
  <c r="Q376" i="1"/>
  <c r="V376" i="1" s="1"/>
  <c r="Q377" i="1"/>
  <c r="W377" i="1" s="1"/>
  <c r="Q378" i="1"/>
  <c r="W378" i="1" s="1"/>
  <c r="Q379" i="1"/>
  <c r="W379" i="1" s="1"/>
  <c r="Q380" i="1"/>
  <c r="Q381" i="1"/>
  <c r="T381" i="1" s="1"/>
  <c r="Q382" i="1"/>
  <c r="Q383" i="1"/>
  <c r="T383" i="1" s="1"/>
  <c r="Q384" i="1"/>
  <c r="T384" i="1" s="1"/>
  <c r="Q385" i="1"/>
  <c r="T385" i="1" s="1"/>
  <c r="Q386" i="1"/>
  <c r="S386" i="1" s="1"/>
  <c r="Q387" i="1"/>
  <c r="T387" i="1" s="1"/>
  <c r="Q388" i="1"/>
  <c r="V388" i="1" s="1"/>
  <c r="Q389" i="1"/>
  <c r="W389" i="1" s="1"/>
  <c r="Q390" i="1"/>
  <c r="W390" i="1" s="1"/>
  <c r="Q391" i="1"/>
  <c r="W391" i="1" s="1"/>
  <c r="Q392" i="1"/>
  <c r="Q393" i="1"/>
  <c r="T393" i="1" s="1"/>
  <c r="Q394" i="1"/>
  <c r="T394" i="1" s="1"/>
  <c r="Q395" i="1"/>
  <c r="T395" i="1" s="1"/>
  <c r="Q396" i="1"/>
  <c r="T396" i="1" s="1"/>
  <c r="Q397" i="1"/>
  <c r="T397" i="1" s="1"/>
  <c r="Q398" i="1"/>
  <c r="T398" i="1" s="1"/>
  <c r="Q399" i="1"/>
  <c r="T399" i="1" s="1"/>
  <c r="Q400" i="1"/>
  <c r="W400" i="1" s="1"/>
  <c r="Q401" i="1"/>
  <c r="W401" i="1" s="1"/>
  <c r="Q402" i="1"/>
  <c r="S402" i="1" s="1"/>
  <c r="Q403" i="1"/>
  <c r="S403" i="1" s="1"/>
  <c r="Q404" i="1"/>
  <c r="Q405" i="1"/>
  <c r="T405" i="1" s="1"/>
  <c r="Q406" i="1"/>
  <c r="Q407" i="1"/>
  <c r="Q408" i="1"/>
  <c r="T408" i="1" s="1"/>
  <c r="Q409" i="1"/>
  <c r="S409" i="1" s="1"/>
  <c r="Q410" i="1"/>
  <c r="T410" i="1" s="1"/>
  <c r="Q411" i="1"/>
  <c r="T411" i="1" s="1"/>
  <c r="Q412" i="1"/>
  <c r="V412" i="1" s="1"/>
  <c r="Q413" i="1"/>
  <c r="V413" i="1" s="1"/>
  <c r="Q414" i="1"/>
  <c r="W414" i="1" s="1"/>
  <c r="Q415" i="1"/>
  <c r="W415" i="1" s="1"/>
  <c r="Q416" i="1"/>
  <c r="Q417" i="1"/>
  <c r="T417" i="1" s="1"/>
  <c r="Q418" i="1"/>
  <c r="Q419" i="1"/>
  <c r="Q420" i="1"/>
  <c r="V420" i="1" s="1"/>
  <c r="Q421" i="1"/>
  <c r="V421" i="1" s="1"/>
  <c r="Q422" i="1"/>
  <c r="V422" i="1" s="1"/>
  <c r="Q423" i="1"/>
  <c r="T423" i="1" s="1"/>
  <c r="Q424" i="1"/>
  <c r="S424" i="1" s="1"/>
  <c r="Q425" i="1"/>
  <c r="V425" i="1" s="1"/>
  <c r="Q426" i="1"/>
  <c r="W426" i="1" s="1"/>
  <c r="Q427" i="1"/>
  <c r="S427" i="1" s="1"/>
  <c r="Q428" i="1"/>
  <c r="Q429" i="1"/>
  <c r="T429" i="1" s="1"/>
  <c r="Q430" i="1"/>
  <c r="Q431" i="1"/>
  <c r="Q432" i="1"/>
  <c r="S432" i="1" s="1"/>
  <c r="Q433" i="1"/>
  <c r="S433" i="1" s="1"/>
  <c r="Q434" i="1"/>
  <c r="W434" i="1" s="1"/>
  <c r="Q435" i="1"/>
  <c r="W435" i="1" s="1"/>
  <c r="Q436" i="1"/>
  <c r="S436" i="1" s="1"/>
  <c r="Q437" i="1"/>
  <c r="V437" i="1" s="1"/>
  <c r="Q438" i="1"/>
  <c r="W438" i="1" s="1"/>
  <c r="Q439" i="1"/>
  <c r="V439" i="1" s="1"/>
  <c r="Q440" i="1"/>
  <c r="Q441" i="1"/>
  <c r="T441" i="1" s="1"/>
  <c r="Q442" i="1"/>
  <c r="T442" i="1" s="1"/>
  <c r="Q443" i="1"/>
  <c r="T443" i="1" s="1"/>
  <c r="Q444" i="1"/>
  <c r="S444" i="1" s="1"/>
  <c r="Q445" i="1"/>
  <c r="S445" i="1" s="1"/>
  <c r="Q446" i="1"/>
  <c r="S446" i="1" s="1"/>
  <c r="Q447" i="1"/>
  <c r="T447" i="1" s="1"/>
  <c r="Q448" i="1"/>
  <c r="S448" i="1" s="1"/>
  <c r="Q449" i="1"/>
  <c r="S449" i="1" s="1"/>
  <c r="Q450" i="1"/>
  <c r="V450" i="1" s="1"/>
  <c r="Q451" i="1"/>
  <c r="V451" i="1" s="1"/>
  <c r="Q452" i="1"/>
  <c r="Q453" i="1"/>
  <c r="T453" i="1" s="1"/>
  <c r="Q454" i="1"/>
  <c r="T454" i="1" s="1"/>
  <c r="Q455" i="1"/>
  <c r="T455" i="1" s="1"/>
  <c r="Q456" i="1"/>
  <c r="S456" i="1" s="1"/>
  <c r="Q457" i="1"/>
  <c r="W457" i="1" s="1"/>
  <c r="Q458" i="1"/>
  <c r="S458" i="1" s="1"/>
  <c r="Q459" i="1"/>
  <c r="S459" i="1" s="1"/>
  <c r="Q460" i="1"/>
  <c r="V460" i="1" s="1"/>
  <c r="Q461" i="1"/>
  <c r="S461" i="1" s="1"/>
  <c r="Q462" i="1"/>
  <c r="S462" i="1" s="1"/>
  <c r="Q463" i="1"/>
  <c r="S463" i="1" s="1"/>
  <c r="Q464" i="1"/>
  <c r="Q465" i="1"/>
  <c r="T465" i="1" s="1"/>
  <c r="Q466" i="1"/>
  <c r="T466" i="1" s="1"/>
  <c r="Q467" i="1"/>
  <c r="T467" i="1" s="1"/>
  <c r="Q468" i="1"/>
  <c r="T468" i="1" s="1"/>
  <c r="Q469" i="1"/>
  <c r="T469" i="1" s="1"/>
  <c r="Q470" i="1"/>
  <c r="T470" i="1" s="1"/>
  <c r="Q471" i="1"/>
  <c r="S471" i="1" s="1"/>
  <c r="Q472" i="1"/>
  <c r="W472" i="1" s="1"/>
  <c r="Q473" i="1"/>
  <c r="W473" i="1" s="1"/>
  <c r="Q474" i="1"/>
  <c r="S474" i="1" s="1"/>
  <c r="Q475" i="1"/>
  <c r="S475" i="1" s="1"/>
  <c r="Q476" i="1"/>
  <c r="Q477" i="1"/>
  <c r="T477" i="1" s="1"/>
  <c r="Q478" i="1"/>
  <c r="T478" i="1" s="1"/>
  <c r="Q479" i="1"/>
  <c r="T479" i="1" s="1"/>
  <c r="Q480" i="1"/>
  <c r="V480" i="1" s="1"/>
  <c r="Q481" i="1"/>
  <c r="T481" i="1" s="1"/>
  <c r="Q482" i="1"/>
  <c r="T482" i="1" s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3" i="1"/>
  <c r="U84" i="1"/>
  <c r="U85" i="1"/>
  <c r="U86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12" i="1"/>
  <c r="U13" i="1"/>
  <c r="U14" i="1"/>
  <c r="Q5" i="1"/>
  <c r="Q6" i="1"/>
  <c r="Q7" i="1"/>
  <c r="Q8" i="1"/>
  <c r="Q9" i="1"/>
  <c r="Q10" i="1"/>
  <c r="Q12" i="1"/>
  <c r="S12" i="1" s="1"/>
  <c r="Q13" i="1"/>
  <c r="S13" i="1" s="1"/>
  <c r="Q14" i="1"/>
  <c r="V14" i="1" s="1"/>
  <c r="Q4" i="1"/>
  <c r="T38" i="1" l="1"/>
  <c r="T36" i="1"/>
  <c r="T480" i="1"/>
  <c r="S229" i="1"/>
  <c r="T314" i="1"/>
  <c r="T434" i="1"/>
  <c r="T435" i="1"/>
  <c r="T433" i="1"/>
  <c r="T374" i="1"/>
  <c r="T157" i="1"/>
  <c r="T156" i="1"/>
  <c r="T373" i="1"/>
  <c r="T218" i="1"/>
  <c r="T217" i="1"/>
  <c r="T216" i="1"/>
  <c r="T471" i="1"/>
  <c r="T400" i="1"/>
  <c r="T340" i="1"/>
  <c r="T73" i="1"/>
  <c r="T184" i="1"/>
  <c r="T50" i="1"/>
  <c r="T446" i="1"/>
  <c r="T112" i="1"/>
  <c r="T49" i="1"/>
  <c r="T219" i="1"/>
  <c r="T280" i="1"/>
  <c r="T146" i="1"/>
  <c r="T472" i="1"/>
  <c r="T409" i="1"/>
  <c r="T278" i="1"/>
  <c r="T74" i="1"/>
  <c r="T72" i="1"/>
  <c r="T445" i="1"/>
  <c r="T336" i="1"/>
  <c r="T244" i="1"/>
  <c r="T48" i="1"/>
  <c r="T148" i="1"/>
  <c r="T147" i="1"/>
  <c r="T75" i="1"/>
  <c r="T145" i="1"/>
  <c r="T436" i="1"/>
  <c r="T376" i="1"/>
  <c r="T315" i="1"/>
  <c r="T39" i="1"/>
  <c r="T11" i="1"/>
  <c r="T10" i="1"/>
  <c r="T12" i="1"/>
  <c r="T303" i="1"/>
  <c r="T424" i="1"/>
  <c r="T302" i="1"/>
  <c r="T205" i="1"/>
  <c r="T63" i="1"/>
  <c r="T457" i="1"/>
  <c r="T422" i="1"/>
  <c r="T388" i="1"/>
  <c r="T327" i="1"/>
  <c r="T292" i="1"/>
  <c r="T230" i="1"/>
  <c r="T196" i="1"/>
  <c r="T99" i="1"/>
  <c r="T26" i="1"/>
  <c r="T304" i="1"/>
  <c r="T459" i="1"/>
  <c r="T363" i="1"/>
  <c r="T171" i="1"/>
  <c r="T458" i="1"/>
  <c r="T328" i="1"/>
  <c r="T231" i="1"/>
  <c r="T100" i="1"/>
  <c r="T456" i="1"/>
  <c r="T421" i="1"/>
  <c r="T360" i="1"/>
  <c r="T291" i="1"/>
  <c r="T256" i="1"/>
  <c r="T229" i="1"/>
  <c r="T134" i="1"/>
  <c r="T208" i="1"/>
  <c r="T460" i="1"/>
  <c r="T364" i="1"/>
  <c r="T268" i="1"/>
  <c r="T172" i="1"/>
  <c r="T206" i="1"/>
  <c r="T170" i="1"/>
  <c r="T27" i="1"/>
  <c r="T4" i="1"/>
  <c r="T448" i="1"/>
  <c r="T420" i="1"/>
  <c r="T386" i="1"/>
  <c r="T352" i="1"/>
  <c r="T290" i="1"/>
  <c r="T255" i="1"/>
  <c r="T228" i="1"/>
  <c r="T160" i="1"/>
  <c r="T133" i="1"/>
  <c r="T60" i="1"/>
  <c r="T24" i="1"/>
  <c r="T232" i="1"/>
  <c r="T301" i="1"/>
  <c r="T136" i="1"/>
  <c r="T412" i="1"/>
  <c r="T351" i="1"/>
  <c r="T316" i="1"/>
  <c r="T289" i="1"/>
  <c r="T220" i="1"/>
  <c r="T159" i="1"/>
  <c r="T124" i="1"/>
  <c r="T88" i="1"/>
  <c r="T51" i="1"/>
  <c r="T15" i="1"/>
  <c r="S431" i="1"/>
  <c r="T431" i="1"/>
  <c r="S287" i="1"/>
  <c r="T287" i="1"/>
  <c r="V239" i="1"/>
  <c r="T239" i="1"/>
  <c r="S119" i="1"/>
  <c r="T119" i="1"/>
  <c r="Y8" i="1"/>
  <c r="T8" i="1"/>
  <c r="S418" i="1"/>
  <c r="T418" i="1"/>
  <c r="V382" i="1"/>
  <c r="T382" i="1"/>
  <c r="S274" i="1"/>
  <c r="T274" i="1"/>
  <c r="V21" i="1"/>
  <c r="T21" i="1"/>
  <c r="W464" i="1"/>
  <c r="T464" i="1"/>
  <c r="W416" i="1"/>
  <c r="T416" i="1"/>
  <c r="V368" i="1"/>
  <c r="T368" i="1"/>
  <c r="W320" i="1"/>
  <c r="T320" i="1"/>
  <c r="W272" i="1"/>
  <c r="T272" i="1"/>
  <c r="S236" i="1"/>
  <c r="T236" i="1"/>
  <c r="S164" i="1"/>
  <c r="T164" i="1"/>
  <c r="V104" i="1"/>
  <c r="T104" i="1"/>
  <c r="V31" i="1"/>
  <c r="T31" i="1"/>
  <c r="T444" i="1"/>
  <c r="T300" i="1"/>
  <c r="T7" i="1"/>
  <c r="T120" i="1"/>
  <c r="T13" i="1"/>
  <c r="S419" i="1"/>
  <c r="T419" i="1"/>
  <c r="W347" i="1"/>
  <c r="T347" i="1"/>
  <c r="V263" i="1"/>
  <c r="T263" i="1"/>
  <c r="V215" i="1"/>
  <c r="T215" i="1"/>
  <c r="V406" i="1"/>
  <c r="T406" i="1"/>
  <c r="W250" i="1"/>
  <c r="T250" i="1"/>
  <c r="V130" i="1"/>
  <c r="T130" i="1"/>
  <c r="S476" i="1"/>
  <c r="T476" i="1"/>
  <c r="W428" i="1"/>
  <c r="T428" i="1"/>
  <c r="S380" i="1"/>
  <c r="T380" i="1"/>
  <c r="S332" i="1"/>
  <c r="T332" i="1"/>
  <c r="S284" i="1"/>
  <c r="T284" i="1"/>
  <c r="S224" i="1"/>
  <c r="T224" i="1"/>
  <c r="S140" i="1"/>
  <c r="T140" i="1"/>
  <c r="T14" i="1"/>
  <c r="T6" i="1"/>
  <c r="T264" i="1"/>
  <c r="T47" i="1"/>
  <c r="W275" i="1"/>
  <c r="T275" i="1"/>
  <c r="S227" i="1"/>
  <c r="T227" i="1"/>
  <c r="W203" i="1"/>
  <c r="T203" i="1"/>
  <c r="W179" i="1"/>
  <c r="T179" i="1"/>
  <c r="S131" i="1"/>
  <c r="T131" i="1"/>
  <c r="V58" i="1"/>
  <c r="T58" i="1"/>
  <c r="W46" i="1"/>
  <c r="T46" i="1"/>
  <c r="W430" i="1"/>
  <c r="T430" i="1"/>
  <c r="V262" i="1"/>
  <c r="T262" i="1"/>
  <c r="V238" i="1"/>
  <c r="T238" i="1"/>
  <c r="V452" i="1"/>
  <c r="T452" i="1"/>
  <c r="W392" i="1"/>
  <c r="T392" i="1"/>
  <c r="V344" i="1"/>
  <c r="T344" i="1"/>
  <c r="S296" i="1"/>
  <c r="T296" i="1"/>
  <c r="W248" i="1"/>
  <c r="T248" i="1"/>
  <c r="V200" i="1"/>
  <c r="T200" i="1"/>
  <c r="V176" i="1"/>
  <c r="T176" i="1"/>
  <c r="W128" i="1"/>
  <c r="T128" i="1"/>
  <c r="S79" i="1"/>
  <c r="T79" i="1"/>
  <c r="V43" i="1"/>
  <c r="T43" i="1"/>
  <c r="T5" i="1"/>
  <c r="T348" i="1"/>
  <c r="W407" i="1"/>
  <c r="T407" i="1"/>
  <c r="S335" i="1"/>
  <c r="T335" i="1"/>
  <c r="S143" i="1"/>
  <c r="T143" i="1"/>
  <c r="W334" i="1"/>
  <c r="T334" i="1"/>
  <c r="W286" i="1"/>
  <c r="T286" i="1"/>
  <c r="W178" i="1"/>
  <c r="T178" i="1"/>
  <c r="V20" i="1"/>
  <c r="T20" i="1"/>
  <c r="V440" i="1"/>
  <c r="T440" i="1"/>
  <c r="W404" i="1"/>
  <c r="T404" i="1"/>
  <c r="W356" i="1"/>
  <c r="T356" i="1"/>
  <c r="W308" i="1"/>
  <c r="T308" i="1"/>
  <c r="V260" i="1"/>
  <c r="T260" i="1"/>
  <c r="V212" i="1"/>
  <c r="T212" i="1"/>
  <c r="V188" i="1"/>
  <c r="T188" i="1"/>
  <c r="W152" i="1"/>
  <c r="T152" i="1"/>
  <c r="W116" i="1"/>
  <c r="T116" i="1"/>
  <c r="S92" i="1"/>
  <c r="T92" i="1"/>
  <c r="S67" i="1"/>
  <c r="T67" i="1"/>
  <c r="W55" i="1"/>
  <c r="T55" i="1"/>
  <c r="S19" i="1"/>
  <c r="T19" i="1"/>
  <c r="S132" i="1"/>
  <c r="T132" i="1"/>
  <c r="V23" i="1"/>
  <c r="T23" i="1"/>
  <c r="Y9" i="1"/>
  <c r="T9" i="1"/>
  <c r="T432" i="1"/>
  <c r="T288" i="1"/>
  <c r="T144" i="1"/>
  <c r="T475" i="1"/>
  <c r="T463" i="1"/>
  <c r="T451" i="1"/>
  <c r="T439" i="1"/>
  <c r="T427" i="1"/>
  <c r="T415" i="1"/>
  <c r="T403" i="1"/>
  <c r="T391" i="1"/>
  <c r="T379" i="1"/>
  <c r="T367" i="1"/>
  <c r="T355" i="1"/>
  <c r="T343" i="1"/>
  <c r="T331" i="1"/>
  <c r="T319" i="1"/>
  <c r="T307" i="1"/>
  <c r="T295" i="1"/>
  <c r="T283" i="1"/>
  <c r="T271" i="1"/>
  <c r="T259" i="1"/>
  <c r="T247" i="1"/>
  <c r="T235" i="1"/>
  <c r="T223" i="1"/>
  <c r="T211" i="1"/>
  <c r="T199" i="1"/>
  <c r="T187" i="1"/>
  <c r="T175" i="1"/>
  <c r="T163" i="1"/>
  <c r="T151" i="1"/>
  <c r="T139" i="1"/>
  <c r="T127" i="1"/>
  <c r="T115" i="1"/>
  <c r="T103" i="1"/>
  <c r="T91" i="1"/>
  <c r="T78" i="1"/>
  <c r="T66" i="1"/>
  <c r="T54" i="1"/>
  <c r="T42" i="1"/>
  <c r="T30" i="1"/>
  <c r="T18" i="1"/>
  <c r="T474" i="1"/>
  <c r="T462" i="1"/>
  <c r="T450" i="1"/>
  <c r="T438" i="1"/>
  <c r="T426" i="1"/>
  <c r="T414" i="1"/>
  <c r="T402" i="1"/>
  <c r="T390" i="1"/>
  <c r="T378" i="1"/>
  <c r="T366" i="1"/>
  <c r="T354" i="1"/>
  <c r="T342" i="1"/>
  <c r="T330" i="1"/>
  <c r="T318" i="1"/>
  <c r="T306" i="1"/>
  <c r="T294" i="1"/>
  <c r="T282" i="1"/>
  <c r="T270" i="1"/>
  <c r="T258" i="1"/>
  <c r="T246" i="1"/>
  <c r="T234" i="1"/>
  <c r="T222" i="1"/>
  <c r="T210" i="1"/>
  <c r="T198" i="1"/>
  <c r="T186" i="1"/>
  <c r="T174" i="1"/>
  <c r="T162" i="1"/>
  <c r="T150" i="1"/>
  <c r="T138" i="1"/>
  <c r="T126" i="1"/>
  <c r="T114" i="1"/>
  <c r="T102" i="1"/>
  <c r="T90" i="1"/>
  <c r="T77" i="1"/>
  <c r="T65" i="1"/>
  <c r="T53" i="1"/>
  <c r="T41" i="1"/>
  <c r="T29" i="1"/>
  <c r="T17" i="1"/>
  <c r="T473" i="1"/>
  <c r="T461" i="1"/>
  <c r="T449" i="1"/>
  <c r="T437" i="1"/>
  <c r="T425" i="1"/>
  <c r="T413" i="1"/>
  <c r="T401" i="1"/>
  <c r="T389" i="1"/>
  <c r="T377" i="1"/>
  <c r="T365" i="1"/>
  <c r="T353" i="1"/>
  <c r="T341" i="1"/>
  <c r="T329" i="1"/>
  <c r="T317" i="1"/>
  <c r="T305" i="1"/>
  <c r="T293" i="1"/>
  <c r="T281" i="1"/>
  <c r="T269" i="1"/>
  <c r="T257" i="1"/>
  <c r="T245" i="1"/>
  <c r="T233" i="1"/>
  <c r="T221" i="1"/>
  <c r="T209" i="1"/>
  <c r="T197" i="1"/>
  <c r="T185" i="1"/>
  <c r="T173" i="1"/>
  <c r="T161" i="1"/>
  <c r="T149" i="1"/>
  <c r="T137" i="1"/>
  <c r="T125" i="1"/>
  <c r="T113" i="1"/>
  <c r="T101" i="1"/>
  <c r="T89" i="1"/>
  <c r="T76" i="1"/>
  <c r="T64" i="1"/>
  <c r="T52" i="1"/>
  <c r="T40" i="1"/>
  <c r="T28" i="1"/>
  <c r="T16" i="1"/>
  <c r="X11" i="1"/>
  <c r="X10" i="1"/>
  <c r="X9" i="1"/>
  <c r="X8" i="1"/>
  <c r="X7" i="1"/>
  <c r="X6" i="1"/>
  <c r="X5" i="1"/>
  <c r="X4" i="1"/>
  <c r="V102" i="1"/>
  <c r="S8" i="1"/>
  <c r="V392" i="1"/>
  <c r="S308" i="1"/>
  <c r="U5" i="1"/>
  <c r="W344" i="1"/>
  <c r="W222" i="1"/>
  <c r="S295" i="1"/>
  <c r="S269" i="1"/>
  <c r="W19" i="1"/>
  <c r="V380" i="1"/>
  <c r="V379" i="1"/>
  <c r="W212" i="1"/>
  <c r="V296" i="1"/>
  <c r="S77" i="1"/>
  <c r="V284" i="1"/>
  <c r="S43" i="1"/>
  <c r="S31" i="1"/>
  <c r="W43" i="1"/>
  <c r="V164" i="1"/>
  <c r="S452" i="1"/>
  <c r="V92" i="1"/>
  <c r="W332" i="1"/>
  <c r="V378" i="1"/>
  <c r="S188" i="1"/>
  <c r="W200" i="1"/>
  <c r="W127" i="1"/>
  <c r="V247" i="1"/>
  <c r="W31" i="1"/>
  <c r="W30" i="1"/>
  <c r="V103" i="1"/>
  <c r="S428" i="1"/>
  <c r="W211" i="1"/>
  <c r="V367" i="1"/>
  <c r="V463" i="1"/>
  <c r="V318" i="1"/>
  <c r="V91" i="1"/>
  <c r="S258" i="1"/>
  <c r="W199" i="1"/>
  <c r="V77" i="1"/>
  <c r="S30" i="1"/>
  <c r="W78" i="1"/>
  <c r="W451" i="1"/>
  <c r="V294" i="1"/>
  <c r="W282" i="1"/>
  <c r="V403" i="1"/>
  <c r="S379" i="1"/>
  <c r="W147" i="1"/>
  <c r="V151" i="1"/>
  <c r="S378" i="1"/>
  <c r="W234" i="1"/>
  <c r="S331" i="1"/>
  <c r="W103" i="1"/>
  <c r="S283" i="1"/>
  <c r="W17" i="1"/>
  <c r="S438" i="1"/>
  <c r="W331" i="1"/>
  <c r="W101" i="1"/>
  <c r="V211" i="1"/>
  <c r="W91" i="1"/>
  <c r="W475" i="1"/>
  <c r="W198" i="1"/>
  <c r="V438" i="1"/>
  <c r="V199" i="1"/>
  <c r="S17" i="1"/>
  <c r="W187" i="1"/>
  <c r="V414" i="1"/>
  <c r="V42" i="1"/>
  <c r="S389" i="1"/>
  <c r="W258" i="1"/>
  <c r="V283" i="1"/>
  <c r="S175" i="1"/>
  <c r="S4" i="1"/>
  <c r="W427" i="1"/>
  <c r="S151" i="1"/>
  <c r="W232" i="1"/>
  <c r="W143" i="1"/>
  <c r="W42" i="1"/>
  <c r="V391" i="1"/>
  <c r="V139" i="1"/>
  <c r="S138" i="1"/>
  <c r="W343" i="1"/>
  <c r="S451" i="1"/>
  <c r="W102" i="1"/>
  <c r="W319" i="1"/>
  <c r="V462" i="1"/>
  <c r="V210" i="1"/>
  <c r="S415" i="1"/>
  <c r="W317" i="1"/>
  <c r="V295" i="1"/>
  <c r="V54" i="1"/>
  <c r="S391" i="1"/>
  <c r="V187" i="1"/>
  <c r="S198" i="1"/>
  <c r="W439" i="1"/>
  <c r="W150" i="1"/>
  <c r="V402" i="1"/>
  <c r="W144" i="1"/>
  <c r="V150" i="1"/>
  <c r="W354" i="1"/>
  <c r="W223" i="1"/>
  <c r="W138" i="1"/>
  <c r="S307" i="1"/>
  <c r="W18" i="1"/>
  <c r="V18" i="1"/>
  <c r="S53" i="1"/>
  <c r="V67" i="1"/>
  <c r="V174" i="1"/>
  <c r="W474" i="1"/>
  <c r="V272" i="1"/>
  <c r="S174" i="1"/>
  <c r="W463" i="1"/>
  <c r="V271" i="1"/>
  <c r="V66" i="1"/>
  <c r="S272" i="1"/>
  <c r="S55" i="1"/>
  <c r="S176" i="1"/>
  <c r="S414" i="1"/>
  <c r="W114" i="1"/>
  <c r="V163" i="1"/>
  <c r="S404" i="1"/>
  <c r="S163" i="1"/>
  <c r="S10" i="1"/>
  <c r="W462" i="1"/>
  <c r="W307" i="1"/>
  <c r="W104" i="1"/>
  <c r="V268" i="1"/>
  <c r="V162" i="1"/>
  <c r="V55" i="1"/>
  <c r="S392" i="1"/>
  <c r="S270" i="1"/>
  <c r="S152" i="1"/>
  <c r="W476" i="1"/>
  <c r="S9" i="1"/>
  <c r="W294" i="1"/>
  <c r="W176" i="1"/>
  <c r="V354" i="1"/>
  <c r="S388" i="1"/>
  <c r="S128" i="1"/>
  <c r="W284" i="1"/>
  <c r="V474" i="1"/>
  <c r="S248" i="1"/>
  <c r="W175" i="1"/>
  <c r="W92" i="1"/>
  <c r="V464" i="1"/>
  <c r="V353" i="1"/>
  <c r="V248" i="1"/>
  <c r="S247" i="1"/>
  <c r="S127" i="1"/>
  <c r="S114" i="1"/>
  <c r="W452" i="1"/>
  <c r="U4" i="1"/>
  <c r="S104" i="1"/>
  <c r="S355" i="1"/>
  <c r="V332" i="1"/>
  <c r="W66" i="1"/>
  <c r="V234" i="1"/>
  <c r="S344" i="1"/>
  <c r="S223" i="1"/>
  <c r="S90" i="1"/>
  <c r="V53" i="1"/>
  <c r="W172" i="1"/>
  <c r="V343" i="1"/>
  <c r="W164" i="1"/>
  <c r="V115" i="1"/>
  <c r="V152" i="1"/>
  <c r="V355" i="1"/>
  <c r="V352" i="1"/>
  <c r="W173" i="1"/>
  <c r="V128" i="1"/>
  <c r="S367" i="1"/>
  <c r="W271" i="1"/>
  <c r="W67" i="1"/>
  <c r="V235" i="1"/>
  <c r="U10" i="1"/>
  <c r="W162" i="1"/>
  <c r="V427" i="1"/>
  <c r="S88" i="1"/>
  <c r="W236" i="1"/>
  <c r="V308" i="1"/>
  <c r="S342" i="1"/>
  <c r="V475" i="1"/>
  <c r="S5" i="1"/>
  <c r="V27" i="1"/>
  <c r="W403" i="1"/>
  <c r="W402" i="1"/>
  <c r="V113" i="1"/>
  <c r="S464" i="1"/>
  <c r="S222" i="1"/>
  <c r="U9" i="1"/>
  <c r="W54" i="1"/>
  <c r="V416" i="1"/>
  <c r="V112" i="1"/>
  <c r="S212" i="1"/>
  <c r="U8" i="1"/>
  <c r="W235" i="1"/>
  <c r="V415" i="1"/>
  <c r="V19" i="1"/>
  <c r="W41" i="1"/>
  <c r="V428" i="1"/>
  <c r="V356" i="1"/>
  <c r="V236" i="1"/>
  <c r="S368" i="1"/>
  <c r="S41" i="1"/>
  <c r="W330" i="1"/>
  <c r="S390" i="1"/>
  <c r="W316" i="1"/>
  <c r="V366" i="1"/>
  <c r="V90" i="1"/>
  <c r="S6" i="1"/>
  <c r="W450" i="1"/>
  <c r="W376" i="1"/>
  <c r="W306" i="1"/>
  <c r="W224" i="1"/>
  <c r="V426" i="1"/>
  <c r="V79" i="1"/>
  <c r="S440" i="1"/>
  <c r="S366" i="1"/>
  <c r="S282" i="1"/>
  <c r="S210" i="1"/>
  <c r="S116" i="1"/>
  <c r="W380" i="1"/>
  <c r="V436" i="1"/>
  <c r="S7" i="1"/>
  <c r="S450" i="1"/>
  <c r="S126" i="1"/>
  <c r="W440" i="1"/>
  <c r="W368" i="1"/>
  <c r="W296" i="1"/>
  <c r="W100" i="1"/>
  <c r="W29" i="1"/>
  <c r="V418" i="1"/>
  <c r="V224" i="1"/>
  <c r="V78" i="1"/>
  <c r="S439" i="1"/>
  <c r="S356" i="1"/>
  <c r="S200" i="1"/>
  <c r="S115" i="1"/>
  <c r="V140" i="1"/>
  <c r="W146" i="1"/>
  <c r="V270" i="1"/>
  <c r="S426" i="1"/>
  <c r="S260" i="1"/>
  <c r="W145" i="1"/>
  <c r="W79" i="1"/>
  <c r="V476" i="1"/>
  <c r="V404" i="1"/>
  <c r="V342" i="1"/>
  <c r="V269" i="1"/>
  <c r="V65" i="1"/>
  <c r="S416" i="1"/>
  <c r="S259" i="1"/>
  <c r="S186" i="1"/>
  <c r="V126" i="1"/>
  <c r="U7" i="1"/>
  <c r="W188" i="1"/>
  <c r="W139" i="1"/>
  <c r="V328" i="1"/>
  <c r="V116" i="1"/>
  <c r="S330" i="1"/>
  <c r="S246" i="1"/>
  <c r="W140" i="1"/>
  <c r="U6" i="1"/>
  <c r="W260" i="1"/>
  <c r="W65" i="1"/>
  <c r="V390" i="1"/>
  <c r="V320" i="1"/>
  <c r="V196" i="1"/>
  <c r="S320" i="1"/>
  <c r="W259" i="1"/>
  <c r="W186" i="1"/>
  <c r="V319" i="1"/>
  <c r="S318" i="1"/>
  <c r="V29" i="1"/>
  <c r="S306" i="1"/>
  <c r="W246" i="1"/>
  <c r="S11" i="1"/>
  <c r="U11" i="1"/>
  <c r="W257" i="1"/>
  <c r="V461" i="1"/>
  <c r="V221" i="1"/>
  <c r="S329" i="1"/>
  <c r="S209" i="1"/>
  <c r="W256" i="1"/>
  <c r="W125" i="1"/>
  <c r="V137" i="1"/>
  <c r="W425" i="1"/>
  <c r="V401" i="1"/>
  <c r="V76" i="1"/>
  <c r="S473" i="1"/>
  <c r="S353" i="1"/>
  <c r="S112" i="1"/>
  <c r="S15" i="1"/>
  <c r="W365" i="1"/>
  <c r="W221" i="1"/>
  <c r="W15" i="1"/>
  <c r="S257" i="1"/>
  <c r="S76" i="1"/>
  <c r="V424" i="1"/>
  <c r="V184" i="1"/>
  <c r="W304" i="1"/>
  <c r="S376" i="1"/>
  <c r="W436" i="1"/>
  <c r="W388" i="1"/>
  <c r="W329" i="1"/>
  <c r="W244" i="1"/>
  <c r="W185" i="1"/>
  <c r="W113" i="1"/>
  <c r="V448" i="1"/>
  <c r="V365" i="1"/>
  <c r="V281" i="1"/>
  <c r="V208" i="1"/>
  <c r="V149" i="1"/>
  <c r="V125" i="1"/>
  <c r="V39" i="1"/>
  <c r="S401" i="1"/>
  <c r="S341" i="1"/>
  <c r="S196" i="1"/>
  <c r="S100" i="1"/>
  <c r="V245" i="1"/>
  <c r="S149" i="1"/>
  <c r="W448" i="1"/>
  <c r="V377" i="1"/>
  <c r="S328" i="1"/>
  <c r="S208" i="1"/>
  <c r="S148" i="1"/>
  <c r="S16" i="1"/>
  <c r="W340" i="1"/>
  <c r="V317" i="1"/>
  <c r="S412" i="1"/>
  <c r="W364" i="1"/>
  <c r="V316" i="1"/>
  <c r="S137" i="1"/>
  <c r="W461" i="1"/>
  <c r="W433" i="1"/>
  <c r="W413" i="1"/>
  <c r="W184" i="1"/>
  <c r="W52" i="1"/>
  <c r="V473" i="1"/>
  <c r="V389" i="1"/>
  <c r="V364" i="1"/>
  <c r="V280" i="1"/>
  <c r="V233" i="1"/>
  <c r="V148" i="1"/>
  <c r="V124" i="1"/>
  <c r="V64" i="1"/>
  <c r="S400" i="1"/>
  <c r="S340" i="1"/>
  <c r="S281" i="1"/>
  <c r="S161" i="1"/>
  <c r="S233" i="1"/>
  <c r="S52" i="1"/>
  <c r="V293" i="1"/>
  <c r="S232" i="1"/>
  <c r="W64" i="1"/>
  <c r="V400" i="1"/>
  <c r="V16" i="1"/>
  <c r="S172" i="1"/>
  <c r="W220" i="1"/>
  <c r="W40" i="1"/>
  <c r="V101" i="1"/>
  <c r="S377" i="1"/>
  <c r="S40" i="1"/>
  <c r="V449" i="1"/>
  <c r="S437" i="1"/>
  <c r="W460" i="1"/>
  <c r="W432" i="1"/>
  <c r="W412" i="1"/>
  <c r="W268" i="1"/>
  <c r="W209" i="1"/>
  <c r="W136" i="1"/>
  <c r="W51" i="1"/>
  <c r="V472" i="1"/>
  <c r="V305" i="1"/>
  <c r="V256" i="1"/>
  <c r="V173" i="1"/>
  <c r="V144" i="1"/>
  <c r="V63" i="1"/>
  <c r="S460" i="1"/>
  <c r="S280" i="1"/>
  <c r="S245" i="1"/>
  <c r="S160" i="1"/>
  <c r="W197" i="1"/>
  <c r="V220" i="1"/>
  <c r="W124" i="1"/>
  <c r="V292" i="1"/>
  <c r="V160" i="1"/>
  <c r="S413" i="1"/>
  <c r="S293" i="1"/>
  <c r="W424" i="1"/>
  <c r="W63" i="1"/>
  <c r="V185" i="1"/>
  <c r="V75" i="1"/>
  <c r="S472" i="1"/>
  <c r="W305" i="1"/>
  <c r="W161" i="1"/>
  <c r="W89" i="1"/>
  <c r="W437" i="1"/>
  <c r="W88" i="1"/>
  <c r="W39" i="1"/>
  <c r="S197" i="1"/>
  <c r="W431" i="1"/>
  <c r="W352" i="1"/>
  <c r="W131" i="1"/>
  <c r="W49" i="1"/>
  <c r="W28" i="1"/>
  <c r="V304" i="1"/>
  <c r="V143" i="1"/>
  <c r="V89" i="1"/>
  <c r="S425" i="1"/>
  <c r="S244" i="1"/>
  <c r="S28" i="1"/>
  <c r="W449" i="1"/>
  <c r="W341" i="1"/>
  <c r="V51" i="1"/>
  <c r="V136" i="1"/>
  <c r="S292" i="1"/>
  <c r="S75" i="1"/>
  <c r="W27" i="1"/>
  <c r="V206" i="1"/>
  <c r="W289" i="1"/>
  <c r="V301" i="1"/>
  <c r="V205" i="1"/>
  <c r="V132" i="1"/>
  <c r="S58" i="1"/>
  <c r="W288" i="1"/>
  <c r="V300" i="1"/>
  <c r="V131" i="1"/>
  <c r="S407" i="1"/>
  <c r="W171" i="1"/>
  <c r="V363" i="1"/>
  <c r="W287" i="1"/>
  <c r="V147" i="1"/>
  <c r="S457" i="1"/>
  <c r="W133" i="1"/>
  <c r="V146" i="1"/>
  <c r="S215" i="1"/>
  <c r="S275" i="1"/>
  <c r="W132" i="1"/>
  <c r="V419" i="1"/>
  <c r="V145" i="1"/>
  <c r="S411" i="1"/>
  <c r="V411" i="1"/>
  <c r="W411" i="1"/>
  <c r="S399" i="1"/>
  <c r="V399" i="1"/>
  <c r="S375" i="1"/>
  <c r="V375" i="1"/>
  <c r="V243" i="1"/>
  <c r="W243" i="1"/>
  <c r="S243" i="1"/>
  <c r="S207" i="1"/>
  <c r="W207" i="1"/>
  <c r="W183" i="1"/>
  <c r="S183" i="1"/>
  <c r="S62" i="1"/>
  <c r="V62" i="1"/>
  <c r="S398" i="1"/>
  <c r="V398" i="1"/>
  <c r="W398" i="1"/>
  <c r="S350" i="1"/>
  <c r="W350" i="1"/>
  <c r="S254" i="1"/>
  <c r="V254" i="1"/>
  <c r="W254" i="1"/>
  <c r="S182" i="1"/>
  <c r="W182" i="1"/>
  <c r="V182" i="1"/>
  <c r="S158" i="1"/>
  <c r="W158" i="1"/>
  <c r="S122" i="1"/>
  <c r="V122" i="1"/>
  <c r="W122" i="1"/>
  <c r="V85" i="1"/>
  <c r="W85" i="1"/>
  <c r="S85" i="1"/>
  <c r="S37" i="1"/>
  <c r="W37" i="1"/>
  <c r="V435" i="1"/>
  <c r="V469" i="1"/>
  <c r="W469" i="1"/>
  <c r="W421" i="1"/>
  <c r="S421" i="1"/>
  <c r="V385" i="1"/>
  <c r="W385" i="1"/>
  <c r="S385" i="1"/>
  <c r="S349" i="1"/>
  <c r="W349" i="1"/>
  <c r="S313" i="1"/>
  <c r="W313" i="1"/>
  <c r="S265" i="1"/>
  <c r="W265" i="1"/>
  <c r="V265" i="1"/>
  <c r="S253" i="1"/>
  <c r="V253" i="1"/>
  <c r="W253" i="1"/>
  <c r="S181" i="1"/>
  <c r="W181" i="1"/>
  <c r="V181" i="1"/>
  <c r="S169" i="1"/>
  <c r="W169" i="1"/>
  <c r="S109" i="1"/>
  <c r="V109" i="1"/>
  <c r="W109" i="1"/>
  <c r="W24" i="1"/>
  <c r="S24" i="1"/>
  <c r="W471" i="1"/>
  <c r="V159" i="1"/>
  <c r="S38" i="1"/>
  <c r="S396" i="1"/>
  <c r="W396" i="1"/>
  <c r="V396" i="1"/>
  <c r="S348" i="1"/>
  <c r="V348" i="1"/>
  <c r="S324" i="1"/>
  <c r="V324" i="1"/>
  <c r="W324" i="1"/>
  <c r="S276" i="1"/>
  <c r="W276" i="1"/>
  <c r="S252" i="1"/>
  <c r="W252" i="1"/>
  <c r="V252" i="1"/>
  <c r="S192" i="1"/>
  <c r="W192" i="1"/>
  <c r="V83" i="1"/>
  <c r="W83" i="1"/>
  <c r="S83" i="1"/>
  <c r="S35" i="1"/>
  <c r="W35" i="1"/>
  <c r="W302" i="1"/>
  <c r="V158" i="1"/>
  <c r="S315" i="1"/>
  <c r="S455" i="1"/>
  <c r="W455" i="1"/>
  <c r="V455" i="1"/>
  <c r="V371" i="1"/>
  <c r="W371" i="1"/>
  <c r="V335" i="1"/>
  <c r="W335" i="1"/>
  <c r="S299" i="1"/>
  <c r="V299" i="1"/>
  <c r="W299" i="1"/>
  <c r="W263" i="1"/>
  <c r="S263" i="1"/>
  <c r="S239" i="1"/>
  <c r="W239" i="1"/>
  <c r="V191" i="1"/>
  <c r="W191" i="1"/>
  <c r="S167" i="1"/>
  <c r="W167" i="1"/>
  <c r="V167" i="1"/>
  <c r="V95" i="1"/>
  <c r="S95" i="1"/>
  <c r="W95" i="1"/>
  <c r="V34" i="1"/>
  <c r="S34" i="1"/>
  <c r="W34" i="1"/>
  <c r="W445" i="1"/>
  <c r="W363" i="1"/>
  <c r="V219" i="1"/>
  <c r="S156" i="1"/>
  <c r="S478" i="1"/>
  <c r="V478" i="1"/>
  <c r="S394" i="1"/>
  <c r="V394" i="1"/>
  <c r="S370" i="1"/>
  <c r="W370" i="1"/>
  <c r="S322" i="1"/>
  <c r="V322" i="1"/>
  <c r="W322" i="1"/>
  <c r="S238" i="1"/>
  <c r="W238" i="1"/>
  <c r="S214" i="1"/>
  <c r="W214" i="1"/>
  <c r="V214" i="1"/>
  <c r="S190" i="1"/>
  <c r="W190" i="1"/>
  <c r="V190" i="1"/>
  <c r="S166" i="1"/>
  <c r="W166" i="1"/>
  <c r="V166" i="1"/>
  <c r="S142" i="1"/>
  <c r="W142" i="1"/>
  <c r="V142" i="1"/>
  <c r="S118" i="1"/>
  <c r="W118" i="1"/>
  <c r="S94" i="1"/>
  <c r="W94" i="1"/>
  <c r="S69" i="1"/>
  <c r="W69" i="1"/>
  <c r="S33" i="1"/>
  <c r="W33" i="1"/>
  <c r="W300" i="1"/>
  <c r="V446" i="1"/>
  <c r="V351" i="1"/>
  <c r="V35" i="1"/>
  <c r="W58" i="1"/>
  <c r="V291" i="1"/>
  <c r="V192" i="1"/>
  <c r="V33" i="1"/>
  <c r="S469" i="1"/>
  <c r="W216" i="1"/>
  <c r="W120" i="1"/>
  <c r="W99" i="1"/>
  <c r="W73" i="1"/>
  <c r="V444" i="1"/>
  <c r="V349" i="1"/>
  <c r="V327" i="1"/>
  <c r="V290" i="1"/>
  <c r="V275" i="1"/>
  <c r="V120" i="1"/>
  <c r="V72" i="1"/>
  <c r="S374" i="1"/>
  <c r="S219" i="1"/>
  <c r="W447" i="1"/>
  <c r="S447" i="1"/>
  <c r="V423" i="1"/>
  <c r="W423" i="1"/>
  <c r="S423" i="1"/>
  <c r="V387" i="1"/>
  <c r="W387" i="1"/>
  <c r="S339" i="1"/>
  <c r="V339" i="1"/>
  <c r="W339" i="1"/>
  <c r="S279" i="1"/>
  <c r="V279" i="1"/>
  <c r="W279" i="1"/>
  <c r="S267" i="1"/>
  <c r="V267" i="1"/>
  <c r="W267" i="1"/>
  <c r="S195" i="1"/>
  <c r="W195" i="1"/>
  <c r="V195" i="1"/>
  <c r="S135" i="1"/>
  <c r="V135" i="1"/>
  <c r="S123" i="1"/>
  <c r="W123" i="1"/>
  <c r="V123" i="1"/>
  <c r="V111" i="1"/>
  <c r="W111" i="1"/>
  <c r="S111" i="1"/>
  <c r="V86" i="1"/>
  <c r="S86" i="1"/>
  <c r="W86" i="1"/>
  <c r="S50" i="1"/>
  <c r="W50" i="1"/>
  <c r="S435" i="1"/>
  <c r="V470" i="1"/>
  <c r="W470" i="1"/>
  <c r="S422" i="1"/>
  <c r="W422" i="1"/>
  <c r="S362" i="1"/>
  <c r="V362" i="1"/>
  <c r="S170" i="1"/>
  <c r="W170" i="1"/>
  <c r="S61" i="1"/>
  <c r="V61" i="1"/>
  <c r="V315" i="1"/>
  <c r="S397" i="1"/>
  <c r="V397" i="1"/>
  <c r="W397" i="1"/>
  <c r="S337" i="1"/>
  <c r="V337" i="1"/>
  <c r="W337" i="1"/>
  <c r="W277" i="1"/>
  <c r="S277" i="1"/>
  <c r="V241" i="1"/>
  <c r="S241" i="1"/>
  <c r="W241" i="1"/>
  <c r="V60" i="1"/>
  <c r="S60" i="1"/>
  <c r="V456" i="1"/>
  <c r="W456" i="1"/>
  <c r="S408" i="1"/>
  <c r="W408" i="1"/>
  <c r="V372" i="1"/>
  <c r="W372" i="1"/>
  <c r="S336" i="1"/>
  <c r="W336" i="1"/>
  <c r="S312" i="1"/>
  <c r="W312" i="1"/>
  <c r="V312" i="1"/>
  <c r="S264" i="1"/>
  <c r="W264" i="1"/>
  <c r="V228" i="1"/>
  <c r="W228" i="1"/>
  <c r="S204" i="1"/>
  <c r="V204" i="1"/>
  <c r="S108" i="1"/>
  <c r="W108" i="1"/>
  <c r="V108" i="1"/>
  <c r="V71" i="1"/>
  <c r="S71" i="1"/>
  <c r="W71" i="1"/>
  <c r="V59" i="1"/>
  <c r="S59" i="1"/>
  <c r="W205" i="1"/>
  <c r="V313" i="1"/>
  <c r="S291" i="1"/>
  <c r="S383" i="1"/>
  <c r="W383" i="1"/>
  <c r="V323" i="1"/>
  <c r="W323" i="1"/>
  <c r="V227" i="1"/>
  <c r="W227" i="1"/>
  <c r="W301" i="1"/>
  <c r="S454" i="1"/>
  <c r="W454" i="1"/>
  <c r="V454" i="1"/>
  <c r="S346" i="1"/>
  <c r="V346" i="1"/>
  <c r="W346" i="1"/>
  <c r="S262" i="1"/>
  <c r="W262" i="1"/>
  <c r="S45" i="1"/>
  <c r="V45" i="1"/>
  <c r="W45" i="1"/>
  <c r="V445" i="1"/>
  <c r="W478" i="1"/>
  <c r="W459" i="1"/>
  <c r="W375" i="1"/>
  <c r="W255" i="1"/>
  <c r="W231" i="1"/>
  <c r="W215" i="1"/>
  <c r="W119" i="1"/>
  <c r="W72" i="1"/>
  <c r="V459" i="1"/>
  <c r="V289" i="1"/>
  <c r="V274" i="1"/>
  <c r="V169" i="1"/>
  <c r="V119" i="1"/>
  <c r="V94" i="1"/>
  <c r="V69" i="1"/>
  <c r="V49" i="1"/>
  <c r="S373" i="1"/>
  <c r="S218" i="1"/>
  <c r="S74" i="1"/>
  <c r="S266" i="1"/>
  <c r="V266" i="1"/>
  <c r="W266" i="1"/>
  <c r="S242" i="1"/>
  <c r="V242" i="1"/>
  <c r="W242" i="1"/>
  <c r="S194" i="1"/>
  <c r="W194" i="1"/>
  <c r="V194" i="1"/>
  <c r="W98" i="1"/>
  <c r="V98" i="1"/>
  <c r="S98" i="1"/>
  <c r="S481" i="1"/>
  <c r="V481" i="1"/>
  <c r="W481" i="1"/>
  <c r="W409" i="1"/>
  <c r="V409" i="1"/>
  <c r="S361" i="1"/>
  <c r="V361" i="1"/>
  <c r="S325" i="1"/>
  <c r="V325" i="1"/>
  <c r="W325" i="1"/>
  <c r="S193" i="1"/>
  <c r="V193" i="1"/>
  <c r="W193" i="1"/>
  <c r="S121" i="1"/>
  <c r="V121" i="1"/>
  <c r="W121" i="1"/>
  <c r="V84" i="1"/>
  <c r="W84" i="1"/>
  <c r="S84" i="1"/>
  <c r="S48" i="1"/>
  <c r="V48" i="1"/>
  <c r="W206" i="1"/>
  <c r="V471" i="1"/>
  <c r="V434" i="1"/>
  <c r="V38" i="1"/>
  <c r="V360" i="1"/>
  <c r="S360" i="1"/>
  <c r="S240" i="1"/>
  <c r="V240" i="1"/>
  <c r="W240" i="1"/>
  <c r="S180" i="1"/>
  <c r="W180" i="1"/>
  <c r="V180" i="1"/>
  <c r="S23" i="1"/>
  <c r="W23" i="1"/>
  <c r="S157" i="1"/>
  <c r="S479" i="1"/>
  <c r="V479" i="1"/>
  <c r="W479" i="1"/>
  <c r="W443" i="1"/>
  <c r="S443" i="1"/>
  <c r="V443" i="1"/>
  <c r="W395" i="1"/>
  <c r="S395" i="1"/>
  <c r="V395" i="1"/>
  <c r="S347" i="1"/>
  <c r="V347" i="1"/>
  <c r="S311" i="1"/>
  <c r="W311" i="1"/>
  <c r="V311" i="1"/>
  <c r="S251" i="1"/>
  <c r="W251" i="1"/>
  <c r="V251" i="1"/>
  <c r="V203" i="1"/>
  <c r="S203" i="1"/>
  <c r="S179" i="1"/>
  <c r="V179" i="1"/>
  <c r="W155" i="1"/>
  <c r="V155" i="1"/>
  <c r="V82" i="1"/>
  <c r="W82" i="1"/>
  <c r="S82" i="1"/>
  <c r="V70" i="1"/>
  <c r="S70" i="1"/>
  <c r="W70" i="1"/>
  <c r="V46" i="1"/>
  <c r="S46" i="1"/>
  <c r="W204" i="1"/>
  <c r="V447" i="1"/>
  <c r="S430" i="1"/>
  <c r="V430" i="1"/>
  <c r="S57" i="1"/>
  <c r="W57" i="1"/>
  <c r="V57" i="1"/>
  <c r="W59" i="1"/>
  <c r="V56" i="1"/>
  <c r="S56" i="1"/>
  <c r="W56" i="1"/>
  <c r="W419" i="1"/>
  <c r="W374" i="1"/>
  <c r="W314" i="1"/>
  <c r="W135" i="1"/>
  <c r="V458" i="1"/>
  <c r="V408" i="1"/>
  <c r="V303" i="1"/>
  <c r="V288" i="1"/>
  <c r="V134" i="1"/>
  <c r="V118" i="1"/>
  <c r="S372" i="1"/>
  <c r="S351" i="1"/>
  <c r="S323" i="1"/>
  <c r="S303" i="1"/>
  <c r="S231" i="1"/>
  <c r="S217" i="1"/>
  <c r="S171" i="1"/>
  <c r="S99" i="1"/>
  <c r="S73" i="1"/>
  <c r="V26" i="1"/>
  <c r="S26" i="1"/>
  <c r="V183" i="1"/>
  <c r="S387" i="1"/>
  <c r="S482" i="1"/>
  <c r="V482" i="1"/>
  <c r="W482" i="1"/>
  <c r="S410" i="1"/>
  <c r="V410" i="1"/>
  <c r="W410" i="1"/>
  <c r="V386" i="1"/>
  <c r="W386" i="1"/>
  <c r="S338" i="1"/>
  <c r="V338" i="1"/>
  <c r="W338" i="1"/>
  <c r="S326" i="1"/>
  <c r="V326" i="1"/>
  <c r="W326" i="1"/>
  <c r="S278" i="1"/>
  <c r="W278" i="1"/>
  <c r="S110" i="1"/>
  <c r="V110" i="1"/>
  <c r="W110" i="1"/>
  <c r="W25" i="1"/>
  <c r="S25" i="1"/>
  <c r="V25" i="1"/>
  <c r="S434" i="1"/>
  <c r="V97" i="1"/>
  <c r="S97" i="1"/>
  <c r="W97" i="1"/>
  <c r="S36" i="1"/>
  <c r="W36" i="1"/>
  <c r="W327" i="1"/>
  <c r="W62" i="1"/>
  <c r="V314" i="1"/>
  <c r="S480" i="1"/>
  <c r="W480" i="1"/>
  <c r="S468" i="1"/>
  <c r="V468" i="1"/>
  <c r="W468" i="1"/>
  <c r="W420" i="1"/>
  <c r="S420" i="1"/>
  <c r="S384" i="1"/>
  <c r="V384" i="1"/>
  <c r="W384" i="1"/>
  <c r="S168" i="1"/>
  <c r="W168" i="1"/>
  <c r="V168" i="1"/>
  <c r="S96" i="1"/>
  <c r="V96" i="1"/>
  <c r="W96" i="1"/>
  <c r="S47" i="1"/>
  <c r="V47" i="1"/>
  <c r="W446" i="1"/>
  <c r="W61" i="1"/>
  <c r="V433" i="1"/>
  <c r="V37" i="1"/>
  <c r="S467" i="1"/>
  <c r="V467" i="1"/>
  <c r="W467" i="1"/>
  <c r="V359" i="1"/>
  <c r="W359" i="1"/>
  <c r="S359" i="1"/>
  <c r="S107" i="1"/>
  <c r="V107" i="1"/>
  <c r="W107" i="1"/>
  <c r="V22" i="1"/>
  <c r="S22" i="1"/>
  <c r="W22" i="1"/>
  <c r="V432" i="1"/>
  <c r="V157" i="1"/>
  <c r="S290" i="1"/>
  <c r="S466" i="1"/>
  <c r="V466" i="1"/>
  <c r="W466" i="1"/>
  <c r="S442" i="1"/>
  <c r="V442" i="1"/>
  <c r="W442" i="1"/>
  <c r="S406" i="1"/>
  <c r="W406" i="1"/>
  <c r="S382" i="1"/>
  <c r="W382" i="1"/>
  <c r="S358" i="1"/>
  <c r="V358" i="1"/>
  <c r="W358" i="1"/>
  <c r="S334" i="1"/>
  <c r="V334" i="1"/>
  <c r="S310" i="1"/>
  <c r="W310" i="1"/>
  <c r="V310" i="1"/>
  <c r="S298" i="1"/>
  <c r="V298" i="1"/>
  <c r="W298" i="1"/>
  <c r="S286" i="1"/>
  <c r="V286" i="1"/>
  <c r="S250" i="1"/>
  <c r="V250" i="1"/>
  <c r="S226" i="1"/>
  <c r="W226" i="1"/>
  <c r="S202" i="1"/>
  <c r="W202" i="1"/>
  <c r="V202" i="1"/>
  <c r="S178" i="1"/>
  <c r="V178" i="1"/>
  <c r="S154" i="1"/>
  <c r="W154" i="1"/>
  <c r="V154" i="1"/>
  <c r="S130" i="1"/>
  <c r="W130" i="1"/>
  <c r="S106" i="1"/>
  <c r="W106" i="1"/>
  <c r="V106" i="1"/>
  <c r="S81" i="1"/>
  <c r="W81" i="1"/>
  <c r="V81" i="1"/>
  <c r="S21" i="1"/>
  <c r="W21" i="1"/>
  <c r="W444" i="1"/>
  <c r="W362" i="1"/>
  <c r="W218" i="1"/>
  <c r="W159" i="1"/>
  <c r="V431" i="1"/>
  <c r="V370" i="1"/>
  <c r="V277" i="1"/>
  <c r="V156" i="1"/>
  <c r="S470" i="1"/>
  <c r="S155" i="1"/>
  <c r="W361" i="1"/>
  <c r="W217" i="1"/>
  <c r="W74" i="1"/>
  <c r="V350" i="1"/>
  <c r="V276" i="1"/>
  <c r="W399" i="1"/>
  <c r="W458" i="1"/>
  <c r="W418" i="1"/>
  <c r="W394" i="1"/>
  <c r="W274" i="1"/>
  <c r="W230" i="1"/>
  <c r="W373" i="1"/>
  <c r="W229" i="1"/>
  <c r="W134" i="1"/>
  <c r="V457" i="1"/>
  <c r="V407" i="1"/>
  <c r="V383" i="1"/>
  <c r="V302" i="1"/>
  <c r="V287" i="1"/>
  <c r="V226" i="1"/>
  <c r="V207" i="1"/>
  <c r="V133" i="1"/>
  <c r="S371" i="1"/>
  <c r="S255" i="1"/>
  <c r="S230" i="1"/>
  <c r="S216" i="1"/>
  <c r="S191" i="1"/>
  <c r="S477" i="1"/>
  <c r="W477" i="1"/>
  <c r="V477" i="1"/>
  <c r="S441" i="1"/>
  <c r="W441" i="1"/>
  <c r="V441" i="1"/>
  <c r="S417" i="1"/>
  <c r="W417" i="1"/>
  <c r="V417" i="1"/>
  <c r="S381" i="1"/>
  <c r="W381" i="1"/>
  <c r="V381" i="1"/>
  <c r="S357" i="1"/>
  <c r="W357" i="1"/>
  <c r="V357" i="1"/>
  <c r="S345" i="1"/>
  <c r="W345" i="1"/>
  <c r="V345" i="1"/>
  <c r="S321" i="1"/>
  <c r="W321" i="1"/>
  <c r="V321" i="1"/>
  <c r="S297" i="1"/>
  <c r="W297" i="1"/>
  <c r="V297" i="1"/>
  <c r="S273" i="1"/>
  <c r="W273" i="1"/>
  <c r="V273" i="1"/>
  <c r="S249" i="1"/>
  <c r="W249" i="1"/>
  <c r="V249" i="1"/>
  <c r="S225" i="1"/>
  <c r="W225" i="1"/>
  <c r="V225" i="1"/>
  <c r="S201" i="1"/>
  <c r="W201" i="1"/>
  <c r="V201" i="1"/>
  <c r="S177" i="1"/>
  <c r="W177" i="1"/>
  <c r="V177" i="1"/>
  <c r="S153" i="1"/>
  <c r="W153" i="1"/>
  <c r="V153" i="1"/>
  <c r="S129" i="1"/>
  <c r="W129" i="1"/>
  <c r="V129" i="1"/>
  <c r="V105" i="1"/>
  <c r="S105" i="1"/>
  <c r="W105" i="1"/>
  <c r="V80" i="1"/>
  <c r="S80" i="1"/>
  <c r="W80" i="1"/>
  <c r="V32" i="1"/>
  <c r="S32" i="1"/>
  <c r="W32" i="1"/>
  <c r="V44" i="1"/>
  <c r="S44" i="1"/>
  <c r="W44" i="1"/>
  <c r="S465" i="1"/>
  <c r="W465" i="1"/>
  <c r="V465" i="1"/>
  <c r="S453" i="1"/>
  <c r="W453" i="1"/>
  <c r="V453" i="1"/>
  <c r="S429" i="1"/>
  <c r="W429" i="1"/>
  <c r="V429" i="1"/>
  <c r="S405" i="1"/>
  <c r="W405" i="1"/>
  <c r="V405" i="1"/>
  <c r="S393" i="1"/>
  <c r="W393" i="1"/>
  <c r="V393" i="1"/>
  <c r="S369" i="1"/>
  <c r="W369" i="1"/>
  <c r="V369" i="1"/>
  <c r="S333" i="1"/>
  <c r="W333" i="1"/>
  <c r="V333" i="1"/>
  <c r="S309" i="1"/>
  <c r="W309" i="1"/>
  <c r="V309" i="1"/>
  <c r="S285" i="1"/>
  <c r="W285" i="1"/>
  <c r="V285" i="1"/>
  <c r="S261" i="1"/>
  <c r="W261" i="1"/>
  <c r="V261" i="1"/>
  <c r="S237" i="1"/>
  <c r="W237" i="1"/>
  <c r="V237" i="1"/>
  <c r="S213" i="1"/>
  <c r="W213" i="1"/>
  <c r="V213" i="1"/>
  <c r="S189" i="1"/>
  <c r="W189" i="1"/>
  <c r="V189" i="1"/>
  <c r="S165" i="1"/>
  <c r="W165" i="1"/>
  <c r="V165" i="1"/>
  <c r="S141" i="1"/>
  <c r="W141" i="1"/>
  <c r="V141" i="1"/>
  <c r="S117" i="1"/>
  <c r="W117" i="1"/>
  <c r="V117" i="1"/>
  <c r="V93" i="1"/>
  <c r="S93" i="1"/>
  <c r="W93" i="1"/>
  <c r="V68" i="1"/>
  <c r="S68" i="1"/>
  <c r="W68" i="1"/>
  <c r="S20" i="1"/>
  <c r="W20" i="1"/>
  <c r="W14" i="1"/>
  <c r="V5" i="1"/>
  <c r="W5" i="1"/>
  <c r="W9" i="1"/>
  <c r="S14" i="1"/>
  <c r="W8" i="1"/>
  <c r="W7" i="1"/>
  <c r="W11" i="1"/>
  <c r="W10" i="1"/>
  <c r="W6" i="1"/>
  <c r="V13" i="1"/>
  <c r="W13" i="1"/>
  <c r="W12" i="1"/>
  <c r="W4" i="1"/>
  <c r="V8" i="1"/>
  <c r="V12" i="1"/>
  <c r="V11" i="1"/>
  <c r="V10" i="1"/>
  <c r="V9" i="1"/>
  <c r="V7" i="1"/>
  <c r="V6" i="1"/>
  <c r="V4" i="1"/>
</calcChain>
</file>

<file path=xl/sharedStrings.xml><?xml version="1.0" encoding="utf-8"?>
<sst xmlns="http://schemas.openxmlformats.org/spreadsheetml/2006/main" count="296" uniqueCount="161">
  <si>
    <t>Date</t>
  </si>
  <si>
    <t>Lot No</t>
  </si>
  <si>
    <t>Wholes%</t>
  </si>
  <si>
    <t>Brokens%</t>
  </si>
  <si>
    <t>ANG26E01</t>
  </si>
  <si>
    <t>ANG26E02</t>
  </si>
  <si>
    <t>ANG26E03</t>
  </si>
  <si>
    <t>ANG26E04</t>
  </si>
  <si>
    <t>ANG26E05</t>
  </si>
  <si>
    <t>ANG26E06</t>
  </si>
  <si>
    <t>ANG26E07</t>
  </si>
  <si>
    <t>ANG26E08</t>
  </si>
  <si>
    <t>Input Quantity (Kg's)</t>
  </si>
  <si>
    <t>Wholes (kg's)</t>
  </si>
  <si>
    <t>Pieces (kg's)</t>
  </si>
  <si>
    <t>Oil (kg's)</t>
  </si>
  <si>
    <t>Rejection (kg's)</t>
  </si>
  <si>
    <t>First Pass Uncut (kg's)</t>
  </si>
  <si>
    <t>Final Uncut (kg's)</t>
  </si>
  <si>
    <t>Good Kernels (kg's)</t>
  </si>
  <si>
    <t>Final Kernels (kg's)</t>
  </si>
  <si>
    <t>SHOT (lbs)</t>
  </si>
  <si>
    <t>Shelling Process Report</t>
  </si>
  <si>
    <t>ANG26E09</t>
  </si>
  <si>
    <t>ANG26E10</t>
  </si>
  <si>
    <t>ANG26E11</t>
  </si>
  <si>
    <t>ANG26E12</t>
  </si>
  <si>
    <t>ANG26E13</t>
  </si>
  <si>
    <t>ANG26E14</t>
  </si>
  <si>
    <t>Month</t>
  </si>
  <si>
    <t>Row Labels</t>
  </si>
  <si>
    <t>Grand Total</t>
  </si>
  <si>
    <t>ANG26E15</t>
  </si>
  <si>
    <t>Week</t>
  </si>
  <si>
    <t>Final Uncut %</t>
  </si>
  <si>
    <t>Uncut %</t>
  </si>
  <si>
    <t>Final Realisation (%)</t>
  </si>
  <si>
    <t>Good Kernels Yield %</t>
  </si>
  <si>
    <t>Black Rejection (Kg's)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</si>
  <si>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</si>
  <si>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</si>
  <si>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</si>
  <si>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</si>
  <si>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</si>
  <si>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</si>
  <si>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</si>
  <si>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</si>
  <si>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</si>
  <si>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</si>
  <si>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</si>
  <si>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</si>
  <si>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</si>
  <si>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</si>
  <si>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BIN No</t>
  </si>
  <si>
    <t>ANA-01</t>
  </si>
  <si>
    <t>ANA-02</t>
  </si>
  <si>
    <t>Input RCN Quantity (Kg's)</t>
  </si>
  <si>
    <t xml:space="preserve">Wholes (kg's) </t>
  </si>
  <si>
    <t xml:space="preserve">Pieces (kg's) </t>
  </si>
  <si>
    <t xml:space="preserve">Oil (kg's) </t>
  </si>
  <si>
    <t xml:space="preserve">Rejection (kg's) </t>
  </si>
  <si>
    <t xml:space="preserve">Final Kernels (kg's) </t>
  </si>
  <si>
    <t xml:space="preserve">Good Kernels (kg's) </t>
  </si>
  <si>
    <t xml:space="preserve">Good Kernels Yield % </t>
  </si>
  <si>
    <t>Final Kernels Yield (%)</t>
  </si>
  <si>
    <t>Average of Wholes%</t>
  </si>
  <si>
    <t>Average of Uncut %</t>
  </si>
  <si>
    <t>Average of Brokens%</t>
  </si>
  <si>
    <t>Month/BIN</t>
  </si>
  <si>
    <t>ANA-05A</t>
  </si>
  <si>
    <t>ANG26F12</t>
  </si>
  <si>
    <t>ANG26F13</t>
  </si>
  <si>
    <t>ANG26F14</t>
  </si>
  <si>
    <t>ANG26F15</t>
  </si>
  <si>
    <t>ANG26F16</t>
  </si>
  <si>
    <t>ANG26F17</t>
  </si>
  <si>
    <t>ANG26F18</t>
  </si>
  <si>
    <t>ANG26F19</t>
  </si>
  <si>
    <t>ANG26F20A</t>
  </si>
  <si>
    <t>ANG26F20B</t>
  </si>
  <si>
    <t>ANG26F21</t>
  </si>
  <si>
    <t>ANG26F22</t>
  </si>
  <si>
    <t>ANG26F23</t>
  </si>
  <si>
    <t>ANG26F24</t>
  </si>
  <si>
    <t>ANG26F25</t>
  </si>
  <si>
    <t>ANA-02A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</si>
  <si>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</si>
  <si>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</si>
  <si>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</si>
  <si>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</si>
  <si>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</si>
  <si>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</si>
  <si>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</si>
  <si>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</si>
  <si>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</si>
  <si>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</si>
  <si>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</si>
  <si>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</si>
  <si>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</si>
  <si>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</si>
  <si>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</si>
  <si>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ANA-03B</t>
  </si>
  <si>
    <t>ANG26G16</t>
  </si>
  <si>
    <t>ANG26G17</t>
  </si>
  <si>
    <t>ANG26G18</t>
  </si>
  <si>
    <t>ANG26G19</t>
  </si>
  <si>
    <t>ANG26G20</t>
  </si>
  <si>
    <t>ANG26G21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</si>
  <si>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</si>
  <si>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</si>
  <si>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</si>
  <si>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</si>
  <si>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</si>
  <si>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</si>
  <si>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</si>
  <si>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</si>
  <si>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Aug-26</t>
  </si>
  <si>
    <t>ANG26H04</t>
  </si>
  <si>
    <t>ANG26H05</t>
  </si>
  <si>
    <t>ANG26H06</t>
  </si>
  <si>
    <t>ANG26H07</t>
  </si>
  <si>
    <t>ANG26H08</t>
  </si>
  <si>
    <t>ANG26H09</t>
  </si>
  <si>
    <t>ANG26H10</t>
  </si>
  <si>
    <t>ANG26H11</t>
  </si>
  <si>
    <t>Jun-26</t>
  </si>
  <si>
    <t>May-26</t>
  </si>
  <si>
    <t>Jul-26</t>
  </si>
  <si>
    <t>ANG26H12</t>
  </si>
  <si>
    <t>Month/ BIN No</t>
  </si>
  <si>
    <t>Average of Final Realisation (%)</t>
  </si>
  <si>
    <t>Average of Good Kernels Yield %</t>
  </si>
  <si>
    <t>ANA-07</t>
  </si>
  <si>
    <t>ANG26H14</t>
  </si>
  <si>
    <t>ANG26H15</t>
  </si>
  <si>
    <t>ANG26H16</t>
  </si>
  <si>
    <t>ANG26H17</t>
  </si>
  <si>
    <t>ANG26H18</t>
  </si>
  <si>
    <t>ANG26H19</t>
  </si>
  <si>
    <t>ANG26H20</t>
  </si>
  <si>
    <t>ANG26H21</t>
  </si>
  <si>
    <t>ANG26H22</t>
  </si>
  <si>
    <t>ANG26H23</t>
  </si>
  <si>
    <t>ANG26H24</t>
  </si>
  <si>
    <t>ANG26I01</t>
  </si>
  <si>
    <t>Shell Dust</t>
  </si>
  <si>
    <t>Shell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</si>
  <si>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</si>
  <si>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</si>
  <si>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</si>
  <si>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</si>
  <si>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</si>
  <si>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</si>
  <si>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</si>
  <si>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</si>
  <si>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</si>
  <si>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</si>
  <si>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</si>
  <si>
    <t>ANG26H13</t>
  </si>
  <si>
    <t>Shell %</t>
  </si>
  <si>
    <t>Shell Dust%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</si>
</sst>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applyNumberFormat="1"/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/>
    </xf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/>
    </xf>
    <xf numFmtId="0" fontId="0" fillId="0" borderId="0" xfId="0" applyFill="1"/>
    <xf numFmtId="164" fontId="0" fillId="0" borderId="0" xfId="0" applyNumberFormat="1" applyFill="1"/>
    <xf numFmtId="164" fontId="0" fillId="0" borderId="0" xfId="0" applyNumberFormat="1" applyFill="1" applyAlignment="1">
      <alignment horizontal="right" vertical="center"/>
    </xf>
    <xf numFmtId="164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32"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alignment horizontal="right" vertical="center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0.0"/>
      <fill>
        <patternFill patternType="none">
          <bgColor auto="1"/>
        </patternFill>
      </fill>
    </dxf>
    <dxf>
      <numFmt numFmtId="164" formatCode="0.0"/>
      <fill>
        <patternFill patternType="none">
          <bgColor auto="1"/>
        </patternFill>
      </fill>
    </dxf>
    <dxf>
      <numFmt numFmtId="164" formatCode="0.0"/>
    </dxf>
    <dxf>
      <numFmt numFmtId="164" formatCode="0.0"/>
      <fill>
        <patternFill patternType="none">
          <bgColor auto="1"/>
        </patternFill>
      </fill>
    </dxf>
    <dxf>
      <numFmt numFmtId="164" formatCode="0.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d/mmm"/>
    </dxf>
    <dxf>
      <numFmt numFmtId="21" formatCode="dd/mmm"/>
    </dxf>
    <dxf>
      <numFmt numFmtId="1" formatCode="0"/>
    </dxf>
    <dxf>
      <numFmt numFmtId="21" formatCode="dd/mmm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 Shelling process Report.xlsx]Sheet2!PivotTable8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Shelling Machine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9321824907521579E-2"/>
            </c:manualLayout>
          </c:layout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0.19592965490904266"/>
          <c:w val="0.81068416447944003"/>
          <c:h val="0.556147590059257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Sheet2!$P$3</c:f>
              <c:strCache>
                <c:ptCount val="1"/>
                <c:pt idx="0">
                  <c:v>Average of Uncut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Sheet2!$N$4:$N$8</c:f>
              <c:strCache>
                <c:ptCount val="4"/>
                <c:pt idx="0">
                  <c:v>26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</c:strCache>
            </c:strRef>
          </c:cat>
          <c:val>
            <c:numRef>
              <c:f>Sheet2!$P$4:$P$8</c:f>
              <c:numCache>
                <c:formatCode>0.0</c:formatCode>
                <c:ptCount val="4"/>
                <c:pt idx="0">
                  <c:v>7.5714285714285712</c:v>
                </c:pt>
                <c:pt idx="1">
                  <c:v>11.083333333333334</c:v>
                </c:pt>
                <c:pt idx="2">
                  <c:v>11.116666666666667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7-462C-A5AB-4410604B9168}"/>
            </c:ext>
          </c:extLst>
        </c:ser>
        <c:ser>
          <c:idx val="2"/>
          <c:order val="2"/>
          <c:tx>
            <c:strRef>
              <c:f>Sheet2!$Q$3</c:f>
              <c:strCache>
                <c:ptCount val="1"/>
                <c:pt idx="0">
                  <c:v>Average of Brokens%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5CF-44F0-9ABC-2792BE01C71C}"/>
              </c:ext>
            </c:extLst>
          </c:dPt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Sheet2!$N$4:$N$8</c:f>
              <c:strCache>
                <c:ptCount val="4"/>
                <c:pt idx="0">
                  <c:v>26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</c:strCache>
            </c:strRef>
          </c:cat>
          <c:val>
            <c:numRef>
              <c:f>Sheet2!$Q$4:$Q$8</c:f>
              <c:numCache>
                <c:formatCode>0.0</c:formatCode>
                <c:ptCount val="4"/>
                <c:pt idx="0">
                  <c:v>3.1786072341557654</c:v>
                </c:pt>
                <c:pt idx="1">
                  <c:v>1.1366985272644914</c:v>
                </c:pt>
                <c:pt idx="2">
                  <c:v>0.10393101902930575</c:v>
                </c:pt>
                <c:pt idx="3">
                  <c:v>0.10652336118583737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7-462C-A5AB-4410604B91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6352976"/>
        <c:axId val="1566345296"/>
      </c:barChart>
      <c:lineChart>
        <c:grouping val="standard"/>
        <c:varyColors val="0"/>
        <c:ser>
          <c:idx val="0"/>
          <c:order val="0"/>
          <c:tx>
            <c:strRef>
              <c:f>Sheet2!$O$3</c:f>
              <c:strCache>
                <c:ptCount val="1"/>
                <c:pt idx="0">
                  <c:v>Average of Wholes%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Sheet2!$N$4:$N$8</c:f>
              <c:strCache>
                <c:ptCount val="4"/>
                <c:pt idx="0">
                  <c:v>26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</c:strCache>
            </c:strRef>
          </c:cat>
          <c:val>
            <c:numRef>
              <c:f>Sheet2!$O$4:$O$8</c:f>
              <c:numCache>
                <c:formatCode>0.0</c:formatCode>
                <c:ptCount val="4"/>
                <c:pt idx="0">
                  <c:v>96.821392765844251</c:v>
                </c:pt>
                <c:pt idx="1">
                  <c:v>98.8633014727355</c:v>
                </c:pt>
                <c:pt idx="2">
                  <c:v>99.896068980970711</c:v>
                </c:pt>
                <c:pt idx="3">
                  <c:v>99.89347663881415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7-462C-A5AB-4410604B91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6341936"/>
        <c:axId val="1566346736"/>
      </c:lineChart>
      <c:catAx>
        <c:axId val="15663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45296"/>
        <c:crosses val="autoZero"/>
        <c:auto val="1"/>
        <c:lblAlgn val="ctr"/>
        <c:lblOffset val="100"/>
        <c:noMultiLvlLbl val="0"/>
      </c:catAx>
      <c:valAx>
        <c:axId val="156634529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52976"/>
        <c:crosses val="autoZero"/>
        <c:crossBetween val="between"/>
      </c:valAx>
      <c:valAx>
        <c:axId val="156634673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41936"/>
        <c:crosses val="max"/>
        <c:crossBetween val="between"/>
      </c:valAx>
      <c:catAx>
        <c:axId val="156634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6346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179352580927383E-2"/>
          <c:y val="0.86846186458505259"/>
          <c:w val="0.91248731408573935"/>
          <c:h val="0.10750054208698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 Shelling process Report.xlsx]Sheet2!PivotTable2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Yield Comparison Chart</a:t>
            </a:r>
          </a:p>
        </c:rich>
      </c:tx>
      <c:layout>
        <c:manualLayout>
          <c:xMode val="edge"/>
          <c:yMode val="edge"/>
          <c:x val="0.3077845581802274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0.14249781277340332"/>
          <c:w val="0.83988560804899393"/>
          <c:h val="0.49863152522601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Good Kernels Yield 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Sheet2!$J$4:$J$6</c:f>
              <c:multiLvlStrCache>
                <c:ptCount val="1"/>
                <c:lvl>
                  <c:pt idx="0">
                    <c:v>ANA-03B</c:v>
                  </c:pt>
                </c:lvl>
                <c:lvl>
                  <c:pt idx="0">
                    <c:v>Aug-26</c:v>
                  </c:pt>
                </c:lvl>
              </c:multiLvlStrCache>
            </c:multiLvlStrRef>
          </c:cat>
          <c:val>
            <c:numRef>
              <c:f>Sheet2!$K$4:$K$6</c:f>
              <c:numCache>
                <c:formatCode>0.0</c:formatCode>
                <c:ptCount val="1"/>
                <c:pt idx="0">
                  <c:v>26.013719086711241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B-4A6C-8C96-47F7D3A73E25}"/>
            </c:ext>
          </c:extLst>
        </c:ser>
        <c:ser>
          <c:idx val="1"/>
          <c:order val="1"/>
          <c:tx>
            <c:strRef>
              <c:f>Sheet2!$L$3</c:f>
              <c:strCache>
                <c:ptCount val="1"/>
                <c:pt idx="0">
                  <c:v>Final Kernels Yield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Sheet2!$J$4:$J$6</c:f>
              <c:multiLvlStrCache>
                <c:ptCount val="1"/>
                <c:lvl>
                  <c:pt idx="0">
                    <c:v>ANA-03B</c:v>
                  </c:pt>
                </c:lvl>
                <c:lvl>
                  <c:pt idx="0">
                    <c:v>Aug-26</c:v>
                  </c:pt>
                </c:lvl>
              </c:multiLvlStrCache>
            </c:multiLvlStrRef>
          </c:cat>
          <c:val>
            <c:numRef>
              <c:f>Sheet2!$L$4:$L$6</c:f>
              <c:numCache>
                <c:formatCode>0.0</c:formatCode>
                <c:ptCount val="1"/>
                <c:pt idx="0">
                  <c:v>27.409236815028557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B-4A6C-8C96-47F7D3A73E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7471200"/>
        <c:axId val="1687471680"/>
      </c:barChart>
      <c:catAx>
        <c:axId val="16874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1680"/>
        <c:crosses val="autoZero"/>
        <c:auto val="1"/>
        <c:lblAlgn val="ctr"/>
        <c:lblOffset val="100"/>
        <c:noMultiLvlLbl val="0"/>
      </c:catAx>
      <c:valAx>
        <c:axId val="1687471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718875765529309"/>
          <c:y val="0.86509295713035872"/>
          <c:w val="0.71614457567804035"/>
          <c:h val="0.13092483231262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 Shelling process Report.xlsx]Sheet3!PivotTable1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Shelling Process -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608105804956197E-2"/>
          <c:y val="0.25582333584820116"/>
          <c:w val="0.82194498414970851"/>
          <c:h val="0.3324984680558655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Brokens%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Sheet3!$A$4:$A$16</c:f>
              <c:multiLvlStrCache>
                <c:ptCount val="8"/>
                <c:lvl>
                  <c:pt idx="0">
                    <c:v>ANA-03B</c:v>
                  </c:pt>
                  <c:pt idx="1">
                    <c:v>ANA-02A</c:v>
                  </c:pt>
                  <c:pt idx="2">
                    <c:v>ANA-03B</c:v>
                  </c:pt>
                  <c:pt idx="3">
                    <c:v>ANA-01</c:v>
                  </c:pt>
                  <c:pt idx="4">
                    <c:v>ANA-02</c:v>
                  </c:pt>
                  <c:pt idx="5">
                    <c:v>ANA-02A</c:v>
                  </c:pt>
                  <c:pt idx="6">
                    <c:v>ANA-05A</c:v>
                  </c:pt>
                  <c:pt idx="7">
                    <c:v>ANA-01</c:v>
                  </c:pt>
                </c:lvl>
                <c:lvl>
                  <c:pt idx="0">
                    <c:v>Aug-26</c:v>
                  </c:pt>
                  <c:pt idx="1">
                    <c:v>Jul-26</c:v>
                  </c:pt>
                  <c:pt idx="3">
                    <c:v>Jun-26</c:v>
                  </c:pt>
                  <c:pt idx="7">
                    <c:v>May-26</c:v>
                  </c:pt>
                </c:lvl>
              </c:multiLvlStrCache>
            </c:multiLvlStrRef>
          </c:cat>
          <c:val>
            <c:numRef>
              <c:f>Sheet3!$C$4:$C$16</c:f>
              <c:numCache>
                <c:formatCode>0.0</c:formatCode>
                <c:ptCount val="8"/>
                <c:pt idx="0">
                  <c:v>0.10191870300836757</c:v>
                </c:pt>
                <c:pt idx="1">
                  <c:v>2.9973924352475225</c:v>
                </c:pt>
                <c:pt idx="2">
                  <c:v>0.89005576129438591</c:v>
                </c:pt>
                <c:pt idx="3">
                  <c:v>2.8412096801203468</c:v>
                </c:pt>
                <c:pt idx="4">
                  <c:v>3.2692422708515214</c:v>
                </c:pt>
                <c:pt idx="5">
                  <c:v>3.2541707525880099</c:v>
                </c:pt>
                <c:pt idx="6">
                  <c:v>3.0475091401593835</c:v>
                </c:pt>
                <c:pt idx="7">
                  <c:v>3.3952400076659743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5-4136-B0EC-6BE4DB24347F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Uncut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Sheet3!$A$4:$A$16</c:f>
              <c:multiLvlStrCache>
                <c:ptCount val="8"/>
                <c:lvl>
                  <c:pt idx="0">
                    <c:v>ANA-03B</c:v>
                  </c:pt>
                  <c:pt idx="1">
                    <c:v>ANA-02A</c:v>
                  </c:pt>
                  <c:pt idx="2">
                    <c:v>ANA-03B</c:v>
                  </c:pt>
                  <c:pt idx="3">
                    <c:v>ANA-01</c:v>
                  </c:pt>
                  <c:pt idx="4">
                    <c:v>ANA-02</c:v>
                  </c:pt>
                  <c:pt idx="5">
                    <c:v>ANA-02A</c:v>
                  </c:pt>
                  <c:pt idx="6">
                    <c:v>ANA-05A</c:v>
                  </c:pt>
                  <c:pt idx="7">
                    <c:v>ANA-01</c:v>
                  </c:pt>
                </c:lvl>
                <c:lvl>
                  <c:pt idx="0">
                    <c:v>Aug-26</c:v>
                  </c:pt>
                  <c:pt idx="1">
                    <c:v>Jul-26</c:v>
                  </c:pt>
                  <c:pt idx="3">
                    <c:v>Jun-26</c:v>
                  </c:pt>
                  <c:pt idx="7">
                    <c:v>May-26</c:v>
                  </c:pt>
                </c:lvl>
              </c:multiLvlStrCache>
            </c:multiLvlStrRef>
          </c:cat>
          <c:val>
            <c:numRef>
              <c:f>Sheet3!$D$4:$D$16</c:f>
              <c:numCache>
                <c:formatCode>0.0</c:formatCode>
                <c:ptCount val="8"/>
                <c:pt idx="0">
                  <c:v>10.25</c:v>
                </c:pt>
                <c:pt idx="1">
                  <c:v>10.166666666666666</c:v>
                </c:pt>
                <c:pt idx="2">
                  <c:v>11.141666666666666</c:v>
                </c:pt>
                <c:pt idx="3">
                  <c:v>6.3833333333333337</c:v>
                </c:pt>
                <c:pt idx="4">
                  <c:v>6.4</c:v>
                </c:pt>
                <c:pt idx="5">
                  <c:v>6.75</c:v>
                </c:pt>
                <c:pt idx="6">
                  <c:v>7.5</c:v>
                </c:pt>
                <c:pt idx="7">
                  <c:v>8.8562499999999993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5-4136-B0EC-6BE4DB2434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52716608"/>
        <c:axId val="525124624"/>
      </c:barChar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Wholes%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Sheet3!$A$4:$A$16</c:f>
              <c:multiLvlStrCache>
                <c:ptCount val="8"/>
                <c:lvl>
                  <c:pt idx="0">
                    <c:v>ANA-03B</c:v>
                  </c:pt>
                  <c:pt idx="1">
                    <c:v>ANA-02A</c:v>
                  </c:pt>
                  <c:pt idx="2">
                    <c:v>ANA-03B</c:v>
                  </c:pt>
                  <c:pt idx="3">
                    <c:v>ANA-01</c:v>
                  </c:pt>
                  <c:pt idx="4">
                    <c:v>ANA-02</c:v>
                  </c:pt>
                  <c:pt idx="5">
                    <c:v>ANA-02A</c:v>
                  </c:pt>
                  <c:pt idx="6">
                    <c:v>ANA-05A</c:v>
                  </c:pt>
                  <c:pt idx="7">
                    <c:v>ANA-01</c:v>
                  </c:pt>
                </c:lvl>
                <c:lvl>
                  <c:pt idx="0">
                    <c:v>Aug-26</c:v>
                  </c:pt>
                  <c:pt idx="1">
                    <c:v>Jul-26</c:v>
                  </c:pt>
                  <c:pt idx="3">
                    <c:v>Jun-26</c:v>
                  </c:pt>
                  <c:pt idx="7">
                    <c:v>May-26</c:v>
                  </c:pt>
                </c:lvl>
              </c:multiLvlStrCache>
            </c:multiLvlStrRef>
          </c:cat>
          <c:val>
            <c:numRef>
              <c:f>Sheet3!$B$4:$B$16</c:f>
              <c:numCache>
                <c:formatCode>0.0</c:formatCode>
                <c:ptCount val="8"/>
                <c:pt idx="0">
                  <c:v>99.898081296991634</c:v>
                </c:pt>
                <c:pt idx="1">
                  <c:v>97.002607564752466</c:v>
                </c:pt>
                <c:pt idx="2">
                  <c:v>99.109944238705623</c:v>
                </c:pt>
                <c:pt idx="3">
                  <c:v>97.158790319879643</c:v>
                </c:pt>
                <c:pt idx="4">
                  <c:v>96.730757729148465</c:v>
                </c:pt>
                <c:pt idx="5">
                  <c:v>96.74582924741199</c:v>
                </c:pt>
                <c:pt idx="6">
                  <c:v>96.952490859840637</c:v>
                </c:pt>
                <c:pt idx="7">
                  <c:v>96.604759992334024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5-4136-B0EC-6BE4DB2434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2736560"/>
        <c:axId val="525128464"/>
      </c:lineChart>
      <c:catAx>
        <c:axId val="85271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24624"/>
        <c:crosses val="autoZero"/>
        <c:auto val="1"/>
        <c:lblAlgn val="ctr"/>
        <c:lblOffset val="100"/>
        <c:noMultiLvlLbl val="0"/>
      </c:catAx>
      <c:valAx>
        <c:axId val="52512462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16608"/>
        <c:crosses val="autoZero"/>
        <c:crossBetween val="between"/>
      </c:valAx>
      <c:valAx>
        <c:axId val="5251284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36560"/>
        <c:crosses val="max"/>
        <c:crossBetween val="between"/>
      </c:valAx>
      <c:catAx>
        <c:axId val="85273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5128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744168342593547E-2"/>
          <c:y val="0.77650723821465639"/>
          <c:w val="0.86669450409607884"/>
          <c:h val="0.17163689559048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 Shelling process Report.xlsx]Sheet3!PivotTable2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Shelling Yield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807697598951209E-2"/>
          <c:y val="0.27119469508371541"/>
          <c:w val="0.87987068163242199"/>
          <c:h val="0.31623466594572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Sheet3!$J$3</c:f>
              <c:strCache>
                <c:ptCount val="1"/>
                <c:pt idx="0">
                  <c:v>Average of Good Kernels Yield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Sheet3!$I$4:$I$16</c:f>
              <c:multiLvlStrCache>
                <c:ptCount val="8"/>
                <c:lvl>
                  <c:pt idx="0">
                    <c:v>ANA-03B</c:v>
                  </c:pt>
                  <c:pt idx="1">
                    <c:v>ANA-02A</c:v>
                  </c:pt>
                  <c:pt idx="2">
                    <c:v>ANA-03B</c:v>
                  </c:pt>
                  <c:pt idx="3">
                    <c:v>ANA-01</c:v>
                  </c:pt>
                  <c:pt idx="4">
                    <c:v>ANA-02</c:v>
                  </c:pt>
                  <c:pt idx="5">
                    <c:v>ANA-02A</c:v>
                  </c:pt>
                  <c:pt idx="6">
                    <c:v>ANA-05A</c:v>
                  </c:pt>
                  <c:pt idx="7">
                    <c:v>ANA-01</c:v>
                  </c:pt>
                </c:lvl>
                <c:lvl>
                  <c:pt idx="0">
                    <c:v>Aug-26</c:v>
                  </c:pt>
                  <c:pt idx="1">
                    <c:v>Jul-26</c:v>
                  </c:pt>
                  <c:pt idx="3">
                    <c:v>Jun-26</c:v>
                  </c:pt>
                  <c:pt idx="7">
                    <c:v>May-26</c:v>
                  </c:pt>
                </c:lvl>
              </c:multiLvlStrCache>
            </c:multiLvlStrRef>
          </c:cat>
          <c:val>
            <c:numRef>
              <c:f>Sheet3!$J$4:$J$16</c:f>
              <c:numCache>
                <c:formatCode>0.0</c:formatCode>
                <c:ptCount val="8"/>
                <c:pt idx="0">
                  <c:v>26.013719086711237</c:v>
                </c:pt>
                <c:pt idx="1">
                  <c:v>27.775213088590874</c:v>
                </c:pt>
                <c:pt idx="2">
                  <c:v>27.210181826250707</c:v>
                </c:pt>
                <c:pt idx="3">
                  <c:v>26.570247358870038</c:v>
                </c:pt>
                <c:pt idx="4">
                  <c:v>25.992545317971771</c:v>
                </c:pt>
                <c:pt idx="5">
                  <c:v>27.661818081719467</c:v>
                </c:pt>
                <c:pt idx="6">
                  <c:v>27.14694000848446</c:v>
                </c:pt>
                <c:pt idx="7">
                  <c:v>25.650810363108807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D-45D4-A74A-70732A1BE5F3}"/>
            </c:ext>
          </c:extLst>
        </c:ser>
        <c:ser>
          <c:idx val="1"/>
          <c:order val="1"/>
          <c:tx>
            <c:strRef>
              <c:f>Sheet3!$K$3</c:f>
              <c:strCache>
                <c:ptCount val="1"/>
                <c:pt idx="0">
                  <c:v>Average of Final Realisation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Sheet3!$I$4:$I$16</c:f>
              <c:multiLvlStrCache>
                <c:ptCount val="8"/>
                <c:lvl>
                  <c:pt idx="0">
                    <c:v>ANA-03B</c:v>
                  </c:pt>
                  <c:pt idx="1">
                    <c:v>ANA-02A</c:v>
                  </c:pt>
                  <c:pt idx="2">
                    <c:v>ANA-03B</c:v>
                  </c:pt>
                  <c:pt idx="3">
                    <c:v>ANA-01</c:v>
                  </c:pt>
                  <c:pt idx="4">
                    <c:v>ANA-02</c:v>
                  </c:pt>
                  <c:pt idx="5">
                    <c:v>ANA-02A</c:v>
                  </c:pt>
                  <c:pt idx="6">
                    <c:v>ANA-05A</c:v>
                  </c:pt>
                  <c:pt idx="7">
                    <c:v>ANA-01</c:v>
                  </c:pt>
                </c:lvl>
                <c:lvl>
                  <c:pt idx="0">
                    <c:v>Aug-26</c:v>
                  </c:pt>
                  <c:pt idx="1">
                    <c:v>Jul-26</c:v>
                  </c:pt>
                  <c:pt idx="3">
                    <c:v>Jun-26</c:v>
                  </c:pt>
                  <c:pt idx="7">
                    <c:v>May-26</c:v>
                  </c:pt>
                </c:lvl>
              </c:multiLvlStrCache>
            </c:multiLvlStrRef>
          </c:cat>
          <c:val>
            <c:numRef>
              <c:f>Sheet3!$K$4:$K$16</c:f>
              <c:numCache>
                <c:formatCode>0.0</c:formatCode>
                <c:ptCount val="8"/>
                <c:pt idx="0">
                  <c:v>27.409236815028557</c:v>
                </c:pt>
                <c:pt idx="1">
                  <c:v>28.569696823382735</c:v>
                </c:pt>
                <c:pt idx="2">
                  <c:v>28.263930955032063</c:v>
                </c:pt>
                <c:pt idx="3">
                  <c:v>27.832440573889837</c:v>
                </c:pt>
                <c:pt idx="4">
                  <c:v>27.085611283225148</c:v>
                </c:pt>
                <c:pt idx="5">
                  <c:v>28.792344586687108</c:v>
                </c:pt>
                <c:pt idx="6">
                  <c:v>28.56581814571927</c:v>
                </c:pt>
                <c:pt idx="7">
                  <c:v>27.472002204224268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D-45D4-A74A-70732A1BE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2618704"/>
        <c:axId val="410175120"/>
      </c:barChart>
      <c:catAx>
        <c:axId val="8526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75120"/>
        <c:crosses val="autoZero"/>
        <c:auto val="1"/>
        <c:lblAlgn val="ctr"/>
        <c:lblOffset val="100"/>
        <c:noMultiLvlLbl val="0"/>
      </c:catAx>
      <c:valAx>
        <c:axId val="4101751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1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636926679129135E-2"/>
          <c:y val="0.82382030572358711"/>
          <c:w val="0.80730106578404315"/>
          <c:h val="0.15393306523379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14</xdr:row>
      <xdr:rowOff>26670</xdr:rowOff>
    </xdr:from>
    <xdr:to>
      <xdr:col>17</xdr:col>
      <xdr:colOff>342900</xdr:colOff>
      <xdr:row>31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D4CCA-9F39-6538-6F2A-5EE8260DF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1036320</xdr:colOff>
      <xdr:row>12</xdr:row>
      <xdr:rowOff>156210</xdr:rowOff>
    </xdr:from>
    <xdr:to>
      <xdr:col>12</xdr:col>
      <xdr:colOff>327660</xdr:colOff>
      <xdr:row>27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7F20C-CB90-2405-4F26-40864821D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792480</xdr:colOff>
      <xdr:row>16</xdr:row>
      <xdr:rowOff>179070</xdr:rowOff>
    </xdr:from>
    <xdr:to>
      <xdr:col>9</xdr:col>
      <xdr:colOff>152400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BA7D4-C80B-DAB7-7C0E-50FC63048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426720</xdr:colOff>
      <xdr:row>17</xdr:row>
      <xdr:rowOff>34290</xdr:rowOff>
    </xdr:from>
    <xdr:to>
      <xdr:col>16</xdr:col>
      <xdr:colOff>495300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84070-18A3-336A-24F5-75C8EE7CF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0.910314930552" createdVersion="8" refreshedVersion="8" minRefreshableVersion="3" recordCount="478" xr:uid="{E81B3CBD-F630-4C99-8949-7AA7BD8071F2}">
  <cacheSource type="worksheet">
    <worksheetSource name="Table1"/>
  </cacheSource>
  <cacheFields count="22">
    <cacheField name="Date" numFmtId="16">
      <sharedItems containsNonDate="0" containsDate="1" containsString="0" containsBlank="1" minDate="2026-05-09T00:00:00" maxDate="2026-08-06T00:00:00"/>
    </cacheField>
    <cacheField name="Week" numFmtId="1">
      <sharedItems containsSemiMixedTypes="0" containsString="0" containsNumber="1" containsInteger="1" minValue="0" maxValue="32" count="15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0"/>
      </sharedItems>
    </cacheField>
    <cacheField name="Month" numFmtId="16">
      <sharedItems count="5">
        <s v="May-26"/>
        <s v="Jun-26"/>
        <s v="Jul-26"/>
        <s v="Aug-26"/>
        <s v="Jan-00"/>
      </sharedItems>
    </cacheField>
    <cacheField name="BIN No" numFmtId="0">
      <sharedItems containsBlank="1" count="7">
        <s v="ANA-01"/>
        <s v="ANA-02"/>
        <s v="ANA-05A"/>
        <s v="ANA-02A"/>
        <s v="ANA-03B"/>
        <m/>
        <s v="ANA-03" u="1"/>
      </sharedItems>
    </cacheField>
    <cacheField name="Lot No" numFmtId="0">
      <sharedItems containsBlank="1"/>
    </cacheField>
    <cacheField name="Input Quantity (Kg's)" numFmtId="0">
      <sharedItems containsString="0" containsBlank="1" containsNumber="1" minValue="13100" maxValue="151778"/>
    </cacheField>
    <cacheField name="Wholes (kg's)" numFmtId="0">
      <sharedItems containsString="0" containsBlank="1" containsNumber="1" minValue="3114" maxValue="39784.199999999997"/>
    </cacheField>
    <cacheField name="Pieces (kg's)" numFmtId="0">
      <sharedItems containsString="0" containsBlank="1" containsNumber="1" minValue="0" maxValue="1330.6"/>
    </cacheField>
    <cacheField name="Oil (kg's)" numFmtId="0">
      <sharedItems containsString="0" containsBlank="1" containsNumber="1" minValue="0" maxValue="787"/>
    </cacheField>
    <cacheField name="Rejection (kg's)" numFmtId="0">
      <sharedItems containsString="0" containsBlank="1" containsNumber="1" minValue="93.2" maxValue="1019.8"/>
    </cacheField>
    <cacheField name="Black Rejection (Kg's)" numFmtId="0">
      <sharedItems containsString="0" containsBlank="1" containsNumber="1" minValue="49.3" maxValue="1450"/>
    </cacheField>
    <cacheField name="First Pass Uncut (kg's)" numFmtId="0">
      <sharedItems containsString="0" containsBlank="1" containsNumber="1" minValue="1244.5" maxValue="19697.21"/>
    </cacheField>
    <cacheField name="Final Uncut (kg's)" numFmtId="0">
      <sharedItems containsString="0" containsBlank="1" containsNumber="1" containsInteger="1" minValue="0" maxValue="2200"/>
    </cacheField>
    <cacheField name="Good Kernels (kg's)" numFmtId="164">
      <sharedItems containsSemiMixedTypes="0" containsString="0" containsNumber="1" minValue="0" maxValue="39816.199999999997"/>
    </cacheField>
    <cacheField name="Final Kernels (kg's)" numFmtId="164">
      <sharedItems containsSemiMixedTypes="0" containsString="0" containsNumber="1" minValue="0" maxValue="41995.299999999996"/>
    </cacheField>
    <cacheField name="SHOT (lbs)" numFmtId="164">
      <sharedItems containsMixedTypes="1" containsNumber="1" minValue="29.971822728978683" maxValue="60.177312239444149"/>
    </cacheField>
    <cacheField name="Good Kernels Yield %" numFmtId="164">
      <sharedItems containsMixedTypes="1" containsNumber="1" minValue="16.994682881026698" maxValue="34.121859967931584"/>
    </cacheField>
    <cacheField name="Final Realisation (%)" numFmtId="164">
      <sharedItems containsMixedTypes="1" containsNumber="1" minValue="17.860109142527062" maxValue="35.81640833778728"/>
    </cacheField>
    <cacheField name="Wholes%" numFmtId="164">
      <sharedItems containsMixedTypes="1" containsNumber="1" minValue="95.306130297669398" maxValue="100"/>
    </cacheField>
    <cacheField name="Brokens%" numFmtId="164">
      <sharedItems containsMixedTypes="1" containsNumber="1" minValue="0" maxValue="4.6938697023305895"/>
    </cacheField>
    <cacheField name="Uncut %" numFmtId="164">
      <sharedItems containsMixedTypes="1" containsNumber="1" minValue="5" maxValue="14.000000000000004"/>
    </cacheField>
    <cacheField name="Final Uncut %" numFmtId="164">
      <sharedItems containsMixedTypes="1" containsNumber="1" minValue="0" maxValue="3.0350639148753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d v="2026-05-09T00:00:00"/>
    <x v="0"/>
    <x v="0"/>
    <x v="0"/>
    <s v="ANG26E01"/>
    <n v="20017"/>
    <n v="4956.3"/>
    <n v="244.1"/>
    <n v="65.3"/>
    <n v="440"/>
    <n v="121.1"/>
    <n v="2402.04"/>
    <n v="150"/>
    <n v="5200.4000000000005"/>
    <n v="5826.8000000000011"/>
    <n v="45.81818174551632"/>
    <n v="25.979917070490089"/>
    <n v="29.109257131438284"/>
    <n v="95.306130297669398"/>
    <n v="4.6938697023305895"/>
    <n v="12"/>
    <n v="0.74936304141479748"/>
  </r>
  <r>
    <d v="2026-05-12T00:00:00"/>
    <x v="1"/>
    <x v="0"/>
    <x v="0"/>
    <s v="ANG26E02"/>
    <n v="14003"/>
    <n v="3402.8"/>
    <n v="110.5"/>
    <n v="143.19999999999999"/>
    <n v="108.5"/>
    <n v="84.7"/>
    <n v="1890.4050000000002"/>
    <n v="425"/>
    <n v="3513.3"/>
    <n v="3849.7"/>
    <n v="44.248060272798689"/>
    <n v="25.089623652074557"/>
    <n v="27.491966007284152"/>
    <n v="96.854808869154354"/>
    <n v="3.1451911308456433"/>
    <n v="13.500000000000002"/>
    <n v="3.035063914875384"/>
  </r>
  <r>
    <d v="2026-05-15T00:00:00"/>
    <x v="1"/>
    <x v="0"/>
    <x v="0"/>
    <s v="ANG26E03"/>
    <n v="26479"/>
    <n v="6477.6"/>
    <n v="295.2"/>
    <n v="121"/>
    <n v="168"/>
    <n v="160.19999999999999"/>
    <n v="3574.6650000000004"/>
    <n v="200"/>
    <n v="6772.8"/>
    <n v="7222"/>
    <n v="45.109369991313876"/>
    <n v="25.578005211677176"/>
    <n v="27.274443898938781"/>
    <n v="95.641389085754781"/>
    <n v="4.3586109142452152"/>
    <n v="13.5"/>
    <n v="0.75531553306393739"/>
  </r>
  <r>
    <d v="2026-05-15T00:00:00"/>
    <x v="1"/>
    <x v="0"/>
    <x v="0"/>
    <s v="ANG26E04"/>
    <n v="18753"/>
    <n v="4681.2"/>
    <n v="213.3"/>
    <n v="87.2"/>
    <n v="121.5"/>
    <n v="113.4"/>
    <n v="2531.6550000000002"/>
    <n v="100"/>
    <n v="4894.5"/>
    <n v="5216.5999999999995"/>
    <n v="46.029649656055035"/>
    <n v="26.099824028155496"/>
    <n v="27.817415880125843"/>
    <n v="95.642047195832049"/>
    <n v="4.3579528041679438"/>
    <n v="13.500000000000002"/>
    <n v="0.53324801365114916"/>
  </r>
  <r>
    <d v="2026-05-16T00:00:00"/>
    <x v="1"/>
    <x v="0"/>
    <x v="0"/>
    <s v="ANG26E05"/>
    <n v="13100"/>
    <n v="3114"/>
    <n v="105.5"/>
    <n v="48"/>
    <n v="218"/>
    <n v="79.2"/>
    <n v="1244.5"/>
    <n v="0"/>
    <n v="3219.5"/>
    <n v="3564.7"/>
    <n v="43.342825954198474"/>
    <n v="24.576335877862597"/>
    <n v="27.211450381679388"/>
    <n v="96.723093648081999"/>
    <n v="3.2769063519179995"/>
    <n v="9.5"/>
    <n v="0"/>
  </r>
  <r>
    <d v="2026-05-18T00:00:00"/>
    <x v="2"/>
    <x v="0"/>
    <x v="0"/>
    <s v="ANG26E06"/>
    <n v="32273"/>
    <n v="7867.5"/>
    <n v="229.7"/>
    <n v="186"/>
    <n v="229.6"/>
    <n v="195.2"/>
    <n v="2710.9320000000002"/>
    <n v="105"/>
    <n v="8097.2"/>
    <n v="8708.0000000000018"/>
    <n v="44.248201034920839"/>
    <n v="25.08970346729464"/>
    <n v="26.982307191770214"/>
    <n v="97.16321691448897"/>
    <n v="2.836783085511041"/>
    <n v="8.4"/>
    <n v="0.32534936324481761"/>
  </r>
  <r>
    <d v="2026-05-19T00:00:00"/>
    <x v="2"/>
    <x v="0"/>
    <x v="0"/>
    <s v="ANG26E07"/>
    <n v="22238"/>
    <n v="5302.3"/>
    <n v="231.6"/>
    <n v="150"/>
    <n v="110.4"/>
    <n v="134.5"/>
    <n v="1867.9920000000002"/>
    <n v="150"/>
    <n v="5533.9000000000005"/>
    <n v="5928.8"/>
    <n v="43.886977426027528"/>
    <n v="24.884881733968886"/>
    <n v="26.660670923644215"/>
    <n v="95.814886427293587"/>
    <n v="4.1851135727064088"/>
    <n v="8.4"/>
    <n v="0.67452109002608152"/>
  </r>
  <r>
    <d v="2026-05-20T00:00:00"/>
    <x v="2"/>
    <x v="0"/>
    <x v="0"/>
    <s v="ANG26E08"/>
    <n v="40214"/>
    <n v="9755.2999999999993"/>
    <n v="350.1"/>
    <n v="152.4"/>
    <n v="209.2"/>
    <n v="243.3"/>
    <n v="3016.0499999999997"/>
    <n v="320"/>
    <n v="10105.4"/>
    <n v="10710.3"/>
    <n v="44.317609389764755"/>
    <n v="25.129059531506442"/>
    <n v="26.633262048042969"/>
    <n v="96.535515664892031"/>
    <n v="3.4644843351079624"/>
    <n v="7.5"/>
    <n v="0.79574277614761035"/>
  </r>
  <r>
    <d v="2026-05-21T00:00:00"/>
    <x v="2"/>
    <x v="0"/>
    <x v="0"/>
    <s v="ANG26E09"/>
    <n v="43895"/>
    <n v="10350.200000000001"/>
    <n v="340.8"/>
    <n v="140.9"/>
    <n v="374.6"/>
    <n v="265.5"/>
    <n v="3072.65"/>
    <n v="350"/>
    <n v="10691"/>
    <n v="11472"/>
    <n v="42.953975623647345"/>
    <n v="24.355849185556441"/>
    <n v="26.13509511333865"/>
    <n v="96.81227200448977"/>
    <n v="3.1877279955102424"/>
    <n v="7"/>
    <n v="0.79735732999202646"/>
  </r>
  <r>
    <d v="2026-05-22T00:00:00"/>
    <x v="2"/>
    <x v="0"/>
    <x v="0"/>
    <s v="ANG26E10"/>
    <n v="81348"/>
    <n v="20025.8"/>
    <n v="582.5"/>
    <n v="358.5"/>
    <n v="488.5"/>
    <n v="492.1"/>
    <n v="6670.5360000000001"/>
    <n v="480"/>
    <n v="20608.3"/>
    <n v="21947.399999999998"/>
    <n v="44.678170182426129"/>
    <n v="25.333505433446426"/>
    <n v="26.979643015193979"/>
    <n v="97.173468942125254"/>
    <n v="2.8265310578747398"/>
    <n v="8.1999999999999993"/>
    <n v="0.59005753060923438"/>
  </r>
  <r>
    <d v="2026-05-23T00:00:00"/>
    <x v="2"/>
    <x v="0"/>
    <x v="0"/>
    <s v="ANG26E11"/>
    <n v="45419"/>
    <n v="11123.4"/>
    <n v="383.6"/>
    <n v="318.60000000000002"/>
    <n v="227.8"/>
    <n v="274.8"/>
    <n v="3179.3300000000004"/>
    <n v="345"/>
    <n v="11507"/>
    <n v="12328.199999999999"/>
    <n v="44.681180122856077"/>
    <n v="25.335212135890266"/>
    <n v="27.143266034038614"/>
    <n v="96.666376987920401"/>
    <n v="3.3336230120796042"/>
    <n v="7.0000000000000009"/>
    <n v="0.75959400250996278"/>
  </r>
  <r>
    <d v="2026-05-26T00:00:00"/>
    <x v="3"/>
    <x v="0"/>
    <x v="0"/>
    <s v="ANG26E12"/>
    <n v="63653"/>
    <n v="16010.9"/>
    <n v="468.2"/>
    <n v="312.10000000000002"/>
    <n v="319.8"/>
    <n v="385.1"/>
    <n v="4837.6279999999997"/>
    <n v="365"/>
    <n v="16479.099999999999"/>
    <n v="17496.099999999995"/>
    <n v="45.657770662812432"/>
    <n v="25.888960457480401"/>
    <n v="27.486685623615532"/>
    <n v="97.158825421291212"/>
    <n v="2.8411745787087885"/>
    <n v="7.6"/>
    <n v="0.57342151980268019"/>
  </r>
  <r>
    <d v="2026-05-27T00:00:00"/>
    <x v="3"/>
    <x v="0"/>
    <x v="0"/>
    <s v="ANG26E13"/>
    <n v="63175"/>
    <n v="15621"/>
    <n v="388.1"/>
    <n v="185.5"/>
    <n v="388.5"/>
    <n v="382.2"/>
    <n v="4801.3"/>
    <n v="1700"/>
    <n v="16009.1"/>
    <n v="16965.3"/>
    <n v="44.691173343886035"/>
    <n v="25.340878512069647"/>
    <n v="26.854451919271863"/>
    <n v="97.575753790031911"/>
    <n v="2.4242462099680808"/>
    <n v="7.6000000000000005"/>
    <n v="2.6909378709932725"/>
  </r>
  <r>
    <d v="2026-05-28T00:00:00"/>
    <x v="3"/>
    <x v="0"/>
    <x v="0"/>
    <s v="ANG26E14"/>
    <n v="64033"/>
    <n v="17500"/>
    <n v="622.79999999999995"/>
    <n v="250.8"/>
    <n v="432.8"/>
    <n v="387.4"/>
    <n v="3841.98"/>
    <n v="360"/>
    <n v="18122.8"/>
    <n v="19193.8"/>
    <n v="49.913903893305012"/>
    <n v="28.302281636031417"/>
    <n v="29.974856714506579"/>
    <n v="96.563444942282658"/>
    <n v="3.4365550577173507"/>
    <n v="6"/>
    <n v="0.5622101104118189"/>
  </r>
  <r>
    <d v="2026-05-29T00:00:00"/>
    <x v="3"/>
    <x v="0"/>
    <x v="0"/>
    <s v="ANG26E15"/>
    <n v="60130"/>
    <n v="15739"/>
    <n v="471"/>
    <n v="175.8"/>
    <n v="169"/>
    <n v="363.8"/>
    <n v="3607.7999999999997"/>
    <n v="250"/>
    <n v="16210"/>
    <n v="16918.599999999999"/>
    <n v="47.543582238483289"/>
    <n v="26.958257109595877"/>
    <n v="28.136703808415099"/>
    <n v="97.094386181369529"/>
    <n v="2.9056138186304752"/>
    <n v="6"/>
    <n v="0.4157658406785299"/>
  </r>
  <r>
    <d v="2026-05-30T00:00:00"/>
    <x v="3"/>
    <x v="0"/>
    <x v="0"/>
    <s v="ANG26E16"/>
    <n v="85529"/>
    <n v="21949.7"/>
    <n v="690.4"/>
    <n v="49.5"/>
    <n v="450.8"/>
    <n v="517.4"/>
    <n v="5131.74"/>
    <n v="280"/>
    <n v="22640.100000000002"/>
    <n v="23657.800000000003"/>
    <n v="46.683674964047292"/>
    <n v="26.470670766640559"/>
    <n v="27.660559576284072"/>
    <n v="96.950543504666499"/>
    <n v="3.049456495333501"/>
    <n v="6"/>
    <n v="0.32737434086684047"/>
  </r>
  <r>
    <d v="2026-06-01T00:00:00"/>
    <x v="4"/>
    <x v="1"/>
    <x v="0"/>
    <s v="ANG26E17"/>
    <n v="86814"/>
    <n v="20858.2"/>
    <n v="548.6"/>
    <n v="289.3"/>
    <n v="260"/>
    <n v="798"/>
    <n v="5035.2120000000004"/>
    <n v="580"/>
    <n v="21406.799999999999"/>
    <n v="22754.1"/>
    <n v="43.487262976017696"/>
    <n v="24.658234846914091"/>
    <n v="26.210173474324417"/>
    <n v="97.437262925799288"/>
    <n v="2.5627370742007214"/>
    <n v="5.8000000000000007"/>
    <n v="0.66809500771764929"/>
  </r>
  <r>
    <d v="2026-06-02T00:00:00"/>
    <x v="4"/>
    <x v="1"/>
    <x v="0"/>
    <s v="ANG26E18"/>
    <n v="44464"/>
    <n v="11977"/>
    <n v="289.5"/>
    <n v="256.3"/>
    <n v="104.5"/>
    <n v="160"/>
    <n v="2712.3040000000001"/>
    <n v="250"/>
    <n v="12266.5"/>
    <n v="12787.3"/>
    <n v="48.653291201871177"/>
    <n v="27.587486505937388"/>
    <n v="28.758771140698091"/>
    <n v="97.639913585782409"/>
    <n v="2.3600864142175841"/>
    <n v="6.1000000000000005"/>
    <n v="0.56225260885210504"/>
  </r>
  <r>
    <d v="2026-06-03T00:00:00"/>
    <x v="4"/>
    <x v="1"/>
    <x v="0"/>
    <s v="ANG26F01"/>
    <n v="55767"/>
    <n v="14392.4"/>
    <n v="510.1"/>
    <n v="278.60000000000002"/>
    <m/>
    <n v="240"/>
    <n v="3903.6900000000005"/>
    <n v="290"/>
    <n v="14902.5"/>
    <n v="15421.1"/>
    <n v="47.128317822368068"/>
    <n v="26.722793049653024"/>
    <n v="27.652733695554723"/>
    <n v="96.577084381815126"/>
    <n v="3.4229156181848683"/>
    <n v="7.0000000000000018"/>
    <n v="0.52002080083203328"/>
  </r>
  <r>
    <d v="2026-06-04T00:00:00"/>
    <x v="4"/>
    <x v="1"/>
    <x v="0"/>
    <s v="ANG26F02"/>
    <n v="78295"/>
    <n v="20778"/>
    <n v="469.9"/>
    <n v="539.70000000000005"/>
    <m/>
    <n v="320"/>
    <n v="5480.6500000000005"/>
    <n v="520"/>
    <n v="21247.9"/>
    <n v="22107.600000000002"/>
    <n v="47.861033833578148"/>
    <n v="27.138259148093749"/>
    <n v="28.236285842007792"/>
    <n v="97.788487332865827"/>
    <n v="2.2115126671341634"/>
    <n v="7"/>
    <n v="0.66415479915703424"/>
  </r>
  <r>
    <d v="2026-06-05T00:00:00"/>
    <x v="4"/>
    <x v="1"/>
    <x v="0"/>
    <s v="ANG26F03"/>
    <n v="77716"/>
    <n v="20474.2"/>
    <n v="649.6"/>
    <n v="550.5"/>
    <n v="140.19999999999999"/>
    <n v="200"/>
    <n v="4740.6759999999995"/>
    <n v="458"/>
    <n v="21123.8"/>
    <n v="22014.5"/>
    <n v="47.935989603170526"/>
    <n v="27.180760718513561"/>
    <n v="28.326856760512637"/>
    <n v="96.92479572804136"/>
    <n v="3.0752042719586439"/>
    <n v="6.1"/>
    <n v="0.58932523547274696"/>
  </r>
  <r>
    <d v="2026-06-06T00:00:00"/>
    <x v="4"/>
    <x v="1"/>
    <x v="0"/>
    <s v="ANG26F04"/>
    <n v="86719"/>
    <n v="21889.200000000001"/>
    <n v="773.9"/>
    <n v="625.79999999999995"/>
    <n v="347.5"/>
    <n v="480"/>
    <n v="5463.2970000000005"/>
    <n v="650"/>
    <n v="22663.100000000002"/>
    <n v="24116.400000000001"/>
    <n v="46.089834015613654"/>
    <n v="26.133949884108443"/>
    <n v="27.809822530241355"/>
    <n v="96.585197964973887"/>
    <n v="3.4148020350260992"/>
    <n v="6.3"/>
    <n v="0.74954738869221271"/>
  </r>
  <r>
    <d v="2026-06-08T00:00:00"/>
    <x v="5"/>
    <x v="1"/>
    <x v="1"/>
    <s v="ANG26F05"/>
    <n v="79723"/>
    <n v="20758.2"/>
    <n v="750.5"/>
    <n v="485"/>
    <n v="256"/>
    <n v="160"/>
    <n v="5022.549"/>
    <n v="580"/>
    <n v="21508.7"/>
    <n v="22409.7"/>
    <n v="47.580677244960683"/>
    <n v="26.979290794375526"/>
    <n v="28.109453984421059"/>
    <n v="96.510714269109698"/>
    <n v="3.4892857308902907"/>
    <n v="6.3"/>
    <n v="0.72751903465750156"/>
  </r>
  <r>
    <d v="2026-06-09T00:00:00"/>
    <x v="5"/>
    <x v="1"/>
    <x v="1"/>
    <s v="ANG26F06"/>
    <n v="83843"/>
    <n v="22658.2"/>
    <n v="802.5"/>
    <n v="232.4"/>
    <n v="258.5"/>
    <n v="360"/>
    <n v="5282.1090000000004"/>
    <n v="680"/>
    <n v="23460.7"/>
    <n v="24311.600000000002"/>
    <n v="49.348532996195274"/>
    <n v="27.981703898953999"/>
    <n v="28.996576935462713"/>
    <n v="96.579385951825827"/>
    <n v="3.4206140481741807"/>
    <n v="6.3000000000000007"/>
    <n v="0.81103968130911352"/>
  </r>
  <r>
    <d v="2026-06-10T00:00:00"/>
    <x v="5"/>
    <x v="1"/>
    <x v="1"/>
    <s v="ANG26F07"/>
    <n v="80083"/>
    <n v="21752.5"/>
    <n v="704.4"/>
    <n v="87.3"/>
    <n v="215.1"/>
    <n v="125.5"/>
    <n v="5045.2290000000003"/>
    <n v="570"/>
    <n v="22456.9"/>
    <n v="22884.799999999999"/>
    <n v="49.454926563690179"/>
    <n v="28.042031392430353"/>
    <n v="28.576352034763929"/>
    <n v="96.863324857838791"/>
    <n v="3.1366751421612062"/>
    <n v="6.3"/>
    <n v="0.71176154739457809"/>
  </r>
  <r>
    <d v="2026-06-11T00:00:00"/>
    <x v="5"/>
    <x v="1"/>
    <x v="1"/>
    <s v="ANG26F08"/>
    <n v="89313"/>
    <n v="23754.3"/>
    <n v="735.5"/>
    <n v="306.10000000000002"/>
    <n v="381.9"/>
    <n v="240"/>
    <n v="5626.7190000000001"/>
    <n v="850"/>
    <n v="24489.8"/>
    <n v="25417.8"/>
    <n v="48.358258349848285"/>
    <n v="27.420196387983832"/>
    <n v="28.45923885660542"/>
    <n v="96.996708833881854"/>
    <n v="3.0032911661181392"/>
    <n v="6.3"/>
    <n v="0.95170915768141251"/>
  </r>
  <r>
    <d v="2026-06-12T00:00:00"/>
    <x v="5"/>
    <x v="1"/>
    <x v="1"/>
    <s v="ANG26F09"/>
    <n v="87731"/>
    <n v="23330.5"/>
    <n v="785"/>
    <n v="475.5"/>
    <n v="230.5"/>
    <n v="460"/>
    <n v="5527.0529999999999"/>
    <n v="750"/>
    <n v="24115.5"/>
    <n v="25281.5"/>
    <n v="48.477842267841474"/>
    <n v="27.488003100386411"/>
    <n v="28.817065803421826"/>
    <n v="96.744832161887587"/>
    <n v="3.2551678381124174"/>
    <n v="6.3"/>
    <n v="0.85488595821317437"/>
  </r>
  <r>
    <d v="2026-06-13T00:00:00"/>
    <x v="5"/>
    <x v="1"/>
    <x v="1"/>
    <s v="ANG26F10"/>
    <n v="110708.45"/>
    <n v="18213.099999999999"/>
    <n v="601.45000000000005"/>
    <n v="291.2"/>
    <n v="206.9"/>
    <n v="460"/>
    <n v="6974.6323499999999"/>
    <n v="0"/>
    <n v="18814.55"/>
    <n v="19772.650000000001"/>
    <n v="29.971822728978683"/>
    <n v="16.994682881026698"/>
    <n v="17.860109142527062"/>
    <n v="96.80327193581563"/>
    <n v="3.1967280641843683"/>
    <n v="6.3"/>
    <n v="0"/>
  </r>
  <r>
    <d v="2026-06-15T00:00:00"/>
    <x v="6"/>
    <x v="1"/>
    <x v="1"/>
    <s v="ANG26F10"/>
    <n v="21857"/>
    <n v="5710.6000000000022"/>
    <n v="199.94999999999993"/>
    <m/>
    <m/>
    <n v="380"/>
    <n v="1529.9900000000002"/>
    <n v="580"/>
    <n v="5910.550000000002"/>
    <n v="6290.550000000002"/>
    <n v="47.691110307910527"/>
    <n v="27.04190877064557"/>
    <n v="28.780482225374033"/>
    <n v="96.617066093679952"/>
    <n v="3.3829339063200523"/>
    <n v="7.0000000000000009"/>
    <n v="2.6536121151118635"/>
  </r>
  <r>
    <d v="2026-06-15T00:00:00"/>
    <x v="6"/>
    <x v="1"/>
    <x v="2"/>
    <s v="ANG26F11"/>
    <n v="41137"/>
    <n v="11514.9"/>
    <n v="403.6"/>
    <n v="187.7"/>
    <n v="343.8"/>
    <n v="280"/>
    <n v="2879.59"/>
    <n v="250"/>
    <n v="11918.5"/>
    <n v="12730"/>
    <n v="51.096255439142382"/>
    <n v="28.97270097479155"/>
    <n v="30.945377640566885"/>
    <n v="96.613667827327262"/>
    <n v="3.386332172672736"/>
    <n v="7"/>
    <n v="0.60772540535284536"/>
  </r>
  <r>
    <d v="2026-06-16T00:00:00"/>
    <x v="6"/>
    <x v="1"/>
    <x v="2"/>
    <s v="ANG26F12"/>
    <n v="84707"/>
    <n v="21927"/>
    <n v="637.6"/>
    <n v="135.21"/>
    <n v="161.80000000000001"/>
    <n v="480"/>
    <n v="4235.3500000000004"/>
    <n v="550"/>
    <n v="22564.6"/>
    <n v="23341.609999999997"/>
    <n v="46.979504125987233"/>
    <n v="26.638412409836256"/>
    <n v="27.555703778908466"/>
    <n v="97.174335020341601"/>
    <n v="2.8256649796584035"/>
    <n v="5"/>
    <n v="0.6492969884425136"/>
  </r>
  <r>
    <d v="2026-06-17T00:00:00"/>
    <x v="6"/>
    <x v="1"/>
    <x v="2"/>
    <s v="ANG26F13"/>
    <n v="88435"/>
    <n v="23069"/>
    <n v="637.6"/>
    <n v="69.5"/>
    <n v="764"/>
    <n v="440"/>
    <n v="6632.625"/>
    <n v="550"/>
    <n v="23706.6"/>
    <n v="24980.1"/>
    <n v="47.276485282976196"/>
    <n v="26.806807259569172"/>
    <n v="28.246847967433705"/>
    <n v="97.310453628947229"/>
    <n v="2.6895463710527876"/>
    <n v="7.5"/>
    <n v="0.62192570814722681"/>
  </r>
  <r>
    <d v="2026-06-18T00:00:00"/>
    <x v="6"/>
    <x v="1"/>
    <x v="2"/>
    <s v="ANG26F14"/>
    <n v="97133"/>
    <n v="24703.599999999999"/>
    <n v="759"/>
    <n v="0"/>
    <n v="96.6"/>
    <n v="840"/>
    <n v="7284.9749999999995"/>
    <n v="550"/>
    <n v="25462.6"/>
    <n v="26399.199999999997"/>
    <n v="46.231292516446523"/>
    <n v="26.214159966231865"/>
    <n v="27.178404867552732"/>
    <n v="97.019157509445222"/>
    <n v="2.9808424905547746"/>
    <n v="7.4999999999999991"/>
    <n v="0.5662339266778541"/>
  </r>
  <r>
    <d v="2026-06-20T00:00:00"/>
    <x v="6"/>
    <x v="1"/>
    <x v="2"/>
    <s v="ANG26F15"/>
    <n v="96965"/>
    <n v="25862.5"/>
    <n v="760.4"/>
    <n v="166.3"/>
    <n v="262.10000000000002"/>
    <n v="779.4"/>
    <n v="7757.2"/>
    <n v="500"/>
    <n v="26622.9"/>
    <n v="27830.7"/>
    <n v="48.42174644459341"/>
    <n v="27.456195534471203"/>
    <n v="28.70179961841902"/>
    <n v="97.143812281907671"/>
    <n v="2.8561877180923183"/>
    <n v="8"/>
    <n v="0.51564997679575109"/>
  </r>
  <r>
    <d v="2026-06-22T00:00:00"/>
    <x v="7"/>
    <x v="1"/>
    <x v="2"/>
    <s v="ANG26F16"/>
    <n v="89645"/>
    <n v="23910.2"/>
    <n v="703"/>
    <n v="154"/>
    <n v="242.3"/>
    <n v="720.5"/>
    <n v="5378.7"/>
    <n v="450"/>
    <n v="24613.200000000001"/>
    <n v="25730"/>
    <n v="48.421930414412408"/>
    <n v="27.45629984940599"/>
    <n v="28.702102738579953"/>
    <n v="97.143809013049903"/>
    <n v="2.8561909869500917"/>
    <n v="5.9999999999999991"/>
    <n v="0.50198003234982425"/>
  </r>
  <r>
    <d v="2026-06-23T00:00:00"/>
    <x v="7"/>
    <x v="1"/>
    <x v="2"/>
    <s v="ANG26F17"/>
    <n v="97699"/>
    <n v="26198.1"/>
    <n v="764.1"/>
    <n v="248.4"/>
    <n v="484.4"/>
    <n v="850"/>
    <n v="7815.92"/>
    <n v="655"/>
    <n v="26962.199999999997"/>
    <n v="28545"/>
    <n v="48.670442809035912"/>
    <n v="27.59721184454293"/>
    <n v="29.217289839199992"/>
    <n v="97.166032445423596"/>
    <n v="2.8339675545764074"/>
    <n v="8"/>
    <n v="0.67042651408919229"/>
  </r>
  <r>
    <d v="2026-06-24T00:00:00"/>
    <x v="7"/>
    <x v="1"/>
    <x v="2"/>
    <s v="ANG26F18"/>
    <n v="108954"/>
    <n v="27407.599999999999"/>
    <n v="927.7"/>
    <n v="250"/>
    <n v="396.6"/>
    <n v="1450"/>
    <n v="8716.32"/>
    <n v="750"/>
    <n v="28335.3"/>
    <n v="30431.899999999998"/>
    <n v="45.865351506140208"/>
    <n v="26.006663362519962"/>
    <n v="27.930961690254602"/>
    <n v="96.725991960558019"/>
    <n v="3.2740080394419682"/>
    <n v="8"/>
    <n v="0.68836389669034637"/>
  </r>
  <r>
    <d v="2026-06-25T00:00:00"/>
    <x v="7"/>
    <x v="1"/>
    <x v="2"/>
    <s v="ANG26F19"/>
    <n v="118746"/>
    <n v="30421.5"/>
    <n v="1110.5"/>
    <n v="436.3"/>
    <n v="515.1"/>
    <n v="1040"/>
    <n v="11874.6"/>
    <n v="2200"/>
    <n v="31532"/>
    <n v="33523.399999999994"/>
    <n v="46.830912367574484"/>
    <n v="26.554157613730148"/>
    <n v="28.231182524042911"/>
    <n v="96.478180895598129"/>
    <n v="3.5218191044018776"/>
    <n v="10"/>
    <n v="1.8526939854816162"/>
  </r>
  <r>
    <d v="2026-06-26T00:00:00"/>
    <x v="7"/>
    <x v="1"/>
    <x v="2"/>
    <s v="ANG26F20A"/>
    <n v="16586"/>
    <n v="4455.7"/>
    <n v="149.69999999999999"/>
    <n v="47.9"/>
    <n v="98.8"/>
    <n v="49.3"/>
    <n v="1326.88"/>
    <n v="50"/>
    <n v="4605.3999999999996"/>
    <n v="4801.3999999999996"/>
    <n v="48.969513083323285"/>
    <n v="27.766791269745564"/>
    <n v="28.948510792234408"/>
    <n v="96.749468015807537"/>
    <n v="3.2505319841924698"/>
    <n v="8"/>
    <n v="0.30145906185939947"/>
  </r>
  <r>
    <d v="2026-06-26T00:00:00"/>
    <x v="7"/>
    <x v="1"/>
    <x v="3"/>
    <s v="ANG26F20B"/>
    <n v="37208"/>
    <n v="9995.7999999999993"/>
    <n v="335.9"/>
    <n v="107.6"/>
    <n v="221.7"/>
    <n v="110.7"/>
    <n v="2232.48"/>
    <n v="100"/>
    <n v="10331.699999999999"/>
    <n v="10771.7"/>
    <n v="48.970614168995915"/>
    <n v="27.767415609546333"/>
    <n v="28.949956998494951"/>
    <n v="96.748840945826927"/>
    <n v="3.2511590541730788"/>
    <n v="6"/>
    <n v="0.26875940657923031"/>
  </r>
  <r>
    <d v="2026-06-27T00:00:00"/>
    <x v="7"/>
    <x v="1"/>
    <x v="3"/>
    <s v="ANG26F21"/>
    <n v="108774"/>
    <n v="29119.9"/>
    <n v="982.1"/>
    <n v="356.5"/>
    <n v="547.20000000000005"/>
    <n v="450"/>
    <n v="7614.18"/>
    <n v="750"/>
    <n v="30102"/>
    <n v="31455.7"/>
    <n v="48.805677091952127"/>
    <n v="27.67389265817199"/>
    <n v="28.918399617555668"/>
    <n v="96.737426084645548"/>
    <n v="3.2625739153544617"/>
    <n v="7"/>
    <n v="0.68950300623310712"/>
  </r>
  <r>
    <d v="2026-06-29T00:00:00"/>
    <x v="8"/>
    <x v="1"/>
    <x v="3"/>
    <s v="ANG26F22"/>
    <n v="111122"/>
    <n v="29726.5"/>
    <n v="968.54"/>
    <n v="44.5"/>
    <n v="293.7"/>
    <n v="800"/>
    <n v="7778.5400000000009"/>
    <n v="780"/>
    <n v="30695.040000000001"/>
    <n v="31833.24"/>
    <n v="48.715621158726442"/>
    <n v="27.622828962761648"/>
    <n v="28.647108583358833"/>
    <n v="96.844636788223767"/>
    <n v="3.1553632117762347"/>
    <n v="7.0000000000000009"/>
    <n v="0.70193121074134734"/>
  </r>
  <r>
    <d v="2026-06-30T00:00:00"/>
    <x v="8"/>
    <x v="1"/>
    <x v="3"/>
    <s v="ANG26F23"/>
    <n v="100469"/>
    <n v="26784.799999999999"/>
    <n v="927.7"/>
    <n v="0"/>
    <n v="235.8"/>
    <n v="840"/>
    <n v="7032.8300000000008"/>
    <n v="800"/>
    <n v="27712.5"/>
    <n v="28788.3"/>
    <n v="48.645617056007325"/>
    <n v="27.583135096397893"/>
    <n v="28.653913147338979"/>
    <n v="96.652413170951732"/>
    <n v="3.3475868290482635"/>
    <n v="7.0000000000000009"/>
    <n v="0.79626551473588869"/>
  </r>
  <r>
    <d v="2026-07-01T00:00:00"/>
    <x v="8"/>
    <x v="2"/>
    <x v="3"/>
    <s v="ANG26F24"/>
    <n v="105292"/>
    <n v="27090.400000000001"/>
    <n v="852.3"/>
    <n v="130"/>
    <n v="528.20000000000005"/>
    <n v="1040"/>
    <n v="8423.36"/>
    <n v="950"/>
    <n v="27942.7"/>
    <n v="29640.9"/>
    <n v="46.802934429966193"/>
    <n v="26.538293507578921"/>
    <n v="28.151141587205107"/>
    <n v="96.94982947245613"/>
    <n v="3.050170527543866"/>
    <n v="8"/>
    <n v="0.90225278273752985"/>
  </r>
  <r>
    <d v="2026-07-02T00:00:00"/>
    <x v="8"/>
    <x v="2"/>
    <x v="3"/>
    <s v="ANG26F25"/>
    <n v="107080"/>
    <n v="29865.9"/>
    <n v="1136.5999999999999"/>
    <n v="139"/>
    <n v="242.1"/>
    <n v="400"/>
    <n v="9101.8000000000011"/>
    <n v="780"/>
    <n v="31002.5"/>
    <n v="31783.599999999999"/>
    <n v="51.060897459843112"/>
    <n v="28.952652222637283"/>
    <n v="29.682106836010458"/>
    <n v="96.333844044835104"/>
    <n v="3.6661559551649061"/>
    <n v="8.5000000000000018"/>
    <n v="0.72842734404183795"/>
  </r>
  <r>
    <d v="2026-07-03T00:00:00"/>
    <x v="8"/>
    <x v="2"/>
    <x v="3"/>
    <s v="ANG26G01"/>
    <n v="114214"/>
    <n v="30812.1"/>
    <n v="1003.8"/>
    <n v="273.7"/>
    <n v="342.2"/>
    <n v="350"/>
    <n v="7994.9800000000005"/>
    <n v="950"/>
    <n v="31815.899999999998"/>
    <n v="32781.800000000003"/>
    <n v="49.127533612341743"/>
    <n v="27.85639238622235"/>
    <n v="28.702085558688076"/>
    <n v="96.844973739545324"/>
    <n v="3.1550262604546782"/>
    <n v="7"/>
    <n v="0.83177193689039863"/>
  </r>
  <r>
    <d v="2026-07-04T00:00:00"/>
    <x v="8"/>
    <x v="2"/>
    <x v="3"/>
    <s v="ANG26G02"/>
    <n v="118956"/>
    <n v="31629.4"/>
    <n v="1330.6"/>
    <n v="279.5"/>
    <n v="257.39999999999998"/>
    <n v="360"/>
    <n v="7732.14"/>
    <n v="1100"/>
    <n v="32960"/>
    <n v="33856.9"/>
    <n v="48.865341807054712"/>
    <n v="27.707723864285956"/>
    <n v="28.461700124415753"/>
    <n v="95.962985436893206"/>
    <n v="4.037014563106796"/>
    <n v="6.5000000000000009"/>
    <n v="0.92471165809206768"/>
  </r>
  <r>
    <d v="2026-07-06T00:00:00"/>
    <x v="9"/>
    <x v="2"/>
    <x v="3"/>
    <s v="ANG26G03"/>
    <n v="131334"/>
    <n v="33905.300000000003"/>
    <n v="1080"/>
    <n v="150.5"/>
    <n v="243.3"/>
    <n v="850"/>
    <n v="10506.72"/>
    <n v="750"/>
    <n v="34985.300000000003"/>
    <n v="36229.100000000006"/>
    <n v="46.979514124293793"/>
    <n v="26.638418079096049"/>
    <n v="27.585469109293868"/>
    <n v="96.912989169737003"/>
    <n v="3.0870108302629959"/>
    <n v="8"/>
    <n v="0.57106309105029929"/>
  </r>
  <r>
    <d v="2026-07-07T00:00:00"/>
    <x v="9"/>
    <x v="2"/>
    <x v="3"/>
    <s v="ANG26G04"/>
    <n v="130560"/>
    <n v="33741"/>
    <n v="1039.9000000000001"/>
    <n v="224.7"/>
    <n v="591.5"/>
    <n v="650"/>
    <n v="14361.6"/>
    <n v="650"/>
    <n v="34780.9"/>
    <n v="36247.1"/>
    <n v="46.981920373774514"/>
    <n v="26.6397824754902"/>
    <n v="27.762791053921571"/>
    <n v="97.010140623158108"/>
    <n v="2.9898593768418875"/>
    <n v="11.000000000000002"/>
    <n v="0.49785539215686275"/>
  </r>
  <r>
    <d v="2026-07-08T00:00:00"/>
    <x v="9"/>
    <x v="2"/>
    <x v="3"/>
    <s v="ANG26G05"/>
    <n v="130712"/>
    <n v="35594"/>
    <n v="1147.5999999999999"/>
    <n v="39.1"/>
    <n v="377.3"/>
    <n v="350"/>
    <n v="11502.655999999999"/>
    <n v="780"/>
    <n v="36741.599999999999"/>
    <n v="37508"/>
    <n v="49.572713874778138"/>
    <n v="28.108819389191506"/>
    <n v="28.695146581798156"/>
    <n v="96.876564983560868"/>
    <n v="3.1234350164391316"/>
    <n v="8.8000000000000007"/>
    <n v="0.59673174612889412"/>
  </r>
  <r>
    <d v="2026-07-09T00:00:00"/>
    <x v="9"/>
    <x v="2"/>
    <x v="3"/>
    <s v="ANG26G06"/>
    <n v="126006"/>
    <n v="32939.699999999997"/>
    <n v="1075.8"/>
    <n v="381"/>
    <n v="135"/>
    <n v="780"/>
    <n v="11592.552"/>
    <n v="780"/>
    <n v="34015.5"/>
    <n v="35311.5"/>
    <n v="47.608634350745206"/>
    <n v="26.995143088424363"/>
    <n v="28.023665539736204"/>
    <n v="96.837324161044222"/>
    <n v="3.1626758389557703"/>
    <n v="9.1999999999999993"/>
    <n v="0.61901814199323846"/>
  </r>
  <r>
    <d v="2026-07-10T00:00:00"/>
    <x v="9"/>
    <x v="2"/>
    <x v="3"/>
    <s v="ANG26G07"/>
    <n v="80989"/>
    <n v="22018.5"/>
    <n v="742.4"/>
    <n v="319.8"/>
    <n v="93.2"/>
    <n v="150"/>
    <n v="6479.12"/>
    <n v="400"/>
    <n v="22760.9"/>
    <n v="23323.9"/>
    <n v="49.563673140796901"/>
    <n v="28.103693094123894"/>
    <n v="28.798849226438161"/>
    <n v="96.738266061535342"/>
    <n v="3.2617339384646473"/>
    <n v="8"/>
    <n v="0.4938942325500994"/>
  </r>
  <r>
    <d v="2026-07-11T00:00:00"/>
    <x v="9"/>
    <x v="2"/>
    <x v="3"/>
    <s v="ANG26G08"/>
    <n v="134036"/>
    <n v="36615.199999999997"/>
    <n v="1047.5"/>
    <n v="566"/>
    <n v="489.9"/>
    <n v="250"/>
    <n v="16084.32"/>
    <n v="0"/>
    <n v="37662.699999999997"/>
    <n v="38968.6"/>
    <n v="49.555296875466297"/>
    <n v="28.098943567399804"/>
    <n v="29.073234056522129"/>
    <n v="97.218733654252091"/>
    <n v="2.7812663457479152"/>
    <n v="12"/>
    <n v="0"/>
  </r>
  <r>
    <d v="2026-07-13T00:00:00"/>
    <x v="10"/>
    <x v="2"/>
    <x v="3"/>
    <s v="ANG26G09"/>
    <n v="133933"/>
    <n v="36399.199999999997"/>
    <n v="1022.3"/>
    <n v="116.5"/>
    <n v="157.9"/>
    <n v="720"/>
    <n v="18750.620000000003"/>
    <n v="650"/>
    <n v="37421.5"/>
    <n v="38415.9"/>
    <n v="49.275800138875411"/>
    <n v="27.940462768697785"/>
    <n v="28.682923551327907"/>
    <n v="97.26814798979197"/>
    <n v="2.7318520102080357"/>
    <n v="14.000000000000004"/>
    <n v="0.4853172855084259"/>
  </r>
  <r>
    <d v="2026-07-14T00:00:00"/>
    <x v="10"/>
    <x v="2"/>
    <x v="3"/>
    <s v="ANG26G10"/>
    <n v="135550"/>
    <n v="37486.5"/>
    <n v="903.6"/>
    <n v="162.5"/>
    <n v="101.5"/>
    <n v="280"/>
    <n v="16943.75"/>
    <n v="700"/>
    <n v="38390.1"/>
    <n v="38934.1"/>
    <n v="49.948196503135371"/>
    <n v="28.321726300258206"/>
    <n v="28.723054223533751"/>
    <n v="97.646268178514774"/>
    <n v="2.3537318214852267"/>
    <n v="12.5"/>
    <n v="0.51641460715603094"/>
  </r>
  <r>
    <d v="2026-07-15T00:00:00"/>
    <x v="10"/>
    <x v="2"/>
    <x v="3"/>
    <s v="ANG26G11"/>
    <n v="135087"/>
    <n v="36571.800000000003"/>
    <n v="728.5"/>
    <n v="55.9"/>
    <n v="127.7"/>
    <n v="250"/>
    <n v="17561.310000000001"/>
    <n v="800"/>
    <n v="37300.300000000003"/>
    <n v="37733.9"/>
    <n v="48.696624456831529"/>
    <n v="27.612057414851176"/>
    <n v="27.933035747333204"/>
    <n v="98.046932598397333"/>
    <n v="1.9530674016026679"/>
    <n v="13.000000000000002"/>
    <n v="0.59221094553880094"/>
  </r>
  <r>
    <d v="2026-07-16T00:00:00"/>
    <x v="10"/>
    <x v="2"/>
    <x v="3"/>
    <s v="ANG26G12"/>
    <n v="132898"/>
    <n v="36784.300000000003"/>
    <n v="1120.55"/>
    <n v="220.5"/>
    <n v="203.7"/>
    <n v="480"/>
    <n v="15947.76"/>
    <n v="650"/>
    <n v="37904.850000000006"/>
    <n v="38809.050000000003"/>
    <n v="50.300977787476121"/>
    <n v="28.521761049827692"/>
    <n v="29.202132462490031"/>
    <n v="97.04378199623531"/>
    <n v="2.9562180037646892"/>
    <n v="12"/>
    <n v="0.48909690138301554"/>
  </r>
  <r>
    <d v="2026-07-17T00:00:00"/>
    <x v="10"/>
    <x v="2"/>
    <x v="3"/>
    <s v="ANG26G13"/>
    <n v="129469"/>
    <n v="36036.6"/>
    <n v="981.6"/>
    <n v="151.30000000000001"/>
    <n v="184.7"/>
    <n v="280"/>
    <n v="18125.660000000003"/>
    <n v="450"/>
    <n v="37018.199999999997"/>
    <n v="37634.199999999997"/>
    <n v="50.425428110203988"/>
    <n v="28.592327120777945"/>
    <n v="29.06811669202666"/>
    <n v="97.348331361330381"/>
    <n v="2.6516686386696278"/>
    <n v="14.000000000000002"/>
    <n v="0.34757355042519827"/>
  </r>
  <r>
    <d v="2026-07-18T00:00:00"/>
    <x v="10"/>
    <x v="2"/>
    <x v="4"/>
    <s v="ANG26G14"/>
    <n v="97803"/>
    <n v="26903.3"/>
    <n v="925.3"/>
    <n v="271.39999999999998"/>
    <n v="121.5"/>
    <n v="192"/>
    <n v="11247.345000000001"/>
    <n v="600"/>
    <n v="27828.6"/>
    <n v="28413.5"/>
    <n v="50.180995429588044"/>
    <n v="28.453728413238856"/>
    <n v="29.051767328200569"/>
    <n v="96.675003413754197"/>
    <n v="3.3249965862458044"/>
    <n v="11.500000000000002"/>
    <n v="0.61347811416827702"/>
  </r>
  <r>
    <d v="2026-07-20T00:00:00"/>
    <x v="11"/>
    <x v="2"/>
    <x v="4"/>
    <s v="ANG26G15"/>
    <n v="53256"/>
    <n v="14691.4"/>
    <n v="504.5"/>
    <n v="200.5"/>
    <n v="93.5"/>
    <n v="130.80000000000001"/>
    <n v="4153.9679999999998"/>
    <n v="300"/>
    <n v="15195.9"/>
    <n v="15620.699999999999"/>
    <n v="50.322009238395673"/>
    <n v="28.533686345200543"/>
    <n v="29.331342947273548"/>
    <n v="96.680025533203036"/>
    <n v="3.3199744667969648"/>
    <n v="7.8000000000000007"/>
    <n v="0.56331680937359174"/>
  </r>
  <r>
    <d v="2026-07-21T00:00:00"/>
    <x v="11"/>
    <x v="2"/>
    <x v="4"/>
    <s v="ANG26G16"/>
    <n v="151367"/>
    <n v="36987.699999999997"/>
    <n v="1139.2"/>
    <n v="192.8"/>
    <n v="428.9"/>
    <n v="780.6"/>
    <n v="17407.205000000002"/>
    <n v="500"/>
    <n v="38126.899999999994"/>
    <n v="39529.199999999997"/>
    <n v="44.422232613449431"/>
    <n v="25.188383201094023"/>
    <n v="26.114807058341643"/>
    <n v="97.012083332240493"/>
    <n v="2.9879166677595088"/>
    <n v="11.5"/>
    <n v="0.33032298981944541"/>
  </r>
  <r>
    <d v="2026-07-22T00:00:00"/>
    <x v="11"/>
    <x v="2"/>
    <x v="4"/>
    <s v="ANG26G17"/>
    <n v="151287"/>
    <n v="39784.199999999997"/>
    <n v="32"/>
    <n v="130.69999999999999"/>
    <n v="741.9"/>
    <n v="1306.5"/>
    <n v="19667.310000000001"/>
    <n v="1308"/>
    <n v="39816.199999999997"/>
    <n v="41995.299999999996"/>
    <n v="46.414992907520137"/>
    <n v="26.318322129462544"/>
    <n v="27.758697046011882"/>
    <n v="99.919630703080657"/>
    <n v="8.0369296919344385E-2"/>
    <n v="13.000000000000002"/>
    <n v="0.86458188740605613"/>
  </r>
  <r>
    <d v="2026-07-23T00:00:00"/>
    <x v="11"/>
    <x v="2"/>
    <x v="4"/>
    <s v="ANG26G18"/>
    <n v="151517"/>
    <n v="38516.5"/>
    <n v="34.4"/>
    <n v="785.5"/>
    <n v="178"/>
    <n v="871.4"/>
    <n v="19697.21"/>
    <n v="1200"/>
    <n v="38550.9"/>
    <n v="40385.800000000003"/>
    <n v="44.871774942745702"/>
    <n v="25.44328359194018"/>
    <n v="26.654302817505627"/>
    <n v="99.91076732320127"/>
    <n v="8.9232676798725832E-2"/>
    <n v="12.999999999999998"/>
    <n v="0.79199033771787986"/>
  </r>
  <r>
    <d v="2026-07-24T00:00:00"/>
    <x v="11"/>
    <x v="2"/>
    <x v="4"/>
    <s v="ANG26G19"/>
    <n v="151778"/>
    <n v="38582.800000000003"/>
    <n v="34.5"/>
    <n v="787"/>
    <n v="178.4"/>
    <n v="873"/>
    <n v="16999.135999999999"/>
    <n v="1050"/>
    <n v="38617.300000000003"/>
    <n v="40455.700000000004"/>
    <n v="44.871766843679595"/>
    <n v="25.443278999591509"/>
    <n v="26.654521735692924"/>
    <n v="99.910661801834934"/>
    <n v="8.9338198165071089E-2"/>
    <n v="11.2"/>
    <n v="0.69179986559316897"/>
  </r>
  <r>
    <d v="2026-07-25T00:00:00"/>
    <x v="11"/>
    <x v="2"/>
    <x v="4"/>
    <s v="ANG26G20"/>
    <n v="74840"/>
    <n v="25472.1"/>
    <n v="64.7"/>
    <n v="0"/>
    <n v="732.5"/>
    <n v="535.70000000000005"/>
    <n v="7484"/>
    <n v="400"/>
    <n v="25536.799999999999"/>
    <n v="26805"/>
    <n v="60.177312239444149"/>
    <n v="34.121859967931584"/>
    <n v="35.81640833778728"/>
    <n v="99.746640142852669"/>
    <n v="0.2533598571473325"/>
    <n v="10"/>
    <n v="0.53447354355959387"/>
  </r>
  <r>
    <d v="2026-07-27T00:00:00"/>
    <x v="12"/>
    <x v="2"/>
    <x v="4"/>
    <s v="ANG26G21"/>
    <n v="133846"/>
    <n v="35551"/>
    <n v="0"/>
    <n v="658.4"/>
    <n v="658.4"/>
    <n v="440"/>
    <n v="14321.521999999999"/>
    <n v="250"/>
    <n v="35551"/>
    <n v="37307.800000000003"/>
    <n v="46.843195612868527"/>
    <n v="26.56112248404883"/>
    <n v="27.873675716868643"/>
    <n v="100"/>
    <n v="0"/>
    <n v="10.7"/>
    <n v="0.18678182388715389"/>
  </r>
  <r>
    <d v="2026-07-28T00:00:00"/>
    <x v="12"/>
    <x v="2"/>
    <x v="4"/>
    <s v="ANG26G22"/>
    <n v="143231"/>
    <n v="37367.1"/>
    <n v="114.6"/>
    <n v="0"/>
    <n v="894"/>
    <n v="420"/>
    <n v="17187.72"/>
    <n v="450"/>
    <n v="37481.699999999997"/>
    <n v="38795.699999999997"/>
    <n v="46.15113077476245"/>
    <n v="26.168706495102317"/>
    <n v="27.086105661483895"/>
    <n v="99.694250794387671"/>
    <n v="0.30574920561233887"/>
    <n v="12.000000000000002"/>
    <n v="0.31417779670602036"/>
  </r>
  <r>
    <d v="2026-07-29T00:00:00"/>
    <x v="12"/>
    <x v="2"/>
    <x v="4"/>
    <s v="ANG26G23"/>
    <n v="140890"/>
    <n v="37548.6"/>
    <n v="37.9"/>
    <n v="0"/>
    <n v="618.1"/>
    <n v="280"/>
    <n v="15497.9"/>
    <n v="150"/>
    <n v="37586.5"/>
    <n v="38484.6"/>
    <n v="47.04915281425226"/>
    <n v="26.677904748385263"/>
    <n v="27.315352402583574"/>
    <n v="99.899165923935456"/>
    <n v="0.10083407606454445"/>
    <n v="10.999999999999998"/>
    <n v="0.10646603733409042"/>
  </r>
  <r>
    <d v="2026-07-30T00:00:00"/>
    <x v="12"/>
    <x v="2"/>
    <x v="4"/>
    <s v="ANG26G24"/>
    <n v="138703"/>
    <n v="36756.199999999997"/>
    <n v="16.600000000000001"/>
    <n v="0"/>
    <n v="855.1"/>
    <n v="210"/>
    <n v="15257.33"/>
    <n v="250"/>
    <n v="36772.799999999996"/>
    <n v="37837.899999999994"/>
    <n v="46.756386004628595"/>
    <n v="26.511899526326033"/>
    <n v="27.279799283360848"/>
    <n v="99.954857938476266"/>
    <n v="4.5142061523734942E-2"/>
    <n v="11"/>
    <n v="0.18024123486874832"/>
  </r>
  <r>
    <d v="2026-07-31T00:00:00"/>
    <x v="12"/>
    <x v="2"/>
    <x v="4"/>
    <s v="ANG26G25"/>
    <n v="133052"/>
    <n v="36026.9"/>
    <n v="30.2"/>
    <n v="0"/>
    <n v="914"/>
    <n v="590"/>
    <n v="14635.72"/>
    <n v="220"/>
    <n v="36057.1"/>
    <n v="37561.1"/>
    <n v="47.793570603974388"/>
    <n v="27.100006012686769"/>
    <n v="28.230391125274327"/>
    <n v="99.916243957500754"/>
    <n v="8.3756042499258124E-2"/>
    <n v="11"/>
    <n v="0.16534888614977603"/>
  </r>
  <r>
    <d v="2026-08-01T00:00:00"/>
    <x v="12"/>
    <x v="3"/>
    <x v="4"/>
    <s v="ANG26G26"/>
    <n v="139562"/>
    <n v="35267.800000000003"/>
    <n v="31.1"/>
    <n v="0"/>
    <n v="653.20000000000005"/>
    <n v="1209"/>
    <n v="15351.82"/>
    <n v="250"/>
    <n v="35298.9"/>
    <n v="37161.1"/>
    <n v="44.606081913414833"/>
    <n v="25.292629798942407"/>
    <n v="26.626947163267939"/>
    <n v="99.911895271524045"/>
    <n v="8.8104728475958169E-2"/>
    <n v="11"/>
    <n v="0.17913185537610526"/>
  </r>
  <r>
    <d v="2026-08-03T00:00:00"/>
    <x v="13"/>
    <x v="3"/>
    <x v="4"/>
    <s v="ANG26H01"/>
    <n v="78960"/>
    <n v="20966.8"/>
    <n v="38.9"/>
    <n v="0"/>
    <n v="714.5"/>
    <n v="513"/>
    <n v="6316.8"/>
    <n v="200"/>
    <n v="21005.7"/>
    <n v="22233.200000000001"/>
    <n v="46.916986474164133"/>
    <n v="26.602963525835868"/>
    <n v="28.157548125633234"/>
    <n v="99.814812170030024"/>
    <n v="0.18518782996996053"/>
    <n v="8"/>
    <n v="0.25329280648429586"/>
  </r>
  <r>
    <d v="2026-08-04T00:00:00"/>
    <x v="13"/>
    <x v="3"/>
    <x v="4"/>
    <s v="ANG26H02"/>
    <n v="136839"/>
    <n v="35150.800000000003"/>
    <n v="47.3"/>
    <n v="0"/>
    <n v="859.2"/>
    <n v="989"/>
    <n v="15736.485000000001"/>
    <n v="350"/>
    <n v="35198.100000000006"/>
    <n v="37046.300000000003"/>
    <n v="45.363799180058329"/>
    <n v="25.722272159252846"/>
    <n v="27.072910500661362"/>
    <n v="99.86561774641244"/>
    <n v="0.13438225358755157"/>
    <n v="11.5"/>
    <n v="0.25577503489502262"/>
  </r>
  <r>
    <d v="2026-08-05T00:00:00"/>
    <x v="13"/>
    <x v="3"/>
    <x v="4"/>
    <s v="ANG26H03"/>
    <n v="144898"/>
    <n v="38306.699999999997"/>
    <n v="0"/>
    <n v="0"/>
    <n v="1019.8"/>
    <n v="925.5"/>
    <n v="15214.289999999999"/>
    <n v="1550"/>
    <n v="38306.699999999997"/>
    <n v="40252"/>
    <n v="46.624312357658489"/>
    <n v="26.437010862813839"/>
    <n v="27.779541470551699"/>
    <n v="100"/>
    <n v="0"/>
    <n v="10.5"/>
    <n v="1.0697180085301383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  <r>
    <m/>
    <x v="14"/>
    <x v="4"/>
    <x v="5"/>
    <m/>
    <m/>
    <m/>
    <m/>
    <m/>
    <m/>
    <m/>
    <m/>
    <m/>
    <n v="0"/>
    <n v="0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D6D33-3725-45F0-B8E8-91C2D0C0537B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Week">
  <location ref="N3:Q8" firstHeaderRow="0" firstDataRow="1" firstDataCol="1"/>
  <pivotFields count="22">
    <pivotField showAll="0"/>
    <pivotField axis="axisRow" numFmtId="1" showAll="0">
      <items count="16">
        <item h="1" x="14"/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5">
    <i>
      <x v="8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holes%" fld="18" subtotal="average" baseField="2" baseItem="1"/>
    <dataField name="Average of Uncut %" fld="20" subtotal="average" baseField="2" baseItem="1"/>
    <dataField name="Average of Brokens%" fld="19" subtotal="average" baseField="2" baseItem="1"/>
  </dataFields>
  <formats count="1"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B75F-E9F6-4706-8317-13285EC5AAF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6" firstHeaderRow="0" firstDataRow="1" firstDataCol="1"/>
  <pivotFields count="22">
    <pivotField showAll="0"/>
    <pivotField numFmtId="1" showAll="0"/>
    <pivotField axis="axisRow" showAll="0">
      <items count="6">
        <item h="1" x="4"/>
        <item h="1" x="0"/>
        <item h="1" x="1"/>
        <item h="1" x="2"/>
        <item x="3"/>
        <item t="default"/>
      </items>
    </pivotField>
    <pivotField axis="axisRow" showAll="0">
      <items count="8">
        <item x="0"/>
        <item x="1"/>
        <item m="1" x="6"/>
        <item x="5"/>
        <item x="2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3">
    <i>
      <x v="4"/>
    </i>
    <i r="1"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Input RCN Quantity (Kg's)" fld="5" baseField="0" baseItem="0"/>
    <dataField name="Wholes (kg's) " fld="6" baseField="0" baseItem="0"/>
    <dataField name="Pieces (kg's) " fld="7" baseField="0" baseItem="0"/>
    <dataField name="Oil (kg's) " fld="8" baseField="0" baseItem="0"/>
    <dataField name="Rejection (kg's) " fld="9" baseField="0" baseItem="0"/>
    <dataField name="Good Kernels (kg's) " fld="13" baseField="0" baseItem="0" numFmtId="164"/>
    <dataField name="Final Kernels (kg's) 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C3668-6354-44EA-9B07-7ED1CD9F5A8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/BIN">
  <location ref="J3:L6" firstHeaderRow="0" firstDataRow="1" firstDataCol="1"/>
  <pivotFields count="22">
    <pivotField showAll="0"/>
    <pivotField numFmtId="1" showAll="0"/>
    <pivotField axis="axisRow" showAll="0">
      <items count="6">
        <item h="1" x="4"/>
        <item h="1" x="0"/>
        <item h="1" x="1"/>
        <item h="1" x="2"/>
        <item x="3"/>
        <item t="default"/>
      </items>
    </pivotField>
    <pivotField axis="axisRow" showAll="0">
      <items count="8">
        <item x="0"/>
        <item x="1"/>
        <item m="1" x="6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">
    <i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Good Kernels Yield % " fld="16" subtotal="average" baseField="0" baseItem="0"/>
    <dataField name="Final Kernels Yield (%)" fld="17" subtotal="average" baseField="0" baseItem="0"/>
  </dataFields>
  <formats count="1">
    <format dxfId="7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147-0814-482C-BEC1-728AB85DACD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/ BIN No">
  <location ref="I3:K16" firstHeaderRow="0" firstDataRow="1" firstDataCol="1"/>
  <pivotFields count="22">
    <pivotField showAll="0"/>
    <pivotField numFmtId="1" showAll="0"/>
    <pivotField axis="axisRow" showAll="0">
      <items count="6">
        <item x="3"/>
        <item x="4"/>
        <item x="2"/>
        <item x="1"/>
        <item x="0"/>
        <item t="default"/>
      </items>
    </pivotField>
    <pivotField axis="axisRow" showAll="0">
      <items count="8">
        <item x="0"/>
        <item x="1"/>
        <item x="3"/>
        <item m="1" x="6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13">
    <i>
      <x/>
    </i>
    <i r="1">
      <x v="4"/>
    </i>
    <i>
      <x v="2"/>
    </i>
    <i r="1">
      <x v="2"/>
    </i>
    <i r="1">
      <x v="4"/>
    </i>
    <i>
      <x v="3"/>
    </i>
    <i r="1">
      <x/>
    </i>
    <i r="1">
      <x v="1"/>
    </i>
    <i r="1">
      <x v="2"/>
    </i>
    <i r="1">
      <x v="5"/>
    </i>
    <i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ood Kernels Yield %" fld="16" subtotal="average" baseField="0" baseItem="0"/>
    <dataField name="Average of Final Realisation (%)" fld="17" subtotal="average" baseField="0" baseItem="0"/>
  </dataFields>
  <formats count="1">
    <format dxfId="4">
      <pivotArea outline="0" collapsedLevelsAreSubtotals="1" fieldPosition="0"/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42DEF-9325-4E6E-B9F1-5B28BCDEEC1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/ BIN No">
  <location ref="A3:D16" firstHeaderRow="0" firstDataRow="1" firstDataCol="1"/>
  <pivotFields count="22">
    <pivotField showAll="0"/>
    <pivotField numFmtId="1" showAll="0"/>
    <pivotField axis="axisRow" showAll="0">
      <items count="6">
        <item x="3"/>
        <item x="4"/>
        <item x="2"/>
        <item x="1"/>
        <item x="0"/>
        <item t="default"/>
      </items>
    </pivotField>
    <pivotField axis="axisRow" showAll="0">
      <items count="8">
        <item x="0"/>
        <item x="1"/>
        <item x="3"/>
        <item m="1" x="6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2">
    <field x="2"/>
    <field x="3"/>
  </rowFields>
  <rowItems count="13">
    <i>
      <x/>
    </i>
    <i r="1">
      <x v="4"/>
    </i>
    <i>
      <x v="2"/>
    </i>
    <i r="1">
      <x v="2"/>
    </i>
    <i r="1">
      <x v="4"/>
    </i>
    <i>
      <x v="3"/>
    </i>
    <i r="1">
      <x/>
    </i>
    <i r="1">
      <x v="1"/>
    </i>
    <i r="1">
      <x v="2"/>
    </i>
    <i r="1">
      <x v="5"/>
    </i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holes%" fld="18" subtotal="average" baseField="0" baseItem="0"/>
    <dataField name="Average of Brokens%" fld="19" subtotal="average" baseField="0" baseItem="0"/>
    <dataField name="Average of Uncut %" fld="20" subtotal="average" baseField="0" baseItem="0"/>
  </dataFields>
  <formats count="1">
    <format dxfId="5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B4FDD-0873-4405-B39B-FB0C26FE8320}" name="Table1" displayName="Table1" ref="B3:AA482" totalsRowShown="0" headerRowDxfId="31" dataDxfId="30">
  <autoFilter ref="B3:AA482" xr:uid="{6D0B4FDD-0873-4405-B39B-FB0C26FE8320}"/>
  <tableColumns count="26">
    <tableColumn id="1" xr3:uid="{3FC4ECE2-19E6-4BD7-8A9A-CB1FBDF77F18}" name="Date" dataDxfId="29"/>
    <tableColumn id="26" xr3:uid="{8612A626-0D3B-444D-AF9C-45DD4ECEFA90}" name="Week" dataDxfId="28">
      <calculatedColumnFormula>WEEKNUM(Table1[[#This Row],[Date]])</calculatedColumnFormula>
    </tableColumn>
    <tableColumn id="10" xr3:uid="{15228E2C-BA50-4D84-805A-1D832D2CD507}" name="Month" dataDxfId="27">
      <calculatedColumnFormula>TEXT(Table1[[#This Row],[Date]],"mmm-yy")</calculatedColumnFormula>
    </tableColumn>
    <tableColumn id="17" xr3:uid="{0E8D6928-812F-4BBA-AA6D-BFFFDD731B40}" name="BIN No" dataDxfId="26"/>
    <tableColumn id="2" xr3:uid="{4C0F61B5-ED30-4605-B8A6-2F0CF3EB559F}" name="Lot No" dataDxfId="25"/>
    <tableColumn id="3" xr3:uid="{4544CDCB-E61E-46F9-9CB9-E8EF3C1F1C22}" name="Input Quantity (Kg's)" dataDxfId="24"/>
    <tableColumn id="4" xr3:uid="{9C1631E1-5051-4837-B4B7-6959E3AF76A6}" name="Wholes (kg's)" dataDxfId="23"/>
    <tableColumn id="5" xr3:uid="{41AC3824-B0D4-45C0-91C6-5414AA11AC0F}" name="Pieces (kg's)" dataDxfId="22"/>
    <tableColumn id="7" xr3:uid="{889EAB7F-39A8-4960-9388-6AFB25223275}" name="Rejection (kg's)" dataDxfId="21"/>
    <tableColumn id="6" xr3:uid="{0DD5D829-D11E-414B-AE70-5CADEEDA0114}" name="Oil (kg's)" dataDxfId="20"/>
    <tableColumn id="30" xr3:uid="{48D9B7E3-0B94-4150-917C-FA956C8C436E}" name="Black Rejection (Kg's)"/>
    <tableColumn id="8" xr3:uid="{DC448789-CC9A-4625-97EC-1CBFCCE92551}" name="First Pass Uncut (kg's)" dataDxfId="19"/>
    <tableColumn id="9" xr3:uid="{5A943618-6A77-4043-A894-DFB6D32A3D4E}" name="Final Uncut (kg's)" dataDxfId="18"/>
    <tableColumn id="20" xr3:uid="{3092BC8E-CB96-4F5E-9931-0FD35BFC0B79}" name="Shell Dust" dataDxfId="17"/>
    <tableColumn id="19" xr3:uid="{124425E1-469B-4F98-BA57-3B009C1B5DA4}" name="Shell" dataDxfId="2">
      <calculatedColumnFormula>Table1[[#This Row],[Input Quantity (Kg''s)]]-SUM(Table1[[#This Row],[Wholes (kg''s)]:[Black Rejection (Kg''s)]],Table1[[#This Row],[Shell Dust]])</calculatedColumnFormula>
    </tableColumn>
    <tableColumn id="11" xr3:uid="{C96294DB-DA39-4F32-8D4D-7B6204995A80}" name="Good Kernels (kg's)" dataDxfId="16">
      <calculatedColumnFormula>SUM(Table1[[#This Row],[Wholes (kg''s)]:[Pieces (kg''s)]])</calculatedColumnFormula>
    </tableColumn>
    <tableColumn id="12" xr3:uid="{3746DDCF-DBE6-4EE7-BF86-41E1F4077A61}" name="Final Kernels (kg's)" dataDxfId="15">
      <calculatedColumnFormula>SUM(Table1[[#This Row],[Wholes (kg''s)]:[Black Rejection (Kg''s)]])</calculatedColumnFormula>
    </tableColumn>
    <tableColumn id="13" xr3:uid="{50FCB674-7342-4BFB-ADAF-4B530F98C706}" name="SHOT (lbs)" dataDxfId="14">
      <calculatedColumnFormula>IFERROR(Table1[[#This Row],[Good Kernels (kg''s)]]/Table1[[#This Row],[Input Quantity (Kg''s)]]*176.36,"")</calculatedColumnFormula>
    </tableColumn>
    <tableColumn id="29" xr3:uid="{9E4C8FD6-D0C8-42ED-93AC-F07E25385A00}" name="Good Kernels Yield %" dataDxfId="13">
      <calculatedColumnFormula>IFERROR(Table1[[#This Row],[Good Kernels (kg''s)]]/Table1[[#This Row],[Input Quantity (Kg''s)]]%,"")</calculatedColumnFormula>
    </tableColumn>
    <tableColumn id="14" xr3:uid="{23E02E92-9E9D-4720-92D9-DA582F59B1A8}" name="Final Realisation (%)" dataDxfId="12">
      <calculatedColumnFormula>IFERROR(Table1[[#This Row],[Final Kernels (kg''s)]]/Table1[[#This Row],[Input Quantity (Kg''s)]]%,"")</calculatedColumnFormula>
    </tableColumn>
    <tableColumn id="15" xr3:uid="{C86B1DDB-913C-45A2-8068-3359AE11134C}" name="Wholes%" dataDxfId="11">
      <calculatedColumnFormula>IFERROR(Table1[[#This Row],[Wholes (kg''s)]]/Table1[[#This Row],[Good Kernels (kg''s)]]%,"")</calculatedColumnFormula>
    </tableColumn>
    <tableColumn id="16" xr3:uid="{8EB6A7C1-AF9E-48BA-9C9A-741B044554F7}" name="Brokens%" dataDxfId="10">
      <calculatedColumnFormula>IFERROR(Table1[[#This Row],[Pieces (kg''s)]]/Table1[[#This Row],[Good Kernels (kg''s)]]%,"")</calculatedColumnFormula>
    </tableColumn>
    <tableColumn id="28" xr3:uid="{940E811E-4A4D-4A9C-BD2D-32960CE434DB}" name="Uncut %" dataDxfId="9">
      <calculatedColumnFormula>IFERROR(Table1[[#This Row],[First Pass Uncut (kg''s)]]/Table1[[#This Row],[Input Quantity (Kg''s)]]%,"")</calculatedColumnFormula>
    </tableColumn>
    <tableColumn id="27" xr3:uid="{B8A49D16-FE30-42C6-BAE6-749C6B007B87}" name="Final Uncut %" dataDxfId="8">
      <calculatedColumnFormula>IFERROR(Table1[[#This Row],[Final Uncut (kg''s)]]/Table1[[#This Row],[Input Quantity (Kg''s)]]%,"")</calculatedColumnFormula>
    </tableColumn>
    <tableColumn id="18" xr3:uid="{93B28B59-7E1E-444B-A0D8-C647C52186DB}" name="Shell %" dataDxfId="0">
      <calculatedColumnFormula>IFERROR(Table1[[#This Row],[Shell]]/Table1[[#This Row],[Input Quantity (Kg''s)]]%,"")</calculatedColumnFormula>
    </tableColumn>
    <tableColumn id="21" xr3:uid="{692385F8-DE52-44A3-AF59-6CB517B5320F}" name="Shell Dust%" dataDxfId="1">
      <calculatedColumnFormula>IFERROR(Table1[[#This Row],[Shell Dust]]/Table1[[#This Row],[Input Quantity (Kg''s)]]%,"")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2DDA-363C-4628-9E3F-50E5B3059E35}">
  <dimension ref="A3:Q8"/>
  <sheetViews>
    <sheetView topLeftCell="G1" workbookViewId="0">
      <selection activeCell="A5" sqref="A5"/>
    </sheetView>
  </sheetViews>
  <sheetFormatPr defaultRowHeight="14.4" x14ac:dyDescent="0.3"/>
  <cols>
    <col min="1" max="1" width="13.44140625" bestFit="1" customWidth="1"/>
    <col min="2" max="2" width="24.33203125" bestFit="1" customWidth="1"/>
    <col min="3" max="3" width="13.6640625" bestFit="1" customWidth="1"/>
    <col min="4" max="4" width="12.6640625" bestFit="1" customWidth="1"/>
    <col min="5" max="5" width="9.33203125" bestFit="1" customWidth="1"/>
    <col min="6" max="6" width="15.5546875" bestFit="1" customWidth="1"/>
    <col min="7" max="7" width="19.109375" bestFit="1" customWidth="1"/>
    <col min="8" max="8" width="18.5546875" bestFit="1" customWidth="1"/>
    <col min="10" max="10" width="12.88671875" bestFit="1" customWidth="1"/>
    <col min="11" max="11" width="20.88671875" bestFit="1" customWidth="1"/>
    <col min="12" max="12" width="21.44140625" bestFit="1" customWidth="1"/>
    <col min="14" max="14" width="11.33203125" bestFit="1" customWidth="1"/>
    <col min="15" max="15" width="19.5546875" bestFit="1" customWidth="1"/>
    <col min="16" max="16" width="18.44140625" bestFit="1" customWidth="1"/>
    <col min="17" max="17" width="20" bestFit="1" customWidth="1"/>
  </cols>
  <sheetData>
    <row r="3" spans="1:17" x14ac:dyDescent="0.3">
      <c r="A3" s="13" t="s">
        <v>30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62</v>
      </c>
      <c r="H3" t="s">
        <v>61</v>
      </c>
      <c r="J3" s="13" t="s">
        <v>68</v>
      </c>
      <c r="K3" t="s">
        <v>63</v>
      </c>
      <c r="L3" t="s">
        <v>64</v>
      </c>
      <c r="N3" s="13" t="s">
        <v>33</v>
      </c>
      <c r="O3" t="s">
        <v>65</v>
      </c>
      <c r="P3" t="s">
        <v>66</v>
      </c>
      <c r="Q3" t="s">
        <v>67</v>
      </c>
    </row>
    <row r="4" spans="1:17" x14ac:dyDescent="0.3">
      <c r="A4" s="14" t="s">
        <v>116</v>
      </c>
      <c r="B4">
        <v>500259</v>
      </c>
      <c r="C4">
        <v>129692.1</v>
      </c>
      <c r="D4">
        <v>117.29999999999998</v>
      </c>
      <c r="E4">
        <v>0</v>
      </c>
      <c r="F4">
        <v>3246.7</v>
      </c>
      <c r="G4" s="3">
        <v>129809.4</v>
      </c>
      <c r="H4" s="3">
        <v>136692.6</v>
      </c>
      <c r="J4" s="14" t="s">
        <v>116</v>
      </c>
      <c r="K4" s="3">
        <v>26.013719086711241</v>
      </c>
      <c r="L4" s="3">
        <v>27.409236815028557</v>
      </c>
      <c r="N4" s="17">
        <v>26</v>
      </c>
      <c r="O4" s="3">
        <v>96.821392765844251</v>
      </c>
      <c r="P4" s="3">
        <v>7.5714285714285712</v>
      </c>
      <c r="Q4" s="3">
        <v>3.1786072341557654</v>
      </c>
    </row>
    <row r="5" spans="1:17" x14ac:dyDescent="0.3">
      <c r="A5" s="16" t="s">
        <v>101</v>
      </c>
      <c r="B5">
        <v>500259</v>
      </c>
      <c r="C5">
        <v>129692.1</v>
      </c>
      <c r="D5">
        <v>117.29999999999998</v>
      </c>
      <c r="E5">
        <v>0</v>
      </c>
      <c r="F5">
        <v>3246.7</v>
      </c>
      <c r="G5" s="3">
        <v>129809.4</v>
      </c>
      <c r="H5" s="3">
        <v>136692.6</v>
      </c>
      <c r="J5" s="16" t="s">
        <v>101</v>
      </c>
      <c r="K5" s="3">
        <v>26.013719086711241</v>
      </c>
      <c r="L5" s="3">
        <v>27.409236815028557</v>
      </c>
      <c r="N5" s="17">
        <v>30</v>
      </c>
      <c r="O5" s="3">
        <v>98.8633014727355</v>
      </c>
      <c r="P5" s="3">
        <v>11.083333333333334</v>
      </c>
      <c r="Q5" s="3">
        <v>1.1366985272644914</v>
      </c>
    </row>
    <row r="6" spans="1:17" x14ac:dyDescent="0.3">
      <c r="A6" s="14" t="s">
        <v>31</v>
      </c>
      <c r="B6">
        <v>500259</v>
      </c>
      <c r="C6">
        <v>129692.1</v>
      </c>
      <c r="D6">
        <v>117.29999999999998</v>
      </c>
      <c r="E6">
        <v>0</v>
      </c>
      <c r="F6">
        <v>3246.7</v>
      </c>
      <c r="G6" s="3">
        <v>129809.4</v>
      </c>
      <c r="H6" s="3">
        <v>136692.6</v>
      </c>
      <c r="J6" s="14" t="s">
        <v>31</v>
      </c>
      <c r="K6" s="3">
        <v>26.013719086711241</v>
      </c>
      <c r="L6" s="3">
        <v>27.409236815028557</v>
      </c>
      <c r="N6" s="17">
        <v>31</v>
      </c>
      <c r="O6" s="3">
        <v>99.896068980970711</v>
      </c>
      <c r="P6" s="3">
        <v>11.116666666666667</v>
      </c>
      <c r="Q6" s="3">
        <v>0.10393101902930575</v>
      </c>
    </row>
    <row r="7" spans="1:17" x14ac:dyDescent="0.3">
      <c r="N7" s="17">
        <v>32</v>
      </c>
      <c r="O7" s="3">
        <v>99.89347663881415</v>
      </c>
      <c r="P7" s="3">
        <v>10</v>
      </c>
      <c r="Q7" s="3">
        <v>0.10652336118583737</v>
      </c>
    </row>
    <row r="8" spans="1:17" x14ac:dyDescent="0.3">
      <c r="N8" s="17" t="s">
        <v>31</v>
      </c>
      <c r="O8" s="3">
        <v>98.635745545435881</v>
      </c>
      <c r="P8" s="3">
        <v>9.8272727272727263</v>
      </c>
      <c r="Q8" s="3">
        <v>1.3642544545641206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A5C2-5636-4FCE-BE0E-F8E17D07183B}">
  <dimension ref="A3:K16"/>
  <sheetViews>
    <sheetView topLeftCell="F3" workbookViewId="0">
      <selection activeCell="K11" sqref="K11"/>
    </sheetView>
  </sheetViews>
  <sheetFormatPr defaultRowHeight="14.4" x14ac:dyDescent="0.3"/>
  <cols>
    <col min="1" max="1" width="15" bestFit="1" customWidth="1"/>
    <col min="2" max="2" width="17.6640625" bestFit="1" customWidth="1"/>
    <col min="3" max="3" width="18.21875" bestFit="1" customWidth="1"/>
    <col min="4" max="4" width="16.6640625" bestFit="1" customWidth="1"/>
    <col min="9" max="9" width="15" bestFit="1" customWidth="1"/>
    <col min="10" max="10" width="27.6640625" bestFit="1" customWidth="1"/>
    <col min="11" max="11" width="27.21875" bestFit="1" customWidth="1"/>
    <col min="12" max="12" width="16.6640625" bestFit="1" customWidth="1"/>
  </cols>
  <sheetData>
    <row r="3" spans="1:11" x14ac:dyDescent="0.3">
      <c r="A3" s="13" t="s">
        <v>129</v>
      </c>
      <c r="B3" t="s">
        <v>65</v>
      </c>
      <c r="C3" t="s">
        <v>67</v>
      </c>
      <c r="D3" t="s">
        <v>66</v>
      </c>
      <c r="I3" s="13" t="s">
        <v>129</v>
      </c>
      <c r="J3" t="s">
        <v>131</v>
      </c>
      <c r="K3" t="s">
        <v>130</v>
      </c>
    </row>
    <row r="4" spans="1:11" x14ac:dyDescent="0.3">
      <c r="A4" s="14" t="s">
        <v>116</v>
      </c>
      <c r="B4" s="3">
        <v>99.898081296991634</v>
      </c>
      <c r="C4" s="3">
        <v>0.10191870300836757</v>
      </c>
      <c r="D4" s="3">
        <v>10.25</v>
      </c>
      <c r="I4" s="14" t="s">
        <v>116</v>
      </c>
      <c r="J4" s="3">
        <v>26.013719086711237</v>
      </c>
      <c r="K4" s="3">
        <v>27.409236815028557</v>
      </c>
    </row>
    <row r="5" spans="1:11" x14ac:dyDescent="0.3">
      <c r="A5" s="16" t="s">
        <v>101</v>
      </c>
      <c r="B5" s="3">
        <v>99.898081296991634</v>
      </c>
      <c r="C5" s="3">
        <v>0.10191870300836757</v>
      </c>
      <c r="D5" s="3">
        <v>10.25</v>
      </c>
      <c r="I5" s="16" t="s">
        <v>101</v>
      </c>
      <c r="J5" s="3">
        <v>26.013719086711237</v>
      </c>
      <c r="K5" s="3">
        <v>27.409236815028557</v>
      </c>
    </row>
    <row r="6" spans="1:11" x14ac:dyDescent="0.3">
      <c r="A6" s="14" t="s">
        <v>127</v>
      </c>
      <c r="B6" s="3">
        <v>97.939201642064987</v>
      </c>
      <c r="C6" s="3">
        <v>2.0607983579350169</v>
      </c>
      <c r="D6" s="3">
        <v>10.6</v>
      </c>
      <c r="I6" s="14" t="s">
        <v>127</v>
      </c>
      <c r="J6" s="3">
        <v>27.524088083106356</v>
      </c>
      <c r="K6" s="3">
        <v>28.433800881893543</v>
      </c>
    </row>
    <row r="7" spans="1:11" x14ac:dyDescent="0.3">
      <c r="A7" s="16" t="s">
        <v>85</v>
      </c>
      <c r="B7" s="3">
        <v>97.002607564752466</v>
      </c>
      <c r="C7" s="3">
        <v>2.9973924352475225</v>
      </c>
      <c r="D7" s="3">
        <v>10.166666666666666</v>
      </c>
      <c r="I7" s="16" t="s">
        <v>85</v>
      </c>
      <c r="J7" s="3">
        <v>27.775213088590874</v>
      </c>
      <c r="K7" s="3">
        <v>28.569696823382735</v>
      </c>
    </row>
    <row r="8" spans="1:11" x14ac:dyDescent="0.3">
      <c r="A8" s="16" t="s">
        <v>101</v>
      </c>
      <c r="B8" s="3">
        <v>99.109944238705623</v>
      </c>
      <c r="C8" s="3">
        <v>0.89005576129438591</v>
      </c>
      <c r="D8" s="3">
        <v>11.141666666666666</v>
      </c>
      <c r="I8" s="16" t="s">
        <v>101</v>
      </c>
      <c r="J8" s="3">
        <v>27.210181826250707</v>
      </c>
      <c r="K8" s="3">
        <v>28.263930955032063</v>
      </c>
    </row>
    <row r="9" spans="1:11" x14ac:dyDescent="0.3">
      <c r="A9" s="14" t="s">
        <v>125</v>
      </c>
      <c r="B9" s="3">
        <v>96.910232281902665</v>
      </c>
      <c r="C9" s="3">
        <v>3.0897677180973551</v>
      </c>
      <c r="D9" s="3">
        <v>6.8555555555555552</v>
      </c>
      <c r="I9" s="14" t="s">
        <v>125</v>
      </c>
      <c r="J9" s="3">
        <v>26.795776807064637</v>
      </c>
      <c r="K9" s="3">
        <v>28.052647489994669</v>
      </c>
    </row>
    <row r="10" spans="1:11" x14ac:dyDescent="0.3">
      <c r="A10" s="16" t="s">
        <v>54</v>
      </c>
      <c r="B10" s="3">
        <v>97.158790319879643</v>
      </c>
      <c r="C10" s="3">
        <v>2.8412096801203468</v>
      </c>
      <c r="D10" s="3">
        <v>6.3833333333333337</v>
      </c>
      <c r="I10" s="16" t="s">
        <v>54</v>
      </c>
      <c r="J10" s="3">
        <v>26.570247358870038</v>
      </c>
      <c r="K10" s="3">
        <v>27.832440573889837</v>
      </c>
    </row>
    <row r="11" spans="1:11" x14ac:dyDescent="0.3">
      <c r="A11" s="16" t="s">
        <v>55</v>
      </c>
      <c r="B11" s="3">
        <v>96.730757729148465</v>
      </c>
      <c r="C11" s="3">
        <v>3.2692422708515214</v>
      </c>
      <c r="D11" s="3">
        <v>6.4</v>
      </c>
      <c r="I11" s="16" t="s">
        <v>55</v>
      </c>
      <c r="J11" s="3">
        <v>25.992545317971771</v>
      </c>
      <c r="K11" s="3">
        <v>27.085611283225148</v>
      </c>
    </row>
    <row r="12" spans="1:11" x14ac:dyDescent="0.3">
      <c r="A12" s="16" t="s">
        <v>85</v>
      </c>
      <c r="B12" s="3">
        <v>96.74582924741199</v>
      </c>
      <c r="C12" s="3">
        <v>3.2541707525880099</v>
      </c>
      <c r="D12" s="3">
        <v>6.75</v>
      </c>
      <c r="I12" s="16" t="s">
        <v>85</v>
      </c>
      <c r="J12" s="3">
        <v>27.661818081719467</v>
      </c>
      <c r="K12" s="3">
        <v>28.792344586687108</v>
      </c>
    </row>
    <row r="13" spans="1:11" x14ac:dyDescent="0.3">
      <c r="A13" s="16" t="s">
        <v>69</v>
      </c>
      <c r="B13" s="3">
        <v>96.952490859840637</v>
      </c>
      <c r="C13" s="3">
        <v>3.0475091401593835</v>
      </c>
      <c r="D13" s="3">
        <v>7.5</v>
      </c>
      <c r="I13" s="16" t="s">
        <v>69</v>
      </c>
      <c r="J13" s="3">
        <v>27.14694000848446</v>
      </c>
      <c r="K13" s="3">
        <v>28.56581814571927</v>
      </c>
    </row>
    <row r="14" spans="1:11" x14ac:dyDescent="0.3">
      <c r="A14" s="14" t="s">
        <v>126</v>
      </c>
      <c r="B14" s="3">
        <v>96.604759992334024</v>
      </c>
      <c r="C14" s="3">
        <v>3.3952400076659743</v>
      </c>
      <c r="D14" s="3">
        <v>8.8562499999999993</v>
      </c>
      <c r="I14" s="14" t="s">
        <v>126</v>
      </c>
      <c r="J14" s="3">
        <v>25.650810363108807</v>
      </c>
      <c r="K14" s="3">
        <v>27.472002204224268</v>
      </c>
    </row>
    <row r="15" spans="1:11" x14ac:dyDescent="0.3">
      <c r="A15" s="16" t="s">
        <v>54</v>
      </c>
      <c r="B15" s="3">
        <v>96.604759992334024</v>
      </c>
      <c r="C15" s="3">
        <v>3.3952400076659743</v>
      </c>
      <c r="D15" s="3">
        <v>8.8562499999999993</v>
      </c>
      <c r="I15" s="16" t="s">
        <v>54</v>
      </c>
      <c r="J15" s="3">
        <v>25.650810363108807</v>
      </c>
      <c r="K15" s="3">
        <v>27.472002204224268</v>
      </c>
    </row>
    <row r="16" spans="1:11" x14ac:dyDescent="0.3">
      <c r="A16" s="14" t="s">
        <v>31</v>
      </c>
      <c r="B16" s="3">
        <v>97.381124338005819</v>
      </c>
      <c r="C16" s="3">
        <v>2.6188756619940969</v>
      </c>
      <c r="D16" s="3">
        <v>8.8378378378378404</v>
      </c>
      <c r="I16" s="14" t="s">
        <v>31</v>
      </c>
      <c r="J16" s="3">
        <v>26.771678299881113</v>
      </c>
      <c r="K16" s="3">
        <v>28.031393088765999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3F81-EA0B-4556-92D1-A4DB963B30EF}">
  <dimension ref="B2:AA482"/>
  <sheetViews>
    <sheetView showGridLines="0" tabSelected="1" zoomScale="120" zoomScaleNormal="120" workbookViewId="0">
      <pane xSplit="7" ySplit="3" topLeftCell="Q97" activePane="bottomRight" state="frozen"/>
      <selection pane="topRight" activeCell="E1" sqref="E1"/>
      <selection pane="bottomLeft" activeCell="A4" sqref="A4"/>
      <selection pane="bottomRight" activeCell="R106" sqref="R106"/>
    </sheetView>
  </sheetViews>
  <sheetFormatPr defaultRowHeight="14.4" x14ac:dyDescent="0.3"/>
  <cols>
    <col min="1" max="1" width="2.5546875" customWidth="1"/>
    <col min="6" max="6" width="11.6640625" bestFit="1" customWidth="1"/>
    <col min="7" max="7" width="12.88671875" customWidth="1"/>
    <col min="8" max="8" width="9" customWidth="1"/>
    <col min="11" max="11" width="10.6640625" customWidth="1"/>
    <col min="13" max="13" width="10.6640625" customWidth="1"/>
    <col min="14" max="16" width="13.88671875" customWidth="1"/>
    <col min="17" max="17" width="12.33203125" customWidth="1"/>
    <col min="18" max="18" width="13.88671875" customWidth="1"/>
    <col min="19" max="19" width="13.5546875" customWidth="1"/>
    <col min="22" max="22" width="12.33203125" customWidth="1"/>
    <col min="23" max="23" width="10.5546875" customWidth="1"/>
    <col min="24" max="25" width="11.109375" customWidth="1"/>
  </cols>
  <sheetData>
    <row r="2" spans="2:27" s="10" customFormat="1" ht="32.4" customHeight="1" x14ac:dyDescent="0.3">
      <c r="B2" s="11" t="s">
        <v>22</v>
      </c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2:27" s="7" customFormat="1" ht="40.200000000000003" customHeight="1" x14ac:dyDescent="0.3">
      <c r="B3" s="8" t="s">
        <v>0</v>
      </c>
      <c r="C3" s="8" t="s">
        <v>33</v>
      </c>
      <c r="D3" s="8" t="s">
        <v>29</v>
      </c>
      <c r="E3" s="8" t="s">
        <v>53</v>
      </c>
      <c r="F3" s="8" t="s">
        <v>1</v>
      </c>
      <c r="G3" s="8" t="s">
        <v>12</v>
      </c>
      <c r="H3" s="8" t="s">
        <v>13</v>
      </c>
      <c r="I3" s="8" t="s">
        <v>14</v>
      </c>
      <c r="J3" s="8" t="s">
        <v>16</v>
      </c>
      <c r="K3" s="8" t="s">
        <v>15</v>
      </c>
      <c r="L3" s="8" t="s">
        <v>38</v>
      </c>
      <c r="M3" s="8" t="s">
        <v>17</v>
      </c>
      <c r="N3" s="8" t="s">
        <v>18</v>
      </c>
      <c r="O3" s="8" t="s">
        <v>145</v>
      </c>
      <c r="P3" s="8" t="s">
        <v>146</v>
      </c>
      <c r="Q3" s="8" t="s">
        <v>19</v>
      </c>
      <c r="R3" s="8" t="s">
        <v>20</v>
      </c>
      <c r="S3" s="9" t="s">
        <v>21</v>
      </c>
      <c r="T3" s="9" t="s">
        <v>37</v>
      </c>
      <c r="U3" s="8" t="s">
        <v>36</v>
      </c>
      <c r="V3" s="8" t="s">
        <v>2</v>
      </c>
      <c r="W3" s="8" t="s">
        <v>3</v>
      </c>
      <c r="X3" s="8" t="s">
        <v>35</v>
      </c>
      <c r="Y3" s="8" t="s">
        <v>34</v>
      </c>
      <c r="Z3" s="22" t="s">
        <v>159</v>
      </c>
      <c r="AA3" s="22" t="s">
        <v>160</v>
      </c>
    </row>
    <row r="4" spans="2:27" x14ac:dyDescent="0.3">
      <c r="B4" s="1">
        <v>46151</v>
      </c>
      <c r="C4" s="15">
        <f>WEEKNUM(Table1[[#This Row],[Date]])</f>
        <v>19</v>
      </c>
      <c r="D4" s="1" t="str">
        <f>TEXT(Table1[[#This Row],[Date]],"mmm-yy")</f>
        <v>May-26</v>
      </c>
      <c r="E4" s="1" t="s">
        <v>54</v>
      </c>
      <c r="F4" t="s">
        <v>4</v>
      </c>
      <c r="G4">
        <v>20017</v>
      </c>
      <c r="H4">
        <v>4956.3</v>
      </c>
      <c r="I4" s="2">
        <v>244.1</v>
      </c>
      <c r="J4" s="2">
        <v>440</v>
      </c>
      <c r="K4" s="2">
        <v>65.3</v>
      </c>
      <c r="L4" s="2">
        <v>121.1</v>
      </c>
      <c r="M4" s="2">
        <v>1782.7</v>
      </c>
      <c r="N4" s="2">
        <v>150</v>
      </c>
      <c r="O4" s="2">
        <v>300.25</v>
      </c>
      <c r="P4" s="2">
        <f>Table1[[#This Row],[Input Quantity (Kg''s)]]-SUM(Table1[[#This Row],[Wholes (kg''s)]:[Black Rejection (Kg''s)]],Table1[[#This Row],[Shell Dust]])</f>
        <v>13889.949999999999</v>
      </c>
      <c r="Q4" s="3">
        <f>SUM(Table1[[#This Row],[Wholes (kg''s)]:[Pieces (kg''s)]])</f>
        <v>5200.4000000000005</v>
      </c>
      <c r="R4" s="3">
        <f>SUM(Table1[[#This Row],[Wholes (kg''s)]:[Black Rejection (Kg''s)]])</f>
        <v>5826.8000000000011</v>
      </c>
      <c r="S4" s="4">
        <f>IFERROR(Table1[[#This Row],[Good Kernels (kg''s)]]/Table1[[#This Row],[Input Quantity (Kg''s)]]*176.36,"")</f>
        <v>45.81818174551632</v>
      </c>
      <c r="T4" s="4">
        <f>IFERROR(Table1[[#This Row],[Good Kernels (kg''s)]]/Table1[[#This Row],[Input Quantity (Kg''s)]]%,"")</f>
        <v>25.979917070490089</v>
      </c>
      <c r="U4" s="5">
        <f>IFERROR(Table1[[#This Row],[Final Kernels (kg''s)]]/Table1[[#This Row],[Input Quantity (Kg''s)]]%,"")</f>
        <v>29.109257131438284</v>
      </c>
      <c r="V4" s="5">
        <f>IFERROR(Table1[[#This Row],[Wholes (kg''s)]]/Table1[[#This Row],[Good Kernels (kg''s)]]%,"")</f>
        <v>95.306130297669398</v>
      </c>
      <c r="W4" s="5">
        <f>IFERROR(Table1[[#This Row],[Pieces (kg''s)]]/Table1[[#This Row],[Good Kernels (kg''s)]]%,"")</f>
        <v>4.6938697023305895</v>
      </c>
      <c r="X4" s="5">
        <f>IFERROR(Table1[[#This Row],[First Pass Uncut (kg''s)]]/Table1[[#This Row],[Input Quantity (Kg''s)]]%,"")</f>
        <v>8.9059299595343973</v>
      </c>
      <c r="Y4" s="5">
        <f>IFERROR(Table1[[#This Row],[Final Uncut (kg''s)]]/Table1[[#This Row],[Input Quantity (Kg''s)]]%,"")</f>
        <v>0.74936304141479748</v>
      </c>
      <c r="Z4" s="21">
        <f>IFERROR(Table1[[#This Row],[Shell]]/Table1[[#This Row],[Input Quantity (Kg''s)]]%,"")</f>
        <v>69.390767847329769</v>
      </c>
      <c r="AA4" s="21">
        <f>IFERROR(Table1[[#This Row],[Shell Dust]]/Table1[[#This Row],[Input Quantity (Kg''s)]]%,"")</f>
        <v>1.4999750212319529</v>
      </c>
    </row>
    <row r="5" spans="2:27" x14ac:dyDescent="0.3">
      <c r="B5" s="1">
        <v>46154</v>
      </c>
      <c r="C5" s="15">
        <f>WEEKNUM(Table1[[#This Row],[Date]])</f>
        <v>20</v>
      </c>
      <c r="D5" s="1" t="str">
        <f>TEXT(Table1[[#This Row],[Date]],"mmm-yy")</f>
        <v>May-26</v>
      </c>
      <c r="E5" s="1" t="s">
        <v>54</v>
      </c>
      <c r="F5" t="s">
        <v>5</v>
      </c>
      <c r="G5">
        <v>14003</v>
      </c>
      <c r="H5">
        <v>3402.8</v>
      </c>
      <c r="I5">
        <v>110.5</v>
      </c>
      <c r="J5">
        <v>108.5</v>
      </c>
      <c r="K5">
        <v>143.19999999999999</v>
      </c>
      <c r="L5">
        <v>84.7</v>
      </c>
      <c r="M5" s="6">
        <v>1303.5</v>
      </c>
      <c r="N5" s="3">
        <v>425</v>
      </c>
      <c r="O5" s="3">
        <v>210.04499999999999</v>
      </c>
      <c r="P5" s="3">
        <f>Table1[[#This Row],[Input Quantity (Kg''s)]]-SUM(Table1[[#This Row],[Wholes (kg''s)]:[Black Rejection (Kg''s)]],Table1[[#This Row],[Shell Dust]])</f>
        <v>9943.255000000001</v>
      </c>
      <c r="Q5" s="3">
        <f>SUM(Table1[[#This Row],[Wholes (kg''s)]:[Pieces (kg''s)]])</f>
        <v>3513.3</v>
      </c>
      <c r="R5" s="3">
        <f>SUM(Table1[[#This Row],[Wholes (kg''s)]:[Black Rejection (Kg''s)]])</f>
        <v>3849.7</v>
      </c>
      <c r="S5" s="4">
        <f>IFERROR(Table1[[#This Row],[Good Kernels (kg''s)]]/Table1[[#This Row],[Input Quantity (Kg''s)]]*176.36,"")</f>
        <v>44.248060272798689</v>
      </c>
      <c r="T5" s="4">
        <f>IFERROR(Table1[[#This Row],[Good Kernels (kg''s)]]/Table1[[#This Row],[Input Quantity (Kg''s)]]%,"")</f>
        <v>25.089623652074557</v>
      </c>
      <c r="U5" s="5">
        <f>IFERROR(Table1[[#This Row],[Final Kernels (kg''s)]]/Table1[[#This Row],[Input Quantity (Kg''s)]]%,"")</f>
        <v>27.491966007284152</v>
      </c>
      <c r="V5" s="5">
        <f>IFERROR(Table1[[#This Row],[Wholes (kg''s)]]/Table1[[#This Row],[Good Kernels (kg''s)]]%,"")</f>
        <v>96.854808869154354</v>
      </c>
      <c r="W5" s="5">
        <f>IFERROR(Table1[[#This Row],[Pieces (kg''s)]]/Table1[[#This Row],[Good Kernels (kg''s)]]%,"")</f>
        <v>3.1451911308456433</v>
      </c>
      <c r="X5" s="5">
        <f>IFERROR(Table1[[#This Row],[First Pass Uncut (kg''s)]]/Table1[[#This Row],[Input Quantity (Kg''s)]]%,"")</f>
        <v>9.308719560094266</v>
      </c>
      <c r="Y5" s="5">
        <f>IFERROR(Table1[[#This Row],[Final Uncut (kg''s)]]/Table1[[#This Row],[Input Quantity (Kg''s)]]%,"")</f>
        <v>3.035063914875384</v>
      </c>
      <c r="Z5" s="21">
        <f>IFERROR(Table1[[#This Row],[Shell]]/Table1[[#This Row],[Input Quantity (Kg''s)]]%,"")</f>
        <v>71.008033992715852</v>
      </c>
      <c r="AA5" s="21">
        <f>IFERROR(Table1[[#This Row],[Shell Dust]]/Table1[[#This Row],[Input Quantity (Kg''s)]]%,"")</f>
        <v>1.5</v>
      </c>
    </row>
    <row r="6" spans="2:27" x14ac:dyDescent="0.3">
      <c r="B6" s="1">
        <v>46157</v>
      </c>
      <c r="C6" s="15">
        <f>WEEKNUM(Table1[[#This Row],[Date]])</f>
        <v>20</v>
      </c>
      <c r="D6" s="1" t="str">
        <f>TEXT(Table1[[#This Row],[Date]],"mmm-yy")</f>
        <v>May-26</v>
      </c>
      <c r="E6" s="1" t="s">
        <v>54</v>
      </c>
      <c r="F6" t="s">
        <v>6</v>
      </c>
      <c r="G6">
        <v>26479</v>
      </c>
      <c r="H6">
        <v>6477.6</v>
      </c>
      <c r="I6">
        <v>295.2</v>
      </c>
      <c r="J6">
        <v>168</v>
      </c>
      <c r="K6">
        <v>121</v>
      </c>
      <c r="L6">
        <v>160.19999999999999</v>
      </c>
      <c r="M6" s="6">
        <v>1822.6</v>
      </c>
      <c r="N6" s="3">
        <v>200</v>
      </c>
      <c r="O6" s="3">
        <v>397.185</v>
      </c>
      <c r="P6" s="3">
        <f>Table1[[#This Row],[Input Quantity (Kg''s)]]-SUM(Table1[[#This Row],[Wholes (kg''s)]:[Black Rejection (Kg''s)]],Table1[[#This Row],[Shell Dust]])</f>
        <v>18859.814999999999</v>
      </c>
      <c r="Q6" s="3">
        <f>SUM(Table1[[#This Row],[Wholes (kg''s)]:[Pieces (kg''s)]])</f>
        <v>6772.8</v>
      </c>
      <c r="R6" s="3">
        <f>SUM(Table1[[#This Row],[Wholes (kg''s)]:[Black Rejection (Kg''s)]])</f>
        <v>7222</v>
      </c>
      <c r="S6" s="4">
        <f>IFERROR(Table1[[#This Row],[Good Kernels (kg''s)]]/Table1[[#This Row],[Input Quantity (Kg''s)]]*176.36,"")</f>
        <v>45.109369991313876</v>
      </c>
      <c r="T6" s="4">
        <f>IFERROR(Table1[[#This Row],[Good Kernels (kg''s)]]/Table1[[#This Row],[Input Quantity (Kg''s)]]%,"")</f>
        <v>25.578005211677176</v>
      </c>
      <c r="U6" s="5">
        <f>IFERROR(Table1[[#This Row],[Final Kernels (kg''s)]]/Table1[[#This Row],[Input Quantity (Kg''s)]]%,"")</f>
        <v>27.274443898938781</v>
      </c>
      <c r="V6" s="5">
        <f>IFERROR(Table1[[#This Row],[Wholes (kg''s)]]/Table1[[#This Row],[Good Kernels (kg''s)]]%,"")</f>
        <v>95.641389085754781</v>
      </c>
      <c r="W6" s="5">
        <f>IFERROR(Table1[[#This Row],[Pieces (kg''s)]]/Table1[[#This Row],[Good Kernels (kg''s)]]%,"")</f>
        <v>4.3586109142452152</v>
      </c>
      <c r="X6" s="5">
        <f>IFERROR(Table1[[#This Row],[First Pass Uncut (kg''s)]]/Table1[[#This Row],[Input Quantity (Kg''s)]]%,"")</f>
        <v>6.883190452811661</v>
      </c>
      <c r="Y6" s="5">
        <f>IFERROR(Table1[[#This Row],[Final Uncut (kg''s)]]/Table1[[#This Row],[Input Quantity (Kg''s)]]%,"")</f>
        <v>0.75531553306393739</v>
      </c>
      <c r="Z6" s="21">
        <f>IFERROR(Table1[[#This Row],[Shell]]/Table1[[#This Row],[Input Quantity (Kg''s)]]%,"")</f>
        <v>71.225556101061201</v>
      </c>
      <c r="AA6" s="21">
        <f>IFERROR(Table1[[#This Row],[Shell Dust]]/Table1[[#This Row],[Input Quantity (Kg''s)]]%,"")</f>
        <v>1.5</v>
      </c>
    </row>
    <row r="7" spans="2:27" x14ac:dyDescent="0.3">
      <c r="B7" s="1">
        <v>46157</v>
      </c>
      <c r="C7" s="15">
        <f>WEEKNUM(Table1[[#This Row],[Date]])</f>
        <v>20</v>
      </c>
      <c r="D7" s="1" t="str">
        <f>TEXT(Table1[[#This Row],[Date]],"mmm-yy")</f>
        <v>May-26</v>
      </c>
      <c r="E7" s="1" t="s">
        <v>54</v>
      </c>
      <c r="F7" t="s">
        <v>7</v>
      </c>
      <c r="G7">
        <v>18753</v>
      </c>
      <c r="H7" s="3">
        <v>4681.2</v>
      </c>
      <c r="I7" s="3">
        <v>213.3</v>
      </c>
      <c r="J7" s="3">
        <v>121.5</v>
      </c>
      <c r="K7" s="3">
        <v>87.2</v>
      </c>
      <c r="L7" s="3">
        <v>113.4</v>
      </c>
      <c r="M7" s="6">
        <v>1290.8</v>
      </c>
      <c r="N7" s="3">
        <v>100</v>
      </c>
      <c r="O7" s="3">
        <v>281.29500000000002</v>
      </c>
      <c r="P7" s="3">
        <f>Table1[[#This Row],[Input Quantity (Kg''s)]]-SUM(Table1[[#This Row],[Wholes (kg''s)]:[Black Rejection (Kg''s)]],Table1[[#This Row],[Shell Dust]])</f>
        <v>13255.105</v>
      </c>
      <c r="Q7" s="3">
        <f>SUM(Table1[[#This Row],[Wholes (kg''s)]:[Pieces (kg''s)]])</f>
        <v>4894.5</v>
      </c>
      <c r="R7" s="3">
        <f>SUM(Table1[[#This Row],[Wholes (kg''s)]:[Black Rejection (Kg''s)]])</f>
        <v>5216.5999999999995</v>
      </c>
      <c r="S7" s="4">
        <f>IFERROR(Table1[[#This Row],[Good Kernels (kg''s)]]/Table1[[#This Row],[Input Quantity (Kg''s)]]*176.36,"")</f>
        <v>46.029649656055035</v>
      </c>
      <c r="T7" s="4">
        <f>IFERROR(Table1[[#This Row],[Good Kernels (kg''s)]]/Table1[[#This Row],[Input Quantity (Kg''s)]]%,"")</f>
        <v>26.099824028155496</v>
      </c>
      <c r="U7" s="5">
        <f>IFERROR(Table1[[#This Row],[Final Kernels (kg''s)]]/Table1[[#This Row],[Input Quantity (Kg''s)]]%,"")</f>
        <v>27.817415880125843</v>
      </c>
      <c r="V7" s="5">
        <f>IFERROR(Table1[[#This Row],[Wholes (kg''s)]]/Table1[[#This Row],[Good Kernels (kg''s)]]%,"")</f>
        <v>95.642047195832049</v>
      </c>
      <c r="W7" s="5">
        <f>IFERROR(Table1[[#This Row],[Pieces (kg''s)]]/Table1[[#This Row],[Good Kernels (kg''s)]]%,"")</f>
        <v>4.3579528041679438</v>
      </c>
      <c r="X7" s="5">
        <f>IFERROR(Table1[[#This Row],[First Pass Uncut (kg''s)]]/Table1[[#This Row],[Input Quantity (Kg''s)]]%,"")</f>
        <v>6.8831653602090332</v>
      </c>
      <c r="Y7" s="5">
        <f>IFERROR(Table1[[#This Row],[Final Uncut (kg''s)]]/Table1[[#This Row],[Input Quantity (Kg''s)]]%,"")</f>
        <v>0.53324801365114916</v>
      </c>
      <c r="Z7" s="21">
        <f>IFERROR(Table1[[#This Row],[Shell]]/Table1[[#This Row],[Input Quantity (Kg''s)]]%,"")</f>
        <v>70.68258411987415</v>
      </c>
      <c r="AA7" s="21">
        <f>IFERROR(Table1[[#This Row],[Shell Dust]]/Table1[[#This Row],[Input Quantity (Kg''s)]]%,"")</f>
        <v>1.5</v>
      </c>
    </row>
    <row r="8" spans="2:27" x14ac:dyDescent="0.3">
      <c r="B8" s="1">
        <v>46158</v>
      </c>
      <c r="C8" s="15">
        <f>WEEKNUM(Table1[[#This Row],[Date]])</f>
        <v>20</v>
      </c>
      <c r="D8" s="1" t="str">
        <f>TEXT(Table1[[#This Row],[Date]],"mmm-yy")</f>
        <v>May-26</v>
      </c>
      <c r="E8" s="1" t="s">
        <v>54</v>
      </c>
      <c r="F8" t="s">
        <v>8</v>
      </c>
      <c r="G8">
        <v>13100</v>
      </c>
      <c r="H8" s="3">
        <v>3114</v>
      </c>
      <c r="I8" s="3">
        <v>105.5</v>
      </c>
      <c r="J8" s="3">
        <v>218</v>
      </c>
      <c r="K8" s="3">
        <v>48</v>
      </c>
      <c r="L8" s="3">
        <v>79.2</v>
      </c>
      <c r="M8" s="3">
        <v>818.9</v>
      </c>
      <c r="N8" s="3">
        <v>0</v>
      </c>
      <c r="O8" s="3">
        <v>196.5</v>
      </c>
      <c r="P8" s="3">
        <f>Table1[[#This Row],[Input Quantity (Kg''s)]]-SUM(Table1[[#This Row],[Wholes (kg''s)]:[Black Rejection (Kg''s)]],Table1[[#This Row],[Shell Dust]])</f>
        <v>9338.7999999999993</v>
      </c>
      <c r="Q8" s="3">
        <f>SUM(Table1[[#This Row],[Wholes (kg''s)]:[Pieces (kg''s)]])</f>
        <v>3219.5</v>
      </c>
      <c r="R8" s="3">
        <f>SUM(Table1[[#This Row],[Wholes (kg''s)]:[Black Rejection (Kg''s)]])</f>
        <v>3564.7</v>
      </c>
      <c r="S8" s="4">
        <f>IFERROR(Table1[[#This Row],[Good Kernels (kg''s)]]/Table1[[#This Row],[Input Quantity (Kg''s)]]*176.36,"")</f>
        <v>43.342825954198474</v>
      </c>
      <c r="T8" s="4">
        <f>IFERROR(Table1[[#This Row],[Good Kernels (kg''s)]]/Table1[[#This Row],[Input Quantity (Kg''s)]]%,"")</f>
        <v>24.576335877862597</v>
      </c>
      <c r="U8" s="5">
        <f>IFERROR(Table1[[#This Row],[Final Kernels (kg''s)]]/Table1[[#This Row],[Input Quantity (Kg''s)]]%,"")</f>
        <v>27.211450381679388</v>
      </c>
      <c r="V8" s="5">
        <f>IFERROR(Table1[[#This Row],[Wholes (kg''s)]]/Table1[[#This Row],[Good Kernels (kg''s)]]%,"")</f>
        <v>96.723093648081999</v>
      </c>
      <c r="W8" s="5">
        <f>IFERROR(Table1[[#This Row],[Pieces (kg''s)]]/Table1[[#This Row],[Good Kernels (kg''s)]]%,"")</f>
        <v>3.2769063519179995</v>
      </c>
      <c r="X8" s="5">
        <f>IFERROR(Table1[[#This Row],[First Pass Uncut (kg''s)]]/Table1[[#This Row],[Input Quantity (Kg''s)]]%,"")</f>
        <v>6.2511450381679383</v>
      </c>
      <c r="Y8" s="5">
        <f>IFERROR(Table1[[#This Row],[Final Uncut (kg''s)]]/Table1[[#This Row],[Input Quantity (Kg''s)]]%,"")</f>
        <v>0</v>
      </c>
      <c r="Z8" s="21">
        <f>IFERROR(Table1[[#This Row],[Shell]]/Table1[[#This Row],[Input Quantity (Kg''s)]]%,"")</f>
        <v>71.288549618320602</v>
      </c>
      <c r="AA8" s="21">
        <f>IFERROR(Table1[[#This Row],[Shell Dust]]/Table1[[#This Row],[Input Quantity (Kg''s)]]%,"")</f>
        <v>1.5</v>
      </c>
    </row>
    <row r="9" spans="2:27" x14ac:dyDescent="0.3">
      <c r="B9" s="1">
        <v>46160</v>
      </c>
      <c r="C9" s="15">
        <f>WEEKNUM(Table1[[#This Row],[Date]])</f>
        <v>21</v>
      </c>
      <c r="D9" s="1" t="str">
        <f>TEXT(Table1[[#This Row],[Date]],"mmm-yy")</f>
        <v>May-26</v>
      </c>
      <c r="E9" s="1" t="s">
        <v>54</v>
      </c>
      <c r="F9" t="s">
        <v>9</v>
      </c>
      <c r="G9">
        <v>32273</v>
      </c>
      <c r="H9" s="3">
        <v>7867.5</v>
      </c>
      <c r="I9" s="3">
        <v>229.7</v>
      </c>
      <c r="J9" s="3">
        <v>229.6</v>
      </c>
      <c r="K9" s="3">
        <v>186</v>
      </c>
      <c r="L9" s="3">
        <v>195.2</v>
      </c>
      <c r="M9" s="3">
        <v>1773.6</v>
      </c>
      <c r="N9" s="3">
        <v>105</v>
      </c>
      <c r="O9" s="3">
        <v>484.09499999999997</v>
      </c>
      <c r="P9" s="3">
        <f>Table1[[#This Row],[Input Quantity (Kg''s)]]-SUM(Table1[[#This Row],[Wholes (kg''s)]:[Black Rejection (Kg''s)]],Table1[[#This Row],[Shell Dust]])</f>
        <v>23080.904999999999</v>
      </c>
      <c r="Q9" s="3">
        <f>SUM(Table1[[#This Row],[Wholes (kg''s)]:[Pieces (kg''s)]])</f>
        <v>8097.2</v>
      </c>
      <c r="R9" s="3">
        <f>SUM(Table1[[#This Row],[Wholes (kg''s)]:[Black Rejection (Kg''s)]])</f>
        <v>8708</v>
      </c>
      <c r="S9" s="4">
        <f>IFERROR(Table1[[#This Row],[Good Kernels (kg''s)]]/Table1[[#This Row],[Input Quantity (Kg''s)]]*176.36,"")</f>
        <v>44.248201034920839</v>
      </c>
      <c r="T9" s="4">
        <f>IFERROR(Table1[[#This Row],[Good Kernels (kg''s)]]/Table1[[#This Row],[Input Quantity (Kg''s)]]%,"")</f>
        <v>25.08970346729464</v>
      </c>
      <c r="U9" s="5">
        <f>IFERROR(Table1[[#This Row],[Final Kernels (kg''s)]]/Table1[[#This Row],[Input Quantity (Kg''s)]]%,"")</f>
        <v>26.982307191770207</v>
      </c>
      <c r="V9" s="5">
        <f>IFERROR(Table1[[#This Row],[Wholes (kg''s)]]/Table1[[#This Row],[Good Kernels (kg''s)]]%,"")</f>
        <v>97.16321691448897</v>
      </c>
      <c r="W9" s="5">
        <f>IFERROR(Table1[[#This Row],[Pieces (kg''s)]]/Table1[[#This Row],[Good Kernels (kg''s)]]%,"")</f>
        <v>2.836783085511041</v>
      </c>
      <c r="X9" s="5">
        <f>IFERROR(Table1[[#This Row],[First Pass Uncut (kg''s)]]/Table1[[#This Row],[Input Quantity (Kg''s)]]%,"")</f>
        <v>5.495615530009605</v>
      </c>
      <c r="Y9" s="5">
        <f>IFERROR(Table1[[#This Row],[Final Uncut (kg''s)]]/Table1[[#This Row],[Input Quantity (Kg''s)]]%,"")</f>
        <v>0.32534936324481761</v>
      </c>
      <c r="Z9" s="21">
        <f>IFERROR(Table1[[#This Row],[Shell]]/Table1[[#This Row],[Input Quantity (Kg''s)]]%,"")</f>
        <v>71.517692808229782</v>
      </c>
      <c r="AA9" s="21">
        <f>IFERROR(Table1[[#This Row],[Shell Dust]]/Table1[[#This Row],[Input Quantity (Kg''s)]]%,"")</f>
        <v>1.4999999999999998</v>
      </c>
    </row>
    <row r="10" spans="2:27" x14ac:dyDescent="0.3">
      <c r="B10" s="1">
        <v>46161</v>
      </c>
      <c r="C10" s="15">
        <f>WEEKNUM(Table1[[#This Row],[Date]])</f>
        <v>21</v>
      </c>
      <c r="D10" s="1" t="str">
        <f>TEXT(Table1[[#This Row],[Date]],"mmm-yy")</f>
        <v>May-26</v>
      </c>
      <c r="E10" s="1" t="s">
        <v>54</v>
      </c>
      <c r="F10" t="s">
        <v>10</v>
      </c>
      <c r="G10">
        <v>22238</v>
      </c>
      <c r="H10" s="3">
        <v>5302.3</v>
      </c>
      <c r="I10" s="3">
        <v>231.6</v>
      </c>
      <c r="J10" s="2">
        <v>110.4</v>
      </c>
      <c r="K10" s="2">
        <v>150</v>
      </c>
      <c r="L10" s="2">
        <v>134.5</v>
      </c>
      <c r="M10" s="3">
        <v>1431.4</v>
      </c>
      <c r="N10" s="3">
        <v>150</v>
      </c>
      <c r="O10" s="3">
        <v>333.57</v>
      </c>
      <c r="P10" s="3">
        <f>Table1[[#This Row],[Input Quantity (Kg''s)]]-SUM(Table1[[#This Row],[Wholes (kg''s)]:[Black Rejection (Kg''s)]],Table1[[#This Row],[Shell Dust]])</f>
        <v>15975.630000000001</v>
      </c>
      <c r="Q10" s="3">
        <f>SUM(Table1[[#This Row],[Wholes (kg''s)]:[Pieces (kg''s)]])</f>
        <v>5533.9000000000005</v>
      </c>
      <c r="R10" s="3">
        <f>SUM(Table1[[#This Row],[Wholes (kg''s)]:[Black Rejection (Kg''s)]])</f>
        <v>5928.8</v>
      </c>
      <c r="S10" s="4">
        <f>IFERROR(Table1[[#This Row],[Good Kernels (kg''s)]]/Table1[[#This Row],[Input Quantity (Kg''s)]]*176.36,"")</f>
        <v>43.886977426027528</v>
      </c>
      <c r="T10" s="4">
        <f>IFERROR(Table1[[#This Row],[Good Kernels (kg''s)]]/Table1[[#This Row],[Input Quantity (Kg''s)]]%,"")</f>
        <v>24.884881733968886</v>
      </c>
      <c r="U10" s="5">
        <f>IFERROR(Table1[[#This Row],[Final Kernels (kg''s)]]/Table1[[#This Row],[Input Quantity (Kg''s)]]%,"")</f>
        <v>26.660670923644215</v>
      </c>
      <c r="V10" s="5">
        <f>IFERROR(Table1[[#This Row],[Wholes (kg''s)]]/Table1[[#This Row],[Good Kernels (kg''s)]]%,"")</f>
        <v>95.814886427293587</v>
      </c>
      <c r="W10" s="5">
        <f>IFERROR(Table1[[#This Row],[Pieces (kg''s)]]/Table1[[#This Row],[Good Kernels (kg''s)]]%,"")</f>
        <v>4.1851135727064088</v>
      </c>
      <c r="X10" s="5">
        <f>IFERROR(Table1[[#This Row],[First Pass Uncut (kg''s)]]/Table1[[#This Row],[Input Quantity (Kg''s)]]%,"")</f>
        <v>6.4367299217555543</v>
      </c>
      <c r="Y10" s="5">
        <f>IFERROR(Table1[[#This Row],[Final Uncut (kg''s)]]/Table1[[#This Row],[Input Quantity (Kg''s)]]%,"")</f>
        <v>0.67452109002608152</v>
      </c>
      <c r="Z10" s="21">
        <f>IFERROR(Table1[[#This Row],[Shell]]/Table1[[#This Row],[Input Quantity (Kg''s)]]%,"")</f>
        <v>71.839329076355796</v>
      </c>
      <c r="AA10" s="21">
        <f>IFERROR(Table1[[#This Row],[Shell Dust]]/Table1[[#This Row],[Input Quantity (Kg''s)]]%,"")</f>
        <v>1.5</v>
      </c>
    </row>
    <row r="11" spans="2:27" x14ac:dyDescent="0.3">
      <c r="B11" s="1">
        <v>46162</v>
      </c>
      <c r="C11" s="15">
        <f>WEEKNUM(Table1[[#This Row],[Date]])</f>
        <v>21</v>
      </c>
      <c r="D11" s="1" t="str">
        <f>TEXT(Table1[[#This Row],[Date]],"mmm-yy")</f>
        <v>May-26</v>
      </c>
      <c r="E11" s="1" t="s">
        <v>54</v>
      </c>
      <c r="F11" t="s">
        <v>11</v>
      </c>
      <c r="G11">
        <v>40214</v>
      </c>
      <c r="H11" s="3">
        <v>9755.2999999999993</v>
      </c>
      <c r="I11" s="3">
        <v>350.1</v>
      </c>
      <c r="J11" s="3">
        <v>209.2</v>
      </c>
      <c r="K11">
        <v>152.4</v>
      </c>
      <c r="L11" s="3">
        <v>243.3</v>
      </c>
      <c r="M11" s="3">
        <v>2905</v>
      </c>
      <c r="N11" s="3">
        <v>320</v>
      </c>
      <c r="O11" s="3">
        <v>603.20999999999992</v>
      </c>
      <c r="P11" s="3">
        <f>Table1[[#This Row],[Input Quantity (Kg''s)]]-SUM(Table1[[#This Row],[Wholes (kg''s)]:[Black Rejection (Kg''s)]],Table1[[#This Row],[Shell Dust]])</f>
        <v>28900.49</v>
      </c>
      <c r="Q11" s="3">
        <f>SUM(Table1[[#This Row],[Wholes (kg''s)]:[Pieces (kg''s)]])</f>
        <v>10105.4</v>
      </c>
      <c r="R11" s="3">
        <f>SUM(Table1[[#This Row],[Wholes (kg''s)]:[Black Rejection (Kg''s)]])</f>
        <v>10710.3</v>
      </c>
      <c r="S11" s="4">
        <f>IFERROR(Table1[[#This Row],[Good Kernels (kg''s)]]/Table1[[#This Row],[Input Quantity (Kg''s)]]*176.36,"")</f>
        <v>44.317609389764755</v>
      </c>
      <c r="T11" s="4">
        <f>IFERROR(Table1[[#This Row],[Good Kernels (kg''s)]]/Table1[[#This Row],[Input Quantity (Kg''s)]]%,"")</f>
        <v>25.129059531506442</v>
      </c>
      <c r="U11" s="5">
        <f>IFERROR(Table1[[#This Row],[Final Kernels (kg''s)]]/Table1[[#This Row],[Input Quantity (Kg''s)]]%,"")</f>
        <v>26.633262048042969</v>
      </c>
      <c r="V11" s="5">
        <f>IFERROR(Table1[[#This Row],[Wholes (kg''s)]]/Table1[[#This Row],[Good Kernels (kg''s)]]%,"")</f>
        <v>96.535515664892031</v>
      </c>
      <c r="W11" s="5">
        <f>IFERROR(Table1[[#This Row],[Pieces (kg''s)]]/Table1[[#This Row],[Good Kernels (kg''s)]]%,"")</f>
        <v>3.4644843351079624</v>
      </c>
      <c r="X11" s="5">
        <f>IFERROR(Table1[[#This Row],[First Pass Uncut (kg''s)]]/Table1[[#This Row],[Input Quantity (Kg''s)]]%,"")</f>
        <v>7.2238523897150246</v>
      </c>
      <c r="Y11" s="5">
        <f>IFERROR(Table1[[#This Row],[Final Uncut (kg''s)]]/Table1[[#This Row],[Input Quantity (Kg''s)]]%,"")</f>
        <v>0.79574277614761035</v>
      </c>
      <c r="Z11" s="21">
        <f>IFERROR(Table1[[#This Row],[Shell]]/Table1[[#This Row],[Input Quantity (Kg''s)]]%,"")</f>
        <v>71.866737951957035</v>
      </c>
      <c r="AA11" s="21">
        <f>IFERROR(Table1[[#This Row],[Shell Dust]]/Table1[[#This Row],[Input Quantity (Kg''s)]]%,"")</f>
        <v>1.4999999999999998</v>
      </c>
    </row>
    <row r="12" spans="2:27" x14ac:dyDescent="0.3">
      <c r="B12" s="1">
        <v>46163</v>
      </c>
      <c r="C12" s="15">
        <f>WEEKNUM(Table1[[#This Row],[Date]])</f>
        <v>21</v>
      </c>
      <c r="D12" s="1" t="str">
        <f>TEXT(Table1[[#This Row],[Date]],"mmm-yy")</f>
        <v>May-26</v>
      </c>
      <c r="E12" s="1" t="s">
        <v>54</v>
      </c>
      <c r="F12" t="s">
        <v>23</v>
      </c>
      <c r="G12">
        <v>43895</v>
      </c>
      <c r="H12" s="3">
        <v>10350.200000000001</v>
      </c>
      <c r="I12" s="3">
        <v>340.8</v>
      </c>
      <c r="J12" s="3">
        <v>374.6</v>
      </c>
      <c r="K12">
        <v>140.9</v>
      </c>
      <c r="L12" s="3">
        <v>265.5</v>
      </c>
      <c r="M12" s="3">
        <v>3191.5</v>
      </c>
      <c r="N12" s="3">
        <v>350</v>
      </c>
      <c r="O12" s="3">
        <v>658.42499999999995</v>
      </c>
      <c r="P12" s="3">
        <f>Table1[[#This Row],[Input Quantity (Kg''s)]]-SUM(Table1[[#This Row],[Wholes (kg''s)]:[Black Rejection (Kg''s)]],Table1[[#This Row],[Shell Dust]])</f>
        <v>31764.575000000001</v>
      </c>
      <c r="Q12" s="3">
        <f>SUM(Table1[[#This Row],[Wholes (kg''s)]:[Pieces (kg''s)]])</f>
        <v>10691</v>
      </c>
      <c r="R12" s="3">
        <f>SUM(Table1[[#This Row],[Wholes (kg''s)]:[Black Rejection (Kg''s)]])</f>
        <v>11472</v>
      </c>
      <c r="S12" s="4">
        <f>IFERROR(Table1[[#This Row],[Good Kernels (kg''s)]]/Table1[[#This Row],[Input Quantity (Kg''s)]]*176.36,"")</f>
        <v>42.953975623647345</v>
      </c>
      <c r="T12" s="4">
        <f>IFERROR(Table1[[#This Row],[Good Kernels (kg''s)]]/Table1[[#This Row],[Input Quantity (Kg''s)]]%,"")</f>
        <v>24.355849185556441</v>
      </c>
      <c r="U12" s="5">
        <f>IFERROR(Table1[[#This Row],[Final Kernels (kg''s)]]/Table1[[#This Row],[Input Quantity (Kg''s)]]%,"")</f>
        <v>26.13509511333865</v>
      </c>
      <c r="V12" s="5">
        <f>IFERROR(Table1[[#This Row],[Wholes (kg''s)]]/Table1[[#This Row],[Good Kernels (kg''s)]]%,"")</f>
        <v>96.81227200448977</v>
      </c>
      <c r="W12" s="5">
        <f>IFERROR(Table1[[#This Row],[Pieces (kg''s)]]/Table1[[#This Row],[Good Kernels (kg''s)]]%,"")</f>
        <v>3.1877279955102424</v>
      </c>
      <c r="X12" s="5">
        <f>IFERROR(Table1[[#This Row],[First Pass Uncut (kg''s)]]/Table1[[#This Row],[Input Quantity (Kg''s)]]%,"")</f>
        <v>7.2707597676272924</v>
      </c>
      <c r="Y12" s="5">
        <f>IFERROR(Table1[[#This Row],[Final Uncut (kg''s)]]/Table1[[#This Row],[Input Quantity (Kg''s)]]%,"")</f>
        <v>0.79735732999202646</v>
      </c>
      <c r="Z12" s="21">
        <f>IFERROR(Table1[[#This Row],[Shell]]/Table1[[#This Row],[Input Quantity (Kg''s)]]%,"")</f>
        <v>72.36490488666135</v>
      </c>
      <c r="AA12" s="21">
        <f>IFERROR(Table1[[#This Row],[Shell Dust]]/Table1[[#This Row],[Input Quantity (Kg''s)]]%,"")</f>
        <v>1.5</v>
      </c>
    </row>
    <row r="13" spans="2:27" x14ac:dyDescent="0.3">
      <c r="B13" s="1">
        <v>46164</v>
      </c>
      <c r="C13" s="15">
        <f>WEEKNUM(Table1[[#This Row],[Date]])</f>
        <v>21</v>
      </c>
      <c r="D13" s="1" t="str">
        <f>TEXT(Table1[[#This Row],[Date]],"mmm-yy")</f>
        <v>May-26</v>
      </c>
      <c r="E13" s="1" t="s">
        <v>54</v>
      </c>
      <c r="F13" t="s">
        <v>24</v>
      </c>
      <c r="G13">
        <v>81348</v>
      </c>
      <c r="H13" s="3">
        <v>20025.8</v>
      </c>
      <c r="I13" s="3">
        <v>582.5</v>
      </c>
      <c r="J13" s="3">
        <v>488.5</v>
      </c>
      <c r="K13" s="3">
        <v>358.5</v>
      </c>
      <c r="L13" s="3">
        <v>492.1</v>
      </c>
      <c r="M13" s="3">
        <v>5938.7</v>
      </c>
      <c r="N13" s="3">
        <v>480</v>
      </c>
      <c r="O13" s="3">
        <v>1220.22</v>
      </c>
      <c r="P13" s="3">
        <f>Table1[[#This Row],[Input Quantity (Kg''s)]]-SUM(Table1[[#This Row],[Wholes (kg''s)]:[Black Rejection (Kg''s)]],Table1[[#This Row],[Shell Dust]])</f>
        <v>58180.380000000005</v>
      </c>
      <c r="Q13" s="3">
        <f>SUM(Table1[[#This Row],[Wholes (kg''s)]:[Pieces (kg''s)]])</f>
        <v>20608.3</v>
      </c>
      <c r="R13" s="3">
        <f>SUM(Table1[[#This Row],[Wholes (kg''s)]:[Black Rejection (Kg''s)]])</f>
        <v>21947.399999999998</v>
      </c>
      <c r="S13" s="4">
        <f>IFERROR(Table1[[#This Row],[Good Kernels (kg''s)]]/Table1[[#This Row],[Input Quantity (Kg''s)]]*176.36,"")</f>
        <v>44.678170182426129</v>
      </c>
      <c r="T13" s="4">
        <f>IFERROR(Table1[[#This Row],[Good Kernels (kg''s)]]/Table1[[#This Row],[Input Quantity (Kg''s)]]%,"")</f>
        <v>25.333505433446426</v>
      </c>
      <c r="U13" s="5">
        <f>IFERROR(Table1[[#This Row],[Final Kernels (kg''s)]]/Table1[[#This Row],[Input Quantity (Kg''s)]]%,"")</f>
        <v>26.979643015193979</v>
      </c>
      <c r="V13" s="5">
        <f>IFERROR(Table1[[#This Row],[Wholes (kg''s)]]/Table1[[#This Row],[Good Kernels (kg''s)]]%,"")</f>
        <v>97.173468942125254</v>
      </c>
      <c r="W13" s="5">
        <f>IFERROR(Table1[[#This Row],[Pieces (kg''s)]]/Table1[[#This Row],[Good Kernels (kg''s)]]%,"")</f>
        <v>2.8265310578747398</v>
      </c>
      <c r="X13" s="5">
        <f>IFERROR(Table1[[#This Row],[First Pass Uncut (kg''s)]]/Table1[[#This Row],[Input Quantity (Kg''s)]]%,"")</f>
        <v>7.3003638688105417</v>
      </c>
      <c r="Y13" s="5">
        <f>IFERROR(Table1[[#This Row],[Final Uncut (kg''s)]]/Table1[[#This Row],[Input Quantity (Kg''s)]]%,"")</f>
        <v>0.59005753060923438</v>
      </c>
      <c r="Z13" s="21">
        <f>IFERROR(Table1[[#This Row],[Shell]]/Table1[[#This Row],[Input Quantity (Kg''s)]]%,"")</f>
        <v>71.520356984806028</v>
      </c>
      <c r="AA13" s="21">
        <f>IFERROR(Table1[[#This Row],[Shell Dust]]/Table1[[#This Row],[Input Quantity (Kg''s)]]%,"")</f>
        <v>1.5</v>
      </c>
    </row>
    <row r="14" spans="2:27" x14ac:dyDescent="0.3">
      <c r="B14" s="1">
        <v>46165</v>
      </c>
      <c r="C14" s="15">
        <f>WEEKNUM(Table1[[#This Row],[Date]])</f>
        <v>21</v>
      </c>
      <c r="D14" s="1" t="str">
        <f>TEXT(Table1[[#This Row],[Date]],"mmm-yy")</f>
        <v>May-26</v>
      </c>
      <c r="E14" s="1" t="s">
        <v>54</v>
      </c>
      <c r="F14" t="s">
        <v>25</v>
      </c>
      <c r="G14">
        <v>45419</v>
      </c>
      <c r="H14">
        <v>11123.4</v>
      </c>
      <c r="I14" s="3">
        <v>383.6</v>
      </c>
      <c r="J14" s="3">
        <v>227.8</v>
      </c>
      <c r="K14" s="3">
        <v>318.60000000000002</v>
      </c>
      <c r="L14" s="3">
        <v>274.8</v>
      </c>
      <c r="M14" s="3">
        <v>3913.2</v>
      </c>
      <c r="N14" s="3">
        <v>345</v>
      </c>
      <c r="O14" s="3">
        <v>681.28499999999997</v>
      </c>
      <c r="P14" s="3">
        <f>Table1[[#This Row],[Input Quantity (Kg''s)]]-SUM(Table1[[#This Row],[Wholes (kg''s)]:[Black Rejection (Kg''s)]],Table1[[#This Row],[Shell Dust]])</f>
        <v>32409.514999999999</v>
      </c>
      <c r="Q14" s="3">
        <f>SUM(Table1[[#This Row],[Wholes (kg''s)]:[Pieces (kg''s)]])</f>
        <v>11507</v>
      </c>
      <c r="R14" s="3">
        <f>SUM(Table1[[#This Row],[Wholes (kg''s)]:[Black Rejection (Kg''s)]])</f>
        <v>12328.199999999999</v>
      </c>
      <c r="S14" s="4">
        <f>IFERROR(Table1[[#This Row],[Good Kernels (kg''s)]]/Table1[[#This Row],[Input Quantity (Kg''s)]]*176.36,"")</f>
        <v>44.681180122856077</v>
      </c>
      <c r="T14" s="4">
        <f>IFERROR(Table1[[#This Row],[Good Kernels (kg''s)]]/Table1[[#This Row],[Input Quantity (Kg''s)]]%,"")</f>
        <v>25.335212135890266</v>
      </c>
      <c r="U14" s="5">
        <f>IFERROR(Table1[[#This Row],[Final Kernels (kg''s)]]/Table1[[#This Row],[Input Quantity (Kg''s)]]%,"")</f>
        <v>27.143266034038614</v>
      </c>
      <c r="V14" s="5">
        <f>IFERROR(Table1[[#This Row],[Wholes (kg''s)]]/Table1[[#This Row],[Good Kernels (kg''s)]]%,"")</f>
        <v>96.666376987920401</v>
      </c>
      <c r="W14" s="5">
        <f>IFERROR(Table1[[#This Row],[Pieces (kg''s)]]/Table1[[#This Row],[Good Kernels (kg''s)]]%,"")</f>
        <v>3.3336230120796042</v>
      </c>
      <c r="X14" s="5">
        <f>IFERROR(Table1[[#This Row],[First Pass Uncut (kg''s)]]/Table1[[#This Row],[Input Quantity (Kg''s)]]%,"")</f>
        <v>8.6157775380347434</v>
      </c>
      <c r="Y14" s="5">
        <f>IFERROR(Table1[[#This Row],[Final Uncut (kg''s)]]/Table1[[#This Row],[Input Quantity (Kg''s)]]%,"")</f>
        <v>0.75959400250996278</v>
      </c>
      <c r="Z14" s="21">
        <f>IFERROR(Table1[[#This Row],[Shell]]/Table1[[#This Row],[Input Quantity (Kg''s)]]%,"")</f>
        <v>71.356733965961382</v>
      </c>
      <c r="AA14" s="21">
        <f>IFERROR(Table1[[#This Row],[Shell Dust]]/Table1[[#This Row],[Input Quantity (Kg''s)]]%,"")</f>
        <v>1.5</v>
      </c>
    </row>
    <row r="15" spans="2:27" x14ac:dyDescent="0.3">
      <c r="B15" s="1">
        <v>46168</v>
      </c>
      <c r="C15" s="15">
        <f>WEEKNUM(Table1[[#This Row],[Date]])</f>
        <v>22</v>
      </c>
      <c r="D15" s="1" t="str">
        <f>TEXT(Table1[[#This Row],[Date]],"mmm-yy")</f>
        <v>May-26</v>
      </c>
      <c r="E15" s="1" t="s">
        <v>54</v>
      </c>
      <c r="F15" t="s">
        <v>26</v>
      </c>
      <c r="G15">
        <v>63653</v>
      </c>
      <c r="H15">
        <v>16010.9</v>
      </c>
      <c r="I15" s="3">
        <v>468.2</v>
      </c>
      <c r="J15">
        <v>319.8</v>
      </c>
      <c r="K15">
        <v>312.10000000000002</v>
      </c>
      <c r="L15">
        <v>385.1</v>
      </c>
      <c r="M15" s="3">
        <v>2732.1</v>
      </c>
      <c r="N15" s="3">
        <v>365</v>
      </c>
      <c r="O15" s="3">
        <v>954.79499999999996</v>
      </c>
      <c r="P15" s="3">
        <f>Table1[[#This Row],[Input Quantity (Kg''s)]]-SUM(Table1[[#This Row],[Wholes (kg''s)]:[Black Rejection (Kg''s)]],Table1[[#This Row],[Shell Dust]])</f>
        <v>45202.10500000001</v>
      </c>
      <c r="Q15" s="3">
        <f>SUM(Table1[[#This Row],[Wholes (kg''s)]:[Pieces (kg''s)]])</f>
        <v>16479.099999999999</v>
      </c>
      <c r="R15" s="3">
        <f>SUM(Table1[[#This Row],[Wholes (kg''s)]:[Black Rejection (Kg''s)]])</f>
        <v>17496.099999999995</v>
      </c>
      <c r="S15" s="4">
        <f>IFERROR(Table1[[#This Row],[Good Kernels (kg''s)]]/Table1[[#This Row],[Input Quantity (Kg''s)]]*176.36,"")</f>
        <v>45.657770662812432</v>
      </c>
      <c r="T15" s="4">
        <f>IFERROR(Table1[[#This Row],[Good Kernels (kg''s)]]/Table1[[#This Row],[Input Quantity (Kg''s)]]%,"")</f>
        <v>25.888960457480401</v>
      </c>
      <c r="U15" s="5">
        <f>IFERROR(Table1[[#This Row],[Final Kernels (kg''s)]]/Table1[[#This Row],[Input Quantity (Kg''s)]]%,"")</f>
        <v>27.486685623615532</v>
      </c>
      <c r="V15" s="5">
        <f>IFERROR(Table1[[#This Row],[Wholes (kg''s)]]/Table1[[#This Row],[Good Kernels (kg''s)]]%,"")</f>
        <v>97.158825421291212</v>
      </c>
      <c r="W15" s="5">
        <f>IFERROR(Table1[[#This Row],[Pieces (kg''s)]]/Table1[[#This Row],[Good Kernels (kg''s)]]%,"")</f>
        <v>2.8411745787087885</v>
      </c>
      <c r="X15" s="5">
        <f>IFERROR(Table1[[#This Row],[First Pass Uncut (kg''s)]]/Table1[[#This Row],[Input Quantity (Kg''s)]]%,"")</f>
        <v>4.2921779020627469</v>
      </c>
      <c r="Y15" s="5">
        <f>IFERROR(Table1[[#This Row],[Final Uncut (kg''s)]]/Table1[[#This Row],[Input Quantity (Kg''s)]]%,"")</f>
        <v>0.57342151980268019</v>
      </c>
      <c r="Z15" s="21">
        <f>IFERROR(Table1[[#This Row],[Shell]]/Table1[[#This Row],[Input Quantity (Kg''s)]]%,"")</f>
        <v>71.013314376384486</v>
      </c>
      <c r="AA15" s="21">
        <f>IFERROR(Table1[[#This Row],[Shell Dust]]/Table1[[#This Row],[Input Quantity (Kg''s)]]%,"")</f>
        <v>1.5</v>
      </c>
    </row>
    <row r="16" spans="2:27" x14ac:dyDescent="0.3">
      <c r="B16" s="1">
        <v>46169</v>
      </c>
      <c r="C16" s="15">
        <f>WEEKNUM(Table1[[#This Row],[Date]])</f>
        <v>22</v>
      </c>
      <c r="D16" s="1" t="str">
        <f>TEXT(Table1[[#This Row],[Date]],"mmm-yy")</f>
        <v>May-26</v>
      </c>
      <c r="E16" s="1" t="s">
        <v>54</v>
      </c>
      <c r="F16" t="s">
        <v>27</v>
      </c>
      <c r="G16">
        <v>63175</v>
      </c>
      <c r="H16">
        <v>15621</v>
      </c>
      <c r="I16" s="3">
        <v>388.1</v>
      </c>
      <c r="J16">
        <v>388.5</v>
      </c>
      <c r="K16">
        <v>185.5</v>
      </c>
      <c r="L16">
        <v>382.2</v>
      </c>
      <c r="M16" s="3">
        <v>3563</v>
      </c>
      <c r="N16" s="3">
        <v>1700</v>
      </c>
      <c r="O16" s="3">
        <v>947.625</v>
      </c>
      <c r="P16" s="3">
        <f>Table1[[#This Row],[Input Quantity (Kg''s)]]-SUM(Table1[[#This Row],[Wholes (kg''s)]:[Black Rejection (Kg''s)]],Table1[[#This Row],[Shell Dust]])</f>
        <v>45262.074999999997</v>
      </c>
      <c r="Q16" s="3">
        <f>SUM(Table1[[#This Row],[Wholes (kg''s)]:[Pieces (kg''s)]])</f>
        <v>16009.1</v>
      </c>
      <c r="R16" s="3">
        <f>SUM(Table1[[#This Row],[Wholes (kg''s)]:[Black Rejection (Kg''s)]])</f>
        <v>16965.3</v>
      </c>
      <c r="S16" s="4">
        <f>IFERROR(Table1[[#This Row],[Good Kernels (kg''s)]]/Table1[[#This Row],[Input Quantity (Kg''s)]]*176.36,"")</f>
        <v>44.691173343886035</v>
      </c>
      <c r="T16" s="4">
        <f>IFERROR(Table1[[#This Row],[Good Kernels (kg''s)]]/Table1[[#This Row],[Input Quantity (Kg''s)]]%,"")</f>
        <v>25.340878512069647</v>
      </c>
      <c r="U16" s="5">
        <f>IFERROR(Table1[[#This Row],[Final Kernels (kg''s)]]/Table1[[#This Row],[Input Quantity (Kg''s)]]%,"")</f>
        <v>26.854451919271863</v>
      </c>
      <c r="V16" s="5">
        <f>IFERROR(Table1[[#This Row],[Wholes (kg''s)]]/Table1[[#This Row],[Good Kernels (kg''s)]]%,"")</f>
        <v>97.575753790031911</v>
      </c>
      <c r="W16" s="5">
        <f>IFERROR(Table1[[#This Row],[Pieces (kg''s)]]/Table1[[#This Row],[Good Kernels (kg''s)]]%,"")</f>
        <v>2.4242462099680808</v>
      </c>
      <c r="X16" s="5">
        <f>IFERROR(Table1[[#This Row],[First Pass Uncut (kg''s)]]/Table1[[#This Row],[Input Quantity (Kg''s)]]%,"")</f>
        <v>5.6398891966759006</v>
      </c>
      <c r="Y16" s="5">
        <f>IFERROR(Table1[[#This Row],[Final Uncut (kg''s)]]/Table1[[#This Row],[Input Quantity (Kg''s)]]%,"")</f>
        <v>2.6909378709932725</v>
      </c>
      <c r="Z16" s="21">
        <f>IFERROR(Table1[[#This Row],[Shell]]/Table1[[#This Row],[Input Quantity (Kg''s)]]%,"")</f>
        <v>71.645548080728133</v>
      </c>
      <c r="AA16" s="21">
        <f>IFERROR(Table1[[#This Row],[Shell Dust]]/Table1[[#This Row],[Input Quantity (Kg''s)]]%,"")</f>
        <v>1.5</v>
      </c>
    </row>
    <row r="17" spans="2:27" x14ac:dyDescent="0.3">
      <c r="B17" s="1">
        <v>46170</v>
      </c>
      <c r="C17" s="15">
        <f>WEEKNUM(Table1[[#This Row],[Date]])</f>
        <v>22</v>
      </c>
      <c r="D17" s="1" t="str">
        <f>TEXT(Table1[[#This Row],[Date]],"mmm-yy")</f>
        <v>May-26</v>
      </c>
      <c r="E17" s="1" t="s">
        <v>54</v>
      </c>
      <c r="F17" t="s">
        <v>28</v>
      </c>
      <c r="G17">
        <v>64033</v>
      </c>
      <c r="H17">
        <v>17500</v>
      </c>
      <c r="I17" s="3">
        <v>622.79999999999995</v>
      </c>
      <c r="J17">
        <v>432.8</v>
      </c>
      <c r="K17">
        <v>250.8</v>
      </c>
      <c r="L17">
        <v>387.4</v>
      </c>
      <c r="M17" s="3">
        <v>3192.1</v>
      </c>
      <c r="N17" s="3">
        <v>360</v>
      </c>
      <c r="O17" s="3">
        <v>960.495</v>
      </c>
      <c r="P17" s="3">
        <f>Table1[[#This Row],[Input Quantity (Kg''s)]]-SUM(Table1[[#This Row],[Wholes (kg''s)]:[Black Rejection (Kg''s)]],Table1[[#This Row],[Shell Dust]])</f>
        <v>43878.705000000002</v>
      </c>
      <c r="Q17" s="3">
        <f>SUM(Table1[[#This Row],[Wholes (kg''s)]:[Pieces (kg''s)]])</f>
        <v>18122.8</v>
      </c>
      <c r="R17" s="3">
        <f>SUM(Table1[[#This Row],[Wholes (kg''s)]:[Black Rejection (Kg''s)]])</f>
        <v>19193.8</v>
      </c>
      <c r="S17" s="4">
        <f>IFERROR(Table1[[#This Row],[Good Kernels (kg''s)]]/Table1[[#This Row],[Input Quantity (Kg''s)]]*176.36,"")</f>
        <v>49.913903893305012</v>
      </c>
      <c r="T17" s="4">
        <f>IFERROR(Table1[[#This Row],[Good Kernels (kg''s)]]/Table1[[#This Row],[Input Quantity (Kg''s)]]%,"")</f>
        <v>28.302281636031417</v>
      </c>
      <c r="U17" s="5">
        <f>IFERROR(Table1[[#This Row],[Final Kernels (kg''s)]]/Table1[[#This Row],[Input Quantity (Kg''s)]]%,"")</f>
        <v>29.974856714506579</v>
      </c>
      <c r="V17" s="5">
        <f>IFERROR(Table1[[#This Row],[Wholes (kg''s)]]/Table1[[#This Row],[Good Kernels (kg''s)]]%,"")</f>
        <v>96.563444942282658</v>
      </c>
      <c r="W17" s="5">
        <f>IFERROR(Table1[[#This Row],[Pieces (kg''s)]]/Table1[[#This Row],[Good Kernels (kg''s)]]%,"")</f>
        <v>3.4365550577173507</v>
      </c>
      <c r="X17" s="5">
        <f>IFERROR(Table1[[#This Row],[First Pass Uncut (kg''s)]]/Table1[[#This Row],[Input Quantity (Kg''s)]]%,"")</f>
        <v>4.9850858151265749</v>
      </c>
      <c r="Y17" s="5">
        <f>IFERROR(Table1[[#This Row],[Final Uncut (kg''s)]]/Table1[[#This Row],[Input Quantity (Kg''s)]]%,"")</f>
        <v>0.5622101104118189</v>
      </c>
      <c r="Z17" s="21">
        <f>IFERROR(Table1[[#This Row],[Shell]]/Table1[[#This Row],[Input Quantity (Kg''s)]]%,"")</f>
        <v>68.525143285493414</v>
      </c>
      <c r="AA17" s="21">
        <f>IFERROR(Table1[[#This Row],[Shell Dust]]/Table1[[#This Row],[Input Quantity (Kg''s)]]%,"")</f>
        <v>1.5</v>
      </c>
    </row>
    <row r="18" spans="2:27" x14ac:dyDescent="0.3">
      <c r="B18" s="1">
        <v>46171</v>
      </c>
      <c r="C18" s="15">
        <f>WEEKNUM(Table1[[#This Row],[Date]])</f>
        <v>22</v>
      </c>
      <c r="D18" s="1" t="str">
        <f>TEXT(Table1[[#This Row],[Date]],"mmm-yy")</f>
        <v>May-26</v>
      </c>
      <c r="E18" s="1" t="s">
        <v>54</v>
      </c>
      <c r="F18" t="s">
        <v>32</v>
      </c>
      <c r="G18">
        <v>60130</v>
      </c>
      <c r="H18">
        <v>15739</v>
      </c>
      <c r="I18" s="3">
        <v>471</v>
      </c>
      <c r="J18">
        <v>169</v>
      </c>
      <c r="K18">
        <v>175.8</v>
      </c>
      <c r="L18">
        <v>363.8</v>
      </c>
      <c r="M18" s="3">
        <v>2597.1999999999998</v>
      </c>
      <c r="N18" s="3">
        <v>250</v>
      </c>
      <c r="O18" s="3">
        <v>901.94999999999993</v>
      </c>
      <c r="P18" s="3">
        <f>Table1[[#This Row],[Input Quantity (Kg''s)]]-SUM(Table1[[#This Row],[Wholes (kg''s)]:[Black Rejection (Kg''s)]],Table1[[#This Row],[Shell Dust]])</f>
        <v>42309.45</v>
      </c>
      <c r="Q18" s="3">
        <f>SUM(Table1[[#This Row],[Wholes (kg''s)]:[Pieces (kg''s)]])</f>
        <v>16210</v>
      </c>
      <c r="R18" s="3">
        <f>SUM(Table1[[#This Row],[Wholes (kg''s)]:[Black Rejection (Kg''s)]])</f>
        <v>16918.599999999999</v>
      </c>
      <c r="S18" s="4">
        <f>IFERROR(Table1[[#This Row],[Good Kernels (kg''s)]]/Table1[[#This Row],[Input Quantity (Kg''s)]]*176.36,"")</f>
        <v>47.543582238483289</v>
      </c>
      <c r="T18" s="4">
        <f>IFERROR(Table1[[#This Row],[Good Kernels (kg''s)]]/Table1[[#This Row],[Input Quantity (Kg''s)]]%,"")</f>
        <v>26.958257109595877</v>
      </c>
      <c r="U18" s="5">
        <f>IFERROR(Table1[[#This Row],[Final Kernels (kg''s)]]/Table1[[#This Row],[Input Quantity (Kg''s)]]%,"")</f>
        <v>28.136703808415099</v>
      </c>
      <c r="V18" s="5">
        <f>IFERROR(Table1[[#This Row],[Wholes (kg''s)]]/Table1[[#This Row],[Good Kernels (kg''s)]]%,"")</f>
        <v>97.094386181369529</v>
      </c>
      <c r="W18" s="5">
        <f>IFERROR(Table1[[#This Row],[Pieces (kg''s)]]/Table1[[#This Row],[Good Kernels (kg''s)]]%,"")</f>
        <v>2.9056138186304752</v>
      </c>
      <c r="X18" s="5">
        <f>IFERROR(Table1[[#This Row],[First Pass Uncut (kg''s)]]/Table1[[#This Row],[Input Quantity (Kg''s)]]%,"")</f>
        <v>4.319308165641111</v>
      </c>
      <c r="Y18" s="5">
        <f>IFERROR(Table1[[#This Row],[Final Uncut (kg''s)]]/Table1[[#This Row],[Input Quantity (Kg''s)]]%,"")</f>
        <v>0.4157658406785299</v>
      </c>
      <c r="Z18" s="21">
        <f>IFERROR(Table1[[#This Row],[Shell]]/Table1[[#This Row],[Input Quantity (Kg''s)]]%,"")</f>
        <v>70.363296191584894</v>
      </c>
      <c r="AA18" s="21">
        <f>IFERROR(Table1[[#This Row],[Shell Dust]]/Table1[[#This Row],[Input Quantity (Kg''s)]]%,"")</f>
        <v>1.5</v>
      </c>
    </row>
    <row r="19" spans="2:27" x14ac:dyDescent="0.3">
      <c r="B19" s="1">
        <v>46172</v>
      </c>
      <c r="C19" s="15">
        <f>WEEKNUM(Table1[[#This Row],[Date]])</f>
        <v>22</v>
      </c>
      <c r="D19" s="1" t="str">
        <f>TEXT(Table1[[#This Row],[Date]],"mmm-yy")</f>
        <v>May-26</v>
      </c>
      <c r="E19" s="1" t="s">
        <v>54</v>
      </c>
      <c r="F19" t="s">
        <v>39</v>
      </c>
      <c r="G19">
        <v>85529</v>
      </c>
      <c r="H19">
        <v>21949.7</v>
      </c>
      <c r="I19" s="3">
        <v>690.4</v>
      </c>
      <c r="J19">
        <v>450.8</v>
      </c>
      <c r="K19">
        <v>49.5</v>
      </c>
      <c r="L19">
        <v>517.4</v>
      </c>
      <c r="M19" s="3">
        <v>3826.9</v>
      </c>
      <c r="N19" s="3">
        <v>280</v>
      </c>
      <c r="O19" s="3">
        <v>1282.9349999999999</v>
      </c>
      <c r="P19" s="3">
        <f>Table1[[#This Row],[Input Quantity (Kg''s)]]-SUM(Table1[[#This Row],[Wholes (kg''s)]:[Black Rejection (Kg''s)]],Table1[[#This Row],[Shell Dust]])</f>
        <v>60588.264999999999</v>
      </c>
      <c r="Q19" s="3">
        <f>SUM(Table1[[#This Row],[Wholes (kg''s)]:[Pieces (kg''s)]])</f>
        <v>22640.100000000002</v>
      </c>
      <c r="R19" s="3">
        <f>SUM(Table1[[#This Row],[Wholes (kg''s)]:[Black Rejection (Kg''s)]])</f>
        <v>23657.800000000003</v>
      </c>
      <c r="S19" s="4">
        <f>IFERROR(Table1[[#This Row],[Good Kernels (kg''s)]]/Table1[[#This Row],[Input Quantity (Kg''s)]]*176.36,"")</f>
        <v>46.683674964047292</v>
      </c>
      <c r="T19" s="4">
        <f>IFERROR(Table1[[#This Row],[Good Kernels (kg''s)]]/Table1[[#This Row],[Input Quantity (Kg''s)]]%,"")</f>
        <v>26.470670766640559</v>
      </c>
      <c r="U19" s="5">
        <f>IFERROR(Table1[[#This Row],[Final Kernels (kg''s)]]/Table1[[#This Row],[Input Quantity (Kg''s)]]%,"")</f>
        <v>27.660559576284072</v>
      </c>
      <c r="V19" s="5">
        <f>IFERROR(Table1[[#This Row],[Wholes (kg''s)]]/Table1[[#This Row],[Good Kernels (kg''s)]]%,"")</f>
        <v>96.950543504666499</v>
      </c>
      <c r="W19" s="5">
        <f>IFERROR(Table1[[#This Row],[Pieces (kg''s)]]/Table1[[#This Row],[Good Kernels (kg''s)]]%,"")</f>
        <v>3.049456495333501</v>
      </c>
      <c r="X19" s="5">
        <f>IFERROR(Table1[[#This Row],[First Pass Uncut (kg''s)]]/Table1[[#This Row],[Input Quantity (Kg''s)]]%,"")</f>
        <v>4.4743888037975426</v>
      </c>
      <c r="Y19" s="5">
        <f>IFERROR(Table1[[#This Row],[Final Uncut (kg''s)]]/Table1[[#This Row],[Input Quantity (Kg''s)]]%,"")</f>
        <v>0.32737434086684047</v>
      </c>
      <c r="Z19" s="21">
        <f>IFERROR(Table1[[#This Row],[Shell]]/Table1[[#This Row],[Input Quantity (Kg''s)]]%,"")</f>
        <v>70.839440423715928</v>
      </c>
      <c r="AA19" s="21">
        <f>IFERROR(Table1[[#This Row],[Shell Dust]]/Table1[[#This Row],[Input Quantity (Kg''s)]]%,"")</f>
        <v>1.5</v>
      </c>
    </row>
    <row r="20" spans="2:27" x14ac:dyDescent="0.3">
      <c r="B20" s="1">
        <v>46174</v>
      </c>
      <c r="C20" s="15">
        <f>WEEKNUM(Table1[[#This Row],[Date]])</f>
        <v>23</v>
      </c>
      <c r="D20" s="1" t="str">
        <f>TEXT(Table1[[#This Row],[Date]],"mmm-yy")</f>
        <v>Jun-26</v>
      </c>
      <c r="E20" s="1" t="s">
        <v>54</v>
      </c>
      <c r="F20" t="s">
        <v>40</v>
      </c>
      <c r="G20">
        <v>86814</v>
      </c>
      <c r="H20">
        <v>20858.2</v>
      </c>
      <c r="I20" s="3">
        <v>548.6</v>
      </c>
      <c r="J20">
        <v>260</v>
      </c>
      <c r="K20">
        <v>289.3</v>
      </c>
      <c r="L20">
        <v>798</v>
      </c>
      <c r="M20" s="3">
        <v>4948.2</v>
      </c>
      <c r="N20" s="3">
        <v>580</v>
      </c>
      <c r="O20" s="3">
        <v>1302.21</v>
      </c>
      <c r="P20" s="3">
        <f>Table1[[#This Row],[Input Quantity (Kg''s)]]-SUM(Table1[[#This Row],[Wholes (kg''s)]:[Black Rejection (Kg''s)]],Table1[[#This Row],[Shell Dust]])</f>
        <v>62757.69</v>
      </c>
      <c r="Q20" s="3">
        <f>SUM(Table1[[#This Row],[Wholes (kg''s)]:[Pieces (kg''s)]])</f>
        <v>21406.799999999999</v>
      </c>
      <c r="R20" s="3">
        <f>SUM(Table1[[#This Row],[Wholes (kg''s)]:[Black Rejection (Kg''s)]])</f>
        <v>22754.1</v>
      </c>
      <c r="S20" s="4">
        <f>IFERROR(Table1[[#This Row],[Good Kernels (kg''s)]]/Table1[[#This Row],[Input Quantity (Kg''s)]]*176.36,"")</f>
        <v>43.487262976017696</v>
      </c>
      <c r="T20" s="4">
        <f>IFERROR(Table1[[#This Row],[Good Kernels (kg''s)]]/Table1[[#This Row],[Input Quantity (Kg''s)]]%,"")</f>
        <v>24.658234846914091</v>
      </c>
      <c r="U20" s="5">
        <f>IFERROR(Table1[[#This Row],[Final Kernels (kg''s)]]/Table1[[#This Row],[Input Quantity (Kg''s)]]%,"")</f>
        <v>26.210173474324417</v>
      </c>
      <c r="V20" s="5">
        <f>IFERROR(Table1[[#This Row],[Wholes (kg''s)]]/Table1[[#This Row],[Good Kernels (kg''s)]]%,"")</f>
        <v>97.437262925799288</v>
      </c>
      <c r="W20" s="5">
        <f>IFERROR(Table1[[#This Row],[Pieces (kg''s)]]/Table1[[#This Row],[Good Kernels (kg''s)]]%,"")</f>
        <v>2.5627370742007214</v>
      </c>
      <c r="X20" s="5">
        <f>IFERROR(Table1[[#This Row],[First Pass Uncut (kg''s)]]/Table1[[#This Row],[Input Quantity (Kg''s)]]%,"")</f>
        <v>5.6997719261870206</v>
      </c>
      <c r="Y20" s="5">
        <f>IFERROR(Table1[[#This Row],[Final Uncut (kg''s)]]/Table1[[#This Row],[Input Quantity (Kg''s)]]%,"")</f>
        <v>0.66809500771764929</v>
      </c>
      <c r="Z20" s="21">
        <f>IFERROR(Table1[[#This Row],[Shell]]/Table1[[#This Row],[Input Quantity (Kg''s)]]%,"")</f>
        <v>72.289826525675579</v>
      </c>
      <c r="AA20" s="21">
        <f>IFERROR(Table1[[#This Row],[Shell Dust]]/Table1[[#This Row],[Input Quantity (Kg''s)]]%,"")</f>
        <v>1.5</v>
      </c>
    </row>
    <row r="21" spans="2:27" x14ac:dyDescent="0.3">
      <c r="B21" s="1">
        <v>46175</v>
      </c>
      <c r="C21" s="15">
        <f>WEEKNUM(Table1[[#This Row],[Date]])</f>
        <v>23</v>
      </c>
      <c r="D21" s="1" t="str">
        <f>TEXT(Table1[[#This Row],[Date]],"mmm-yy")</f>
        <v>Jun-26</v>
      </c>
      <c r="E21" s="1" t="s">
        <v>54</v>
      </c>
      <c r="F21" t="s">
        <v>41</v>
      </c>
      <c r="G21">
        <v>44464</v>
      </c>
      <c r="H21">
        <v>11977</v>
      </c>
      <c r="I21" s="3">
        <v>289.5</v>
      </c>
      <c r="J21">
        <v>104.5</v>
      </c>
      <c r="K21">
        <v>256.3</v>
      </c>
      <c r="L21">
        <v>160</v>
      </c>
      <c r="M21" s="3">
        <v>2312.3000000000002</v>
      </c>
      <c r="N21" s="3">
        <v>250</v>
      </c>
      <c r="O21" s="3">
        <v>666.95999999999992</v>
      </c>
      <c r="P21" s="3">
        <f>Table1[[#This Row],[Input Quantity (Kg''s)]]-SUM(Table1[[#This Row],[Wholes (kg''s)]:[Black Rejection (Kg''s)]],Table1[[#This Row],[Shell Dust]])</f>
        <v>31009.74</v>
      </c>
      <c r="Q21" s="3">
        <f>SUM(Table1[[#This Row],[Wholes (kg''s)]:[Pieces (kg''s)]])</f>
        <v>12266.5</v>
      </c>
      <c r="R21" s="3">
        <f>SUM(Table1[[#This Row],[Wholes (kg''s)]:[Black Rejection (Kg''s)]])</f>
        <v>12787.3</v>
      </c>
      <c r="S21" s="4">
        <f>IFERROR(Table1[[#This Row],[Good Kernels (kg''s)]]/Table1[[#This Row],[Input Quantity (Kg''s)]]*176.36,"")</f>
        <v>48.653291201871177</v>
      </c>
      <c r="T21" s="4">
        <f>IFERROR(Table1[[#This Row],[Good Kernels (kg''s)]]/Table1[[#This Row],[Input Quantity (Kg''s)]]%,"")</f>
        <v>27.587486505937388</v>
      </c>
      <c r="U21" s="5">
        <f>IFERROR(Table1[[#This Row],[Final Kernels (kg''s)]]/Table1[[#This Row],[Input Quantity (Kg''s)]]%,"")</f>
        <v>28.758771140698091</v>
      </c>
      <c r="V21" s="5">
        <f>IFERROR(Table1[[#This Row],[Wholes (kg''s)]]/Table1[[#This Row],[Good Kernels (kg''s)]]%,"")</f>
        <v>97.639913585782409</v>
      </c>
      <c r="W21" s="5">
        <f>IFERROR(Table1[[#This Row],[Pieces (kg''s)]]/Table1[[#This Row],[Good Kernels (kg''s)]]%,"")</f>
        <v>2.3600864142175841</v>
      </c>
      <c r="X21" s="5">
        <f>IFERROR(Table1[[#This Row],[First Pass Uncut (kg''s)]]/Table1[[#This Row],[Input Quantity (Kg''s)]]%,"")</f>
        <v>5.2003868297948905</v>
      </c>
      <c r="Y21" s="5">
        <f>IFERROR(Table1[[#This Row],[Final Uncut (kg''s)]]/Table1[[#This Row],[Input Quantity (Kg''s)]]%,"")</f>
        <v>0.56225260885210504</v>
      </c>
      <c r="Z21" s="21">
        <f>IFERROR(Table1[[#This Row],[Shell]]/Table1[[#This Row],[Input Quantity (Kg''s)]]%,"")</f>
        <v>69.741228859301913</v>
      </c>
      <c r="AA21" s="21">
        <f>IFERROR(Table1[[#This Row],[Shell Dust]]/Table1[[#This Row],[Input Quantity (Kg''s)]]%,"")</f>
        <v>1.4999999999999998</v>
      </c>
    </row>
    <row r="22" spans="2:27" x14ac:dyDescent="0.3">
      <c r="B22" s="1">
        <v>46176</v>
      </c>
      <c r="C22" s="15">
        <f>WEEKNUM(Table1[[#This Row],[Date]])</f>
        <v>23</v>
      </c>
      <c r="D22" s="1" t="str">
        <f>TEXT(Table1[[#This Row],[Date]],"mmm-yy")</f>
        <v>Jun-26</v>
      </c>
      <c r="E22" s="1" t="s">
        <v>54</v>
      </c>
      <c r="F22" t="s">
        <v>42</v>
      </c>
      <c r="G22">
        <v>55767</v>
      </c>
      <c r="H22">
        <v>14392.4</v>
      </c>
      <c r="I22" s="3">
        <v>510.1</v>
      </c>
      <c r="K22">
        <v>278.60000000000002</v>
      </c>
      <c r="L22">
        <v>240</v>
      </c>
      <c r="M22" s="3">
        <v>3347.5</v>
      </c>
      <c r="N22" s="3">
        <v>290</v>
      </c>
      <c r="O22" s="3">
        <v>836.505</v>
      </c>
      <c r="P22" s="3">
        <f>Table1[[#This Row],[Input Quantity (Kg''s)]]-SUM(Table1[[#This Row],[Wholes (kg''s)]:[Black Rejection (Kg''s)]],Table1[[#This Row],[Shell Dust]])</f>
        <v>39509.395000000004</v>
      </c>
      <c r="Q22" s="3">
        <f>SUM(Table1[[#This Row],[Wholes (kg''s)]:[Pieces (kg''s)]])</f>
        <v>14902.5</v>
      </c>
      <c r="R22" s="3">
        <f>SUM(Table1[[#This Row],[Wholes (kg''s)]:[Black Rejection (Kg''s)]])</f>
        <v>15421.1</v>
      </c>
      <c r="S22" s="4">
        <f>IFERROR(Table1[[#This Row],[Good Kernels (kg''s)]]/Table1[[#This Row],[Input Quantity (Kg''s)]]*176.36,"")</f>
        <v>47.128317822368068</v>
      </c>
      <c r="T22" s="4">
        <f>IFERROR(Table1[[#This Row],[Good Kernels (kg''s)]]/Table1[[#This Row],[Input Quantity (Kg''s)]]%,"")</f>
        <v>26.722793049653024</v>
      </c>
      <c r="U22" s="5">
        <f>IFERROR(Table1[[#This Row],[Final Kernels (kg''s)]]/Table1[[#This Row],[Input Quantity (Kg''s)]]%,"")</f>
        <v>27.652733695554723</v>
      </c>
      <c r="V22" s="5">
        <f>IFERROR(Table1[[#This Row],[Wholes (kg''s)]]/Table1[[#This Row],[Good Kernels (kg''s)]]%,"")</f>
        <v>96.577084381815126</v>
      </c>
      <c r="W22" s="5">
        <f>IFERROR(Table1[[#This Row],[Pieces (kg''s)]]/Table1[[#This Row],[Good Kernels (kg''s)]]%,"")</f>
        <v>3.4229156181848683</v>
      </c>
      <c r="X22" s="5">
        <f>IFERROR(Table1[[#This Row],[First Pass Uncut (kg''s)]]/Table1[[#This Row],[Input Quantity (Kg''s)]]%,"")</f>
        <v>6.0026538992594194</v>
      </c>
      <c r="Y22" s="5">
        <f>IFERROR(Table1[[#This Row],[Final Uncut (kg''s)]]/Table1[[#This Row],[Input Quantity (Kg''s)]]%,"")</f>
        <v>0.52002080083203328</v>
      </c>
      <c r="Z22" s="21">
        <f>IFERROR(Table1[[#This Row],[Shell]]/Table1[[#This Row],[Input Quantity (Kg''s)]]%,"")</f>
        <v>70.847266304445299</v>
      </c>
      <c r="AA22" s="21">
        <f>IFERROR(Table1[[#This Row],[Shell Dust]]/Table1[[#This Row],[Input Quantity (Kg''s)]]%,"")</f>
        <v>1.5</v>
      </c>
    </row>
    <row r="23" spans="2:27" x14ac:dyDescent="0.3">
      <c r="B23" s="1">
        <v>46177</v>
      </c>
      <c r="C23" s="15">
        <f>WEEKNUM(Table1[[#This Row],[Date]])</f>
        <v>23</v>
      </c>
      <c r="D23" s="1" t="str">
        <f>TEXT(Table1[[#This Row],[Date]],"mmm-yy")</f>
        <v>Jun-26</v>
      </c>
      <c r="E23" s="1" t="s">
        <v>54</v>
      </c>
      <c r="F23" t="s">
        <v>43</v>
      </c>
      <c r="G23">
        <v>78295</v>
      </c>
      <c r="H23">
        <v>20778</v>
      </c>
      <c r="I23" s="3">
        <v>469.9</v>
      </c>
      <c r="K23">
        <v>539.70000000000005</v>
      </c>
      <c r="L23">
        <v>320</v>
      </c>
      <c r="M23" s="3">
        <v>4298.3</v>
      </c>
      <c r="N23" s="3">
        <v>520</v>
      </c>
      <c r="O23" s="3">
        <v>1174.425</v>
      </c>
      <c r="P23" s="3">
        <f>Table1[[#This Row],[Input Quantity (Kg''s)]]-SUM(Table1[[#This Row],[Wholes (kg''s)]:[Black Rejection (Kg''s)]],Table1[[#This Row],[Shell Dust]])</f>
        <v>55012.974999999999</v>
      </c>
      <c r="Q23" s="3">
        <f>SUM(Table1[[#This Row],[Wholes (kg''s)]:[Pieces (kg''s)]])</f>
        <v>21247.9</v>
      </c>
      <c r="R23" s="3">
        <f>SUM(Table1[[#This Row],[Wholes (kg''s)]:[Black Rejection (Kg''s)]])</f>
        <v>22107.600000000002</v>
      </c>
      <c r="S23" s="4">
        <f>IFERROR(Table1[[#This Row],[Good Kernels (kg''s)]]/Table1[[#This Row],[Input Quantity (Kg''s)]]*176.36,"")</f>
        <v>47.861033833578148</v>
      </c>
      <c r="T23" s="4">
        <f>IFERROR(Table1[[#This Row],[Good Kernels (kg''s)]]/Table1[[#This Row],[Input Quantity (Kg''s)]]%,"")</f>
        <v>27.138259148093749</v>
      </c>
      <c r="U23" s="5">
        <f>IFERROR(Table1[[#This Row],[Final Kernels (kg''s)]]/Table1[[#This Row],[Input Quantity (Kg''s)]]%,"")</f>
        <v>28.236285842007792</v>
      </c>
      <c r="V23" s="5">
        <f>IFERROR(Table1[[#This Row],[Wholes (kg''s)]]/Table1[[#This Row],[Good Kernels (kg''s)]]%,"")</f>
        <v>97.788487332865827</v>
      </c>
      <c r="W23" s="5">
        <f>IFERROR(Table1[[#This Row],[Pieces (kg''s)]]/Table1[[#This Row],[Good Kernels (kg''s)]]%,"")</f>
        <v>2.2115126671341634</v>
      </c>
      <c r="X23" s="5">
        <f>IFERROR(Table1[[#This Row],[First Pass Uncut (kg''s)]]/Table1[[#This Row],[Input Quantity (Kg''s)]]%,"")</f>
        <v>5.4898780254166928</v>
      </c>
      <c r="Y23" s="5">
        <f>IFERROR(Table1[[#This Row],[Final Uncut (kg''s)]]/Table1[[#This Row],[Input Quantity (Kg''s)]]%,"")</f>
        <v>0.66415479915703424</v>
      </c>
      <c r="Z23" s="21">
        <f>IFERROR(Table1[[#This Row],[Shell]]/Table1[[#This Row],[Input Quantity (Kg''s)]]%,"")</f>
        <v>70.263714157992197</v>
      </c>
      <c r="AA23" s="21">
        <f>IFERROR(Table1[[#This Row],[Shell Dust]]/Table1[[#This Row],[Input Quantity (Kg''s)]]%,"")</f>
        <v>1.4999999999999998</v>
      </c>
    </row>
    <row r="24" spans="2:27" x14ac:dyDescent="0.3">
      <c r="B24" s="1">
        <v>46178</v>
      </c>
      <c r="C24" s="15">
        <f>WEEKNUM(Table1[[#This Row],[Date]])</f>
        <v>23</v>
      </c>
      <c r="D24" s="1" t="str">
        <f>TEXT(Table1[[#This Row],[Date]],"mmm-yy")</f>
        <v>Jun-26</v>
      </c>
      <c r="E24" s="1" t="s">
        <v>54</v>
      </c>
      <c r="F24" t="s">
        <v>44</v>
      </c>
      <c r="G24">
        <v>77716</v>
      </c>
      <c r="H24">
        <v>20474.2</v>
      </c>
      <c r="I24" s="3">
        <v>649.6</v>
      </c>
      <c r="J24">
        <v>140.19999999999999</v>
      </c>
      <c r="K24">
        <v>550.5</v>
      </c>
      <c r="L24">
        <v>200</v>
      </c>
      <c r="M24" s="3">
        <v>4581.7</v>
      </c>
      <c r="N24" s="3">
        <v>458</v>
      </c>
      <c r="O24" s="3">
        <v>1165.74</v>
      </c>
      <c r="P24" s="3">
        <f>Table1[[#This Row],[Input Quantity (Kg''s)]]-SUM(Table1[[#This Row],[Wholes (kg''s)]:[Black Rejection (Kg''s)]],Table1[[#This Row],[Shell Dust]])</f>
        <v>54535.759999999995</v>
      </c>
      <c r="Q24" s="3">
        <f>SUM(Table1[[#This Row],[Wholes (kg''s)]:[Pieces (kg''s)]])</f>
        <v>21123.8</v>
      </c>
      <c r="R24" s="3">
        <f>SUM(Table1[[#This Row],[Wholes (kg''s)]:[Black Rejection (Kg''s)]])</f>
        <v>22014.5</v>
      </c>
      <c r="S24" s="4">
        <f>IFERROR(Table1[[#This Row],[Good Kernels (kg''s)]]/Table1[[#This Row],[Input Quantity (Kg''s)]]*176.36,"")</f>
        <v>47.935989603170526</v>
      </c>
      <c r="T24" s="4">
        <f>IFERROR(Table1[[#This Row],[Good Kernels (kg''s)]]/Table1[[#This Row],[Input Quantity (Kg''s)]]%,"")</f>
        <v>27.180760718513561</v>
      </c>
      <c r="U24" s="5">
        <f>IFERROR(Table1[[#This Row],[Final Kernels (kg''s)]]/Table1[[#This Row],[Input Quantity (Kg''s)]]%,"")</f>
        <v>28.326856760512637</v>
      </c>
      <c r="V24" s="5">
        <f>IFERROR(Table1[[#This Row],[Wholes (kg''s)]]/Table1[[#This Row],[Good Kernels (kg''s)]]%,"")</f>
        <v>96.92479572804136</v>
      </c>
      <c r="W24" s="5">
        <f>IFERROR(Table1[[#This Row],[Pieces (kg''s)]]/Table1[[#This Row],[Good Kernels (kg''s)]]%,"")</f>
        <v>3.0752042719586439</v>
      </c>
      <c r="X24" s="5">
        <f>IFERROR(Table1[[#This Row],[First Pass Uncut (kg''s)]]/Table1[[#This Row],[Input Quantity (Kg''s)]]%,"")</f>
        <v>5.8954398064748572</v>
      </c>
      <c r="Y24" s="5">
        <f>IFERROR(Table1[[#This Row],[Final Uncut (kg''s)]]/Table1[[#This Row],[Input Quantity (Kg''s)]]%,"")</f>
        <v>0.58932523547274696</v>
      </c>
      <c r="Z24" s="21">
        <f>IFERROR(Table1[[#This Row],[Shell]]/Table1[[#This Row],[Input Quantity (Kg''s)]]%,"")</f>
        <v>70.173143239487359</v>
      </c>
      <c r="AA24" s="21">
        <f>IFERROR(Table1[[#This Row],[Shell Dust]]/Table1[[#This Row],[Input Quantity (Kg''s)]]%,"")</f>
        <v>1.5</v>
      </c>
    </row>
    <row r="25" spans="2:27" x14ac:dyDescent="0.3">
      <c r="B25" s="1">
        <v>46179</v>
      </c>
      <c r="C25" s="15">
        <f>WEEKNUM(Table1[[#This Row],[Date]])</f>
        <v>23</v>
      </c>
      <c r="D25" s="1" t="str">
        <f>TEXT(Table1[[#This Row],[Date]],"mmm-yy")</f>
        <v>Jun-26</v>
      </c>
      <c r="E25" s="1" t="s">
        <v>54</v>
      </c>
      <c r="F25" t="s">
        <v>45</v>
      </c>
      <c r="G25">
        <v>86719</v>
      </c>
      <c r="H25">
        <v>21889.200000000001</v>
      </c>
      <c r="I25" s="3">
        <v>773.9</v>
      </c>
      <c r="J25">
        <v>347.5</v>
      </c>
      <c r="K25">
        <v>625.79999999999995</v>
      </c>
      <c r="L25">
        <v>480</v>
      </c>
      <c r="M25" s="3">
        <v>4106.5</v>
      </c>
      <c r="N25" s="3">
        <v>650</v>
      </c>
      <c r="O25" s="3">
        <v>1300.7849999999999</v>
      </c>
      <c r="P25" s="3">
        <f>Table1[[#This Row],[Input Quantity (Kg''s)]]-SUM(Table1[[#This Row],[Wholes (kg''s)]:[Black Rejection (Kg''s)]],Table1[[#This Row],[Shell Dust]])</f>
        <v>61301.815000000002</v>
      </c>
      <c r="Q25" s="3">
        <f>SUM(Table1[[#This Row],[Wholes (kg''s)]:[Pieces (kg''s)]])</f>
        <v>22663.100000000002</v>
      </c>
      <c r="R25" s="3">
        <f>SUM(Table1[[#This Row],[Wholes (kg''s)]:[Black Rejection (Kg''s)]])</f>
        <v>24116.400000000001</v>
      </c>
      <c r="S25" s="4">
        <f>IFERROR(Table1[[#This Row],[Good Kernels (kg''s)]]/Table1[[#This Row],[Input Quantity (Kg''s)]]*176.36,"")</f>
        <v>46.089834015613654</v>
      </c>
      <c r="T25" s="4">
        <f>IFERROR(Table1[[#This Row],[Good Kernels (kg''s)]]/Table1[[#This Row],[Input Quantity (Kg''s)]]%,"")</f>
        <v>26.133949884108443</v>
      </c>
      <c r="U25" s="5">
        <f>IFERROR(Table1[[#This Row],[Final Kernels (kg''s)]]/Table1[[#This Row],[Input Quantity (Kg''s)]]%,"")</f>
        <v>27.809822530241355</v>
      </c>
      <c r="V25" s="5">
        <f>IFERROR(Table1[[#This Row],[Wholes (kg''s)]]/Table1[[#This Row],[Good Kernels (kg''s)]]%,"")</f>
        <v>96.585197964973887</v>
      </c>
      <c r="W25" s="5">
        <f>IFERROR(Table1[[#This Row],[Pieces (kg''s)]]/Table1[[#This Row],[Good Kernels (kg''s)]]%,"")</f>
        <v>3.4148020350260992</v>
      </c>
      <c r="X25" s="5">
        <f>IFERROR(Table1[[#This Row],[First Pass Uncut (kg''s)]]/Table1[[#This Row],[Input Quantity (Kg''s)]]%,"")</f>
        <v>4.735409771791649</v>
      </c>
      <c r="Y25" s="5">
        <f>IFERROR(Table1[[#This Row],[Final Uncut (kg''s)]]/Table1[[#This Row],[Input Quantity (Kg''s)]]%,"")</f>
        <v>0.74954738869221271</v>
      </c>
      <c r="Z25" s="21">
        <f>IFERROR(Table1[[#This Row],[Shell]]/Table1[[#This Row],[Input Quantity (Kg''s)]]%,"")</f>
        <v>70.690177469758638</v>
      </c>
      <c r="AA25" s="21">
        <f>IFERROR(Table1[[#This Row],[Shell Dust]]/Table1[[#This Row],[Input Quantity (Kg''s)]]%,"")</f>
        <v>1.4999999999999998</v>
      </c>
    </row>
    <row r="26" spans="2:27" x14ac:dyDescent="0.3">
      <c r="B26" s="1">
        <v>46181</v>
      </c>
      <c r="C26" s="15">
        <f>WEEKNUM(Table1[[#This Row],[Date]])</f>
        <v>24</v>
      </c>
      <c r="D26" s="1" t="str">
        <f>TEXT(Table1[[#This Row],[Date]],"mmm-yy")</f>
        <v>Jun-26</v>
      </c>
      <c r="E26" s="1" t="s">
        <v>55</v>
      </c>
      <c r="F26" t="s">
        <v>46</v>
      </c>
      <c r="G26">
        <v>79723</v>
      </c>
      <c r="H26">
        <v>20758.2</v>
      </c>
      <c r="I26" s="3">
        <v>750.5</v>
      </c>
      <c r="J26">
        <v>256</v>
      </c>
      <c r="K26">
        <v>485</v>
      </c>
      <c r="L26">
        <v>160</v>
      </c>
      <c r="M26" s="3">
        <v>4167</v>
      </c>
      <c r="N26" s="3">
        <v>580</v>
      </c>
      <c r="O26" s="3">
        <v>1195.845</v>
      </c>
      <c r="P26" s="3">
        <f>Table1[[#This Row],[Input Quantity (Kg''s)]]-SUM(Table1[[#This Row],[Wholes (kg''s)]:[Black Rejection (Kg''s)]],Table1[[#This Row],[Shell Dust]])</f>
        <v>56117.455000000002</v>
      </c>
      <c r="Q26" s="3">
        <f>SUM(Table1[[#This Row],[Wholes (kg''s)]:[Pieces (kg''s)]])</f>
        <v>21508.7</v>
      </c>
      <c r="R26" s="3">
        <f>SUM(Table1[[#This Row],[Wholes (kg''s)]:[Black Rejection (Kg''s)]])</f>
        <v>22409.7</v>
      </c>
      <c r="S26" s="4">
        <f>IFERROR(Table1[[#This Row],[Good Kernels (kg''s)]]/Table1[[#This Row],[Input Quantity (Kg''s)]]*176.36,"")</f>
        <v>47.580677244960683</v>
      </c>
      <c r="T26" s="4">
        <f>IFERROR(Table1[[#This Row],[Good Kernels (kg''s)]]/Table1[[#This Row],[Input Quantity (Kg''s)]]%,"")</f>
        <v>26.979290794375526</v>
      </c>
      <c r="U26" s="5">
        <f>IFERROR(Table1[[#This Row],[Final Kernels (kg''s)]]/Table1[[#This Row],[Input Quantity (Kg''s)]]%,"")</f>
        <v>28.109453984421059</v>
      </c>
      <c r="V26" s="5">
        <f>IFERROR(Table1[[#This Row],[Wholes (kg''s)]]/Table1[[#This Row],[Good Kernels (kg''s)]]%,"")</f>
        <v>96.510714269109698</v>
      </c>
      <c r="W26" s="5">
        <f>IFERROR(Table1[[#This Row],[Pieces (kg''s)]]/Table1[[#This Row],[Good Kernels (kg''s)]]%,"")</f>
        <v>3.4892857308902907</v>
      </c>
      <c r="X26" s="5">
        <f>IFERROR(Table1[[#This Row],[First Pass Uncut (kg''s)]]/Table1[[#This Row],[Input Quantity (Kg''s)]]%,"")</f>
        <v>5.2268479610651877</v>
      </c>
      <c r="Y26" s="5">
        <f>IFERROR(Table1[[#This Row],[Final Uncut (kg''s)]]/Table1[[#This Row],[Input Quantity (Kg''s)]]%,"")</f>
        <v>0.72751903465750156</v>
      </c>
      <c r="Z26" s="21">
        <f>IFERROR(Table1[[#This Row],[Shell]]/Table1[[#This Row],[Input Quantity (Kg''s)]]%,"")</f>
        <v>70.390546015578948</v>
      </c>
      <c r="AA26" s="21">
        <f>IFERROR(Table1[[#This Row],[Shell Dust]]/Table1[[#This Row],[Input Quantity (Kg''s)]]%,"")</f>
        <v>1.5</v>
      </c>
    </row>
    <row r="27" spans="2:27" x14ac:dyDescent="0.3">
      <c r="B27" s="1">
        <v>46182</v>
      </c>
      <c r="C27" s="15">
        <f>WEEKNUM(Table1[[#This Row],[Date]])</f>
        <v>24</v>
      </c>
      <c r="D27" s="1" t="str">
        <f>TEXT(Table1[[#This Row],[Date]],"mmm-yy")</f>
        <v>Jun-26</v>
      </c>
      <c r="E27" s="1" t="s">
        <v>55</v>
      </c>
      <c r="F27" t="s">
        <v>47</v>
      </c>
      <c r="G27">
        <v>83843</v>
      </c>
      <c r="H27">
        <v>22658.2</v>
      </c>
      <c r="I27" s="3">
        <v>802.5</v>
      </c>
      <c r="J27">
        <v>258.5</v>
      </c>
      <c r="K27">
        <v>232.4</v>
      </c>
      <c r="L27">
        <v>360</v>
      </c>
      <c r="M27" s="3">
        <v>5077.8</v>
      </c>
      <c r="N27" s="3">
        <v>680</v>
      </c>
      <c r="O27" s="3">
        <v>1257.645</v>
      </c>
      <c r="P27" s="3">
        <f>Table1[[#This Row],[Input Quantity (Kg''s)]]-SUM(Table1[[#This Row],[Wholes (kg''s)]:[Black Rejection (Kg''s)]],Table1[[#This Row],[Shell Dust]])</f>
        <v>58273.754999999997</v>
      </c>
      <c r="Q27" s="3">
        <f>SUM(Table1[[#This Row],[Wholes (kg''s)]:[Pieces (kg''s)]])</f>
        <v>23460.7</v>
      </c>
      <c r="R27" s="3">
        <f>SUM(Table1[[#This Row],[Wholes (kg''s)]:[Black Rejection (Kg''s)]])</f>
        <v>24311.600000000002</v>
      </c>
      <c r="S27" s="4">
        <f>IFERROR(Table1[[#This Row],[Good Kernels (kg''s)]]/Table1[[#This Row],[Input Quantity (Kg''s)]]*176.36,"")</f>
        <v>49.348532996195274</v>
      </c>
      <c r="T27" s="4">
        <f>IFERROR(Table1[[#This Row],[Good Kernels (kg''s)]]/Table1[[#This Row],[Input Quantity (Kg''s)]]%,"")</f>
        <v>27.981703898953999</v>
      </c>
      <c r="U27" s="5">
        <f>IFERROR(Table1[[#This Row],[Final Kernels (kg''s)]]/Table1[[#This Row],[Input Quantity (Kg''s)]]%,"")</f>
        <v>28.996576935462713</v>
      </c>
      <c r="V27" s="5">
        <f>IFERROR(Table1[[#This Row],[Wholes (kg''s)]]/Table1[[#This Row],[Good Kernels (kg''s)]]%,"")</f>
        <v>96.579385951825827</v>
      </c>
      <c r="W27" s="5">
        <f>IFERROR(Table1[[#This Row],[Pieces (kg''s)]]/Table1[[#This Row],[Good Kernels (kg''s)]]%,"")</f>
        <v>3.4206140481741807</v>
      </c>
      <c r="X27" s="5">
        <f>IFERROR(Table1[[#This Row],[First Pass Uncut (kg''s)]]/Table1[[#This Row],[Input Quantity (Kg''s)]]%,"")</f>
        <v>6.056319549634436</v>
      </c>
      <c r="Y27" s="5">
        <f>IFERROR(Table1[[#This Row],[Final Uncut (kg''s)]]/Table1[[#This Row],[Input Quantity (Kg''s)]]%,"")</f>
        <v>0.81103968130911352</v>
      </c>
      <c r="Z27" s="21">
        <f>IFERROR(Table1[[#This Row],[Shell]]/Table1[[#This Row],[Input Quantity (Kg''s)]]%,"")</f>
        <v>69.503423064537287</v>
      </c>
      <c r="AA27" s="21">
        <f>IFERROR(Table1[[#This Row],[Shell Dust]]/Table1[[#This Row],[Input Quantity (Kg''s)]]%,"")</f>
        <v>1.5</v>
      </c>
    </row>
    <row r="28" spans="2:27" x14ac:dyDescent="0.3">
      <c r="B28" s="1">
        <v>46183</v>
      </c>
      <c r="C28" s="15">
        <f>WEEKNUM(Table1[[#This Row],[Date]])</f>
        <v>24</v>
      </c>
      <c r="D28" s="1" t="str">
        <f>TEXT(Table1[[#This Row],[Date]],"mmm-yy")</f>
        <v>Jun-26</v>
      </c>
      <c r="E28" s="1" t="s">
        <v>55</v>
      </c>
      <c r="F28" t="s">
        <v>48</v>
      </c>
      <c r="G28">
        <v>80083</v>
      </c>
      <c r="H28">
        <v>21752.5</v>
      </c>
      <c r="I28" s="3">
        <v>704.4</v>
      </c>
      <c r="J28">
        <v>215.1</v>
      </c>
      <c r="K28">
        <v>87.3</v>
      </c>
      <c r="L28">
        <v>125.5</v>
      </c>
      <c r="M28" s="3">
        <v>5073.7</v>
      </c>
      <c r="N28" s="3">
        <v>570</v>
      </c>
      <c r="O28" s="3">
        <v>1201.2449999999999</v>
      </c>
      <c r="P28" s="3">
        <f>Table1[[#This Row],[Input Quantity (Kg''s)]]-SUM(Table1[[#This Row],[Wholes (kg''s)]:[Black Rejection (Kg''s)]],Table1[[#This Row],[Shell Dust]])</f>
        <v>55996.955000000002</v>
      </c>
      <c r="Q28" s="3">
        <f>SUM(Table1[[#This Row],[Wholes (kg''s)]:[Pieces (kg''s)]])</f>
        <v>22456.9</v>
      </c>
      <c r="R28" s="3">
        <f>SUM(Table1[[#This Row],[Wholes (kg''s)]:[Black Rejection (Kg''s)]])</f>
        <v>22884.799999999999</v>
      </c>
      <c r="S28" s="4">
        <f>IFERROR(Table1[[#This Row],[Good Kernels (kg''s)]]/Table1[[#This Row],[Input Quantity (Kg''s)]]*176.36,"")</f>
        <v>49.454926563690179</v>
      </c>
      <c r="T28" s="4">
        <f>IFERROR(Table1[[#This Row],[Good Kernels (kg''s)]]/Table1[[#This Row],[Input Quantity (Kg''s)]]%,"")</f>
        <v>28.042031392430353</v>
      </c>
      <c r="U28" s="5">
        <f>IFERROR(Table1[[#This Row],[Final Kernels (kg''s)]]/Table1[[#This Row],[Input Quantity (Kg''s)]]%,"")</f>
        <v>28.576352034763929</v>
      </c>
      <c r="V28" s="5">
        <f>IFERROR(Table1[[#This Row],[Wholes (kg''s)]]/Table1[[#This Row],[Good Kernels (kg''s)]]%,"")</f>
        <v>96.863324857838791</v>
      </c>
      <c r="W28" s="5">
        <f>IFERROR(Table1[[#This Row],[Pieces (kg''s)]]/Table1[[#This Row],[Good Kernels (kg''s)]]%,"")</f>
        <v>3.1366751421612062</v>
      </c>
      <c r="X28" s="5">
        <f>IFERROR(Table1[[#This Row],[First Pass Uncut (kg''s)]]/Table1[[#This Row],[Input Quantity (Kg''s)]]%,"")</f>
        <v>6.3355518649401237</v>
      </c>
      <c r="Y28" s="5">
        <f>IFERROR(Table1[[#This Row],[Final Uncut (kg''s)]]/Table1[[#This Row],[Input Quantity (Kg''s)]]%,"")</f>
        <v>0.71176154739457809</v>
      </c>
      <c r="Z28" s="21">
        <f>IFERROR(Table1[[#This Row],[Shell]]/Table1[[#This Row],[Input Quantity (Kg''s)]]%,"")</f>
        <v>69.923647965236071</v>
      </c>
      <c r="AA28" s="21">
        <f>IFERROR(Table1[[#This Row],[Shell Dust]]/Table1[[#This Row],[Input Quantity (Kg''s)]]%,"")</f>
        <v>1.4999999999999998</v>
      </c>
    </row>
    <row r="29" spans="2:27" x14ac:dyDescent="0.3">
      <c r="B29" s="1">
        <v>46184</v>
      </c>
      <c r="C29" s="15">
        <f>WEEKNUM(Table1[[#This Row],[Date]])</f>
        <v>24</v>
      </c>
      <c r="D29" s="1" t="str">
        <f>TEXT(Table1[[#This Row],[Date]],"mmm-yy")</f>
        <v>Jun-26</v>
      </c>
      <c r="E29" s="1" t="s">
        <v>55</v>
      </c>
      <c r="F29" t="s">
        <v>49</v>
      </c>
      <c r="G29">
        <v>89313</v>
      </c>
      <c r="H29">
        <v>23754.3</v>
      </c>
      <c r="I29" s="3">
        <v>735.5</v>
      </c>
      <c r="J29">
        <v>381.9</v>
      </c>
      <c r="K29">
        <v>306.10000000000002</v>
      </c>
      <c r="L29">
        <v>240</v>
      </c>
      <c r="M29" s="3">
        <v>5846.1</v>
      </c>
      <c r="N29" s="3">
        <v>850</v>
      </c>
      <c r="O29" s="3">
        <v>1339.7849999999999</v>
      </c>
      <c r="P29" s="3">
        <f>Table1[[#This Row],[Input Quantity (Kg''s)]]-SUM(Table1[[#This Row],[Wholes (kg''s)]:[Black Rejection (Kg''s)]],Table1[[#This Row],[Shell Dust]])</f>
        <v>62555.415000000001</v>
      </c>
      <c r="Q29" s="3">
        <f>SUM(Table1[[#This Row],[Wholes (kg''s)]:[Pieces (kg''s)]])</f>
        <v>24489.8</v>
      </c>
      <c r="R29" s="3">
        <f>SUM(Table1[[#This Row],[Wholes (kg''s)]:[Black Rejection (Kg''s)]])</f>
        <v>25417.8</v>
      </c>
      <c r="S29" s="4">
        <f>IFERROR(Table1[[#This Row],[Good Kernels (kg''s)]]/Table1[[#This Row],[Input Quantity (Kg''s)]]*176.36,"")</f>
        <v>48.358258349848285</v>
      </c>
      <c r="T29" s="4">
        <f>IFERROR(Table1[[#This Row],[Good Kernels (kg''s)]]/Table1[[#This Row],[Input Quantity (Kg''s)]]%,"")</f>
        <v>27.420196387983832</v>
      </c>
      <c r="U29" s="5">
        <f>IFERROR(Table1[[#This Row],[Final Kernels (kg''s)]]/Table1[[#This Row],[Input Quantity (Kg''s)]]%,"")</f>
        <v>28.45923885660542</v>
      </c>
      <c r="V29" s="5">
        <f>IFERROR(Table1[[#This Row],[Wholes (kg''s)]]/Table1[[#This Row],[Good Kernels (kg''s)]]%,"")</f>
        <v>96.996708833881854</v>
      </c>
      <c r="W29" s="5">
        <f>IFERROR(Table1[[#This Row],[Pieces (kg''s)]]/Table1[[#This Row],[Good Kernels (kg''s)]]%,"")</f>
        <v>3.0032911661181392</v>
      </c>
      <c r="X29" s="5">
        <f>IFERROR(Table1[[#This Row],[First Pass Uncut (kg''s)]]/Table1[[#This Row],[Input Quantity (Kg''s)]]%,"")</f>
        <v>6.5456316549662423</v>
      </c>
      <c r="Y29" s="5">
        <f>IFERROR(Table1[[#This Row],[Final Uncut (kg''s)]]/Table1[[#This Row],[Input Quantity (Kg''s)]]%,"")</f>
        <v>0.95170915768141251</v>
      </c>
      <c r="Z29" s="21">
        <f>IFERROR(Table1[[#This Row],[Shell]]/Table1[[#This Row],[Input Quantity (Kg''s)]]%,"")</f>
        <v>70.040660374189656</v>
      </c>
      <c r="AA29" s="21">
        <f>IFERROR(Table1[[#This Row],[Shell Dust]]/Table1[[#This Row],[Input Quantity (Kg''s)]]%,"")</f>
        <v>1.5001007692049309</v>
      </c>
    </row>
    <row r="30" spans="2:27" x14ac:dyDescent="0.3">
      <c r="B30" s="1">
        <v>46185</v>
      </c>
      <c r="C30" s="15">
        <f>WEEKNUM(Table1[[#This Row],[Date]])</f>
        <v>24</v>
      </c>
      <c r="D30" s="1" t="str">
        <f>TEXT(Table1[[#This Row],[Date]],"mmm-yy")</f>
        <v>Jun-26</v>
      </c>
      <c r="E30" s="1" t="s">
        <v>55</v>
      </c>
      <c r="F30" t="s">
        <v>50</v>
      </c>
      <c r="G30">
        <v>87731</v>
      </c>
      <c r="H30">
        <v>23330.5</v>
      </c>
      <c r="I30" s="3">
        <v>785</v>
      </c>
      <c r="J30">
        <v>230.5</v>
      </c>
      <c r="K30">
        <v>475.5</v>
      </c>
      <c r="L30">
        <v>460</v>
      </c>
      <c r="M30" s="3">
        <v>7577.7</v>
      </c>
      <c r="N30" s="3">
        <v>750</v>
      </c>
      <c r="O30" s="3">
        <v>1315.9649999999999</v>
      </c>
      <c r="P30" s="3">
        <f>Table1[[#This Row],[Input Quantity (Kg''s)]]-SUM(Table1[[#This Row],[Wholes (kg''s)]:[Black Rejection (Kg''s)]],Table1[[#This Row],[Shell Dust]])</f>
        <v>61133.535000000003</v>
      </c>
      <c r="Q30" s="3">
        <f>SUM(Table1[[#This Row],[Wholes (kg''s)]:[Pieces (kg''s)]])</f>
        <v>24115.5</v>
      </c>
      <c r="R30" s="3">
        <f>SUM(Table1[[#This Row],[Wholes (kg''s)]:[Black Rejection (Kg''s)]])</f>
        <v>25281.5</v>
      </c>
      <c r="S30" s="4">
        <f>IFERROR(Table1[[#This Row],[Good Kernels (kg''s)]]/Table1[[#This Row],[Input Quantity (Kg''s)]]*176.36,"")</f>
        <v>48.477842267841474</v>
      </c>
      <c r="T30" s="4">
        <f>IFERROR(Table1[[#This Row],[Good Kernels (kg''s)]]/Table1[[#This Row],[Input Quantity (Kg''s)]]%,"")</f>
        <v>27.488003100386411</v>
      </c>
      <c r="U30" s="5">
        <f>IFERROR(Table1[[#This Row],[Final Kernels (kg''s)]]/Table1[[#This Row],[Input Quantity (Kg''s)]]%,"")</f>
        <v>28.817065803421826</v>
      </c>
      <c r="V30" s="5">
        <f>IFERROR(Table1[[#This Row],[Wholes (kg''s)]]/Table1[[#This Row],[Good Kernels (kg''s)]]%,"")</f>
        <v>96.744832161887587</v>
      </c>
      <c r="W30" s="5">
        <f>IFERROR(Table1[[#This Row],[Pieces (kg''s)]]/Table1[[#This Row],[Good Kernels (kg''s)]]%,"")</f>
        <v>3.2551678381124174</v>
      </c>
      <c r="X30" s="5">
        <f>IFERROR(Table1[[#This Row],[First Pass Uncut (kg''s)]]/Table1[[#This Row],[Input Quantity (Kg''s)]]%,"")</f>
        <v>8.6374257674026289</v>
      </c>
      <c r="Y30" s="5">
        <f>IFERROR(Table1[[#This Row],[Final Uncut (kg''s)]]/Table1[[#This Row],[Input Quantity (Kg''s)]]%,"")</f>
        <v>0.85488595821317437</v>
      </c>
      <c r="Z30" s="21">
        <f>IFERROR(Table1[[#This Row],[Shell]]/Table1[[#This Row],[Input Quantity (Kg''s)]]%,"")</f>
        <v>69.682934196578188</v>
      </c>
      <c r="AA30" s="21">
        <f>IFERROR(Table1[[#This Row],[Shell Dust]]/Table1[[#This Row],[Input Quantity (Kg''s)]]%,"")</f>
        <v>1.5</v>
      </c>
    </row>
    <row r="31" spans="2:27" x14ac:dyDescent="0.3">
      <c r="B31" s="1">
        <v>46186</v>
      </c>
      <c r="C31" s="15">
        <f>WEEKNUM(Table1[[#This Row],[Date]])</f>
        <v>24</v>
      </c>
      <c r="D31" s="1" t="str">
        <f>TEXT(Table1[[#This Row],[Date]],"mmm-yy")</f>
        <v>Jun-26</v>
      </c>
      <c r="E31" s="1" t="s">
        <v>55</v>
      </c>
      <c r="F31" t="s">
        <v>51</v>
      </c>
      <c r="G31">
        <v>110708.45</v>
      </c>
      <c r="H31">
        <v>18213.099999999999</v>
      </c>
      <c r="I31" s="3">
        <v>601.45000000000005</v>
      </c>
      <c r="J31">
        <v>206.9</v>
      </c>
      <c r="K31">
        <v>291.2</v>
      </c>
      <c r="L31">
        <v>460</v>
      </c>
      <c r="M31" s="3">
        <v>6970.7</v>
      </c>
      <c r="N31" s="3">
        <v>0</v>
      </c>
      <c r="O31" s="3">
        <v>1332.7717500000001</v>
      </c>
      <c r="P31" s="3">
        <f>Table1[[#This Row],[Input Quantity (Kg''s)]]-SUM(Table1[[#This Row],[Wholes (kg''s)]:[Black Rejection (Kg''s)]],Table1[[#This Row],[Shell Dust]])</f>
        <v>89603.028250000003</v>
      </c>
      <c r="Q31" s="3">
        <f>SUM(Table1[[#This Row],[Wholes (kg''s)]:[Pieces (kg''s)]])</f>
        <v>18814.55</v>
      </c>
      <c r="R31" s="3">
        <f>SUM(Table1[[#This Row],[Wholes (kg''s)]:[Black Rejection (Kg''s)]])</f>
        <v>19772.650000000001</v>
      </c>
      <c r="S31" s="4">
        <f>IFERROR(Table1[[#This Row],[Good Kernels (kg''s)]]/Table1[[#This Row],[Input Quantity (Kg''s)]]*176.36,"")</f>
        <v>29.971822728978683</v>
      </c>
      <c r="T31" s="4">
        <f>IFERROR(Table1[[#This Row],[Good Kernels (kg''s)]]/Table1[[#This Row],[Input Quantity (Kg''s)]]%,"")</f>
        <v>16.994682881026698</v>
      </c>
      <c r="U31" s="5">
        <f>IFERROR(Table1[[#This Row],[Final Kernels (kg''s)]]/Table1[[#This Row],[Input Quantity (Kg''s)]]%,"")</f>
        <v>17.860109142527062</v>
      </c>
      <c r="V31" s="5">
        <f>IFERROR(Table1[[#This Row],[Wholes (kg''s)]]/Table1[[#This Row],[Good Kernels (kg''s)]]%,"")</f>
        <v>96.80327193581563</v>
      </c>
      <c r="W31" s="5">
        <f>IFERROR(Table1[[#This Row],[Pieces (kg''s)]]/Table1[[#This Row],[Good Kernels (kg''s)]]%,"")</f>
        <v>3.1967280641843683</v>
      </c>
      <c r="X31" s="5">
        <f>IFERROR(Table1[[#This Row],[First Pass Uncut (kg''s)]]/Table1[[#This Row],[Input Quantity (Kg''s)]]%,"")</f>
        <v>6.2964480127758993</v>
      </c>
      <c r="Y31" s="5">
        <f>IFERROR(Table1[[#This Row],[Final Uncut (kg''s)]]/Table1[[#This Row],[Input Quantity (Kg''s)]]%,"")</f>
        <v>0</v>
      </c>
      <c r="Z31" s="21">
        <f>IFERROR(Table1[[#This Row],[Shell]]/Table1[[#This Row],[Input Quantity (Kg''s)]]%,"")</f>
        <v>80.936033563833661</v>
      </c>
      <c r="AA31" s="21">
        <f>IFERROR(Table1[[#This Row],[Shell Dust]]/Table1[[#This Row],[Input Quantity (Kg''s)]]%,"")</f>
        <v>1.2038572936392842</v>
      </c>
    </row>
    <row r="32" spans="2:27" x14ac:dyDescent="0.3">
      <c r="B32" s="1">
        <v>46188</v>
      </c>
      <c r="C32" s="15">
        <f>WEEKNUM(Table1[[#This Row],[Date]])</f>
        <v>25</v>
      </c>
      <c r="D32" s="1" t="str">
        <f>TEXT(Table1[[#This Row],[Date]],"mmm-yy")</f>
        <v>Jun-26</v>
      </c>
      <c r="E32" s="1" t="s">
        <v>55</v>
      </c>
      <c r="F32" t="s">
        <v>51</v>
      </c>
      <c r="G32">
        <v>21857</v>
      </c>
      <c r="H32">
        <v>5710.6000000000022</v>
      </c>
      <c r="I32" s="3">
        <v>199.94999999999993</v>
      </c>
      <c r="L32">
        <v>380</v>
      </c>
      <c r="M32" s="3">
        <v>1689.1</v>
      </c>
      <c r="N32" s="3">
        <v>580</v>
      </c>
      <c r="O32" s="3">
        <v>327.85499999999996</v>
      </c>
      <c r="P32" s="3">
        <f>Table1[[#This Row],[Input Quantity (Kg''s)]]-SUM(Table1[[#This Row],[Wholes (kg''s)]:[Black Rejection (Kg''s)]],Table1[[#This Row],[Shell Dust]])</f>
        <v>15238.594999999998</v>
      </c>
      <c r="Q32" s="3">
        <f>SUM(Table1[[#This Row],[Wholes (kg''s)]:[Pieces (kg''s)]])</f>
        <v>5910.550000000002</v>
      </c>
      <c r="R32" s="3">
        <f>SUM(Table1[[#This Row],[Wholes (kg''s)]:[Black Rejection (Kg''s)]])</f>
        <v>6290.550000000002</v>
      </c>
      <c r="S32" s="4">
        <f>IFERROR(Table1[[#This Row],[Good Kernels (kg''s)]]/Table1[[#This Row],[Input Quantity (Kg''s)]]*176.36,"")</f>
        <v>47.691110307910527</v>
      </c>
      <c r="T32" s="4">
        <f>IFERROR(Table1[[#This Row],[Good Kernels (kg''s)]]/Table1[[#This Row],[Input Quantity (Kg''s)]]%,"")</f>
        <v>27.04190877064557</v>
      </c>
      <c r="U32" s="5">
        <f>IFERROR(Table1[[#This Row],[Final Kernels (kg''s)]]/Table1[[#This Row],[Input Quantity (Kg''s)]]%,"")</f>
        <v>28.780482225374033</v>
      </c>
      <c r="V32" s="5">
        <f>IFERROR(Table1[[#This Row],[Wholes (kg''s)]]/Table1[[#This Row],[Good Kernels (kg''s)]]%,"")</f>
        <v>96.617066093679952</v>
      </c>
      <c r="W32" s="5">
        <f>IFERROR(Table1[[#This Row],[Pieces (kg''s)]]/Table1[[#This Row],[Good Kernels (kg''s)]]%,"")</f>
        <v>3.3829339063200523</v>
      </c>
      <c r="X32" s="5">
        <f>IFERROR(Table1[[#This Row],[First Pass Uncut (kg''s)]]/Table1[[#This Row],[Input Quantity (Kg''s)]]%,"")</f>
        <v>7.7279590062680148</v>
      </c>
      <c r="Y32" s="5">
        <f>IFERROR(Table1[[#This Row],[Final Uncut (kg''s)]]/Table1[[#This Row],[Input Quantity (Kg''s)]]%,"")</f>
        <v>2.6536121151118635</v>
      </c>
      <c r="Z32" s="21">
        <f>IFERROR(Table1[[#This Row],[Shell]]/Table1[[#This Row],[Input Quantity (Kg''s)]]%,"")</f>
        <v>69.71951777462597</v>
      </c>
      <c r="AA32" s="21">
        <f>IFERROR(Table1[[#This Row],[Shell Dust]]/Table1[[#This Row],[Input Quantity (Kg''s)]]%,"")</f>
        <v>1.4999999999999998</v>
      </c>
    </row>
    <row r="33" spans="2:27" x14ac:dyDescent="0.3">
      <c r="B33" s="1">
        <v>46188</v>
      </c>
      <c r="C33" s="15">
        <f>WEEKNUM(Table1[[#This Row],[Date]])</f>
        <v>25</v>
      </c>
      <c r="D33" s="1" t="str">
        <f>TEXT(Table1[[#This Row],[Date]],"mmm-yy")</f>
        <v>Jun-26</v>
      </c>
      <c r="E33" t="s">
        <v>69</v>
      </c>
      <c r="F33" t="s">
        <v>52</v>
      </c>
      <c r="G33">
        <v>41137</v>
      </c>
      <c r="H33">
        <v>11514.9</v>
      </c>
      <c r="I33" s="3">
        <v>403.6</v>
      </c>
      <c r="J33">
        <v>343.8</v>
      </c>
      <c r="K33">
        <v>187.7</v>
      </c>
      <c r="L33">
        <v>280</v>
      </c>
      <c r="M33" s="3">
        <v>3272.5</v>
      </c>
      <c r="N33" s="3">
        <v>250</v>
      </c>
      <c r="O33" s="3">
        <v>617.05499999999995</v>
      </c>
      <c r="P33" s="3">
        <f>Table1[[#This Row],[Input Quantity (Kg''s)]]-SUM(Table1[[#This Row],[Wholes (kg''s)]:[Black Rejection (Kg''s)]],Table1[[#This Row],[Shell Dust]])</f>
        <v>27789.945</v>
      </c>
      <c r="Q33" s="3">
        <f>SUM(Table1[[#This Row],[Wholes (kg''s)]:[Pieces (kg''s)]])</f>
        <v>11918.5</v>
      </c>
      <c r="R33" s="3">
        <f>SUM(Table1[[#This Row],[Wholes (kg''s)]:[Black Rejection (Kg''s)]])</f>
        <v>12730</v>
      </c>
      <c r="S33" s="4">
        <f>IFERROR(Table1[[#This Row],[Good Kernels (kg''s)]]/Table1[[#This Row],[Input Quantity (Kg''s)]]*176.36,"")</f>
        <v>51.096255439142382</v>
      </c>
      <c r="T33" s="4">
        <f>IFERROR(Table1[[#This Row],[Good Kernels (kg''s)]]/Table1[[#This Row],[Input Quantity (Kg''s)]]%,"")</f>
        <v>28.97270097479155</v>
      </c>
      <c r="U33" s="5">
        <f>IFERROR(Table1[[#This Row],[Final Kernels (kg''s)]]/Table1[[#This Row],[Input Quantity (Kg''s)]]%,"")</f>
        <v>30.945377640566885</v>
      </c>
      <c r="V33" s="5">
        <f>IFERROR(Table1[[#This Row],[Wholes (kg''s)]]/Table1[[#This Row],[Good Kernels (kg''s)]]%,"")</f>
        <v>96.613667827327262</v>
      </c>
      <c r="W33" s="5">
        <f>IFERROR(Table1[[#This Row],[Pieces (kg''s)]]/Table1[[#This Row],[Good Kernels (kg''s)]]%,"")</f>
        <v>3.386332172672736</v>
      </c>
      <c r="X33" s="5">
        <f>IFERROR(Table1[[#This Row],[First Pass Uncut (kg''s)]]/Table1[[#This Row],[Input Quantity (Kg''s)]]%,"")</f>
        <v>7.9551255560687455</v>
      </c>
      <c r="Y33" s="5">
        <f>IFERROR(Table1[[#This Row],[Final Uncut (kg''s)]]/Table1[[#This Row],[Input Quantity (Kg''s)]]%,"")</f>
        <v>0.60772540535284536</v>
      </c>
      <c r="Z33" s="21">
        <f>IFERROR(Table1[[#This Row],[Shell]]/Table1[[#This Row],[Input Quantity (Kg''s)]]%,"")</f>
        <v>67.554622359433111</v>
      </c>
      <c r="AA33" s="21">
        <f>IFERROR(Table1[[#This Row],[Shell Dust]]/Table1[[#This Row],[Input Quantity (Kg''s)]]%,"")</f>
        <v>1.4999999999999998</v>
      </c>
    </row>
    <row r="34" spans="2:27" x14ac:dyDescent="0.3">
      <c r="B34" s="1">
        <v>46189</v>
      </c>
      <c r="C34" s="15">
        <f>WEEKNUM(Table1[[#This Row],[Date]])</f>
        <v>25</v>
      </c>
      <c r="D34" s="1" t="str">
        <f>TEXT(Table1[[#This Row],[Date]],"mmm-yy")</f>
        <v>Jun-26</v>
      </c>
      <c r="E34" t="s">
        <v>69</v>
      </c>
      <c r="F34" t="s">
        <v>70</v>
      </c>
      <c r="G34">
        <v>84707</v>
      </c>
      <c r="H34">
        <v>21927</v>
      </c>
      <c r="I34" s="3">
        <v>637.6</v>
      </c>
      <c r="J34">
        <v>161.80000000000001</v>
      </c>
      <c r="K34">
        <v>135.21</v>
      </c>
      <c r="L34">
        <v>480</v>
      </c>
      <c r="M34" s="3">
        <v>6782</v>
      </c>
      <c r="N34" s="3">
        <v>550</v>
      </c>
      <c r="O34" s="3">
        <v>1270.605</v>
      </c>
      <c r="P34" s="3">
        <f>Table1[[#This Row],[Input Quantity (Kg''s)]]-SUM(Table1[[#This Row],[Wholes (kg''s)]:[Black Rejection (Kg''s)]],Table1[[#This Row],[Shell Dust]])</f>
        <v>60094.785000000003</v>
      </c>
      <c r="Q34" s="3">
        <f>SUM(Table1[[#This Row],[Wholes (kg''s)]:[Pieces (kg''s)]])</f>
        <v>22564.6</v>
      </c>
      <c r="R34" s="3">
        <f>SUM(Table1[[#This Row],[Wholes (kg''s)]:[Black Rejection (Kg''s)]])</f>
        <v>23341.609999999997</v>
      </c>
      <c r="S34" s="4">
        <f>IFERROR(Table1[[#This Row],[Good Kernels (kg''s)]]/Table1[[#This Row],[Input Quantity (Kg''s)]]*176.36,"")</f>
        <v>46.979504125987233</v>
      </c>
      <c r="T34" s="4">
        <f>IFERROR(Table1[[#This Row],[Good Kernels (kg''s)]]/Table1[[#This Row],[Input Quantity (Kg''s)]]%,"")</f>
        <v>26.638412409836256</v>
      </c>
      <c r="U34" s="5">
        <f>IFERROR(Table1[[#This Row],[Final Kernels (kg''s)]]/Table1[[#This Row],[Input Quantity (Kg''s)]]%,"")</f>
        <v>27.555703778908466</v>
      </c>
      <c r="V34" s="5">
        <f>IFERROR(Table1[[#This Row],[Wholes (kg''s)]]/Table1[[#This Row],[Good Kernels (kg''s)]]%,"")</f>
        <v>97.174335020341601</v>
      </c>
      <c r="W34" s="5">
        <f>IFERROR(Table1[[#This Row],[Pieces (kg''s)]]/Table1[[#This Row],[Good Kernels (kg''s)]]%,"")</f>
        <v>2.8256649796584035</v>
      </c>
      <c r="X34" s="5">
        <f>IFERROR(Table1[[#This Row],[First Pass Uncut (kg''s)]]/Table1[[#This Row],[Input Quantity (Kg''s)]]%,"")</f>
        <v>8.0064221374856857</v>
      </c>
      <c r="Y34" s="5">
        <f>IFERROR(Table1[[#This Row],[Final Uncut (kg''s)]]/Table1[[#This Row],[Input Quantity (Kg''s)]]%,"")</f>
        <v>0.6492969884425136</v>
      </c>
      <c r="Z34" s="21">
        <f>IFERROR(Table1[[#This Row],[Shell]]/Table1[[#This Row],[Input Quantity (Kg''s)]]%,"")</f>
        <v>70.944296221091534</v>
      </c>
      <c r="AA34" s="21">
        <f>IFERROR(Table1[[#This Row],[Shell Dust]]/Table1[[#This Row],[Input Quantity (Kg''s)]]%,"")</f>
        <v>1.5</v>
      </c>
    </row>
    <row r="35" spans="2:27" x14ac:dyDescent="0.3">
      <c r="B35" s="1">
        <v>46190</v>
      </c>
      <c r="C35" s="15">
        <f>WEEKNUM(Table1[[#This Row],[Date]])</f>
        <v>25</v>
      </c>
      <c r="D35" s="1" t="str">
        <f>TEXT(Table1[[#This Row],[Date]],"mmm-yy")</f>
        <v>Jun-26</v>
      </c>
      <c r="E35" t="s">
        <v>69</v>
      </c>
      <c r="F35" t="s">
        <v>71</v>
      </c>
      <c r="G35">
        <v>88435</v>
      </c>
      <c r="H35">
        <v>23069</v>
      </c>
      <c r="I35" s="3">
        <v>637.6</v>
      </c>
      <c r="J35">
        <v>764</v>
      </c>
      <c r="K35">
        <v>69.5</v>
      </c>
      <c r="L35">
        <v>440</v>
      </c>
      <c r="M35" s="3">
        <v>6847.3</v>
      </c>
      <c r="N35" s="3">
        <v>550</v>
      </c>
      <c r="O35" s="3">
        <v>1326.5249999999999</v>
      </c>
      <c r="P35" s="3">
        <f>Table1[[#This Row],[Input Quantity (Kg''s)]]-SUM(Table1[[#This Row],[Wholes (kg''s)]:[Black Rejection (Kg''s)]],Table1[[#This Row],[Shell Dust]])</f>
        <v>62128.375</v>
      </c>
      <c r="Q35" s="3">
        <f>SUM(Table1[[#This Row],[Wholes (kg''s)]:[Pieces (kg''s)]])</f>
        <v>23706.6</v>
      </c>
      <c r="R35" s="3">
        <f>SUM(Table1[[#This Row],[Wholes (kg''s)]:[Black Rejection (Kg''s)]])</f>
        <v>24980.1</v>
      </c>
      <c r="S35" s="4">
        <f>IFERROR(Table1[[#This Row],[Good Kernels (kg''s)]]/Table1[[#This Row],[Input Quantity (Kg''s)]]*176.36,"")</f>
        <v>47.276485282976196</v>
      </c>
      <c r="T35" s="4">
        <f>IFERROR(Table1[[#This Row],[Good Kernels (kg''s)]]/Table1[[#This Row],[Input Quantity (Kg''s)]]%,"")</f>
        <v>26.806807259569172</v>
      </c>
      <c r="U35" s="5">
        <f>IFERROR(Table1[[#This Row],[Final Kernels (kg''s)]]/Table1[[#This Row],[Input Quantity (Kg''s)]]%,"")</f>
        <v>28.246847967433705</v>
      </c>
      <c r="V35" s="5">
        <f>IFERROR(Table1[[#This Row],[Wholes (kg''s)]]/Table1[[#This Row],[Good Kernels (kg''s)]]%,"")</f>
        <v>97.310453628947229</v>
      </c>
      <c r="W35" s="5">
        <f>IFERROR(Table1[[#This Row],[Pieces (kg''s)]]/Table1[[#This Row],[Good Kernels (kg''s)]]%,"")</f>
        <v>2.6895463710527876</v>
      </c>
      <c r="X35" s="5">
        <f>IFERROR(Table1[[#This Row],[First Pass Uncut (kg''s)]]/Table1[[#This Row],[Input Quantity (Kg''s)]]%,"")</f>
        <v>7.7427489116300103</v>
      </c>
      <c r="Y35" s="5">
        <f>IFERROR(Table1[[#This Row],[Final Uncut (kg''s)]]/Table1[[#This Row],[Input Quantity (Kg''s)]]%,"")</f>
        <v>0.62192570814722681</v>
      </c>
      <c r="Z35" s="21">
        <f>IFERROR(Table1[[#This Row],[Shell]]/Table1[[#This Row],[Input Quantity (Kg''s)]]%,"")</f>
        <v>70.253152032566291</v>
      </c>
      <c r="AA35" s="21">
        <f>IFERROR(Table1[[#This Row],[Shell Dust]]/Table1[[#This Row],[Input Quantity (Kg''s)]]%,"")</f>
        <v>1.4999999999999998</v>
      </c>
    </row>
    <row r="36" spans="2:27" x14ac:dyDescent="0.3">
      <c r="B36" s="1">
        <v>46191</v>
      </c>
      <c r="C36" s="15">
        <f>WEEKNUM(Table1[[#This Row],[Date]])</f>
        <v>25</v>
      </c>
      <c r="D36" s="1" t="str">
        <f>TEXT(Table1[[#This Row],[Date]],"mmm-yy")</f>
        <v>Jun-26</v>
      </c>
      <c r="E36" t="s">
        <v>69</v>
      </c>
      <c r="F36" t="s">
        <v>72</v>
      </c>
      <c r="G36">
        <v>97133</v>
      </c>
      <c r="H36">
        <v>24703.599999999999</v>
      </c>
      <c r="I36" s="3">
        <v>759</v>
      </c>
      <c r="J36">
        <v>96.6</v>
      </c>
      <c r="K36">
        <v>0</v>
      </c>
      <c r="L36">
        <v>840</v>
      </c>
      <c r="M36" s="3">
        <v>8334.7000000000007</v>
      </c>
      <c r="N36" s="3">
        <v>550</v>
      </c>
      <c r="O36" s="3">
        <v>1456.9949999999999</v>
      </c>
      <c r="P36" s="3">
        <f>Table1[[#This Row],[Input Quantity (Kg''s)]]-SUM(Table1[[#This Row],[Wholes (kg''s)]:[Black Rejection (Kg''s)]],Table1[[#This Row],[Shell Dust]])</f>
        <v>69276.805000000008</v>
      </c>
      <c r="Q36" s="3">
        <f>SUM(Table1[[#This Row],[Wholes (kg''s)]:[Pieces (kg''s)]])</f>
        <v>25462.6</v>
      </c>
      <c r="R36" s="3">
        <f>SUM(Table1[[#This Row],[Wholes (kg''s)]:[Black Rejection (Kg''s)]])</f>
        <v>26399.199999999997</v>
      </c>
      <c r="S36" s="4">
        <f>IFERROR(Table1[[#This Row],[Good Kernels (kg''s)]]/Table1[[#This Row],[Input Quantity (Kg''s)]]*176.36,"")</f>
        <v>46.231292516446523</v>
      </c>
      <c r="T36" s="4">
        <f>IFERROR(Table1[[#This Row],[Good Kernels (kg''s)]]/Table1[[#This Row],[Input Quantity (Kg''s)]]%,"")</f>
        <v>26.214159966231865</v>
      </c>
      <c r="U36" s="5">
        <f>IFERROR(Table1[[#This Row],[Final Kernels (kg''s)]]/Table1[[#This Row],[Input Quantity (Kg''s)]]%,"")</f>
        <v>27.178404867552732</v>
      </c>
      <c r="V36" s="5">
        <f>IFERROR(Table1[[#This Row],[Wholes (kg''s)]]/Table1[[#This Row],[Good Kernels (kg''s)]]%,"")</f>
        <v>97.019157509445222</v>
      </c>
      <c r="W36" s="5">
        <f>IFERROR(Table1[[#This Row],[Pieces (kg''s)]]/Table1[[#This Row],[Good Kernels (kg''s)]]%,"")</f>
        <v>2.9808424905547746</v>
      </c>
      <c r="X36" s="5">
        <f>IFERROR(Table1[[#This Row],[First Pass Uncut (kg''s)]]/Table1[[#This Row],[Input Quantity (Kg''s)]]%,"")</f>
        <v>8.5807089248762018</v>
      </c>
      <c r="Y36" s="5">
        <f>IFERROR(Table1[[#This Row],[Final Uncut (kg''s)]]/Table1[[#This Row],[Input Quantity (Kg''s)]]%,"")</f>
        <v>0.5662339266778541</v>
      </c>
      <c r="Z36" s="21">
        <f>IFERROR(Table1[[#This Row],[Shell]]/Table1[[#This Row],[Input Quantity (Kg''s)]]%,"")</f>
        <v>71.321595132447271</v>
      </c>
      <c r="AA36" s="21">
        <f>IFERROR(Table1[[#This Row],[Shell Dust]]/Table1[[#This Row],[Input Quantity (Kg''s)]]%,"")</f>
        <v>1.4999999999999998</v>
      </c>
    </row>
    <row r="37" spans="2:27" x14ac:dyDescent="0.3">
      <c r="B37" s="1">
        <v>46193</v>
      </c>
      <c r="C37" s="15">
        <f>WEEKNUM(Table1[[#This Row],[Date]])</f>
        <v>25</v>
      </c>
      <c r="D37" s="1" t="str">
        <f>TEXT(Table1[[#This Row],[Date]],"mmm-yy")</f>
        <v>Jun-26</v>
      </c>
      <c r="E37" t="s">
        <v>69</v>
      </c>
      <c r="F37" t="s">
        <v>73</v>
      </c>
      <c r="G37">
        <v>96965</v>
      </c>
      <c r="H37">
        <v>25862.5</v>
      </c>
      <c r="I37" s="3">
        <v>760.4</v>
      </c>
      <c r="J37">
        <v>262.10000000000002</v>
      </c>
      <c r="K37">
        <v>166.3</v>
      </c>
      <c r="L37">
        <v>779.4</v>
      </c>
      <c r="M37" s="3">
        <v>7549.2</v>
      </c>
      <c r="N37" s="3">
        <v>500</v>
      </c>
      <c r="O37" s="3">
        <v>1454.4749999999999</v>
      </c>
      <c r="P37" s="3">
        <f>Table1[[#This Row],[Input Quantity (Kg''s)]]-SUM(Table1[[#This Row],[Wholes (kg''s)]:[Black Rejection (Kg''s)]],Table1[[#This Row],[Shell Dust]])</f>
        <v>67679.824999999997</v>
      </c>
      <c r="Q37" s="3">
        <f>SUM(Table1[[#This Row],[Wholes (kg''s)]:[Pieces (kg''s)]])</f>
        <v>26622.9</v>
      </c>
      <c r="R37" s="3">
        <f>SUM(Table1[[#This Row],[Wholes (kg''s)]:[Black Rejection (Kg''s)]])</f>
        <v>27830.7</v>
      </c>
      <c r="S37" s="4">
        <f>IFERROR(Table1[[#This Row],[Good Kernels (kg''s)]]/Table1[[#This Row],[Input Quantity (Kg''s)]]*176.36,"")</f>
        <v>48.42174644459341</v>
      </c>
      <c r="T37" s="4">
        <f>IFERROR(Table1[[#This Row],[Good Kernels (kg''s)]]/Table1[[#This Row],[Input Quantity (Kg''s)]]%,"")</f>
        <v>27.456195534471203</v>
      </c>
      <c r="U37" s="5">
        <f>IFERROR(Table1[[#This Row],[Final Kernels (kg''s)]]/Table1[[#This Row],[Input Quantity (Kg''s)]]%,"")</f>
        <v>28.70179961841902</v>
      </c>
      <c r="V37" s="5">
        <f>IFERROR(Table1[[#This Row],[Wholes (kg''s)]]/Table1[[#This Row],[Good Kernels (kg''s)]]%,"")</f>
        <v>97.143812281907671</v>
      </c>
      <c r="W37" s="5">
        <f>IFERROR(Table1[[#This Row],[Pieces (kg''s)]]/Table1[[#This Row],[Good Kernels (kg''s)]]%,"")</f>
        <v>2.8561877180923183</v>
      </c>
      <c r="X37" s="5">
        <f>IFERROR(Table1[[#This Row],[First Pass Uncut (kg''s)]]/Table1[[#This Row],[Input Quantity (Kg''s)]]%,"")</f>
        <v>7.7854896096529673</v>
      </c>
      <c r="Y37" s="5">
        <f>IFERROR(Table1[[#This Row],[Final Uncut (kg''s)]]/Table1[[#This Row],[Input Quantity (Kg''s)]]%,"")</f>
        <v>0.51564997679575109</v>
      </c>
      <c r="Z37" s="21">
        <f>IFERROR(Table1[[#This Row],[Shell]]/Table1[[#This Row],[Input Quantity (Kg''s)]]%,"")</f>
        <v>69.798200381580983</v>
      </c>
      <c r="AA37" s="21">
        <f>IFERROR(Table1[[#This Row],[Shell Dust]]/Table1[[#This Row],[Input Quantity (Kg''s)]]%,"")</f>
        <v>1.5</v>
      </c>
    </row>
    <row r="38" spans="2:27" x14ac:dyDescent="0.3">
      <c r="B38" s="1">
        <v>46195</v>
      </c>
      <c r="C38" s="15">
        <f>WEEKNUM(Table1[[#This Row],[Date]])</f>
        <v>26</v>
      </c>
      <c r="D38" s="1" t="str">
        <f>TEXT(Table1[[#This Row],[Date]],"mmm-yy")</f>
        <v>Jun-26</v>
      </c>
      <c r="E38" t="s">
        <v>69</v>
      </c>
      <c r="F38" t="s">
        <v>74</v>
      </c>
      <c r="G38">
        <v>89645</v>
      </c>
      <c r="H38">
        <v>23910.2</v>
      </c>
      <c r="I38" s="3">
        <v>703</v>
      </c>
      <c r="J38">
        <v>242.3</v>
      </c>
      <c r="K38">
        <v>154</v>
      </c>
      <c r="L38">
        <v>720.5</v>
      </c>
      <c r="M38" s="3">
        <v>8150.9</v>
      </c>
      <c r="N38" s="3">
        <v>450</v>
      </c>
      <c r="O38" s="3">
        <v>1344.675</v>
      </c>
      <c r="P38" s="3">
        <f>Table1[[#This Row],[Input Quantity (Kg''s)]]-SUM(Table1[[#This Row],[Wholes (kg''s)]:[Black Rejection (Kg''s)]],Table1[[#This Row],[Shell Dust]])</f>
        <v>62570.324999999997</v>
      </c>
      <c r="Q38" s="3">
        <f>SUM(Table1[[#This Row],[Wholes (kg''s)]:[Pieces (kg''s)]])</f>
        <v>24613.200000000001</v>
      </c>
      <c r="R38" s="3">
        <f>SUM(Table1[[#This Row],[Wholes (kg''s)]:[Black Rejection (Kg''s)]])</f>
        <v>25730</v>
      </c>
      <c r="S38" s="4">
        <f>IFERROR(Table1[[#This Row],[Good Kernels (kg''s)]]/Table1[[#This Row],[Input Quantity (Kg''s)]]*176.36,"")</f>
        <v>48.421930414412408</v>
      </c>
      <c r="T38" s="4">
        <f>IFERROR(Table1[[#This Row],[Good Kernels (kg''s)]]/Table1[[#This Row],[Input Quantity (Kg''s)]]%,"")</f>
        <v>27.45629984940599</v>
      </c>
      <c r="U38" s="5">
        <f>IFERROR(Table1[[#This Row],[Final Kernels (kg''s)]]/Table1[[#This Row],[Input Quantity (Kg''s)]]%,"")</f>
        <v>28.702102738579953</v>
      </c>
      <c r="V38" s="5">
        <f>IFERROR(Table1[[#This Row],[Wholes (kg''s)]]/Table1[[#This Row],[Good Kernels (kg''s)]]%,"")</f>
        <v>97.143809013049903</v>
      </c>
      <c r="W38" s="5">
        <f>IFERROR(Table1[[#This Row],[Pieces (kg''s)]]/Table1[[#This Row],[Good Kernels (kg''s)]]%,"")</f>
        <v>2.8561909869500917</v>
      </c>
      <c r="X38" s="5">
        <f>IFERROR(Table1[[#This Row],[First Pass Uncut (kg''s)]]/Table1[[#This Row],[Input Quantity (Kg''s)]]%,"")</f>
        <v>9.0924201015115163</v>
      </c>
      <c r="Y38" s="5">
        <f>IFERROR(Table1[[#This Row],[Final Uncut (kg''s)]]/Table1[[#This Row],[Input Quantity (Kg''s)]]%,"")</f>
        <v>0.50198003234982425</v>
      </c>
      <c r="Z38" s="21">
        <f>IFERROR(Table1[[#This Row],[Shell]]/Table1[[#This Row],[Input Quantity (Kg''s)]]%,"")</f>
        <v>69.797897261420033</v>
      </c>
      <c r="AA38" s="21">
        <f>IFERROR(Table1[[#This Row],[Shell Dust]]/Table1[[#This Row],[Input Quantity (Kg''s)]]%,"")</f>
        <v>1.4999999999999998</v>
      </c>
    </row>
    <row r="39" spans="2:27" x14ac:dyDescent="0.3">
      <c r="B39" s="1">
        <v>46196</v>
      </c>
      <c r="C39" s="15">
        <f>WEEKNUM(Table1[[#This Row],[Date]])</f>
        <v>26</v>
      </c>
      <c r="D39" s="1" t="str">
        <f>TEXT(Table1[[#This Row],[Date]],"mmm-yy")</f>
        <v>Jun-26</v>
      </c>
      <c r="E39" t="s">
        <v>69</v>
      </c>
      <c r="F39" t="s">
        <v>75</v>
      </c>
      <c r="G39">
        <v>97699</v>
      </c>
      <c r="H39">
        <v>26198.1</v>
      </c>
      <c r="I39" s="3">
        <v>764.1</v>
      </c>
      <c r="J39">
        <v>484.4</v>
      </c>
      <c r="K39">
        <v>248.4</v>
      </c>
      <c r="L39">
        <v>850</v>
      </c>
      <c r="M39" s="3">
        <v>7753.7</v>
      </c>
      <c r="N39" s="3">
        <v>655</v>
      </c>
      <c r="O39" s="3">
        <v>1465.4849999999999</v>
      </c>
      <c r="P39" s="3">
        <f>Table1[[#This Row],[Input Quantity (Kg''s)]]-SUM(Table1[[#This Row],[Wholes (kg''s)]:[Black Rejection (Kg''s)]],Table1[[#This Row],[Shell Dust]])</f>
        <v>67688.514999999999</v>
      </c>
      <c r="Q39" s="3">
        <f>SUM(Table1[[#This Row],[Wholes (kg''s)]:[Pieces (kg''s)]])</f>
        <v>26962.199999999997</v>
      </c>
      <c r="R39" s="3">
        <f>SUM(Table1[[#This Row],[Wholes (kg''s)]:[Black Rejection (Kg''s)]])</f>
        <v>28545</v>
      </c>
      <c r="S39" s="4">
        <f>IFERROR(Table1[[#This Row],[Good Kernels (kg''s)]]/Table1[[#This Row],[Input Quantity (Kg''s)]]*176.36,"")</f>
        <v>48.670442809035912</v>
      </c>
      <c r="T39" s="4">
        <f>IFERROR(Table1[[#This Row],[Good Kernels (kg''s)]]/Table1[[#This Row],[Input Quantity (Kg''s)]]%,"")</f>
        <v>27.59721184454293</v>
      </c>
      <c r="U39" s="5">
        <f>IFERROR(Table1[[#This Row],[Final Kernels (kg''s)]]/Table1[[#This Row],[Input Quantity (Kg''s)]]%,"")</f>
        <v>29.217289839199992</v>
      </c>
      <c r="V39" s="5">
        <f>IFERROR(Table1[[#This Row],[Wholes (kg''s)]]/Table1[[#This Row],[Good Kernels (kg''s)]]%,"")</f>
        <v>97.166032445423596</v>
      </c>
      <c r="W39" s="5">
        <f>IFERROR(Table1[[#This Row],[Pieces (kg''s)]]/Table1[[#This Row],[Good Kernels (kg''s)]]%,"")</f>
        <v>2.8339675545764074</v>
      </c>
      <c r="X39" s="5">
        <f>IFERROR(Table1[[#This Row],[First Pass Uncut (kg''s)]]/Table1[[#This Row],[Input Quantity (Kg''s)]]%,"")</f>
        <v>7.9363145989211761</v>
      </c>
      <c r="Y39" s="5">
        <f>IFERROR(Table1[[#This Row],[Final Uncut (kg''s)]]/Table1[[#This Row],[Input Quantity (Kg''s)]]%,"")</f>
        <v>0.67042651408919229</v>
      </c>
      <c r="Z39" s="21">
        <f>IFERROR(Table1[[#This Row],[Shell]]/Table1[[#This Row],[Input Quantity (Kg''s)]]%,"")</f>
        <v>69.282710160800008</v>
      </c>
      <c r="AA39" s="21">
        <f>IFERROR(Table1[[#This Row],[Shell Dust]]/Table1[[#This Row],[Input Quantity (Kg''s)]]%,"")</f>
        <v>1.4999999999999998</v>
      </c>
    </row>
    <row r="40" spans="2:27" x14ac:dyDescent="0.3">
      <c r="B40" s="1">
        <v>46197</v>
      </c>
      <c r="C40" s="15">
        <f>WEEKNUM(Table1[[#This Row],[Date]])</f>
        <v>26</v>
      </c>
      <c r="D40" s="1" t="str">
        <f>TEXT(Table1[[#This Row],[Date]],"mmm-yy")</f>
        <v>Jun-26</v>
      </c>
      <c r="E40" t="s">
        <v>69</v>
      </c>
      <c r="F40" t="s">
        <v>76</v>
      </c>
      <c r="G40">
        <v>108954</v>
      </c>
      <c r="H40">
        <v>27407.599999999999</v>
      </c>
      <c r="I40" s="3">
        <v>927.7</v>
      </c>
      <c r="J40">
        <v>396.6</v>
      </c>
      <c r="K40">
        <v>250</v>
      </c>
      <c r="L40">
        <v>1450</v>
      </c>
      <c r="M40" s="3">
        <v>8097.5</v>
      </c>
      <c r="N40" s="3">
        <v>750</v>
      </c>
      <c r="O40" s="3">
        <v>1634.31</v>
      </c>
      <c r="P40" s="3">
        <f>Table1[[#This Row],[Input Quantity (Kg''s)]]-SUM(Table1[[#This Row],[Wholes (kg''s)]:[Black Rejection (Kg''s)]],Table1[[#This Row],[Shell Dust]])</f>
        <v>76887.790000000008</v>
      </c>
      <c r="Q40" s="3">
        <f>SUM(Table1[[#This Row],[Wholes (kg''s)]:[Pieces (kg''s)]])</f>
        <v>28335.3</v>
      </c>
      <c r="R40" s="3">
        <f>SUM(Table1[[#This Row],[Wholes (kg''s)]:[Black Rejection (Kg''s)]])</f>
        <v>30431.899999999998</v>
      </c>
      <c r="S40" s="4">
        <f>IFERROR(Table1[[#This Row],[Good Kernels (kg''s)]]/Table1[[#This Row],[Input Quantity (Kg''s)]]*176.36,"")</f>
        <v>45.865351506140208</v>
      </c>
      <c r="T40" s="4">
        <f>IFERROR(Table1[[#This Row],[Good Kernels (kg''s)]]/Table1[[#This Row],[Input Quantity (Kg''s)]]%,"")</f>
        <v>26.006663362519962</v>
      </c>
      <c r="U40" s="5">
        <f>IFERROR(Table1[[#This Row],[Final Kernels (kg''s)]]/Table1[[#This Row],[Input Quantity (Kg''s)]]%,"")</f>
        <v>27.930961690254602</v>
      </c>
      <c r="V40" s="5">
        <f>IFERROR(Table1[[#This Row],[Wholes (kg''s)]]/Table1[[#This Row],[Good Kernels (kg''s)]]%,"")</f>
        <v>96.725991960558019</v>
      </c>
      <c r="W40" s="5">
        <f>IFERROR(Table1[[#This Row],[Pieces (kg''s)]]/Table1[[#This Row],[Good Kernels (kg''s)]]%,"")</f>
        <v>3.2740080394419682</v>
      </c>
      <c r="X40" s="5">
        <f>IFERROR(Table1[[#This Row],[First Pass Uncut (kg''s)]]/Table1[[#This Row],[Input Quantity (Kg''s)]]%,"")</f>
        <v>7.43203553793344</v>
      </c>
      <c r="Y40" s="5">
        <f>IFERROR(Table1[[#This Row],[Final Uncut (kg''s)]]/Table1[[#This Row],[Input Quantity (Kg''s)]]%,"")</f>
        <v>0.68836389669034637</v>
      </c>
      <c r="Z40" s="21">
        <f>IFERROR(Table1[[#This Row],[Shell]]/Table1[[#This Row],[Input Quantity (Kg''s)]]%,"")</f>
        <v>70.569038309745409</v>
      </c>
      <c r="AA40" s="21">
        <f>IFERROR(Table1[[#This Row],[Shell Dust]]/Table1[[#This Row],[Input Quantity (Kg''s)]]%,"")</f>
        <v>1.5</v>
      </c>
    </row>
    <row r="41" spans="2:27" x14ac:dyDescent="0.3">
      <c r="B41" s="1">
        <v>46198</v>
      </c>
      <c r="C41" s="15">
        <f>WEEKNUM(Table1[[#This Row],[Date]])</f>
        <v>26</v>
      </c>
      <c r="D41" s="1" t="str">
        <f>TEXT(Table1[[#This Row],[Date]],"mmm-yy")</f>
        <v>Jun-26</v>
      </c>
      <c r="E41" t="s">
        <v>69</v>
      </c>
      <c r="F41" t="s">
        <v>77</v>
      </c>
      <c r="G41">
        <v>118746</v>
      </c>
      <c r="H41">
        <v>30421.5</v>
      </c>
      <c r="I41" s="3">
        <v>1110.5</v>
      </c>
      <c r="J41">
        <v>515.1</v>
      </c>
      <c r="K41">
        <v>436.3</v>
      </c>
      <c r="L41">
        <v>1040</v>
      </c>
      <c r="M41" s="3">
        <v>8849.1</v>
      </c>
      <c r="N41" s="3">
        <v>2200</v>
      </c>
      <c r="O41" s="3">
        <v>1781.1899999999998</v>
      </c>
      <c r="P41" s="3">
        <f>Table1[[#This Row],[Input Quantity (Kg''s)]]-SUM(Table1[[#This Row],[Wholes (kg''s)]:[Black Rejection (Kg''s)]],Table1[[#This Row],[Shell Dust]])</f>
        <v>83441.41</v>
      </c>
      <c r="Q41" s="3">
        <f>SUM(Table1[[#This Row],[Wholes (kg''s)]:[Pieces (kg''s)]])</f>
        <v>31532</v>
      </c>
      <c r="R41" s="3">
        <f>SUM(Table1[[#This Row],[Wholes (kg''s)]:[Black Rejection (Kg''s)]])</f>
        <v>33523.399999999994</v>
      </c>
      <c r="S41" s="4">
        <f>IFERROR(Table1[[#This Row],[Good Kernels (kg''s)]]/Table1[[#This Row],[Input Quantity (Kg''s)]]*176.36,"")</f>
        <v>46.830912367574484</v>
      </c>
      <c r="T41" s="4">
        <f>IFERROR(Table1[[#This Row],[Good Kernels (kg''s)]]/Table1[[#This Row],[Input Quantity (Kg''s)]]%,"")</f>
        <v>26.554157613730148</v>
      </c>
      <c r="U41" s="5">
        <f>IFERROR(Table1[[#This Row],[Final Kernels (kg''s)]]/Table1[[#This Row],[Input Quantity (Kg''s)]]%,"")</f>
        <v>28.231182524042911</v>
      </c>
      <c r="V41" s="5">
        <f>IFERROR(Table1[[#This Row],[Wholes (kg''s)]]/Table1[[#This Row],[Good Kernels (kg''s)]]%,"")</f>
        <v>96.478180895598129</v>
      </c>
      <c r="W41" s="5">
        <f>IFERROR(Table1[[#This Row],[Pieces (kg''s)]]/Table1[[#This Row],[Good Kernels (kg''s)]]%,"")</f>
        <v>3.5218191044018776</v>
      </c>
      <c r="X41" s="5">
        <f>IFERROR(Table1[[#This Row],[First Pass Uncut (kg''s)]]/Table1[[#This Row],[Input Quantity (Kg''s)]]%,"")</f>
        <v>7.4521247031478959</v>
      </c>
      <c r="Y41" s="5">
        <f>IFERROR(Table1[[#This Row],[Final Uncut (kg''s)]]/Table1[[#This Row],[Input Quantity (Kg''s)]]%,"")</f>
        <v>1.8526939854816162</v>
      </c>
      <c r="Z41" s="21">
        <f>IFERROR(Table1[[#This Row],[Shell]]/Table1[[#This Row],[Input Quantity (Kg''s)]]%,"")</f>
        <v>70.268817475957093</v>
      </c>
      <c r="AA41" s="21">
        <f>IFERROR(Table1[[#This Row],[Shell Dust]]/Table1[[#This Row],[Input Quantity (Kg''s)]]%,"")</f>
        <v>1.4999999999999998</v>
      </c>
    </row>
    <row r="42" spans="2:27" x14ac:dyDescent="0.3">
      <c r="B42" s="1">
        <v>46199</v>
      </c>
      <c r="C42" s="15">
        <f>WEEKNUM(Table1[[#This Row],[Date]])</f>
        <v>26</v>
      </c>
      <c r="D42" s="1" t="str">
        <f>TEXT(Table1[[#This Row],[Date]],"mmm-yy")</f>
        <v>Jun-26</v>
      </c>
      <c r="E42" t="s">
        <v>69</v>
      </c>
      <c r="F42" t="s">
        <v>78</v>
      </c>
      <c r="G42">
        <v>16586</v>
      </c>
      <c r="H42">
        <v>4455.7</v>
      </c>
      <c r="I42" s="3">
        <v>149.69999999999999</v>
      </c>
      <c r="J42">
        <v>98.8</v>
      </c>
      <c r="K42">
        <v>47.9</v>
      </c>
      <c r="L42">
        <v>49.3</v>
      </c>
      <c r="M42" s="3">
        <v>1496.7</v>
      </c>
      <c r="N42" s="3">
        <v>50</v>
      </c>
      <c r="O42" s="3">
        <v>248.79</v>
      </c>
      <c r="P42" s="3">
        <f>Table1[[#This Row],[Input Quantity (Kg''s)]]-SUM(Table1[[#This Row],[Wholes (kg''s)]:[Black Rejection (Kg''s)]],Table1[[#This Row],[Shell Dust]])</f>
        <v>11535.810000000001</v>
      </c>
      <c r="Q42" s="3">
        <f>SUM(Table1[[#This Row],[Wholes (kg''s)]:[Pieces (kg''s)]])</f>
        <v>4605.3999999999996</v>
      </c>
      <c r="R42" s="3">
        <f>SUM(Table1[[#This Row],[Wholes (kg''s)]:[Black Rejection (Kg''s)]])</f>
        <v>4801.3999999999996</v>
      </c>
      <c r="S42" s="4">
        <f>IFERROR(Table1[[#This Row],[Good Kernels (kg''s)]]/Table1[[#This Row],[Input Quantity (Kg''s)]]*176.36,"")</f>
        <v>48.969513083323285</v>
      </c>
      <c r="T42" s="4">
        <f>IFERROR(Table1[[#This Row],[Good Kernels (kg''s)]]/Table1[[#This Row],[Input Quantity (Kg''s)]]%,"")</f>
        <v>27.766791269745564</v>
      </c>
      <c r="U42" s="5">
        <f>IFERROR(Table1[[#This Row],[Final Kernels (kg''s)]]/Table1[[#This Row],[Input Quantity (Kg''s)]]%,"")</f>
        <v>28.948510792234408</v>
      </c>
      <c r="V42" s="5">
        <f>IFERROR(Table1[[#This Row],[Wholes (kg''s)]]/Table1[[#This Row],[Good Kernels (kg''s)]]%,"")</f>
        <v>96.749468015807537</v>
      </c>
      <c r="W42" s="5">
        <f>IFERROR(Table1[[#This Row],[Pieces (kg''s)]]/Table1[[#This Row],[Good Kernels (kg''s)]]%,"")</f>
        <v>3.2505319841924698</v>
      </c>
      <c r="X42" s="5">
        <f>IFERROR(Table1[[#This Row],[First Pass Uncut (kg''s)]]/Table1[[#This Row],[Input Quantity (Kg''s)]]%,"")</f>
        <v>9.0238755576992631</v>
      </c>
      <c r="Y42" s="5">
        <f>IFERROR(Table1[[#This Row],[Final Uncut (kg''s)]]/Table1[[#This Row],[Input Quantity (Kg''s)]]%,"")</f>
        <v>0.30145906185939947</v>
      </c>
      <c r="Z42" s="21">
        <f>IFERROR(Table1[[#This Row],[Shell]]/Table1[[#This Row],[Input Quantity (Kg''s)]]%,"")</f>
        <v>69.551489207765584</v>
      </c>
      <c r="AA42" s="21">
        <f>IFERROR(Table1[[#This Row],[Shell Dust]]/Table1[[#This Row],[Input Quantity (Kg''s)]]%,"")</f>
        <v>1.4999999999999998</v>
      </c>
    </row>
    <row r="43" spans="2:27" x14ac:dyDescent="0.3">
      <c r="B43" s="1">
        <v>46199</v>
      </c>
      <c r="C43" s="15">
        <f>WEEKNUM(Table1[[#This Row],[Date]])</f>
        <v>26</v>
      </c>
      <c r="D43" s="1" t="str">
        <f>TEXT(Table1[[#This Row],[Date]],"mmm-yy")</f>
        <v>Jun-26</v>
      </c>
      <c r="E43" t="s">
        <v>85</v>
      </c>
      <c r="F43" t="s">
        <v>79</v>
      </c>
      <c r="G43">
        <v>37208</v>
      </c>
      <c r="H43">
        <v>9995.7999999999993</v>
      </c>
      <c r="I43" s="3">
        <v>335.9</v>
      </c>
      <c r="J43">
        <v>221.7</v>
      </c>
      <c r="K43">
        <v>107.6</v>
      </c>
      <c r="L43">
        <v>110.7</v>
      </c>
      <c r="M43" s="3">
        <v>1496.7</v>
      </c>
      <c r="N43" s="3">
        <v>100</v>
      </c>
      <c r="O43" s="3">
        <v>558.12</v>
      </c>
      <c r="P43" s="3">
        <f>Table1[[#This Row],[Input Quantity (Kg''s)]]-SUM(Table1[[#This Row],[Wholes (kg''s)]:[Black Rejection (Kg''s)]],Table1[[#This Row],[Shell Dust]])</f>
        <v>25878.18</v>
      </c>
      <c r="Q43" s="3">
        <f>SUM(Table1[[#This Row],[Wholes (kg''s)]:[Pieces (kg''s)]])</f>
        <v>10331.699999999999</v>
      </c>
      <c r="R43" s="3">
        <f>SUM(Table1[[#This Row],[Wholes (kg''s)]:[Black Rejection (Kg''s)]])</f>
        <v>10771.7</v>
      </c>
      <c r="S43" s="4">
        <f>IFERROR(Table1[[#This Row],[Good Kernels (kg''s)]]/Table1[[#This Row],[Input Quantity (Kg''s)]]*176.36,"")</f>
        <v>48.970614168995915</v>
      </c>
      <c r="T43" s="4">
        <f>IFERROR(Table1[[#This Row],[Good Kernels (kg''s)]]/Table1[[#This Row],[Input Quantity (Kg''s)]]%,"")</f>
        <v>27.767415609546333</v>
      </c>
      <c r="U43" s="5">
        <f>IFERROR(Table1[[#This Row],[Final Kernels (kg''s)]]/Table1[[#This Row],[Input Quantity (Kg''s)]]%,"")</f>
        <v>28.949956998494951</v>
      </c>
      <c r="V43" s="5">
        <f>IFERROR(Table1[[#This Row],[Wholes (kg''s)]]/Table1[[#This Row],[Good Kernels (kg''s)]]%,"")</f>
        <v>96.748840945826927</v>
      </c>
      <c r="W43" s="5">
        <f>IFERROR(Table1[[#This Row],[Pieces (kg''s)]]/Table1[[#This Row],[Good Kernels (kg''s)]]%,"")</f>
        <v>3.2511590541730788</v>
      </c>
      <c r="X43" s="5">
        <f>IFERROR(Table1[[#This Row],[First Pass Uncut (kg''s)]]/Table1[[#This Row],[Input Quantity (Kg''s)]]%,"")</f>
        <v>4.0225220382713394</v>
      </c>
      <c r="Y43" s="5">
        <f>IFERROR(Table1[[#This Row],[Final Uncut (kg''s)]]/Table1[[#This Row],[Input Quantity (Kg''s)]]%,"")</f>
        <v>0.26875940657923031</v>
      </c>
      <c r="Z43" s="21">
        <f>IFERROR(Table1[[#This Row],[Shell]]/Table1[[#This Row],[Input Quantity (Kg''s)]]%,"")</f>
        <v>69.55004300150506</v>
      </c>
      <c r="AA43" s="21">
        <f>IFERROR(Table1[[#This Row],[Shell Dust]]/Table1[[#This Row],[Input Quantity (Kg''s)]]%,"")</f>
        <v>1.5</v>
      </c>
    </row>
    <row r="44" spans="2:27" x14ac:dyDescent="0.3">
      <c r="B44" s="1">
        <v>46200</v>
      </c>
      <c r="C44" s="15">
        <f>WEEKNUM(Table1[[#This Row],[Date]])</f>
        <v>26</v>
      </c>
      <c r="D44" s="1" t="str">
        <f>TEXT(Table1[[#This Row],[Date]],"mmm-yy")</f>
        <v>Jun-26</v>
      </c>
      <c r="E44" t="s">
        <v>85</v>
      </c>
      <c r="F44" t="s">
        <v>80</v>
      </c>
      <c r="G44">
        <v>108774</v>
      </c>
      <c r="H44">
        <v>29119.9</v>
      </c>
      <c r="I44" s="3">
        <v>982.1</v>
      </c>
      <c r="J44">
        <v>547.20000000000005</v>
      </c>
      <c r="K44">
        <v>356.5</v>
      </c>
      <c r="L44">
        <v>450</v>
      </c>
      <c r="M44" s="3">
        <v>1496.7</v>
      </c>
      <c r="N44" s="3">
        <v>750</v>
      </c>
      <c r="O44" s="3">
        <v>1631.61</v>
      </c>
      <c r="P44" s="3">
        <f>Table1[[#This Row],[Input Quantity (Kg''s)]]-SUM(Table1[[#This Row],[Wholes (kg''s)]:[Black Rejection (Kg''s)]],Table1[[#This Row],[Shell Dust]])</f>
        <v>75686.69</v>
      </c>
      <c r="Q44" s="3">
        <f>SUM(Table1[[#This Row],[Wholes (kg''s)]:[Pieces (kg''s)]])</f>
        <v>30102</v>
      </c>
      <c r="R44" s="3">
        <f>SUM(Table1[[#This Row],[Wholes (kg''s)]:[Black Rejection (Kg''s)]])</f>
        <v>31455.7</v>
      </c>
      <c r="S44" s="4">
        <f>IFERROR(Table1[[#This Row],[Good Kernels (kg''s)]]/Table1[[#This Row],[Input Quantity (Kg''s)]]*176.36,"")</f>
        <v>48.805677091952127</v>
      </c>
      <c r="T44" s="4">
        <f>IFERROR(Table1[[#This Row],[Good Kernels (kg''s)]]/Table1[[#This Row],[Input Quantity (Kg''s)]]%,"")</f>
        <v>27.67389265817199</v>
      </c>
      <c r="U44" s="5">
        <f>IFERROR(Table1[[#This Row],[Final Kernels (kg''s)]]/Table1[[#This Row],[Input Quantity (Kg''s)]]%,"")</f>
        <v>28.918399617555668</v>
      </c>
      <c r="V44" s="5">
        <f>IFERROR(Table1[[#This Row],[Wholes (kg''s)]]/Table1[[#This Row],[Good Kernels (kg''s)]]%,"")</f>
        <v>96.737426084645548</v>
      </c>
      <c r="W44" s="5">
        <f>IFERROR(Table1[[#This Row],[Pieces (kg''s)]]/Table1[[#This Row],[Good Kernels (kg''s)]]%,"")</f>
        <v>3.2625739153544617</v>
      </c>
      <c r="X44" s="5">
        <f>IFERROR(Table1[[#This Row],[First Pass Uncut (kg''s)]]/Table1[[#This Row],[Input Quantity (Kg''s)]]%,"")</f>
        <v>1.3759721992387888</v>
      </c>
      <c r="Y44" s="5">
        <f>IFERROR(Table1[[#This Row],[Final Uncut (kg''s)]]/Table1[[#This Row],[Input Quantity (Kg''s)]]%,"")</f>
        <v>0.68950300623310712</v>
      </c>
      <c r="Z44" s="21">
        <f>IFERROR(Table1[[#This Row],[Shell]]/Table1[[#This Row],[Input Quantity (Kg''s)]]%,"")</f>
        <v>69.581600382444336</v>
      </c>
      <c r="AA44" s="21">
        <f>IFERROR(Table1[[#This Row],[Shell Dust]]/Table1[[#This Row],[Input Quantity (Kg''s)]]%,"")</f>
        <v>1.5</v>
      </c>
    </row>
    <row r="45" spans="2:27" x14ac:dyDescent="0.3">
      <c r="B45" s="1">
        <v>46202</v>
      </c>
      <c r="C45" s="15">
        <f>WEEKNUM(Table1[[#This Row],[Date]])</f>
        <v>27</v>
      </c>
      <c r="D45" s="1" t="str">
        <f>TEXT(Table1[[#This Row],[Date]],"mmm-yy")</f>
        <v>Jun-26</v>
      </c>
      <c r="E45" t="s">
        <v>85</v>
      </c>
      <c r="F45" t="s">
        <v>81</v>
      </c>
      <c r="G45">
        <v>111122</v>
      </c>
      <c r="H45">
        <v>29726.5</v>
      </c>
      <c r="I45" s="3">
        <v>968.54</v>
      </c>
      <c r="J45">
        <v>293.7</v>
      </c>
      <c r="K45">
        <v>44.5</v>
      </c>
      <c r="L45">
        <v>800</v>
      </c>
      <c r="M45" s="3">
        <v>3440.8</v>
      </c>
      <c r="N45" s="3">
        <v>780</v>
      </c>
      <c r="O45" s="3">
        <v>1666.83</v>
      </c>
      <c r="P45" s="3">
        <f>Table1[[#This Row],[Input Quantity (Kg''s)]]-SUM(Table1[[#This Row],[Wholes (kg''s)]:[Black Rejection (Kg''s)]],Table1[[#This Row],[Shell Dust]])</f>
        <v>77621.929999999993</v>
      </c>
      <c r="Q45" s="3">
        <f>SUM(Table1[[#This Row],[Wholes (kg''s)]:[Pieces (kg''s)]])</f>
        <v>30695.040000000001</v>
      </c>
      <c r="R45" s="3">
        <f>SUM(Table1[[#This Row],[Wholes (kg''s)]:[Black Rejection (Kg''s)]])</f>
        <v>31833.24</v>
      </c>
      <c r="S45" s="4">
        <f>IFERROR(Table1[[#This Row],[Good Kernels (kg''s)]]/Table1[[#This Row],[Input Quantity (Kg''s)]]*176.36,"")</f>
        <v>48.715621158726442</v>
      </c>
      <c r="T45" s="4">
        <f>IFERROR(Table1[[#This Row],[Good Kernels (kg''s)]]/Table1[[#This Row],[Input Quantity (Kg''s)]]%,"")</f>
        <v>27.622828962761648</v>
      </c>
      <c r="U45" s="5">
        <f>IFERROR(Table1[[#This Row],[Final Kernels (kg''s)]]/Table1[[#This Row],[Input Quantity (Kg''s)]]%,"")</f>
        <v>28.647108583358833</v>
      </c>
      <c r="V45" s="5">
        <f>IFERROR(Table1[[#This Row],[Wholes (kg''s)]]/Table1[[#This Row],[Good Kernels (kg''s)]]%,"")</f>
        <v>96.844636788223767</v>
      </c>
      <c r="W45" s="5">
        <f>IFERROR(Table1[[#This Row],[Pieces (kg''s)]]/Table1[[#This Row],[Good Kernels (kg''s)]]%,"")</f>
        <v>3.1553632117762347</v>
      </c>
      <c r="X45" s="5">
        <f>IFERROR(Table1[[#This Row],[First Pass Uncut (kg''s)]]/Table1[[#This Row],[Input Quantity (Kg''s)]]%,"")</f>
        <v>3.0964165511779846</v>
      </c>
      <c r="Y45" s="5">
        <f>IFERROR(Table1[[#This Row],[Final Uncut (kg''s)]]/Table1[[#This Row],[Input Quantity (Kg''s)]]%,"")</f>
        <v>0.70193121074134734</v>
      </c>
      <c r="Z45" s="21">
        <f>IFERROR(Table1[[#This Row],[Shell]]/Table1[[#This Row],[Input Quantity (Kg''s)]]%,"")</f>
        <v>69.852891416641157</v>
      </c>
      <c r="AA45" s="21">
        <f>IFERROR(Table1[[#This Row],[Shell Dust]]/Table1[[#This Row],[Input Quantity (Kg''s)]]%,"")</f>
        <v>1.5</v>
      </c>
    </row>
    <row r="46" spans="2:27" x14ac:dyDescent="0.3">
      <c r="B46" s="1">
        <v>46203</v>
      </c>
      <c r="C46" s="15">
        <f>WEEKNUM(Table1[[#This Row],[Date]])</f>
        <v>27</v>
      </c>
      <c r="D46" s="1" t="str">
        <f>TEXT(Table1[[#This Row],[Date]],"mmm-yy")</f>
        <v>Jun-26</v>
      </c>
      <c r="E46" t="s">
        <v>85</v>
      </c>
      <c r="F46" t="s">
        <v>82</v>
      </c>
      <c r="G46">
        <v>100469</v>
      </c>
      <c r="H46">
        <v>26784.799999999999</v>
      </c>
      <c r="I46" s="3">
        <v>927.7</v>
      </c>
      <c r="J46">
        <v>235.8</v>
      </c>
      <c r="K46">
        <v>0</v>
      </c>
      <c r="L46">
        <v>840</v>
      </c>
      <c r="M46" s="3">
        <v>9676.5</v>
      </c>
      <c r="N46" s="3">
        <v>800</v>
      </c>
      <c r="O46" s="3">
        <v>1507.0349999999999</v>
      </c>
      <c r="P46" s="3">
        <f>Table1[[#This Row],[Input Quantity (Kg''s)]]-SUM(Table1[[#This Row],[Wholes (kg''s)]:[Black Rejection (Kg''s)]],Table1[[#This Row],[Shell Dust]])</f>
        <v>70173.665000000008</v>
      </c>
      <c r="Q46" s="3">
        <f>SUM(Table1[[#This Row],[Wholes (kg''s)]:[Pieces (kg''s)]])</f>
        <v>27712.5</v>
      </c>
      <c r="R46" s="3">
        <f>SUM(Table1[[#This Row],[Wholes (kg''s)]:[Black Rejection (Kg''s)]])</f>
        <v>28788.3</v>
      </c>
      <c r="S46" s="4">
        <f>IFERROR(Table1[[#This Row],[Good Kernels (kg''s)]]/Table1[[#This Row],[Input Quantity (Kg''s)]]*176.36,"")</f>
        <v>48.645617056007325</v>
      </c>
      <c r="T46" s="4">
        <f>IFERROR(Table1[[#This Row],[Good Kernels (kg''s)]]/Table1[[#This Row],[Input Quantity (Kg''s)]]%,"")</f>
        <v>27.583135096397893</v>
      </c>
      <c r="U46" s="5">
        <f>IFERROR(Table1[[#This Row],[Final Kernels (kg''s)]]/Table1[[#This Row],[Input Quantity (Kg''s)]]%,"")</f>
        <v>28.653913147338979</v>
      </c>
      <c r="V46" s="5">
        <f>IFERROR(Table1[[#This Row],[Wholes (kg''s)]]/Table1[[#This Row],[Good Kernels (kg''s)]]%,"")</f>
        <v>96.652413170951732</v>
      </c>
      <c r="W46" s="5">
        <f>IFERROR(Table1[[#This Row],[Pieces (kg''s)]]/Table1[[#This Row],[Good Kernels (kg''s)]]%,"")</f>
        <v>3.3475868290482635</v>
      </c>
      <c r="X46" s="5">
        <f>IFERROR(Table1[[#This Row],[First Pass Uncut (kg''s)]]/Table1[[#This Row],[Input Quantity (Kg''s)]]%,"")</f>
        <v>9.6313290666772833</v>
      </c>
      <c r="Y46" s="5">
        <f>IFERROR(Table1[[#This Row],[Final Uncut (kg''s)]]/Table1[[#This Row],[Input Quantity (Kg''s)]]%,"")</f>
        <v>0.79626551473588869</v>
      </c>
      <c r="Z46" s="21">
        <f>IFERROR(Table1[[#This Row],[Shell]]/Table1[[#This Row],[Input Quantity (Kg''s)]]%,"")</f>
        <v>69.846086852661031</v>
      </c>
      <c r="AA46" s="21">
        <f>IFERROR(Table1[[#This Row],[Shell Dust]]/Table1[[#This Row],[Input Quantity (Kg''s)]]%,"")</f>
        <v>1.4999999999999998</v>
      </c>
    </row>
    <row r="47" spans="2:27" x14ac:dyDescent="0.3">
      <c r="B47" s="1">
        <v>46204</v>
      </c>
      <c r="C47" s="15">
        <f>WEEKNUM(Table1[[#This Row],[Date]])</f>
        <v>27</v>
      </c>
      <c r="D47" s="1" t="str">
        <f>TEXT(Table1[[#This Row],[Date]],"mmm-yy")</f>
        <v>Jul-26</v>
      </c>
      <c r="E47" t="s">
        <v>85</v>
      </c>
      <c r="F47" t="s">
        <v>83</v>
      </c>
      <c r="G47">
        <v>105292</v>
      </c>
      <c r="H47">
        <v>27090.400000000001</v>
      </c>
      <c r="I47" s="3">
        <v>852.3</v>
      </c>
      <c r="J47">
        <v>528.20000000000005</v>
      </c>
      <c r="K47">
        <v>130</v>
      </c>
      <c r="L47">
        <v>1040</v>
      </c>
      <c r="M47" s="3">
        <v>11440.7</v>
      </c>
      <c r="N47" s="3">
        <v>950</v>
      </c>
      <c r="O47" s="3">
        <v>1579.3799999999999</v>
      </c>
      <c r="P47" s="3">
        <f>Table1[[#This Row],[Input Quantity (Kg''s)]]-SUM(Table1[[#This Row],[Wholes (kg''s)]:[Black Rejection (Kg''s)]],Table1[[#This Row],[Shell Dust]])</f>
        <v>74071.72</v>
      </c>
      <c r="Q47" s="3">
        <f>SUM(Table1[[#This Row],[Wholes (kg''s)]:[Pieces (kg''s)]])</f>
        <v>27942.7</v>
      </c>
      <c r="R47" s="3">
        <f>SUM(Table1[[#This Row],[Wholes (kg''s)]:[Black Rejection (Kg''s)]])</f>
        <v>29640.9</v>
      </c>
      <c r="S47" s="4">
        <f>IFERROR(Table1[[#This Row],[Good Kernels (kg''s)]]/Table1[[#This Row],[Input Quantity (Kg''s)]]*176.36,"")</f>
        <v>46.802934429966193</v>
      </c>
      <c r="T47" s="4">
        <f>IFERROR(Table1[[#This Row],[Good Kernels (kg''s)]]/Table1[[#This Row],[Input Quantity (Kg''s)]]%,"")</f>
        <v>26.538293507578921</v>
      </c>
      <c r="U47" s="5">
        <f>IFERROR(Table1[[#This Row],[Final Kernels (kg''s)]]/Table1[[#This Row],[Input Quantity (Kg''s)]]%,"")</f>
        <v>28.151141587205107</v>
      </c>
      <c r="V47" s="5">
        <f>IFERROR(Table1[[#This Row],[Wholes (kg''s)]]/Table1[[#This Row],[Good Kernels (kg''s)]]%,"")</f>
        <v>96.94982947245613</v>
      </c>
      <c r="W47" s="5">
        <f>IFERROR(Table1[[#This Row],[Pieces (kg''s)]]/Table1[[#This Row],[Good Kernels (kg''s)]]%,"")</f>
        <v>3.050170527543866</v>
      </c>
      <c r="X47" s="5">
        <f>IFERROR(Table1[[#This Row],[First Pass Uncut (kg''s)]]/Table1[[#This Row],[Input Quantity (Kg''s)]]%,"")</f>
        <v>10.865687801542377</v>
      </c>
      <c r="Y47" s="5">
        <f>IFERROR(Table1[[#This Row],[Final Uncut (kg''s)]]/Table1[[#This Row],[Input Quantity (Kg''s)]]%,"")</f>
        <v>0.90225278273752985</v>
      </c>
      <c r="Z47" s="21">
        <f>IFERROR(Table1[[#This Row],[Shell]]/Table1[[#This Row],[Input Quantity (Kg''s)]]%,"")</f>
        <v>70.348858412794897</v>
      </c>
      <c r="AA47" s="21">
        <f>IFERROR(Table1[[#This Row],[Shell Dust]]/Table1[[#This Row],[Input Quantity (Kg''s)]]%,"")</f>
        <v>1.4999999999999998</v>
      </c>
    </row>
    <row r="48" spans="2:27" x14ac:dyDescent="0.3">
      <c r="B48" s="1">
        <v>46205</v>
      </c>
      <c r="C48" s="15">
        <f>WEEKNUM(Table1[[#This Row],[Date]])</f>
        <v>27</v>
      </c>
      <c r="D48" s="1" t="str">
        <f>TEXT(Table1[[#This Row],[Date]],"mmm-yy")</f>
        <v>Jul-26</v>
      </c>
      <c r="E48" t="s">
        <v>85</v>
      </c>
      <c r="F48" t="s">
        <v>84</v>
      </c>
      <c r="G48">
        <v>107080</v>
      </c>
      <c r="H48">
        <v>29865.9</v>
      </c>
      <c r="I48" s="3">
        <v>1136.5999999999999</v>
      </c>
      <c r="J48">
        <v>242.1</v>
      </c>
      <c r="K48">
        <v>139</v>
      </c>
      <c r="L48">
        <v>400</v>
      </c>
      <c r="M48" s="3">
        <v>10357.799999999999</v>
      </c>
      <c r="N48" s="3">
        <v>780</v>
      </c>
      <c r="O48" s="3">
        <v>1606.2</v>
      </c>
      <c r="P48" s="3">
        <f>Table1[[#This Row],[Input Quantity (Kg''s)]]-SUM(Table1[[#This Row],[Wholes (kg''s)]:[Black Rejection (Kg''s)]],Table1[[#This Row],[Shell Dust]])</f>
        <v>73690.200000000012</v>
      </c>
      <c r="Q48" s="3">
        <f>SUM(Table1[[#This Row],[Wholes (kg''s)]:[Pieces (kg''s)]])</f>
        <v>31002.5</v>
      </c>
      <c r="R48" s="3">
        <f>SUM(Table1[[#This Row],[Wholes (kg''s)]:[Black Rejection (Kg''s)]])</f>
        <v>31783.599999999999</v>
      </c>
      <c r="S48" s="4">
        <f>IFERROR(Table1[[#This Row],[Good Kernels (kg''s)]]/Table1[[#This Row],[Input Quantity (Kg''s)]]*176.36,"")</f>
        <v>51.060897459843112</v>
      </c>
      <c r="T48" s="4">
        <f>IFERROR(Table1[[#This Row],[Good Kernels (kg''s)]]/Table1[[#This Row],[Input Quantity (Kg''s)]]%,"")</f>
        <v>28.952652222637283</v>
      </c>
      <c r="U48" s="5">
        <f>IFERROR(Table1[[#This Row],[Final Kernels (kg''s)]]/Table1[[#This Row],[Input Quantity (Kg''s)]]%,"")</f>
        <v>29.682106836010458</v>
      </c>
      <c r="V48" s="5">
        <f>IFERROR(Table1[[#This Row],[Wholes (kg''s)]]/Table1[[#This Row],[Good Kernels (kg''s)]]%,"")</f>
        <v>96.333844044835104</v>
      </c>
      <c r="W48" s="5">
        <f>IFERROR(Table1[[#This Row],[Pieces (kg''s)]]/Table1[[#This Row],[Good Kernels (kg''s)]]%,"")</f>
        <v>3.6661559551649061</v>
      </c>
      <c r="X48" s="5">
        <f>IFERROR(Table1[[#This Row],[First Pass Uncut (kg''s)]]/Table1[[#This Row],[Input Quantity (Kg''s)]]%,"")</f>
        <v>9.6729548001494212</v>
      </c>
      <c r="Y48" s="5">
        <f>IFERROR(Table1[[#This Row],[Final Uncut (kg''s)]]/Table1[[#This Row],[Input Quantity (Kg''s)]]%,"")</f>
        <v>0.72842734404183795</v>
      </c>
      <c r="Z48" s="21">
        <f>IFERROR(Table1[[#This Row],[Shell]]/Table1[[#This Row],[Input Quantity (Kg''s)]]%,"")</f>
        <v>68.817893163989552</v>
      </c>
      <c r="AA48" s="21">
        <f>IFERROR(Table1[[#This Row],[Shell Dust]]/Table1[[#This Row],[Input Quantity (Kg''s)]]%,"")</f>
        <v>1.5</v>
      </c>
    </row>
    <row r="49" spans="2:27" x14ac:dyDescent="0.3">
      <c r="B49" s="1">
        <v>46206</v>
      </c>
      <c r="C49" s="15">
        <f>WEEKNUM(Table1[[#This Row],[Date]])</f>
        <v>27</v>
      </c>
      <c r="D49" s="1" t="str">
        <f>TEXT(Table1[[#This Row],[Date]],"mmm-yy")</f>
        <v>Jul-26</v>
      </c>
      <c r="E49" t="s">
        <v>85</v>
      </c>
      <c r="F49" t="s">
        <v>86</v>
      </c>
      <c r="G49">
        <v>114214</v>
      </c>
      <c r="H49">
        <v>30812.1</v>
      </c>
      <c r="I49" s="3">
        <v>1003.8</v>
      </c>
      <c r="J49">
        <v>342.2</v>
      </c>
      <c r="K49">
        <v>273.7</v>
      </c>
      <c r="L49">
        <v>350</v>
      </c>
      <c r="M49" s="3">
        <v>10150.200000000001</v>
      </c>
      <c r="N49" s="3">
        <v>950</v>
      </c>
      <c r="O49" s="3">
        <v>1713.21</v>
      </c>
      <c r="P49" s="3">
        <f>Table1[[#This Row],[Input Quantity (Kg''s)]]-SUM(Table1[[#This Row],[Wholes (kg''s)]:[Black Rejection (Kg''s)]],Table1[[#This Row],[Shell Dust]])</f>
        <v>79718.989999999991</v>
      </c>
      <c r="Q49" s="3">
        <f>SUM(Table1[[#This Row],[Wholes (kg''s)]:[Pieces (kg''s)]])</f>
        <v>31815.899999999998</v>
      </c>
      <c r="R49" s="3">
        <f>SUM(Table1[[#This Row],[Wholes (kg''s)]:[Black Rejection (Kg''s)]])</f>
        <v>32781.800000000003</v>
      </c>
      <c r="S49" s="4">
        <f>IFERROR(Table1[[#This Row],[Good Kernels (kg''s)]]/Table1[[#This Row],[Input Quantity (Kg''s)]]*176.36,"")</f>
        <v>49.127533612341743</v>
      </c>
      <c r="T49" s="4">
        <f>IFERROR(Table1[[#This Row],[Good Kernels (kg''s)]]/Table1[[#This Row],[Input Quantity (Kg''s)]]%,"")</f>
        <v>27.85639238622235</v>
      </c>
      <c r="U49" s="5">
        <f>IFERROR(Table1[[#This Row],[Final Kernels (kg''s)]]/Table1[[#This Row],[Input Quantity (Kg''s)]]%,"")</f>
        <v>28.702085558688076</v>
      </c>
      <c r="V49" s="5">
        <f>IFERROR(Table1[[#This Row],[Wholes (kg''s)]]/Table1[[#This Row],[Good Kernels (kg''s)]]%,"")</f>
        <v>96.844973739545324</v>
      </c>
      <c r="W49" s="5">
        <f>IFERROR(Table1[[#This Row],[Pieces (kg''s)]]/Table1[[#This Row],[Good Kernels (kg''s)]]%,"")</f>
        <v>3.1550262604546782</v>
      </c>
      <c r="X49" s="5">
        <f>IFERROR(Table1[[#This Row],[First Pass Uncut (kg''s)]]/Table1[[#This Row],[Input Quantity (Kg''s)]]%,"")</f>
        <v>8.8870015934999209</v>
      </c>
      <c r="Y49" s="5">
        <f>IFERROR(Table1[[#This Row],[Final Uncut (kg''s)]]/Table1[[#This Row],[Input Quantity (Kg''s)]]%,"")</f>
        <v>0.83177193689039863</v>
      </c>
      <c r="Z49" s="21">
        <f>IFERROR(Table1[[#This Row],[Shell]]/Table1[[#This Row],[Input Quantity (Kg''s)]]%,"")</f>
        <v>69.797914441311903</v>
      </c>
      <c r="AA49" s="21">
        <f>IFERROR(Table1[[#This Row],[Shell Dust]]/Table1[[#This Row],[Input Quantity (Kg''s)]]%,"")</f>
        <v>1.5</v>
      </c>
    </row>
    <row r="50" spans="2:27" x14ac:dyDescent="0.3">
      <c r="B50" s="1">
        <v>46207</v>
      </c>
      <c r="C50" s="15">
        <f>WEEKNUM(Table1[[#This Row],[Date]])</f>
        <v>27</v>
      </c>
      <c r="D50" s="1" t="str">
        <f>TEXT(Table1[[#This Row],[Date]],"mmm-yy")</f>
        <v>Jul-26</v>
      </c>
      <c r="E50" t="s">
        <v>85</v>
      </c>
      <c r="F50" t="s">
        <v>87</v>
      </c>
      <c r="G50">
        <v>118956</v>
      </c>
      <c r="H50">
        <v>31629.4</v>
      </c>
      <c r="I50" s="3">
        <v>1330.6</v>
      </c>
      <c r="J50">
        <v>257.39999999999998</v>
      </c>
      <c r="K50">
        <v>279.5</v>
      </c>
      <c r="L50">
        <v>360</v>
      </c>
      <c r="M50" s="3">
        <v>11434.5</v>
      </c>
      <c r="N50" s="3">
        <v>1100</v>
      </c>
      <c r="O50" s="3">
        <v>1784.34</v>
      </c>
      <c r="P50" s="3">
        <f>Table1[[#This Row],[Input Quantity (Kg''s)]]-SUM(Table1[[#This Row],[Wholes (kg''s)]:[Black Rejection (Kg''s)]],Table1[[#This Row],[Shell Dust]])</f>
        <v>83314.760000000009</v>
      </c>
      <c r="Q50" s="3">
        <f>SUM(Table1[[#This Row],[Wholes (kg''s)]:[Pieces (kg''s)]])</f>
        <v>32960</v>
      </c>
      <c r="R50" s="3">
        <f>SUM(Table1[[#This Row],[Wholes (kg''s)]:[Black Rejection (Kg''s)]])</f>
        <v>33856.9</v>
      </c>
      <c r="S50" s="4">
        <f>IFERROR(Table1[[#This Row],[Good Kernels (kg''s)]]/Table1[[#This Row],[Input Quantity (Kg''s)]]*176.36,"")</f>
        <v>48.865341807054712</v>
      </c>
      <c r="T50" s="4">
        <f>IFERROR(Table1[[#This Row],[Good Kernels (kg''s)]]/Table1[[#This Row],[Input Quantity (Kg''s)]]%,"")</f>
        <v>27.707723864285956</v>
      </c>
      <c r="U50" s="5">
        <f>IFERROR(Table1[[#This Row],[Final Kernels (kg''s)]]/Table1[[#This Row],[Input Quantity (Kg''s)]]%,"")</f>
        <v>28.461700124415753</v>
      </c>
      <c r="V50" s="5">
        <f>IFERROR(Table1[[#This Row],[Wholes (kg''s)]]/Table1[[#This Row],[Good Kernels (kg''s)]]%,"")</f>
        <v>95.962985436893206</v>
      </c>
      <c r="W50" s="5">
        <f>IFERROR(Table1[[#This Row],[Pieces (kg''s)]]/Table1[[#This Row],[Good Kernels (kg''s)]]%,"")</f>
        <v>4.037014563106796</v>
      </c>
      <c r="X50" s="5">
        <f>IFERROR(Table1[[#This Row],[First Pass Uncut (kg''s)]]/Table1[[#This Row],[Input Quantity (Kg''s)]]%,"")</f>
        <v>9.6123776858670436</v>
      </c>
      <c r="Y50" s="5">
        <f>IFERROR(Table1[[#This Row],[Final Uncut (kg''s)]]/Table1[[#This Row],[Input Quantity (Kg''s)]]%,"")</f>
        <v>0.92471165809206768</v>
      </c>
      <c r="Z50" s="21">
        <f>IFERROR(Table1[[#This Row],[Shell]]/Table1[[#This Row],[Input Quantity (Kg''s)]]%,"")</f>
        <v>70.038299875584258</v>
      </c>
      <c r="AA50" s="21">
        <f>IFERROR(Table1[[#This Row],[Shell Dust]]/Table1[[#This Row],[Input Quantity (Kg''s)]]%,"")</f>
        <v>1.5</v>
      </c>
    </row>
    <row r="51" spans="2:27" x14ac:dyDescent="0.3">
      <c r="B51" s="1">
        <v>46209</v>
      </c>
      <c r="C51" s="15">
        <f>WEEKNUM(Table1[[#This Row],[Date]])</f>
        <v>28</v>
      </c>
      <c r="D51" s="1" t="str">
        <f>TEXT(Table1[[#This Row],[Date]],"mmm-yy")</f>
        <v>Jul-26</v>
      </c>
      <c r="E51" t="s">
        <v>85</v>
      </c>
      <c r="F51" t="s">
        <v>88</v>
      </c>
      <c r="G51">
        <v>131334</v>
      </c>
      <c r="H51">
        <v>33905.300000000003</v>
      </c>
      <c r="I51" s="3">
        <v>1080</v>
      </c>
      <c r="J51">
        <v>243.3</v>
      </c>
      <c r="K51">
        <v>150.5</v>
      </c>
      <c r="L51">
        <v>850</v>
      </c>
      <c r="M51" s="3">
        <v>13111.9</v>
      </c>
      <c r="N51" s="3">
        <v>750</v>
      </c>
      <c r="O51" s="3">
        <v>1970.01</v>
      </c>
      <c r="P51" s="3">
        <f>Table1[[#This Row],[Input Quantity (Kg''s)]]-SUM(Table1[[#This Row],[Wholes (kg''s)]:[Black Rejection (Kg''s)]],Table1[[#This Row],[Shell Dust]])</f>
        <v>93134.889999999985</v>
      </c>
      <c r="Q51" s="3">
        <f>SUM(Table1[[#This Row],[Wholes (kg''s)]:[Pieces (kg''s)]])</f>
        <v>34985.300000000003</v>
      </c>
      <c r="R51" s="3">
        <f>SUM(Table1[[#This Row],[Wholes (kg''s)]:[Black Rejection (Kg''s)]])</f>
        <v>36229.100000000006</v>
      </c>
      <c r="S51" s="4">
        <f>IFERROR(Table1[[#This Row],[Good Kernels (kg''s)]]/Table1[[#This Row],[Input Quantity (Kg''s)]]*176.36,"")</f>
        <v>46.979514124293793</v>
      </c>
      <c r="T51" s="4">
        <f>IFERROR(Table1[[#This Row],[Good Kernels (kg''s)]]/Table1[[#This Row],[Input Quantity (Kg''s)]]%,"")</f>
        <v>26.638418079096049</v>
      </c>
      <c r="U51" s="5">
        <f>IFERROR(Table1[[#This Row],[Final Kernels (kg''s)]]/Table1[[#This Row],[Input Quantity (Kg''s)]]%,"")</f>
        <v>27.585469109293868</v>
      </c>
      <c r="V51" s="5">
        <f>IFERROR(Table1[[#This Row],[Wholes (kg''s)]]/Table1[[#This Row],[Good Kernels (kg''s)]]%,"")</f>
        <v>96.912989169737003</v>
      </c>
      <c r="W51" s="5">
        <f>IFERROR(Table1[[#This Row],[Pieces (kg''s)]]/Table1[[#This Row],[Good Kernels (kg''s)]]%,"")</f>
        <v>3.0870108302629959</v>
      </c>
      <c r="X51" s="5">
        <f>IFERROR(Table1[[#This Row],[First Pass Uncut (kg''s)]]/Table1[[#This Row],[Input Quantity (Kg''s)]]%,"")</f>
        <v>9.9836295247232254</v>
      </c>
      <c r="Y51" s="5">
        <f>IFERROR(Table1[[#This Row],[Final Uncut (kg''s)]]/Table1[[#This Row],[Input Quantity (Kg''s)]]%,"")</f>
        <v>0.57106309105029929</v>
      </c>
      <c r="Z51" s="21">
        <f>IFERROR(Table1[[#This Row],[Shell]]/Table1[[#This Row],[Input Quantity (Kg''s)]]%,"")</f>
        <v>70.914530890706132</v>
      </c>
      <c r="AA51" s="21">
        <f>IFERROR(Table1[[#This Row],[Shell Dust]]/Table1[[#This Row],[Input Quantity (Kg''s)]]%,"")</f>
        <v>1.5</v>
      </c>
    </row>
    <row r="52" spans="2:27" x14ac:dyDescent="0.3">
      <c r="B52" s="1">
        <v>46210</v>
      </c>
      <c r="C52" s="15">
        <f>WEEKNUM(Table1[[#This Row],[Date]])</f>
        <v>28</v>
      </c>
      <c r="D52" s="1" t="str">
        <f>TEXT(Table1[[#This Row],[Date]],"mmm-yy")</f>
        <v>Jul-26</v>
      </c>
      <c r="E52" t="s">
        <v>85</v>
      </c>
      <c r="F52" t="s">
        <v>89</v>
      </c>
      <c r="G52">
        <v>130560</v>
      </c>
      <c r="H52">
        <v>33741</v>
      </c>
      <c r="I52" s="3">
        <v>1039.9000000000001</v>
      </c>
      <c r="J52">
        <v>591.5</v>
      </c>
      <c r="K52">
        <v>224.7</v>
      </c>
      <c r="L52">
        <v>650</v>
      </c>
      <c r="M52" s="3">
        <v>13678.3</v>
      </c>
      <c r="N52" s="3">
        <v>650</v>
      </c>
      <c r="O52" s="3">
        <v>1958.3999999999999</v>
      </c>
      <c r="P52" s="3">
        <f>Table1[[#This Row],[Input Quantity (Kg''s)]]-SUM(Table1[[#This Row],[Wholes (kg''s)]:[Black Rejection (Kg''s)]],Table1[[#This Row],[Shell Dust]])</f>
        <v>92354.5</v>
      </c>
      <c r="Q52" s="3">
        <f>SUM(Table1[[#This Row],[Wholes (kg''s)]:[Pieces (kg''s)]])</f>
        <v>34780.9</v>
      </c>
      <c r="R52" s="3">
        <f>SUM(Table1[[#This Row],[Wholes (kg''s)]:[Black Rejection (Kg''s)]])</f>
        <v>36247.1</v>
      </c>
      <c r="S52" s="4">
        <f>IFERROR(Table1[[#This Row],[Good Kernels (kg''s)]]/Table1[[#This Row],[Input Quantity (Kg''s)]]*176.36,"")</f>
        <v>46.981920373774514</v>
      </c>
      <c r="T52" s="4">
        <f>IFERROR(Table1[[#This Row],[Good Kernels (kg''s)]]/Table1[[#This Row],[Input Quantity (Kg''s)]]%,"")</f>
        <v>26.6397824754902</v>
      </c>
      <c r="U52" s="5">
        <f>IFERROR(Table1[[#This Row],[Final Kernels (kg''s)]]/Table1[[#This Row],[Input Quantity (Kg''s)]]%,"")</f>
        <v>27.762791053921571</v>
      </c>
      <c r="V52" s="5">
        <f>IFERROR(Table1[[#This Row],[Wholes (kg''s)]]/Table1[[#This Row],[Good Kernels (kg''s)]]%,"")</f>
        <v>97.010140623158108</v>
      </c>
      <c r="W52" s="5">
        <f>IFERROR(Table1[[#This Row],[Pieces (kg''s)]]/Table1[[#This Row],[Good Kernels (kg''s)]]%,"")</f>
        <v>2.9898593768418875</v>
      </c>
      <c r="X52" s="5">
        <f>IFERROR(Table1[[#This Row],[First Pass Uncut (kg''s)]]/Table1[[#This Row],[Input Quantity (Kg''s)]]%,"")</f>
        <v>10.476639093137255</v>
      </c>
      <c r="Y52" s="5">
        <f>IFERROR(Table1[[#This Row],[Final Uncut (kg''s)]]/Table1[[#This Row],[Input Quantity (Kg''s)]]%,"")</f>
        <v>0.49785539215686275</v>
      </c>
      <c r="Z52" s="21">
        <f>IFERROR(Table1[[#This Row],[Shell]]/Table1[[#This Row],[Input Quantity (Kg''s)]]%,"")</f>
        <v>70.737208946078439</v>
      </c>
      <c r="AA52" s="21">
        <f>IFERROR(Table1[[#This Row],[Shell Dust]]/Table1[[#This Row],[Input Quantity (Kg''s)]]%,"")</f>
        <v>1.5</v>
      </c>
    </row>
    <row r="53" spans="2:27" x14ac:dyDescent="0.3">
      <c r="B53" s="1">
        <v>46211</v>
      </c>
      <c r="C53" s="15">
        <f>WEEKNUM(Table1[[#This Row],[Date]])</f>
        <v>28</v>
      </c>
      <c r="D53" s="1" t="str">
        <f>TEXT(Table1[[#This Row],[Date]],"mmm-yy")</f>
        <v>Jul-26</v>
      </c>
      <c r="E53" t="s">
        <v>85</v>
      </c>
      <c r="F53" t="s">
        <v>90</v>
      </c>
      <c r="G53">
        <v>130712</v>
      </c>
      <c r="H53">
        <v>35594</v>
      </c>
      <c r="I53" s="3">
        <v>1147.5999999999999</v>
      </c>
      <c r="J53">
        <v>377.3</v>
      </c>
      <c r="K53">
        <v>39.1</v>
      </c>
      <c r="L53">
        <v>350</v>
      </c>
      <c r="M53" s="3">
        <v>14867.3</v>
      </c>
      <c r="N53" s="3">
        <v>780</v>
      </c>
      <c r="O53" s="3">
        <v>1960.6799999999998</v>
      </c>
      <c r="P53" s="3">
        <f>Table1[[#This Row],[Input Quantity (Kg''s)]]-SUM(Table1[[#This Row],[Wholes (kg''s)]:[Black Rejection (Kg''s)]],Table1[[#This Row],[Shell Dust]])</f>
        <v>91243.32</v>
      </c>
      <c r="Q53" s="3">
        <f>SUM(Table1[[#This Row],[Wholes (kg''s)]:[Pieces (kg''s)]])</f>
        <v>36741.599999999999</v>
      </c>
      <c r="R53" s="3">
        <f>SUM(Table1[[#This Row],[Wholes (kg''s)]:[Black Rejection (Kg''s)]])</f>
        <v>37508</v>
      </c>
      <c r="S53" s="4">
        <f>IFERROR(Table1[[#This Row],[Good Kernels (kg''s)]]/Table1[[#This Row],[Input Quantity (Kg''s)]]*176.36,"")</f>
        <v>49.572713874778138</v>
      </c>
      <c r="T53" s="4">
        <f>IFERROR(Table1[[#This Row],[Good Kernels (kg''s)]]/Table1[[#This Row],[Input Quantity (Kg''s)]]%,"")</f>
        <v>28.108819389191506</v>
      </c>
      <c r="U53" s="5">
        <f>IFERROR(Table1[[#This Row],[Final Kernels (kg''s)]]/Table1[[#This Row],[Input Quantity (Kg''s)]]%,"")</f>
        <v>28.695146581798156</v>
      </c>
      <c r="V53" s="5">
        <f>IFERROR(Table1[[#This Row],[Wholes (kg''s)]]/Table1[[#This Row],[Good Kernels (kg''s)]]%,"")</f>
        <v>96.876564983560868</v>
      </c>
      <c r="W53" s="5">
        <f>IFERROR(Table1[[#This Row],[Pieces (kg''s)]]/Table1[[#This Row],[Good Kernels (kg''s)]]%,"")</f>
        <v>3.1234350164391316</v>
      </c>
      <c r="X53" s="5">
        <f>IFERROR(Table1[[#This Row],[First Pass Uncut (kg''s)]]/Table1[[#This Row],[Input Quantity (Kg''s)]]%,"")</f>
        <v>11.374089601566803</v>
      </c>
      <c r="Y53" s="5">
        <f>IFERROR(Table1[[#This Row],[Final Uncut (kg''s)]]/Table1[[#This Row],[Input Quantity (Kg''s)]]%,"")</f>
        <v>0.59673174612889412</v>
      </c>
      <c r="Z53" s="21">
        <f>IFERROR(Table1[[#This Row],[Shell]]/Table1[[#This Row],[Input Quantity (Kg''s)]]%,"")</f>
        <v>69.804853418201859</v>
      </c>
      <c r="AA53" s="21">
        <f>IFERROR(Table1[[#This Row],[Shell Dust]]/Table1[[#This Row],[Input Quantity (Kg''s)]]%,"")</f>
        <v>1.5</v>
      </c>
    </row>
    <row r="54" spans="2:27" x14ac:dyDescent="0.3">
      <c r="B54" s="1">
        <v>46212</v>
      </c>
      <c r="C54" s="15">
        <f>WEEKNUM(Table1[[#This Row],[Date]])</f>
        <v>28</v>
      </c>
      <c r="D54" s="1" t="str">
        <f>TEXT(Table1[[#This Row],[Date]],"mmm-yy")</f>
        <v>Jul-26</v>
      </c>
      <c r="E54" t="s">
        <v>85</v>
      </c>
      <c r="F54" t="s">
        <v>91</v>
      </c>
      <c r="G54">
        <v>126006</v>
      </c>
      <c r="H54">
        <v>32939.699999999997</v>
      </c>
      <c r="I54" s="3">
        <v>1075.8</v>
      </c>
      <c r="J54">
        <v>135</v>
      </c>
      <c r="K54">
        <v>381</v>
      </c>
      <c r="L54">
        <v>780</v>
      </c>
      <c r="M54" s="3">
        <v>16082.7</v>
      </c>
      <c r="N54" s="3">
        <v>780</v>
      </c>
      <c r="O54" s="3">
        <v>1890.09</v>
      </c>
      <c r="P54" s="3">
        <f>Table1[[#This Row],[Input Quantity (Kg''s)]]-SUM(Table1[[#This Row],[Wholes (kg''s)]:[Black Rejection (Kg''s)]],Table1[[#This Row],[Shell Dust]])</f>
        <v>88804.41</v>
      </c>
      <c r="Q54" s="3">
        <f>SUM(Table1[[#This Row],[Wholes (kg''s)]:[Pieces (kg''s)]])</f>
        <v>34015.5</v>
      </c>
      <c r="R54" s="3">
        <f>SUM(Table1[[#This Row],[Wholes (kg''s)]:[Black Rejection (Kg''s)]])</f>
        <v>35311.5</v>
      </c>
      <c r="S54" s="4">
        <f>IFERROR(Table1[[#This Row],[Good Kernels (kg''s)]]/Table1[[#This Row],[Input Quantity (Kg''s)]]*176.36,"")</f>
        <v>47.608634350745206</v>
      </c>
      <c r="T54" s="4">
        <f>IFERROR(Table1[[#This Row],[Good Kernels (kg''s)]]/Table1[[#This Row],[Input Quantity (Kg''s)]]%,"")</f>
        <v>26.995143088424363</v>
      </c>
      <c r="U54" s="5">
        <f>IFERROR(Table1[[#This Row],[Final Kernels (kg''s)]]/Table1[[#This Row],[Input Quantity (Kg''s)]]%,"")</f>
        <v>28.023665539736204</v>
      </c>
      <c r="V54" s="5">
        <f>IFERROR(Table1[[#This Row],[Wholes (kg''s)]]/Table1[[#This Row],[Good Kernels (kg''s)]]%,"")</f>
        <v>96.837324161044222</v>
      </c>
      <c r="W54" s="5">
        <f>IFERROR(Table1[[#This Row],[Pieces (kg''s)]]/Table1[[#This Row],[Good Kernels (kg''s)]]%,"")</f>
        <v>3.1626758389557703</v>
      </c>
      <c r="X54" s="5">
        <f>IFERROR(Table1[[#This Row],[First Pass Uncut (kg''s)]]/Table1[[#This Row],[Input Quantity (Kg''s)]]%,"")</f>
        <v>12.763439836198277</v>
      </c>
      <c r="Y54" s="5">
        <f>IFERROR(Table1[[#This Row],[Final Uncut (kg''s)]]/Table1[[#This Row],[Input Quantity (Kg''s)]]%,"")</f>
        <v>0.61901814199323846</v>
      </c>
      <c r="Z54" s="21">
        <f>IFERROR(Table1[[#This Row],[Shell]]/Table1[[#This Row],[Input Quantity (Kg''s)]]%,"")</f>
        <v>70.4763344602638</v>
      </c>
      <c r="AA54" s="21">
        <f>IFERROR(Table1[[#This Row],[Shell Dust]]/Table1[[#This Row],[Input Quantity (Kg''s)]]%,"")</f>
        <v>1.5</v>
      </c>
    </row>
    <row r="55" spans="2:27" x14ac:dyDescent="0.3">
      <c r="B55" s="1">
        <v>46213</v>
      </c>
      <c r="C55" s="15">
        <f>WEEKNUM(Table1[[#This Row],[Date]])</f>
        <v>28</v>
      </c>
      <c r="D55" s="1" t="str">
        <f>TEXT(Table1[[#This Row],[Date]],"mmm-yy")</f>
        <v>Jul-26</v>
      </c>
      <c r="E55" t="s">
        <v>85</v>
      </c>
      <c r="F55" t="s">
        <v>92</v>
      </c>
      <c r="G55">
        <v>80989</v>
      </c>
      <c r="H55">
        <v>22018.5</v>
      </c>
      <c r="I55" s="3">
        <v>742.4</v>
      </c>
      <c r="J55">
        <v>93.2</v>
      </c>
      <c r="K55">
        <v>319.8</v>
      </c>
      <c r="L55">
        <v>150</v>
      </c>
      <c r="M55" s="3">
        <v>15866.1</v>
      </c>
      <c r="N55" s="3">
        <v>400</v>
      </c>
      <c r="O55" s="3">
        <v>1214.835</v>
      </c>
      <c r="P55" s="3">
        <f>Table1[[#This Row],[Input Quantity (Kg''s)]]-SUM(Table1[[#This Row],[Wholes (kg''s)]:[Black Rejection (Kg''s)]],Table1[[#This Row],[Shell Dust]])</f>
        <v>56450.264999999999</v>
      </c>
      <c r="Q55" s="3">
        <f>SUM(Table1[[#This Row],[Wholes (kg''s)]:[Pieces (kg''s)]])</f>
        <v>22760.9</v>
      </c>
      <c r="R55" s="3">
        <f>SUM(Table1[[#This Row],[Wholes (kg''s)]:[Black Rejection (Kg''s)]])</f>
        <v>23323.9</v>
      </c>
      <c r="S55" s="4">
        <f>IFERROR(Table1[[#This Row],[Good Kernels (kg''s)]]/Table1[[#This Row],[Input Quantity (Kg''s)]]*176.36,"")</f>
        <v>49.563673140796901</v>
      </c>
      <c r="T55" s="4">
        <f>IFERROR(Table1[[#This Row],[Good Kernels (kg''s)]]/Table1[[#This Row],[Input Quantity (Kg''s)]]%,"")</f>
        <v>28.103693094123894</v>
      </c>
      <c r="U55" s="5">
        <f>IFERROR(Table1[[#This Row],[Final Kernels (kg''s)]]/Table1[[#This Row],[Input Quantity (Kg''s)]]%,"")</f>
        <v>28.798849226438161</v>
      </c>
      <c r="V55" s="5">
        <f>IFERROR(Table1[[#This Row],[Wholes (kg''s)]]/Table1[[#This Row],[Good Kernels (kg''s)]]%,"")</f>
        <v>96.738266061535342</v>
      </c>
      <c r="W55" s="5">
        <f>IFERROR(Table1[[#This Row],[Pieces (kg''s)]]/Table1[[#This Row],[Good Kernels (kg''s)]]%,"")</f>
        <v>3.2617339384646473</v>
      </c>
      <c r="X55" s="5">
        <f>IFERROR(Table1[[#This Row],[First Pass Uncut (kg''s)]]/Table1[[#This Row],[Input Quantity (Kg''s)]]%,"")</f>
        <v>19.590438207657829</v>
      </c>
      <c r="Y55" s="5">
        <f>IFERROR(Table1[[#This Row],[Final Uncut (kg''s)]]/Table1[[#This Row],[Input Quantity (Kg''s)]]%,"")</f>
        <v>0.4938942325500994</v>
      </c>
      <c r="Z55" s="21">
        <f>IFERROR(Table1[[#This Row],[Shell]]/Table1[[#This Row],[Input Quantity (Kg''s)]]%,"")</f>
        <v>69.701150773561835</v>
      </c>
      <c r="AA55" s="21">
        <f>IFERROR(Table1[[#This Row],[Shell Dust]]/Table1[[#This Row],[Input Quantity (Kg''s)]]%,"")</f>
        <v>1.5</v>
      </c>
    </row>
    <row r="56" spans="2:27" x14ac:dyDescent="0.3">
      <c r="B56" s="1">
        <v>46214</v>
      </c>
      <c r="C56" s="15">
        <f>WEEKNUM(Table1[[#This Row],[Date]])</f>
        <v>28</v>
      </c>
      <c r="D56" s="1" t="str">
        <f>TEXT(Table1[[#This Row],[Date]],"mmm-yy")</f>
        <v>Jul-26</v>
      </c>
      <c r="E56" t="s">
        <v>85</v>
      </c>
      <c r="F56" t="s">
        <v>93</v>
      </c>
      <c r="G56">
        <v>134036</v>
      </c>
      <c r="H56">
        <v>36615.199999999997</v>
      </c>
      <c r="I56" s="3">
        <v>1047.5</v>
      </c>
      <c r="J56">
        <v>489.9</v>
      </c>
      <c r="K56">
        <v>566</v>
      </c>
      <c r="L56">
        <v>250</v>
      </c>
      <c r="M56" s="3">
        <v>13519.4</v>
      </c>
      <c r="N56" s="3">
        <v>0</v>
      </c>
      <c r="O56" s="3">
        <v>2010.54</v>
      </c>
      <c r="P56" s="3">
        <f>Table1[[#This Row],[Input Quantity (Kg''s)]]-SUM(Table1[[#This Row],[Wholes (kg''s)]:[Black Rejection (Kg''s)]],Table1[[#This Row],[Shell Dust]])</f>
        <v>93056.86</v>
      </c>
      <c r="Q56" s="3">
        <f>SUM(Table1[[#This Row],[Wholes (kg''s)]:[Pieces (kg''s)]])</f>
        <v>37662.699999999997</v>
      </c>
      <c r="R56" s="3">
        <f>SUM(Table1[[#This Row],[Wholes (kg''s)]:[Black Rejection (Kg''s)]])</f>
        <v>38968.6</v>
      </c>
      <c r="S56" s="4">
        <f>IFERROR(Table1[[#This Row],[Good Kernels (kg''s)]]/Table1[[#This Row],[Input Quantity (Kg''s)]]*176.36,"")</f>
        <v>49.555296875466297</v>
      </c>
      <c r="T56" s="4">
        <f>IFERROR(Table1[[#This Row],[Good Kernels (kg''s)]]/Table1[[#This Row],[Input Quantity (Kg''s)]]%,"")</f>
        <v>28.098943567399804</v>
      </c>
      <c r="U56" s="5">
        <f>IFERROR(Table1[[#This Row],[Final Kernels (kg''s)]]/Table1[[#This Row],[Input Quantity (Kg''s)]]%,"")</f>
        <v>29.073234056522129</v>
      </c>
      <c r="V56" s="5">
        <f>IFERROR(Table1[[#This Row],[Wholes (kg''s)]]/Table1[[#This Row],[Good Kernels (kg''s)]]%,"")</f>
        <v>97.218733654252091</v>
      </c>
      <c r="W56" s="5">
        <f>IFERROR(Table1[[#This Row],[Pieces (kg''s)]]/Table1[[#This Row],[Good Kernels (kg''s)]]%,"")</f>
        <v>2.7812663457479152</v>
      </c>
      <c r="X56" s="5">
        <f>IFERROR(Table1[[#This Row],[First Pass Uncut (kg''s)]]/Table1[[#This Row],[Input Quantity (Kg''s)]]%,"")</f>
        <v>10.086394699931363</v>
      </c>
      <c r="Y56" s="5">
        <f>IFERROR(Table1[[#This Row],[Final Uncut (kg''s)]]/Table1[[#This Row],[Input Quantity (Kg''s)]]%,"")</f>
        <v>0</v>
      </c>
      <c r="Z56" s="21">
        <f>IFERROR(Table1[[#This Row],[Shell]]/Table1[[#This Row],[Input Quantity (Kg''s)]]%,"")</f>
        <v>69.426765943477875</v>
      </c>
      <c r="AA56" s="21">
        <f>IFERROR(Table1[[#This Row],[Shell Dust]]/Table1[[#This Row],[Input Quantity (Kg''s)]]%,"")</f>
        <v>1.5</v>
      </c>
    </row>
    <row r="57" spans="2:27" x14ac:dyDescent="0.3">
      <c r="B57" s="1">
        <v>46216</v>
      </c>
      <c r="C57" s="15">
        <f>WEEKNUM(Table1[[#This Row],[Date]])</f>
        <v>29</v>
      </c>
      <c r="D57" s="1" t="str">
        <f>TEXT(Table1[[#This Row],[Date]],"mmm-yy")</f>
        <v>Jul-26</v>
      </c>
      <c r="E57" t="s">
        <v>85</v>
      </c>
      <c r="F57" t="s">
        <v>94</v>
      </c>
      <c r="G57">
        <v>133933</v>
      </c>
      <c r="H57">
        <v>36399.199999999997</v>
      </c>
      <c r="I57" s="3">
        <v>1022.3</v>
      </c>
      <c r="J57">
        <v>157.9</v>
      </c>
      <c r="K57">
        <v>116.5</v>
      </c>
      <c r="L57">
        <v>720</v>
      </c>
      <c r="M57" s="3">
        <v>7926.5</v>
      </c>
      <c r="N57" s="3">
        <v>650</v>
      </c>
      <c r="O57" s="3">
        <v>2008.9949999999999</v>
      </c>
      <c r="P57" s="3">
        <f>Table1[[#This Row],[Input Quantity (Kg''s)]]-SUM(Table1[[#This Row],[Wholes (kg''s)]:[Black Rejection (Kg''s)]],Table1[[#This Row],[Shell Dust]])</f>
        <v>93508.104999999996</v>
      </c>
      <c r="Q57" s="3">
        <f>SUM(Table1[[#This Row],[Wholes (kg''s)]:[Pieces (kg''s)]])</f>
        <v>37421.5</v>
      </c>
      <c r="R57" s="3">
        <f>SUM(Table1[[#This Row],[Wholes (kg''s)]:[Black Rejection (Kg''s)]])</f>
        <v>38415.9</v>
      </c>
      <c r="S57" s="4">
        <f>IFERROR(Table1[[#This Row],[Good Kernels (kg''s)]]/Table1[[#This Row],[Input Quantity (Kg''s)]]*176.36,"")</f>
        <v>49.275800138875411</v>
      </c>
      <c r="T57" s="4">
        <f>IFERROR(Table1[[#This Row],[Good Kernels (kg''s)]]/Table1[[#This Row],[Input Quantity (Kg''s)]]%,"")</f>
        <v>27.940462768697785</v>
      </c>
      <c r="U57" s="5">
        <f>IFERROR(Table1[[#This Row],[Final Kernels (kg''s)]]/Table1[[#This Row],[Input Quantity (Kg''s)]]%,"")</f>
        <v>28.682923551327907</v>
      </c>
      <c r="V57" s="5">
        <f>IFERROR(Table1[[#This Row],[Wholes (kg''s)]]/Table1[[#This Row],[Good Kernels (kg''s)]]%,"")</f>
        <v>97.26814798979197</v>
      </c>
      <c r="W57" s="5">
        <f>IFERROR(Table1[[#This Row],[Pieces (kg''s)]]/Table1[[#This Row],[Good Kernels (kg''s)]]%,"")</f>
        <v>2.7318520102080357</v>
      </c>
      <c r="X57" s="5">
        <f>IFERROR(Table1[[#This Row],[First Pass Uncut (kg''s)]]/Table1[[#This Row],[Input Quantity (Kg''s)]]%,"")</f>
        <v>5.9182576362808277</v>
      </c>
      <c r="Y57" s="5">
        <f>IFERROR(Table1[[#This Row],[Final Uncut (kg''s)]]/Table1[[#This Row],[Input Quantity (Kg''s)]]%,"")</f>
        <v>0.4853172855084259</v>
      </c>
      <c r="Z57" s="21">
        <f>IFERROR(Table1[[#This Row],[Shell]]/Table1[[#This Row],[Input Quantity (Kg''s)]]%,"")</f>
        <v>69.817076448672097</v>
      </c>
      <c r="AA57" s="21">
        <f>IFERROR(Table1[[#This Row],[Shell Dust]]/Table1[[#This Row],[Input Quantity (Kg''s)]]%,"")</f>
        <v>1.5</v>
      </c>
    </row>
    <row r="58" spans="2:27" x14ac:dyDescent="0.3">
      <c r="B58" s="1">
        <v>46217</v>
      </c>
      <c r="C58" s="15">
        <f>WEEKNUM(Table1[[#This Row],[Date]])</f>
        <v>29</v>
      </c>
      <c r="D58" s="1" t="str">
        <f>TEXT(Table1[[#This Row],[Date]],"mmm-yy")</f>
        <v>Jul-26</v>
      </c>
      <c r="E58" t="s">
        <v>85</v>
      </c>
      <c r="F58" t="s">
        <v>95</v>
      </c>
      <c r="G58">
        <v>135550</v>
      </c>
      <c r="H58">
        <v>37486.5</v>
      </c>
      <c r="I58" s="3">
        <v>903.6</v>
      </c>
      <c r="J58">
        <v>101.5</v>
      </c>
      <c r="K58">
        <v>162.5</v>
      </c>
      <c r="L58">
        <v>280</v>
      </c>
      <c r="M58" s="3">
        <v>13870.9</v>
      </c>
      <c r="N58" s="3">
        <v>700</v>
      </c>
      <c r="O58" s="3">
        <v>2033.25</v>
      </c>
      <c r="P58" s="3">
        <f>Table1[[#This Row],[Input Quantity (Kg''s)]]-SUM(Table1[[#This Row],[Wholes (kg''s)]:[Black Rejection (Kg''s)]],Table1[[#This Row],[Shell Dust]])</f>
        <v>94582.65</v>
      </c>
      <c r="Q58" s="3">
        <f>SUM(Table1[[#This Row],[Wholes (kg''s)]:[Pieces (kg''s)]])</f>
        <v>38390.1</v>
      </c>
      <c r="R58" s="3">
        <f>SUM(Table1[[#This Row],[Wholes (kg''s)]:[Black Rejection (Kg''s)]])</f>
        <v>38934.1</v>
      </c>
      <c r="S58" s="4">
        <f>IFERROR(Table1[[#This Row],[Good Kernels (kg''s)]]/Table1[[#This Row],[Input Quantity (Kg''s)]]*176.36,"")</f>
        <v>49.948196503135371</v>
      </c>
      <c r="T58" s="4">
        <f>IFERROR(Table1[[#This Row],[Good Kernels (kg''s)]]/Table1[[#This Row],[Input Quantity (Kg''s)]]%,"")</f>
        <v>28.321726300258206</v>
      </c>
      <c r="U58" s="5">
        <f>IFERROR(Table1[[#This Row],[Final Kernels (kg''s)]]/Table1[[#This Row],[Input Quantity (Kg''s)]]%,"")</f>
        <v>28.723054223533751</v>
      </c>
      <c r="V58" s="5">
        <f>IFERROR(Table1[[#This Row],[Wholes (kg''s)]]/Table1[[#This Row],[Good Kernels (kg''s)]]%,"")</f>
        <v>97.646268178514774</v>
      </c>
      <c r="W58" s="5">
        <f>IFERROR(Table1[[#This Row],[Pieces (kg''s)]]/Table1[[#This Row],[Good Kernels (kg''s)]]%,"")</f>
        <v>2.3537318214852267</v>
      </c>
      <c r="X58" s="5">
        <f>IFERROR(Table1[[#This Row],[First Pass Uncut (kg''s)]]/Table1[[#This Row],[Input Quantity (Kg''s)]]%,"")</f>
        <v>10.233050534857986</v>
      </c>
      <c r="Y58" s="5">
        <f>IFERROR(Table1[[#This Row],[Final Uncut (kg''s)]]/Table1[[#This Row],[Input Quantity (Kg''s)]]%,"")</f>
        <v>0.51641460715603094</v>
      </c>
      <c r="Z58" s="21">
        <f>IFERROR(Table1[[#This Row],[Shell]]/Table1[[#This Row],[Input Quantity (Kg''s)]]%,"")</f>
        <v>69.776945776466249</v>
      </c>
      <c r="AA58" s="21">
        <f>IFERROR(Table1[[#This Row],[Shell Dust]]/Table1[[#This Row],[Input Quantity (Kg''s)]]%,"")</f>
        <v>1.5</v>
      </c>
    </row>
    <row r="59" spans="2:27" x14ac:dyDescent="0.3">
      <c r="B59" s="1">
        <v>46218</v>
      </c>
      <c r="C59" s="15">
        <f>WEEKNUM(Table1[[#This Row],[Date]])</f>
        <v>29</v>
      </c>
      <c r="D59" s="1" t="str">
        <f>TEXT(Table1[[#This Row],[Date]],"mmm-yy")</f>
        <v>Jul-26</v>
      </c>
      <c r="E59" t="s">
        <v>85</v>
      </c>
      <c r="F59" t="s">
        <v>96</v>
      </c>
      <c r="G59">
        <v>135087</v>
      </c>
      <c r="H59">
        <v>36571.800000000003</v>
      </c>
      <c r="I59" s="3">
        <v>728.5</v>
      </c>
      <c r="J59">
        <v>127.7</v>
      </c>
      <c r="K59">
        <v>55.9</v>
      </c>
      <c r="L59">
        <v>250</v>
      </c>
      <c r="M59" s="3">
        <v>13937.3</v>
      </c>
      <c r="N59" s="3">
        <v>800</v>
      </c>
      <c r="O59" s="3">
        <v>2026.3049999999998</v>
      </c>
      <c r="P59" s="3">
        <f>Table1[[#This Row],[Input Quantity (Kg''s)]]-SUM(Table1[[#This Row],[Wholes (kg''s)]:[Black Rejection (Kg''s)]],Table1[[#This Row],[Shell Dust]])</f>
        <v>95326.794999999998</v>
      </c>
      <c r="Q59" s="3">
        <f>SUM(Table1[[#This Row],[Wholes (kg''s)]:[Pieces (kg''s)]])</f>
        <v>37300.300000000003</v>
      </c>
      <c r="R59" s="3">
        <f>SUM(Table1[[#This Row],[Wholes (kg''s)]:[Black Rejection (Kg''s)]])</f>
        <v>37733.9</v>
      </c>
      <c r="S59" s="4">
        <f>IFERROR(Table1[[#This Row],[Good Kernels (kg''s)]]/Table1[[#This Row],[Input Quantity (Kg''s)]]*176.36,"")</f>
        <v>48.696624456831529</v>
      </c>
      <c r="T59" s="4">
        <f>IFERROR(Table1[[#This Row],[Good Kernels (kg''s)]]/Table1[[#This Row],[Input Quantity (Kg''s)]]%,"")</f>
        <v>27.612057414851176</v>
      </c>
      <c r="U59" s="5">
        <f>IFERROR(Table1[[#This Row],[Final Kernels (kg''s)]]/Table1[[#This Row],[Input Quantity (Kg''s)]]%,"")</f>
        <v>27.933035747333204</v>
      </c>
      <c r="V59" s="5">
        <f>IFERROR(Table1[[#This Row],[Wholes (kg''s)]]/Table1[[#This Row],[Good Kernels (kg''s)]]%,"")</f>
        <v>98.046932598397333</v>
      </c>
      <c r="W59" s="5">
        <f>IFERROR(Table1[[#This Row],[Pieces (kg''s)]]/Table1[[#This Row],[Good Kernels (kg''s)]]%,"")</f>
        <v>1.9530674016026679</v>
      </c>
      <c r="X59" s="5">
        <f>IFERROR(Table1[[#This Row],[First Pass Uncut (kg''s)]]/Table1[[#This Row],[Input Quantity (Kg''s)]]%,"")</f>
        <v>10.317277014072413</v>
      </c>
      <c r="Y59" s="5">
        <f>IFERROR(Table1[[#This Row],[Final Uncut (kg''s)]]/Table1[[#This Row],[Input Quantity (Kg''s)]]%,"")</f>
        <v>0.59221094553880094</v>
      </c>
      <c r="Z59" s="21">
        <f>IFERROR(Table1[[#This Row],[Shell]]/Table1[[#This Row],[Input Quantity (Kg''s)]]%,"")</f>
        <v>70.566964252666807</v>
      </c>
      <c r="AA59" s="21">
        <f>IFERROR(Table1[[#This Row],[Shell Dust]]/Table1[[#This Row],[Input Quantity (Kg''s)]]%,"")</f>
        <v>1.5</v>
      </c>
    </row>
    <row r="60" spans="2:27" x14ac:dyDescent="0.3">
      <c r="B60" s="1">
        <v>46219</v>
      </c>
      <c r="C60" s="15">
        <f>WEEKNUM(Table1[[#This Row],[Date]])</f>
        <v>29</v>
      </c>
      <c r="D60" s="1" t="str">
        <f>TEXT(Table1[[#This Row],[Date]],"mmm-yy")</f>
        <v>Jul-26</v>
      </c>
      <c r="E60" t="s">
        <v>85</v>
      </c>
      <c r="F60" t="s">
        <v>97</v>
      </c>
      <c r="G60">
        <v>132898</v>
      </c>
      <c r="H60">
        <v>36784.300000000003</v>
      </c>
      <c r="I60">
        <v>1120.55</v>
      </c>
      <c r="J60">
        <v>203.7</v>
      </c>
      <c r="K60" s="3">
        <v>220.5</v>
      </c>
      <c r="L60">
        <v>480</v>
      </c>
      <c r="M60" s="3">
        <v>14044.2</v>
      </c>
      <c r="N60" s="3">
        <v>650</v>
      </c>
      <c r="O60" s="3">
        <v>1993.47</v>
      </c>
      <c r="P60" s="3">
        <f>Table1[[#This Row],[Input Quantity (Kg''s)]]-SUM(Table1[[#This Row],[Wholes (kg''s)]:[Black Rejection (Kg''s)]],Table1[[#This Row],[Shell Dust]])</f>
        <v>92095.48</v>
      </c>
      <c r="Q60" s="3">
        <f>SUM(Table1[[#This Row],[Wholes (kg''s)]:[Pieces (kg''s)]])</f>
        <v>37904.850000000006</v>
      </c>
      <c r="R60" s="3">
        <f>SUM(Table1[[#This Row],[Wholes (kg''s)]:[Black Rejection (Kg''s)]])</f>
        <v>38809.050000000003</v>
      </c>
      <c r="S60" s="4">
        <f>IFERROR(Table1[[#This Row],[Good Kernels (kg''s)]]/Table1[[#This Row],[Input Quantity (Kg''s)]]*176.36,"")</f>
        <v>50.300977787476121</v>
      </c>
      <c r="T60" s="4">
        <f>IFERROR(Table1[[#This Row],[Good Kernels (kg''s)]]/Table1[[#This Row],[Input Quantity (Kg''s)]]%,"")</f>
        <v>28.521761049827692</v>
      </c>
      <c r="U60" s="5">
        <f>IFERROR(Table1[[#This Row],[Final Kernels (kg''s)]]/Table1[[#This Row],[Input Quantity (Kg''s)]]%,"")</f>
        <v>29.202132462490031</v>
      </c>
      <c r="V60" s="5">
        <f>IFERROR(Table1[[#This Row],[Wholes (kg''s)]]/Table1[[#This Row],[Good Kernels (kg''s)]]%,"")</f>
        <v>97.04378199623531</v>
      </c>
      <c r="W60" s="5">
        <f>IFERROR(Table1[[#This Row],[Pieces (kg''s)]]/Table1[[#This Row],[Good Kernels (kg''s)]]%,"")</f>
        <v>2.9562180037646892</v>
      </c>
      <c r="X60" s="5">
        <f>IFERROR(Table1[[#This Row],[First Pass Uncut (kg''s)]]/Table1[[#This Row],[Input Quantity (Kg''s)]]%,"")</f>
        <v>10.567653388312841</v>
      </c>
      <c r="Y60" s="5">
        <f>IFERROR(Table1[[#This Row],[Final Uncut (kg''s)]]/Table1[[#This Row],[Input Quantity (Kg''s)]]%,"")</f>
        <v>0.48909690138301554</v>
      </c>
      <c r="Z60" s="21">
        <f>IFERROR(Table1[[#This Row],[Shell]]/Table1[[#This Row],[Input Quantity (Kg''s)]]%,"")</f>
        <v>69.297867537509973</v>
      </c>
      <c r="AA60" s="21">
        <f>IFERROR(Table1[[#This Row],[Shell Dust]]/Table1[[#This Row],[Input Quantity (Kg''s)]]%,"")</f>
        <v>1.5</v>
      </c>
    </row>
    <row r="61" spans="2:27" x14ac:dyDescent="0.3">
      <c r="B61" s="1">
        <v>46220</v>
      </c>
      <c r="C61" s="15">
        <f>WEEKNUM(Table1[[#This Row],[Date]])</f>
        <v>29</v>
      </c>
      <c r="D61" s="1" t="str">
        <f>TEXT(Table1[[#This Row],[Date]],"mmm-yy")</f>
        <v>Jul-26</v>
      </c>
      <c r="E61" t="s">
        <v>85</v>
      </c>
      <c r="F61" t="s">
        <v>98</v>
      </c>
      <c r="G61">
        <v>129469</v>
      </c>
      <c r="H61">
        <v>36036.6</v>
      </c>
      <c r="I61">
        <v>981.6</v>
      </c>
      <c r="J61">
        <v>184.7</v>
      </c>
      <c r="K61" s="3">
        <v>151.30000000000001</v>
      </c>
      <c r="L61">
        <v>280</v>
      </c>
      <c r="M61" s="3">
        <v>14864.3</v>
      </c>
      <c r="N61" s="3">
        <v>450</v>
      </c>
      <c r="O61" s="3">
        <v>1942.0349999999999</v>
      </c>
      <c r="P61" s="3">
        <f>Table1[[#This Row],[Input Quantity (Kg''s)]]-SUM(Table1[[#This Row],[Wholes (kg''s)]:[Black Rejection (Kg''s)]],Table1[[#This Row],[Shell Dust]])</f>
        <v>89892.764999999999</v>
      </c>
      <c r="Q61" s="3">
        <f>SUM(Table1[[#This Row],[Wholes (kg''s)]:[Pieces (kg''s)]])</f>
        <v>37018.199999999997</v>
      </c>
      <c r="R61" s="3">
        <f>SUM(Table1[[#This Row],[Wholes (kg''s)]:[Black Rejection (Kg''s)]])</f>
        <v>37634.199999999997</v>
      </c>
      <c r="S61" s="4">
        <f>IFERROR(Table1[[#This Row],[Good Kernels (kg''s)]]/Table1[[#This Row],[Input Quantity (Kg''s)]]*176.36,"")</f>
        <v>50.425428110203988</v>
      </c>
      <c r="T61" s="4">
        <f>IFERROR(Table1[[#This Row],[Good Kernels (kg''s)]]/Table1[[#This Row],[Input Quantity (Kg''s)]]%,"")</f>
        <v>28.592327120777945</v>
      </c>
      <c r="U61" s="5">
        <f>IFERROR(Table1[[#This Row],[Final Kernels (kg''s)]]/Table1[[#This Row],[Input Quantity (Kg''s)]]%,"")</f>
        <v>29.06811669202666</v>
      </c>
      <c r="V61" s="5">
        <f>IFERROR(Table1[[#This Row],[Wholes (kg''s)]]/Table1[[#This Row],[Good Kernels (kg''s)]]%,"")</f>
        <v>97.348331361330381</v>
      </c>
      <c r="W61" s="5">
        <f>IFERROR(Table1[[#This Row],[Pieces (kg''s)]]/Table1[[#This Row],[Good Kernels (kg''s)]]%,"")</f>
        <v>2.6516686386696278</v>
      </c>
      <c r="X61" s="5">
        <f>IFERROR(Table1[[#This Row],[First Pass Uncut (kg''s)]]/Table1[[#This Row],[Input Quantity (Kg''s)]]%,"")</f>
        <v>11.480972279078388</v>
      </c>
      <c r="Y61" s="5">
        <f>IFERROR(Table1[[#This Row],[Final Uncut (kg''s)]]/Table1[[#This Row],[Input Quantity (Kg''s)]]%,"")</f>
        <v>0.34757355042519827</v>
      </c>
      <c r="Z61" s="21">
        <f>IFERROR(Table1[[#This Row],[Shell]]/Table1[[#This Row],[Input Quantity (Kg''s)]]%,"")</f>
        <v>69.431883307973337</v>
      </c>
      <c r="AA61" s="21">
        <f>IFERROR(Table1[[#This Row],[Shell Dust]]/Table1[[#This Row],[Input Quantity (Kg''s)]]%,"")</f>
        <v>1.4999999999999998</v>
      </c>
    </row>
    <row r="62" spans="2:27" x14ac:dyDescent="0.3">
      <c r="B62" s="1">
        <v>46221</v>
      </c>
      <c r="C62" s="15">
        <f>WEEKNUM(Table1[[#This Row],[Date]])</f>
        <v>29</v>
      </c>
      <c r="D62" s="1" t="str">
        <f>TEXT(Table1[[#This Row],[Date]],"mmm-yy")</f>
        <v>Jul-26</v>
      </c>
      <c r="E62" t="s">
        <v>101</v>
      </c>
      <c r="F62" t="s">
        <v>99</v>
      </c>
      <c r="G62">
        <v>97803</v>
      </c>
      <c r="H62">
        <v>26903.3</v>
      </c>
      <c r="I62">
        <v>925.3</v>
      </c>
      <c r="J62" s="3">
        <v>121.5</v>
      </c>
      <c r="K62">
        <v>271.39999999999998</v>
      </c>
      <c r="L62">
        <v>192</v>
      </c>
      <c r="M62" s="3">
        <v>13003</v>
      </c>
      <c r="N62" s="3">
        <v>600</v>
      </c>
      <c r="O62" s="3">
        <v>1467.0449999999998</v>
      </c>
      <c r="P62" s="3">
        <f>Table1[[#This Row],[Input Quantity (Kg''s)]]-SUM(Table1[[#This Row],[Wholes (kg''s)]:[Black Rejection (Kg''s)]],Table1[[#This Row],[Shell Dust]])</f>
        <v>67922.455000000002</v>
      </c>
      <c r="Q62" s="3">
        <f>SUM(Table1[[#This Row],[Wholes (kg''s)]:[Pieces (kg''s)]])</f>
        <v>27828.6</v>
      </c>
      <c r="R62" s="3">
        <f>SUM(Table1[[#This Row],[Wholes (kg''s)]:[Black Rejection (Kg''s)]])</f>
        <v>28413.5</v>
      </c>
      <c r="S62" s="4">
        <f>IFERROR(Table1[[#This Row],[Good Kernels (kg''s)]]/Table1[[#This Row],[Input Quantity (Kg''s)]]*176.36,"")</f>
        <v>50.180995429588044</v>
      </c>
      <c r="T62" s="4">
        <f>IFERROR(Table1[[#This Row],[Good Kernels (kg''s)]]/Table1[[#This Row],[Input Quantity (Kg''s)]]%,"")</f>
        <v>28.453728413238856</v>
      </c>
      <c r="U62" s="5">
        <f>IFERROR(Table1[[#This Row],[Final Kernels (kg''s)]]/Table1[[#This Row],[Input Quantity (Kg''s)]]%,"")</f>
        <v>29.051767328200569</v>
      </c>
      <c r="V62" s="5">
        <f>IFERROR(Table1[[#This Row],[Wholes (kg''s)]]/Table1[[#This Row],[Good Kernels (kg''s)]]%,"")</f>
        <v>96.675003413754197</v>
      </c>
      <c r="W62" s="5">
        <f>IFERROR(Table1[[#This Row],[Pieces (kg''s)]]/Table1[[#This Row],[Good Kernels (kg''s)]]%,"")</f>
        <v>3.3249965862458044</v>
      </c>
      <c r="X62" s="5">
        <f>IFERROR(Table1[[#This Row],[First Pass Uncut (kg''s)]]/Table1[[#This Row],[Input Quantity (Kg''s)]]%,"")</f>
        <v>13.295093197550178</v>
      </c>
      <c r="Y62" s="5">
        <f>IFERROR(Table1[[#This Row],[Final Uncut (kg''s)]]/Table1[[#This Row],[Input Quantity (Kg''s)]]%,"")</f>
        <v>0.61347811416827702</v>
      </c>
      <c r="Z62" s="21">
        <f>IFERROR(Table1[[#This Row],[Shell]]/Table1[[#This Row],[Input Quantity (Kg''s)]]%,"")</f>
        <v>69.448232671799431</v>
      </c>
      <c r="AA62" s="21">
        <f>IFERROR(Table1[[#This Row],[Shell Dust]]/Table1[[#This Row],[Input Quantity (Kg''s)]]%,"")</f>
        <v>1.4999999999999998</v>
      </c>
    </row>
    <row r="63" spans="2:27" x14ac:dyDescent="0.3">
      <c r="B63" s="1">
        <v>46223</v>
      </c>
      <c r="C63" s="15">
        <f>WEEKNUM(Table1[[#This Row],[Date]])</f>
        <v>30</v>
      </c>
      <c r="D63" s="1" t="str">
        <f>TEXT(Table1[[#This Row],[Date]],"mmm-yy")</f>
        <v>Jul-26</v>
      </c>
      <c r="E63" t="s">
        <v>101</v>
      </c>
      <c r="F63" t="s">
        <v>100</v>
      </c>
      <c r="G63">
        <v>53256</v>
      </c>
      <c r="H63">
        <v>14691.4</v>
      </c>
      <c r="I63">
        <v>504.5</v>
      </c>
      <c r="J63" s="3">
        <v>93.5</v>
      </c>
      <c r="K63">
        <v>200.5</v>
      </c>
      <c r="L63">
        <v>130.80000000000001</v>
      </c>
      <c r="M63" s="3">
        <v>12750.5</v>
      </c>
      <c r="N63" s="3">
        <v>300</v>
      </c>
      <c r="O63" s="3">
        <v>798.83999999999992</v>
      </c>
      <c r="P63" s="3">
        <f>Table1[[#This Row],[Input Quantity (Kg''s)]]-SUM(Table1[[#This Row],[Wholes (kg''s)]:[Black Rejection (Kg''s)]],Table1[[#This Row],[Shell Dust]])</f>
        <v>36836.460000000006</v>
      </c>
      <c r="Q63" s="3">
        <f>SUM(Table1[[#This Row],[Wholes (kg''s)]:[Pieces (kg''s)]])</f>
        <v>15195.9</v>
      </c>
      <c r="R63" s="3">
        <f>SUM(Table1[[#This Row],[Wholes (kg''s)]:[Black Rejection (Kg''s)]])</f>
        <v>15620.699999999999</v>
      </c>
      <c r="S63" s="4">
        <f>IFERROR(Table1[[#This Row],[Good Kernels (kg''s)]]/Table1[[#This Row],[Input Quantity (Kg''s)]]*176.36,"")</f>
        <v>50.322009238395673</v>
      </c>
      <c r="T63" s="4">
        <f>IFERROR(Table1[[#This Row],[Good Kernels (kg''s)]]/Table1[[#This Row],[Input Quantity (Kg''s)]]%,"")</f>
        <v>28.533686345200543</v>
      </c>
      <c r="U63" s="5">
        <f>IFERROR(Table1[[#This Row],[Final Kernels (kg''s)]]/Table1[[#This Row],[Input Quantity (Kg''s)]]%,"")</f>
        <v>29.331342947273548</v>
      </c>
      <c r="V63" s="5">
        <f>IFERROR(Table1[[#This Row],[Wholes (kg''s)]]/Table1[[#This Row],[Good Kernels (kg''s)]]%,"")</f>
        <v>96.680025533203036</v>
      </c>
      <c r="W63" s="5">
        <f>IFERROR(Table1[[#This Row],[Pieces (kg''s)]]/Table1[[#This Row],[Good Kernels (kg''s)]]%,"")</f>
        <v>3.3199744667969648</v>
      </c>
      <c r="X63" s="5">
        <f>IFERROR(Table1[[#This Row],[First Pass Uncut (kg''s)]]/Table1[[#This Row],[Input Quantity (Kg''s)]]%,"")</f>
        <v>23.941903259726605</v>
      </c>
      <c r="Y63" s="5">
        <f>IFERROR(Table1[[#This Row],[Final Uncut (kg''s)]]/Table1[[#This Row],[Input Quantity (Kg''s)]]%,"")</f>
        <v>0.56331680937359174</v>
      </c>
      <c r="Z63" s="21">
        <f>IFERROR(Table1[[#This Row],[Shell]]/Table1[[#This Row],[Input Quantity (Kg''s)]]%,"")</f>
        <v>69.168657052726473</v>
      </c>
      <c r="AA63" s="21">
        <f>IFERROR(Table1[[#This Row],[Shell Dust]]/Table1[[#This Row],[Input Quantity (Kg''s)]]%,"")</f>
        <v>1.5</v>
      </c>
    </row>
    <row r="64" spans="2:27" x14ac:dyDescent="0.3">
      <c r="B64" s="1">
        <v>46224</v>
      </c>
      <c r="C64" s="15">
        <f>WEEKNUM(Table1[[#This Row],[Date]])</f>
        <v>30</v>
      </c>
      <c r="D64" s="1" t="str">
        <f>TEXT(Table1[[#This Row],[Date]],"mmm-yy")</f>
        <v>Jul-26</v>
      </c>
      <c r="E64" t="s">
        <v>101</v>
      </c>
      <c r="F64" t="s">
        <v>102</v>
      </c>
      <c r="G64">
        <v>151367</v>
      </c>
      <c r="H64">
        <v>36987.699999999997</v>
      </c>
      <c r="I64">
        <v>1139.2</v>
      </c>
      <c r="J64" s="3">
        <v>428.9</v>
      </c>
      <c r="K64">
        <v>192.8</v>
      </c>
      <c r="L64">
        <v>780.6</v>
      </c>
      <c r="M64" s="3">
        <v>9820.6</v>
      </c>
      <c r="N64" s="3">
        <v>500</v>
      </c>
      <c r="O64" s="3">
        <v>2270.5050000000001</v>
      </c>
      <c r="P64" s="3">
        <f>Table1[[#This Row],[Input Quantity (Kg''s)]]-SUM(Table1[[#This Row],[Wholes (kg''s)]:[Black Rejection (Kg''s)]],Table1[[#This Row],[Shell Dust]])</f>
        <v>109567.29500000001</v>
      </c>
      <c r="Q64" s="3">
        <f>SUM(Table1[[#This Row],[Wholes (kg''s)]:[Pieces (kg''s)]])</f>
        <v>38126.899999999994</v>
      </c>
      <c r="R64" s="3">
        <f>SUM(Table1[[#This Row],[Wholes (kg''s)]:[Black Rejection (Kg''s)]])</f>
        <v>39529.199999999997</v>
      </c>
      <c r="S64" s="4">
        <f>IFERROR(Table1[[#This Row],[Good Kernels (kg''s)]]/Table1[[#This Row],[Input Quantity (Kg''s)]]*176.36,"")</f>
        <v>44.422232613449431</v>
      </c>
      <c r="T64" s="4">
        <f>IFERROR(Table1[[#This Row],[Good Kernels (kg''s)]]/Table1[[#This Row],[Input Quantity (Kg''s)]]%,"")</f>
        <v>25.188383201094023</v>
      </c>
      <c r="U64" s="5">
        <f>IFERROR(Table1[[#This Row],[Final Kernels (kg''s)]]/Table1[[#This Row],[Input Quantity (Kg''s)]]%,"")</f>
        <v>26.114807058341643</v>
      </c>
      <c r="V64" s="5">
        <f>IFERROR(Table1[[#This Row],[Wholes (kg''s)]]/Table1[[#This Row],[Good Kernels (kg''s)]]%,"")</f>
        <v>97.012083332240493</v>
      </c>
      <c r="W64" s="5">
        <f>IFERROR(Table1[[#This Row],[Pieces (kg''s)]]/Table1[[#This Row],[Good Kernels (kg''s)]]%,"")</f>
        <v>2.9879166677595088</v>
      </c>
      <c r="X64" s="5">
        <f>IFERROR(Table1[[#This Row],[First Pass Uncut (kg''s)]]/Table1[[#This Row],[Input Quantity (Kg''s)]]%,"")</f>
        <v>6.4879399076416924</v>
      </c>
      <c r="Y64" s="5">
        <f>IFERROR(Table1[[#This Row],[Final Uncut (kg''s)]]/Table1[[#This Row],[Input Quantity (Kg''s)]]%,"")</f>
        <v>0.33032298981944541</v>
      </c>
      <c r="Z64" s="21">
        <f>IFERROR(Table1[[#This Row],[Shell]]/Table1[[#This Row],[Input Quantity (Kg''s)]]%,"")</f>
        <v>72.38519294165836</v>
      </c>
      <c r="AA64" s="21">
        <f>IFERROR(Table1[[#This Row],[Shell Dust]]/Table1[[#This Row],[Input Quantity (Kg''s)]]%,"")</f>
        <v>1.5</v>
      </c>
    </row>
    <row r="65" spans="2:27" x14ac:dyDescent="0.3">
      <c r="B65" s="1">
        <v>46225</v>
      </c>
      <c r="C65" s="15">
        <f>WEEKNUM(Table1[[#This Row],[Date]])</f>
        <v>30</v>
      </c>
      <c r="D65" s="1" t="str">
        <f>TEXT(Table1[[#This Row],[Date]],"mmm-yy")</f>
        <v>Jul-26</v>
      </c>
      <c r="E65" t="s">
        <v>101</v>
      </c>
      <c r="F65" t="s">
        <v>103</v>
      </c>
      <c r="G65">
        <v>151287</v>
      </c>
      <c r="H65">
        <v>39784.199999999997</v>
      </c>
      <c r="I65">
        <v>32</v>
      </c>
      <c r="J65" s="3">
        <v>741.9</v>
      </c>
      <c r="K65">
        <v>130.69999999999999</v>
      </c>
      <c r="L65">
        <v>1306.5</v>
      </c>
      <c r="M65" s="3">
        <v>5758.5</v>
      </c>
      <c r="N65" s="3">
        <v>1308</v>
      </c>
      <c r="O65" s="3">
        <v>2269.3049999999998</v>
      </c>
      <c r="P65" s="3">
        <f>Table1[[#This Row],[Input Quantity (Kg''s)]]-SUM(Table1[[#This Row],[Wholes (kg''s)]:[Black Rejection (Kg''s)]],Table1[[#This Row],[Shell Dust]])</f>
        <v>107022.395</v>
      </c>
      <c r="Q65" s="3">
        <f>SUM(Table1[[#This Row],[Wholes (kg''s)]:[Pieces (kg''s)]])</f>
        <v>39816.199999999997</v>
      </c>
      <c r="R65" s="3">
        <f>SUM(Table1[[#This Row],[Wholes (kg''s)]:[Black Rejection (Kg''s)]])</f>
        <v>41995.299999999996</v>
      </c>
      <c r="S65" s="4">
        <f>IFERROR(Table1[[#This Row],[Good Kernels (kg''s)]]/Table1[[#This Row],[Input Quantity (Kg''s)]]*176.36,"")</f>
        <v>46.414992907520137</v>
      </c>
      <c r="T65" s="4">
        <f>IFERROR(Table1[[#This Row],[Good Kernels (kg''s)]]/Table1[[#This Row],[Input Quantity (Kg''s)]]%,"")</f>
        <v>26.318322129462544</v>
      </c>
      <c r="U65" s="5">
        <f>IFERROR(Table1[[#This Row],[Final Kernels (kg''s)]]/Table1[[#This Row],[Input Quantity (Kg''s)]]%,"")</f>
        <v>27.758697046011882</v>
      </c>
      <c r="V65" s="5">
        <f>IFERROR(Table1[[#This Row],[Wholes (kg''s)]]/Table1[[#This Row],[Good Kernels (kg''s)]]%,"")</f>
        <v>99.919630703080657</v>
      </c>
      <c r="W65" s="5">
        <f>IFERROR(Table1[[#This Row],[Pieces (kg''s)]]/Table1[[#This Row],[Good Kernels (kg''s)]]%,"")</f>
        <v>8.0369296919344385E-2</v>
      </c>
      <c r="X65" s="5">
        <f>IFERROR(Table1[[#This Row],[First Pass Uncut (kg''s)]]/Table1[[#This Row],[Input Quantity (Kg''s)]]%,"")</f>
        <v>3.806341589164965</v>
      </c>
      <c r="Y65" s="5">
        <f>IFERROR(Table1[[#This Row],[Final Uncut (kg''s)]]/Table1[[#This Row],[Input Quantity (Kg''s)]]%,"")</f>
        <v>0.86458188740605613</v>
      </c>
      <c r="Z65" s="21">
        <f>IFERROR(Table1[[#This Row],[Shell]]/Table1[[#This Row],[Input Quantity (Kg''s)]]%,"")</f>
        <v>70.741302953988125</v>
      </c>
      <c r="AA65" s="21">
        <f>IFERROR(Table1[[#This Row],[Shell Dust]]/Table1[[#This Row],[Input Quantity (Kg''s)]]%,"")</f>
        <v>1.5</v>
      </c>
    </row>
    <row r="66" spans="2:27" x14ac:dyDescent="0.3">
      <c r="B66" s="1">
        <v>46226</v>
      </c>
      <c r="C66" s="15">
        <f>WEEKNUM(Table1[[#This Row],[Date]])</f>
        <v>30</v>
      </c>
      <c r="D66" s="1" t="str">
        <f>TEXT(Table1[[#This Row],[Date]],"mmm-yy")</f>
        <v>Jul-26</v>
      </c>
      <c r="E66" t="s">
        <v>101</v>
      </c>
      <c r="F66" t="s">
        <v>104</v>
      </c>
      <c r="G66">
        <v>151517</v>
      </c>
      <c r="H66">
        <v>38516.5</v>
      </c>
      <c r="I66">
        <v>34.4</v>
      </c>
      <c r="J66" s="3">
        <v>178</v>
      </c>
      <c r="K66">
        <v>785.5</v>
      </c>
      <c r="L66">
        <v>871.4</v>
      </c>
      <c r="M66" s="3">
        <v>15500</v>
      </c>
      <c r="N66">
        <v>1200</v>
      </c>
      <c r="O66">
        <v>2272.7550000000001</v>
      </c>
      <c r="P66">
        <f>Table1[[#This Row],[Input Quantity (Kg''s)]]-SUM(Table1[[#This Row],[Wholes (kg''s)]:[Black Rejection (Kg''s)]],Table1[[#This Row],[Shell Dust]])</f>
        <v>108858.44500000001</v>
      </c>
      <c r="Q66" s="3">
        <f>SUM(Table1[[#This Row],[Wholes (kg''s)]:[Pieces (kg''s)]])</f>
        <v>38550.9</v>
      </c>
      <c r="R66" s="3">
        <f>SUM(Table1[[#This Row],[Wholes (kg''s)]:[Black Rejection (Kg''s)]])</f>
        <v>40385.800000000003</v>
      </c>
      <c r="S66" s="4">
        <f>IFERROR(Table1[[#This Row],[Good Kernels (kg''s)]]/Table1[[#This Row],[Input Quantity (Kg''s)]]*176.36,"")</f>
        <v>44.871774942745702</v>
      </c>
      <c r="T66" s="4">
        <f>IFERROR(Table1[[#This Row],[Good Kernels (kg''s)]]/Table1[[#This Row],[Input Quantity (Kg''s)]]%,"")</f>
        <v>25.44328359194018</v>
      </c>
      <c r="U66" s="5">
        <f>IFERROR(Table1[[#This Row],[Final Kernels (kg''s)]]/Table1[[#This Row],[Input Quantity (Kg''s)]]%,"")</f>
        <v>26.654302817505627</v>
      </c>
      <c r="V66" s="5">
        <f>IFERROR(Table1[[#This Row],[Wholes (kg''s)]]/Table1[[#This Row],[Good Kernels (kg''s)]]%,"")</f>
        <v>99.91076732320127</v>
      </c>
      <c r="W66" s="5">
        <f>IFERROR(Table1[[#This Row],[Pieces (kg''s)]]/Table1[[#This Row],[Good Kernels (kg''s)]]%,"")</f>
        <v>8.9232676798725832E-2</v>
      </c>
      <c r="X66" s="5">
        <f>IFERROR(Table1[[#This Row],[First Pass Uncut (kg''s)]]/Table1[[#This Row],[Input Quantity (Kg''s)]]%,"")</f>
        <v>10.229875195522615</v>
      </c>
      <c r="Y66" s="5">
        <f>IFERROR(Table1[[#This Row],[Final Uncut (kg''s)]]/Table1[[#This Row],[Input Quantity (Kg''s)]]%,"")</f>
        <v>0.79199033771787986</v>
      </c>
      <c r="Z66" s="21">
        <f>IFERROR(Table1[[#This Row],[Shell]]/Table1[[#This Row],[Input Quantity (Kg''s)]]%,"")</f>
        <v>71.845697182494376</v>
      </c>
      <c r="AA66" s="21">
        <f>IFERROR(Table1[[#This Row],[Shell Dust]]/Table1[[#This Row],[Input Quantity (Kg''s)]]%,"")</f>
        <v>1.5</v>
      </c>
    </row>
    <row r="67" spans="2:27" x14ac:dyDescent="0.3">
      <c r="B67" s="1">
        <v>46227</v>
      </c>
      <c r="C67" s="15">
        <f>WEEKNUM(Table1[[#This Row],[Date]])</f>
        <v>30</v>
      </c>
      <c r="D67" s="1" t="str">
        <f>TEXT(Table1[[#This Row],[Date]],"mmm-yy")</f>
        <v>Jul-26</v>
      </c>
      <c r="E67" t="s">
        <v>101</v>
      </c>
      <c r="F67" t="s">
        <v>105</v>
      </c>
      <c r="G67">
        <v>151778</v>
      </c>
      <c r="H67">
        <v>38582.800000000003</v>
      </c>
      <c r="I67">
        <v>34.5</v>
      </c>
      <c r="J67" s="3">
        <v>178.4</v>
      </c>
      <c r="K67">
        <v>787</v>
      </c>
      <c r="L67">
        <v>873</v>
      </c>
      <c r="M67" s="3">
        <v>19732.3</v>
      </c>
      <c r="N67">
        <v>1050</v>
      </c>
      <c r="O67">
        <v>2276.67</v>
      </c>
      <c r="P67">
        <f>Table1[[#This Row],[Input Quantity (Kg''s)]]-SUM(Table1[[#This Row],[Wholes (kg''s)]:[Black Rejection (Kg''s)]],Table1[[#This Row],[Shell Dust]])</f>
        <v>109045.63</v>
      </c>
      <c r="Q67" s="3">
        <f>SUM(Table1[[#This Row],[Wholes (kg''s)]:[Pieces (kg''s)]])</f>
        <v>38617.300000000003</v>
      </c>
      <c r="R67" s="3">
        <f>SUM(Table1[[#This Row],[Wholes (kg''s)]:[Black Rejection (Kg''s)]])</f>
        <v>40455.700000000004</v>
      </c>
      <c r="S67" s="4">
        <f>IFERROR(Table1[[#This Row],[Good Kernels (kg''s)]]/Table1[[#This Row],[Input Quantity (Kg''s)]]*176.36,"")</f>
        <v>44.871766843679595</v>
      </c>
      <c r="T67" s="4">
        <f>IFERROR(Table1[[#This Row],[Good Kernels (kg''s)]]/Table1[[#This Row],[Input Quantity (Kg''s)]]%,"")</f>
        <v>25.443278999591509</v>
      </c>
      <c r="U67" s="5">
        <f>IFERROR(Table1[[#This Row],[Final Kernels (kg''s)]]/Table1[[#This Row],[Input Quantity (Kg''s)]]%,"")</f>
        <v>26.654521735692924</v>
      </c>
      <c r="V67" s="5">
        <f>IFERROR(Table1[[#This Row],[Wholes (kg''s)]]/Table1[[#This Row],[Good Kernels (kg''s)]]%,"")</f>
        <v>99.910661801834934</v>
      </c>
      <c r="W67" s="5">
        <f>IFERROR(Table1[[#This Row],[Pieces (kg''s)]]/Table1[[#This Row],[Good Kernels (kg''s)]]%,"")</f>
        <v>8.9338198165071089E-2</v>
      </c>
      <c r="X67" s="5">
        <f>IFERROR(Table1[[#This Row],[First Pass Uncut (kg''s)]]/Table1[[#This Row],[Input Quantity (Kg''s)]]%,"")</f>
        <v>13.000764274137227</v>
      </c>
      <c r="Y67" s="5">
        <f>IFERROR(Table1[[#This Row],[Final Uncut (kg''s)]]/Table1[[#This Row],[Input Quantity (Kg''s)]]%,"")</f>
        <v>0.69179986559316897</v>
      </c>
      <c r="Z67" s="21">
        <f>IFERROR(Table1[[#This Row],[Shell]]/Table1[[#This Row],[Input Quantity (Kg''s)]]%,"")</f>
        <v>71.84547826430709</v>
      </c>
      <c r="AA67" s="21">
        <f>IFERROR(Table1[[#This Row],[Shell Dust]]/Table1[[#This Row],[Input Quantity (Kg''s)]]%,"")</f>
        <v>1.5</v>
      </c>
    </row>
    <row r="68" spans="2:27" x14ac:dyDescent="0.3">
      <c r="B68" s="1">
        <v>46228</v>
      </c>
      <c r="C68" s="15">
        <f>WEEKNUM(Table1[[#This Row],[Date]])</f>
        <v>30</v>
      </c>
      <c r="D68" s="1" t="str">
        <f>TEXT(Table1[[#This Row],[Date]],"mmm-yy")</f>
        <v>Jul-26</v>
      </c>
      <c r="E68" t="s">
        <v>101</v>
      </c>
      <c r="F68" t="s">
        <v>106</v>
      </c>
      <c r="G68">
        <v>74840</v>
      </c>
      <c r="H68">
        <v>25472.1</v>
      </c>
      <c r="I68">
        <v>64.7</v>
      </c>
      <c r="J68" s="3">
        <v>732.5</v>
      </c>
      <c r="K68">
        <v>0</v>
      </c>
      <c r="L68">
        <v>535.70000000000005</v>
      </c>
      <c r="M68" s="3">
        <v>20587.3</v>
      </c>
      <c r="N68">
        <v>400</v>
      </c>
      <c r="O68">
        <v>1122.5999999999999</v>
      </c>
      <c r="P68">
        <f>Table1[[#This Row],[Input Quantity (Kg''s)]]-SUM(Table1[[#This Row],[Wholes (kg''s)]:[Black Rejection (Kg''s)]],Table1[[#This Row],[Shell Dust]])</f>
        <v>46912.4</v>
      </c>
      <c r="Q68" s="3">
        <f>SUM(Table1[[#This Row],[Wholes (kg''s)]:[Pieces (kg''s)]])</f>
        <v>25536.799999999999</v>
      </c>
      <c r="R68" s="3">
        <f>SUM(Table1[[#This Row],[Wholes (kg''s)]:[Black Rejection (Kg''s)]])</f>
        <v>26805</v>
      </c>
      <c r="S68" s="4">
        <f>IFERROR(Table1[[#This Row],[Good Kernels (kg''s)]]/Table1[[#This Row],[Input Quantity (Kg''s)]]*176.36,"")</f>
        <v>60.177312239444149</v>
      </c>
      <c r="T68" s="4">
        <f>IFERROR(Table1[[#This Row],[Good Kernels (kg''s)]]/Table1[[#This Row],[Input Quantity (Kg''s)]]%,"")</f>
        <v>34.121859967931584</v>
      </c>
      <c r="U68" s="5">
        <f>IFERROR(Table1[[#This Row],[Final Kernels (kg''s)]]/Table1[[#This Row],[Input Quantity (Kg''s)]]%,"")</f>
        <v>35.81640833778728</v>
      </c>
      <c r="V68" s="5">
        <f>IFERROR(Table1[[#This Row],[Wholes (kg''s)]]/Table1[[#This Row],[Good Kernels (kg''s)]]%,"")</f>
        <v>99.746640142852669</v>
      </c>
      <c r="W68" s="5">
        <f>IFERROR(Table1[[#This Row],[Pieces (kg''s)]]/Table1[[#This Row],[Good Kernels (kg''s)]]%,"")</f>
        <v>0.2533598571473325</v>
      </c>
      <c r="X68" s="5">
        <f>IFERROR(Table1[[#This Row],[First Pass Uncut (kg''s)]]/Table1[[#This Row],[Input Quantity (Kg''s)]]%,"")</f>
        <v>27.508417958311064</v>
      </c>
      <c r="Y68" s="5">
        <f>IFERROR(Table1[[#This Row],[Final Uncut (kg''s)]]/Table1[[#This Row],[Input Quantity (Kg''s)]]%,"")</f>
        <v>0.53447354355959387</v>
      </c>
      <c r="Z68" s="21">
        <f>IFERROR(Table1[[#This Row],[Shell]]/Table1[[#This Row],[Input Quantity (Kg''s)]]%,"")</f>
        <v>62.683591662212727</v>
      </c>
      <c r="AA68" s="21">
        <f>IFERROR(Table1[[#This Row],[Shell Dust]]/Table1[[#This Row],[Input Quantity (Kg''s)]]%,"")</f>
        <v>1.5</v>
      </c>
    </row>
    <row r="69" spans="2:27" x14ac:dyDescent="0.3">
      <c r="B69" s="1">
        <v>46230</v>
      </c>
      <c r="C69" s="15">
        <f>WEEKNUM(Table1[[#This Row],[Date]])</f>
        <v>31</v>
      </c>
      <c r="D69" s="1" t="str">
        <f>TEXT(Table1[[#This Row],[Date]],"mmm-yy")</f>
        <v>Jul-26</v>
      </c>
      <c r="E69" t="s">
        <v>101</v>
      </c>
      <c r="F69" t="s">
        <v>107</v>
      </c>
      <c r="G69">
        <v>133846</v>
      </c>
      <c r="H69">
        <v>35551</v>
      </c>
      <c r="I69">
        <v>0</v>
      </c>
      <c r="J69" s="3">
        <v>658.4</v>
      </c>
      <c r="K69" s="3">
        <v>658.4</v>
      </c>
      <c r="L69">
        <v>440</v>
      </c>
      <c r="M69" s="3">
        <v>16208.3</v>
      </c>
      <c r="N69">
        <v>250</v>
      </c>
      <c r="O69">
        <v>2007.6899999999998</v>
      </c>
      <c r="P69">
        <f>Table1[[#This Row],[Input Quantity (Kg''s)]]-SUM(Table1[[#This Row],[Wholes (kg''s)]:[Black Rejection (Kg''s)]],Table1[[#This Row],[Shell Dust]])</f>
        <v>94530.51</v>
      </c>
      <c r="Q69" s="3">
        <f>SUM(Table1[[#This Row],[Wholes (kg''s)]:[Pieces (kg''s)]])</f>
        <v>35551</v>
      </c>
      <c r="R69" s="3">
        <f>SUM(Table1[[#This Row],[Wholes (kg''s)]:[Black Rejection (Kg''s)]])</f>
        <v>37307.800000000003</v>
      </c>
      <c r="S69" s="4">
        <f>IFERROR(Table1[[#This Row],[Good Kernels (kg''s)]]/Table1[[#This Row],[Input Quantity (Kg''s)]]*176.36,"")</f>
        <v>46.843195612868527</v>
      </c>
      <c r="T69" s="4">
        <f>IFERROR(Table1[[#This Row],[Good Kernels (kg''s)]]/Table1[[#This Row],[Input Quantity (Kg''s)]]%,"")</f>
        <v>26.56112248404883</v>
      </c>
      <c r="U69" s="5">
        <f>IFERROR(Table1[[#This Row],[Final Kernels (kg''s)]]/Table1[[#This Row],[Input Quantity (Kg''s)]]%,"")</f>
        <v>27.873675716868643</v>
      </c>
      <c r="V69" s="5">
        <f>IFERROR(Table1[[#This Row],[Wholes (kg''s)]]/Table1[[#This Row],[Good Kernels (kg''s)]]%,"")</f>
        <v>100</v>
      </c>
      <c r="W69" s="5">
        <f>IFERROR(Table1[[#This Row],[Pieces (kg''s)]]/Table1[[#This Row],[Good Kernels (kg''s)]]%,"")</f>
        <v>0</v>
      </c>
      <c r="X69" s="5">
        <f>IFERROR(Table1[[#This Row],[First Pass Uncut (kg''s)]]/Table1[[#This Row],[Input Quantity (Kg''s)]]%,"")</f>
        <v>12.109663344440625</v>
      </c>
      <c r="Y69" s="5">
        <f>IFERROR(Table1[[#This Row],[Final Uncut (kg''s)]]/Table1[[#This Row],[Input Quantity (Kg''s)]]%,"")</f>
        <v>0.18678182388715389</v>
      </c>
      <c r="Z69" s="21">
        <f>IFERROR(Table1[[#This Row],[Shell]]/Table1[[#This Row],[Input Quantity (Kg''s)]]%,"")</f>
        <v>70.626324283131353</v>
      </c>
      <c r="AA69" s="21">
        <f>IFERROR(Table1[[#This Row],[Shell Dust]]/Table1[[#This Row],[Input Quantity (Kg''s)]]%,"")</f>
        <v>1.4999999999999998</v>
      </c>
    </row>
    <row r="70" spans="2:27" x14ac:dyDescent="0.3">
      <c r="B70" s="1">
        <v>46231</v>
      </c>
      <c r="C70" s="15">
        <f>WEEKNUM(Table1[[#This Row],[Date]])</f>
        <v>31</v>
      </c>
      <c r="D70" s="1" t="str">
        <f>TEXT(Table1[[#This Row],[Date]],"mmm-yy")</f>
        <v>Jul-26</v>
      </c>
      <c r="E70" t="s">
        <v>101</v>
      </c>
      <c r="F70" t="s">
        <v>108</v>
      </c>
      <c r="G70">
        <v>143231</v>
      </c>
      <c r="H70">
        <v>37367.1</v>
      </c>
      <c r="I70">
        <v>114.6</v>
      </c>
      <c r="J70" s="3">
        <v>894</v>
      </c>
      <c r="K70">
        <v>0</v>
      </c>
      <c r="L70">
        <v>420</v>
      </c>
      <c r="M70" s="3">
        <v>7807.7</v>
      </c>
      <c r="N70" s="3">
        <v>450</v>
      </c>
      <c r="O70" s="3">
        <v>2148.4650000000001</v>
      </c>
      <c r="P70" s="3">
        <f>Table1[[#This Row],[Input Quantity (Kg''s)]]-SUM(Table1[[#This Row],[Wholes (kg''s)]:[Black Rejection (Kg''s)]],Table1[[#This Row],[Shell Dust]])</f>
        <v>102286.83500000001</v>
      </c>
      <c r="Q70" s="3">
        <f>SUM(Table1[[#This Row],[Wholes (kg''s)]:[Pieces (kg''s)]])</f>
        <v>37481.699999999997</v>
      </c>
      <c r="R70" s="3">
        <f>SUM(Table1[[#This Row],[Wholes (kg''s)]:[Black Rejection (Kg''s)]])</f>
        <v>38795.699999999997</v>
      </c>
      <c r="S70" s="4">
        <f>IFERROR(Table1[[#This Row],[Good Kernels (kg''s)]]/Table1[[#This Row],[Input Quantity (Kg''s)]]*176.36,"")</f>
        <v>46.15113077476245</v>
      </c>
      <c r="T70" s="4">
        <f>IFERROR(Table1[[#This Row],[Good Kernels (kg''s)]]/Table1[[#This Row],[Input Quantity (Kg''s)]]%,"")</f>
        <v>26.168706495102317</v>
      </c>
      <c r="U70" s="5">
        <f>IFERROR(Table1[[#This Row],[Final Kernels (kg''s)]]/Table1[[#This Row],[Input Quantity (Kg''s)]]%,"")</f>
        <v>27.086105661483895</v>
      </c>
      <c r="V70" s="5">
        <f>IFERROR(Table1[[#This Row],[Wholes (kg''s)]]/Table1[[#This Row],[Good Kernels (kg''s)]]%,"")</f>
        <v>99.694250794387671</v>
      </c>
      <c r="W70" s="5">
        <f>IFERROR(Table1[[#This Row],[Pieces (kg''s)]]/Table1[[#This Row],[Good Kernels (kg''s)]]%,"")</f>
        <v>0.30574920561233887</v>
      </c>
      <c r="X70" s="5">
        <f>IFERROR(Table1[[#This Row],[First Pass Uncut (kg''s)]]/Table1[[#This Row],[Input Quantity (Kg''s)]]%,"")</f>
        <v>5.451124407425767</v>
      </c>
      <c r="Y70" s="5">
        <f>IFERROR(Table1[[#This Row],[Final Uncut (kg''s)]]/Table1[[#This Row],[Input Quantity (Kg''s)]]%,"")</f>
        <v>0.31417779670602036</v>
      </c>
      <c r="Z70" s="21">
        <f>IFERROR(Table1[[#This Row],[Shell]]/Table1[[#This Row],[Input Quantity (Kg''s)]]%,"")</f>
        <v>71.413894338516116</v>
      </c>
      <c r="AA70" s="21">
        <f>IFERROR(Table1[[#This Row],[Shell Dust]]/Table1[[#This Row],[Input Quantity (Kg''s)]]%,"")</f>
        <v>1.5000000000000002</v>
      </c>
    </row>
    <row r="71" spans="2:27" x14ac:dyDescent="0.3">
      <c r="B71" s="1">
        <v>46232</v>
      </c>
      <c r="C71" s="15">
        <f>WEEKNUM(Table1[[#This Row],[Date]])</f>
        <v>31</v>
      </c>
      <c r="D71" s="1" t="str">
        <f>TEXT(Table1[[#This Row],[Date]],"mmm-yy")</f>
        <v>Jul-26</v>
      </c>
      <c r="E71" t="s">
        <v>101</v>
      </c>
      <c r="F71" t="s">
        <v>109</v>
      </c>
      <c r="G71">
        <v>140890</v>
      </c>
      <c r="H71">
        <v>37548.6</v>
      </c>
      <c r="I71">
        <v>37.9</v>
      </c>
      <c r="J71" s="3">
        <v>618.1</v>
      </c>
      <c r="K71">
        <v>0</v>
      </c>
      <c r="L71">
        <v>280</v>
      </c>
      <c r="M71" s="3">
        <v>15695.6</v>
      </c>
      <c r="N71">
        <v>150</v>
      </c>
      <c r="O71">
        <v>2113.35</v>
      </c>
      <c r="P71">
        <f>Table1[[#This Row],[Input Quantity (Kg''s)]]-SUM(Table1[[#This Row],[Wholes (kg''s)]:[Black Rejection (Kg''s)]],Table1[[#This Row],[Shell Dust]])</f>
        <v>100292.05</v>
      </c>
      <c r="Q71" s="3">
        <f>SUM(Table1[[#This Row],[Wholes (kg''s)]:[Pieces (kg''s)]])</f>
        <v>37586.5</v>
      </c>
      <c r="R71" s="3">
        <f>SUM(Table1[[#This Row],[Wholes (kg''s)]:[Black Rejection (Kg''s)]])</f>
        <v>38484.6</v>
      </c>
      <c r="S71" s="4">
        <f>IFERROR(Table1[[#This Row],[Good Kernels (kg''s)]]/Table1[[#This Row],[Input Quantity (Kg''s)]]*176.36,"")</f>
        <v>47.04915281425226</v>
      </c>
      <c r="T71" s="4">
        <f>IFERROR(Table1[[#This Row],[Good Kernels (kg''s)]]/Table1[[#This Row],[Input Quantity (Kg''s)]]%,"")</f>
        <v>26.677904748385263</v>
      </c>
      <c r="U71" s="5">
        <f>IFERROR(Table1[[#This Row],[Final Kernels (kg''s)]]/Table1[[#This Row],[Input Quantity (Kg''s)]]%,"")</f>
        <v>27.315352402583574</v>
      </c>
      <c r="V71" s="5">
        <f>IFERROR(Table1[[#This Row],[Wholes (kg''s)]]/Table1[[#This Row],[Good Kernels (kg''s)]]%,"")</f>
        <v>99.899165923935456</v>
      </c>
      <c r="W71" s="5">
        <f>IFERROR(Table1[[#This Row],[Pieces (kg''s)]]/Table1[[#This Row],[Good Kernels (kg''s)]]%,"")</f>
        <v>0.10083407606454445</v>
      </c>
      <c r="X71" s="5">
        <f>IFERROR(Table1[[#This Row],[First Pass Uncut (kg''s)]]/Table1[[#This Row],[Input Quantity (Kg''s)]]%,"")</f>
        <v>11.14032223720633</v>
      </c>
      <c r="Y71" s="5">
        <f>IFERROR(Table1[[#This Row],[Final Uncut (kg''s)]]/Table1[[#This Row],[Input Quantity (Kg''s)]]%,"")</f>
        <v>0.10646603733409042</v>
      </c>
      <c r="Z71" s="21">
        <f>IFERROR(Table1[[#This Row],[Shell]]/Table1[[#This Row],[Input Quantity (Kg''s)]]%,"")</f>
        <v>71.184647597416415</v>
      </c>
      <c r="AA71" s="21">
        <f>IFERROR(Table1[[#This Row],[Shell Dust]]/Table1[[#This Row],[Input Quantity (Kg''s)]]%,"")</f>
        <v>1.4999999999999998</v>
      </c>
    </row>
    <row r="72" spans="2:27" x14ac:dyDescent="0.3">
      <c r="B72" s="1">
        <v>46233</v>
      </c>
      <c r="C72" s="15">
        <f>WEEKNUM(Table1[[#This Row],[Date]])</f>
        <v>31</v>
      </c>
      <c r="D72" s="1" t="str">
        <f>TEXT(Table1[[#This Row],[Date]],"mmm-yy")</f>
        <v>Jul-26</v>
      </c>
      <c r="E72" t="s">
        <v>101</v>
      </c>
      <c r="F72" t="s">
        <v>110</v>
      </c>
      <c r="G72">
        <v>138703</v>
      </c>
      <c r="H72">
        <v>36756.199999999997</v>
      </c>
      <c r="I72">
        <v>16.600000000000001</v>
      </c>
      <c r="J72" s="3">
        <v>855.1</v>
      </c>
      <c r="K72">
        <v>0</v>
      </c>
      <c r="L72">
        <v>210</v>
      </c>
      <c r="M72" s="3">
        <v>13489.8</v>
      </c>
      <c r="N72">
        <v>250</v>
      </c>
      <c r="O72">
        <v>2080.5450000000001</v>
      </c>
      <c r="P72">
        <f>Table1[[#This Row],[Input Quantity (Kg''s)]]-SUM(Table1[[#This Row],[Wholes (kg''s)]:[Black Rejection (Kg''s)]],Table1[[#This Row],[Shell Dust]])</f>
        <v>98784.555000000008</v>
      </c>
      <c r="Q72" s="3">
        <f>SUM(Table1[[#This Row],[Wholes (kg''s)]:[Pieces (kg''s)]])</f>
        <v>36772.799999999996</v>
      </c>
      <c r="R72" s="3">
        <f>SUM(Table1[[#This Row],[Wholes (kg''s)]:[Black Rejection (Kg''s)]])</f>
        <v>37837.899999999994</v>
      </c>
      <c r="S72" s="4">
        <f>IFERROR(Table1[[#This Row],[Good Kernels (kg''s)]]/Table1[[#This Row],[Input Quantity (Kg''s)]]*176.36,"")</f>
        <v>46.756386004628595</v>
      </c>
      <c r="T72" s="4">
        <f>IFERROR(Table1[[#This Row],[Good Kernels (kg''s)]]/Table1[[#This Row],[Input Quantity (Kg''s)]]%,"")</f>
        <v>26.511899526326033</v>
      </c>
      <c r="U72" s="5">
        <f>IFERROR(Table1[[#This Row],[Final Kernels (kg''s)]]/Table1[[#This Row],[Input Quantity (Kg''s)]]%,"")</f>
        <v>27.279799283360848</v>
      </c>
      <c r="V72" s="5">
        <f>IFERROR(Table1[[#This Row],[Wholes (kg''s)]]/Table1[[#This Row],[Good Kernels (kg''s)]]%,"")</f>
        <v>99.954857938476266</v>
      </c>
      <c r="W72" s="5">
        <f>IFERROR(Table1[[#This Row],[Pieces (kg''s)]]/Table1[[#This Row],[Good Kernels (kg''s)]]%,"")</f>
        <v>4.5142061523734942E-2</v>
      </c>
      <c r="X72" s="5">
        <f>IFERROR(Table1[[#This Row],[First Pass Uncut (kg''s)]]/Table1[[#This Row],[Input Quantity (Kg''s)]]%,"")</f>
        <v>9.7256728405297643</v>
      </c>
      <c r="Y72" s="5">
        <f>IFERROR(Table1[[#This Row],[Final Uncut (kg''s)]]/Table1[[#This Row],[Input Quantity (Kg''s)]]%,"")</f>
        <v>0.18024123486874832</v>
      </c>
      <c r="Z72" s="21">
        <f>IFERROR(Table1[[#This Row],[Shell]]/Table1[[#This Row],[Input Quantity (Kg''s)]]%,"")</f>
        <v>71.220200716639155</v>
      </c>
      <c r="AA72" s="21">
        <f>IFERROR(Table1[[#This Row],[Shell Dust]]/Table1[[#This Row],[Input Quantity (Kg''s)]]%,"")</f>
        <v>1.5</v>
      </c>
    </row>
    <row r="73" spans="2:27" x14ac:dyDescent="0.3">
      <c r="B73" s="1">
        <v>46234</v>
      </c>
      <c r="C73" s="15">
        <f>WEEKNUM(Table1[[#This Row],[Date]])</f>
        <v>31</v>
      </c>
      <c r="D73" s="1" t="str">
        <f>TEXT(Table1[[#This Row],[Date]],"mmm-yy")</f>
        <v>Jul-26</v>
      </c>
      <c r="E73" t="s">
        <v>101</v>
      </c>
      <c r="F73" t="s">
        <v>111</v>
      </c>
      <c r="G73">
        <v>133052</v>
      </c>
      <c r="H73">
        <v>36026.9</v>
      </c>
      <c r="I73" s="3">
        <v>30.2</v>
      </c>
      <c r="J73">
        <v>914</v>
      </c>
      <c r="K73">
        <v>0</v>
      </c>
      <c r="L73">
        <v>590</v>
      </c>
      <c r="M73" s="3">
        <v>12413.6</v>
      </c>
      <c r="N73" s="3">
        <v>220</v>
      </c>
      <c r="O73" s="3">
        <v>1995.78</v>
      </c>
      <c r="P73" s="3">
        <f>Table1[[#This Row],[Input Quantity (Kg''s)]]-SUM(Table1[[#This Row],[Wholes (kg''s)]:[Black Rejection (Kg''s)]],Table1[[#This Row],[Shell Dust]])</f>
        <v>93495.12</v>
      </c>
      <c r="Q73" s="3">
        <f>SUM(Table1[[#This Row],[Wholes (kg''s)]:[Pieces (kg''s)]])</f>
        <v>36057.1</v>
      </c>
      <c r="R73" s="3">
        <f>SUM(Table1[[#This Row],[Wholes (kg''s)]:[Black Rejection (Kg''s)]])</f>
        <v>37561.1</v>
      </c>
      <c r="S73" s="4">
        <f>IFERROR(Table1[[#This Row],[Good Kernels (kg''s)]]/Table1[[#This Row],[Input Quantity (Kg''s)]]*176.36,"")</f>
        <v>47.793570603974388</v>
      </c>
      <c r="T73" s="4">
        <f>IFERROR(Table1[[#This Row],[Good Kernels (kg''s)]]/Table1[[#This Row],[Input Quantity (Kg''s)]]%,"")</f>
        <v>27.100006012686769</v>
      </c>
      <c r="U73" s="5">
        <f>IFERROR(Table1[[#This Row],[Final Kernels (kg''s)]]/Table1[[#This Row],[Input Quantity (Kg''s)]]%,"")</f>
        <v>28.230391125274327</v>
      </c>
      <c r="V73" s="5">
        <f>IFERROR(Table1[[#This Row],[Wholes (kg''s)]]/Table1[[#This Row],[Good Kernels (kg''s)]]%,"")</f>
        <v>99.916243957500754</v>
      </c>
      <c r="W73" s="5">
        <f>IFERROR(Table1[[#This Row],[Pieces (kg''s)]]/Table1[[#This Row],[Good Kernels (kg''s)]]%,"")</f>
        <v>8.3756042499258124E-2</v>
      </c>
      <c r="X73" s="5">
        <f>IFERROR(Table1[[#This Row],[First Pass Uncut (kg''s)]]/Table1[[#This Row],[Input Quantity (Kg''s)]]%,"")</f>
        <v>9.3298860595857267</v>
      </c>
      <c r="Y73" s="5">
        <f>IFERROR(Table1[[#This Row],[Final Uncut (kg''s)]]/Table1[[#This Row],[Input Quantity (Kg''s)]]%,"")</f>
        <v>0.16534888614977603</v>
      </c>
      <c r="Z73" s="21">
        <f>IFERROR(Table1[[#This Row],[Shell]]/Table1[[#This Row],[Input Quantity (Kg''s)]]%,"")</f>
        <v>70.269608874725662</v>
      </c>
      <c r="AA73" s="21">
        <f>IFERROR(Table1[[#This Row],[Shell Dust]]/Table1[[#This Row],[Input Quantity (Kg''s)]]%,"")</f>
        <v>1.5</v>
      </c>
    </row>
    <row r="74" spans="2:27" x14ac:dyDescent="0.3">
      <c r="B74" s="1">
        <v>46235</v>
      </c>
      <c r="C74" s="15">
        <f>WEEKNUM(Table1[[#This Row],[Date]])</f>
        <v>31</v>
      </c>
      <c r="D74" s="1" t="str">
        <f>TEXT(Table1[[#This Row],[Date]],"mmm-yy")</f>
        <v>Aug-26</v>
      </c>
      <c r="E74" t="s">
        <v>101</v>
      </c>
      <c r="F74" t="s">
        <v>112</v>
      </c>
      <c r="G74">
        <v>139562</v>
      </c>
      <c r="H74">
        <v>35267.800000000003</v>
      </c>
      <c r="I74" s="3">
        <v>31.1</v>
      </c>
      <c r="J74">
        <v>653.20000000000005</v>
      </c>
      <c r="K74">
        <v>0</v>
      </c>
      <c r="L74">
        <v>1209</v>
      </c>
      <c r="M74" s="3">
        <v>11095.4</v>
      </c>
      <c r="N74" s="3">
        <v>250</v>
      </c>
      <c r="O74" s="3">
        <v>2093.4299999999998</v>
      </c>
      <c r="P74" s="3">
        <f>Table1[[#This Row],[Input Quantity (Kg''s)]]-SUM(Table1[[#This Row],[Wholes (kg''s)]:[Black Rejection (Kg''s)]],Table1[[#This Row],[Shell Dust]])</f>
        <v>100307.47</v>
      </c>
      <c r="Q74" s="3">
        <f>SUM(Table1[[#This Row],[Wholes (kg''s)]:[Pieces (kg''s)]])</f>
        <v>35298.9</v>
      </c>
      <c r="R74" s="3">
        <f>SUM(Table1[[#This Row],[Wholes (kg''s)]:[Black Rejection (Kg''s)]])</f>
        <v>37161.1</v>
      </c>
      <c r="S74" s="4">
        <f>IFERROR(Table1[[#This Row],[Good Kernels (kg''s)]]/Table1[[#This Row],[Input Quantity (Kg''s)]]*176.36,"")</f>
        <v>44.606081913414833</v>
      </c>
      <c r="T74" s="4">
        <f>IFERROR(Table1[[#This Row],[Good Kernels (kg''s)]]/Table1[[#This Row],[Input Quantity (Kg''s)]]%,"")</f>
        <v>25.292629798942407</v>
      </c>
      <c r="U74" s="5">
        <f>IFERROR(Table1[[#This Row],[Final Kernels (kg''s)]]/Table1[[#This Row],[Input Quantity (Kg''s)]]%,"")</f>
        <v>26.626947163267939</v>
      </c>
      <c r="V74" s="5">
        <f>IFERROR(Table1[[#This Row],[Wholes (kg''s)]]/Table1[[#This Row],[Good Kernels (kg''s)]]%,"")</f>
        <v>99.911895271524045</v>
      </c>
      <c r="W74" s="5">
        <f>IFERROR(Table1[[#This Row],[Pieces (kg''s)]]/Table1[[#This Row],[Good Kernels (kg''s)]]%,"")</f>
        <v>8.8104728475958169E-2</v>
      </c>
      <c r="X74" s="5">
        <f>IFERROR(Table1[[#This Row],[First Pass Uncut (kg''s)]]/Table1[[#This Row],[Input Quantity (Kg''s)]]%,"")</f>
        <v>7.9501583525601527</v>
      </c>
      <c r="Y74" s="5">
        <f>IFERROR(Table1[[#This Row],[Final Uncut (kg''s)]]/Table1[[#This Row],[Input Quantity (Kg''s)]]%,"")</f>
        <v>0.17913185537610526</v>
      </c>
      <c r="Z74" s="21">
        <f>IFERROR(Table1[[#This Row],[Shell]]/Table1[[#This Row],[Input Quantity (Kg''s)]]%,"")</f>
        <v>71.873052836732072</v>
      </c>
      <c r="AA74" s="21">
        <f>IFERROR(Table1[[#This Row],[Shell Dust]]/Table1[[#This Row],[Input Quantity (Kg''s)]]%,"")</f>
        <v>1.5</v>
      </c>
    </row>
    <row r="75" spans="2:27" x14ac:dyDescent="0.3">
      <c r="B75" s="1">
        <v>46237</v>
      </c>
      <c r="C75" s="15">
        <f>WEEKNUM(Table1[[#This Row],[Date]])</f>
        <v>32</v>
      </c>
      <c r="D75" s="1" t="str">
        <f>TEXT(Table1[[#This Row],[Date]],"mmm-yy")</f>
        <v>Aug-26</v>
      </c>
      <c r="E75" t="s">
        <v>101</v>
      </c>
      <c r="F75" t="s">
        <v>113</v>
      </c>
      <c r="G75">
        <v>78960</v>
      </c>
      <c r="H75">
        <v>20966.8</v>
      </c>
      <c r="I75" s="3">
        <v>38.9</v>
      </c>
      <c r="J75">
        <v>714.5</v>
      </c>
      <c r="K75">
        <v>0</v>
      </c>
      <c r="L75">
        <v>513</v>
      </c>
      <c r="M75" s="3">
        <v>10240.4</v>
      </c>
      <c r="N75" s="3">
        <v>200</v>
      </c>
      <c r="O75" s="3">
        <v>1184.3999999999999</v>
      </c>
      <c r="P75" s="3">
        <f>Table1[[#This Row],[Input Quantity (Kg''s)]]-SUM(Table1[[#This Row],[Wholes (kg''s)]:[Black Rejection (Kg''s)]],Table1[[#This Row],[Shell Dust]])</f>
        <v>55542.399999999994</v>
      </c>
      <c r="Q75" s="3">
        <f>SUM(Table1[[#This Row],[Wholes (kg''s)]:[Pieces (kg''s)]])</f>
        <v>21005.7</v>
      </c>
      <c r="R75" s="3">
        <f>SUM(Table1[[#This Row],[Wholes (kg''s)]:[Black Rejection (Kg''s)]])</f>
        <v>22233.200000000001</v>
      </c>
      <c r="S75" s="4">
        <f>IFERROR(Table1[[#This Row],[Good Kernels (kg''s)]]/Table1[[#This Row],[Input Quantity (Kg''s)]]*176.36,"")</f>
        <v>46.916986474164133</v>
      </c>
      <c r="T75" s="4">
        <f>IFERROR(Table1[[#This Row],[Good Kernels (kg''s)]]/Table1[[#This Row],[Input Quantity (Kg''s)]]%,"")</f>
        <v>26.602963525835868</v>
      </c>
      <c r="U75" s="5">
        <f>IFERROR(Table1[[#This Row],[Final Kernels (kg''s)]]/Table1[[#This Row],[Input Quantity (Kg''s)]]%,"")</f>
        <v>28.157548125633234</v>
      </c>
      <c r="V75" s="5">
        <f>IFERROR(Table1[[#This Row],[Wholes (kg''s)]]/Table1[[#This Row],[Good Kernels (kg''s)]]%,"")</f>
        <v>99.814812170030024</v>
      </c>
      <c r="W75" s="5">
        <f>IFERROR(Table1[[#This Row],[Pieces (kg''s)]]/Table1[[#This Row],[Good Kernels (kg''s)]]%,"")</f>
        <v>0.18518782996996053</v>
      </c>
      <c r="X75" s="5">
        <f>IFERROR(Table1[[#This Row],[First Pass Uncut (kg''s)]]/Table1[[#This Row],[Input Quantity (Kg''s)]]%,"")</f>
        <v>12.969098277608914</v>
      </c>
      <c r="Y75" s="5">
        <f>IFERROR(Table1[[#This Row],[Final Uncut (kg''s)]]/Table1[[#This Row],[Input Quantity (Kg''s)]]%,"")</f>
        <v>0.25329280648429586</v>
      </c>
      <c r="Z75" s="21">
        <f>IFERROR(Table1[[#This Row],[Shell]]/Table1[[#This Row],[Input Quantity (Kg''s)]]%,"")</f>
        <v>70.342451874366759</v>
      </c>
      <c r="AA75" s="21">
        <f>IFERROR(Table1[[#This Row],[Shell Dust]]/Table1[[#This Row],[Input Quantity (Kg''s)]]%,"")</f>
        <v>1.4999999999999998</v>
      </c>
    </row>
    <row r="76" spans="2:27" x14ac:dyDescent="0.3">
      <c r="B76" s="1">
        <v>46238</v>
      </c>
      <c r="C76" s="15">
        <f>WEEKNUM(Table1[[#This Row],[Date]])</f>
        <v>32</v>
      </c>
      <c r="D76" s="1" t="str">
        <f>TEXT(Table1[[#This Row],[Date]],"mmm-yy")</f>
        <v>Aug-26</v>
      </c>
      <c r="E76" t="s">
        <v>101</v>
      </c>
      <c r="F76" t="s">
        <v>114</v>
      </c>
      <c r="G76">
        <v>136839</v>
      </c>
      <c r="H76">
        <v>35150.800000000003</v>
      </c>
      <c r="I76" s="3">
        <v>47.3</v>
      </c>
      <c r="J76">
        <v>859.2</v>
      </c>
      <c r="K76">
        <v>0</v>
      </c>
      <c r="L76">
        <v>989</v>
      </c>
      <c r="M76" s="3">
        <v>9917</v>
      </c>
      <c r="N76" s="3">
        <v>350</v>
      </c>
      <c r="O76" s="3">
        <v>1742</v>
      </c>
      <c r="P76" s="3">
        <f>Table1[[#This Row],[Input Quantity (Kg''s)]]-SUM(Table1[[#This Row],[Wholes (kg''s)]:[Black Rejection (Kg''s)]],Table1[[#This Row],[Shell Dust]])</f>
        <v>98050.7</v>
      </c>
      <c r="Q76" s="3">
        <f>SUM(Table1[[#This Row],[Wholes (kg''s)]:[Pieces (kg''s)]])</f>
        <v>35198.100000000006</v>
      </c>
      <c r="R76" s="3">
        <f>SUM(Table1[[#This Row],[Wholes (kg''s)]:[Black Rejection (Kg''s)]])</f>
        <v>37046.300000000003</v>
      </c>
      <c r="S76" s="4">
        <f>IFERROR(Table1[[#This Row],[Good Kernels (kg''s)]]/Table1[[#This Row],[Input Quantity (Kg''s)]]*176.36,"")</f>
        <v>45.363799180058329</v>
      </c>
      <c r="T76" s="4">
        <f>IFERROR(Table1[[#This Row],[Good Kernels (kg''s)]]/Table1[[#This Row],[Input Quantity (Kg''s)]]%,"")</f>
        <v>25.722272159252846</v>
      </c>
      <c r="U76" s="5">
        <f>IFERROR(Table1[[#This Row],[Final Kernels (kg''s)]]/Table1[[#This Row],[Input Quantity (Kg''s)]]%,"")</f>
        <v>27.072910500661362</v>
      </c>
      <c r="V76" s="5">
        <f>IFERROR(Table1[[#This Row],[Wholes (kg''s)]]/Table1[[#This Row],[Good Kernels (kg''s)]]%,"")</f>
        <v>99.86561774641244</v>
      </c>
      <c r="W76" s="5">
        <f>IFERROR(Table1[[#This Row],[Pieces (kg''s)]]/Table1[[#This Row],[Good Kernels (kg''s)]]%,"")</f>
        <v>0.13438225358755157</v>
      </c>
      <c r="X76" s="5">
        <f>IFERROR(Table1[[#This Row],[First Pass Uncut (kg''s)]]/Table1[[#This Row],[Input Quantity (Kg''s)]]%,"")</f>
        <v>7.2472029172969687</v>
      </c>
      <c r="Y76" s="5">
        <f>IFERROR(Table1[[#This Row],[Final Uncut (kg''s)]]/Table1[[#This Row],[Input Quantity (Kg''s)]]%,"")</f>
        <v>0.25577503489502262</v>
      </c>
      <c r="Z76" s="21">
        <f>IFERROR(Table1[[#This Row],[Shell]]/Table1[[#This Row],[Input Quantity (Kg''s)]]%,"")</f>
        <v>71.6540606113754</v>
      </c>
      <c r="AA76" s="21">
        <f>IFERROR(Table1[[#This Row],[Shell Dust]]/Table1[[#This Row],[Input Quantity (Kg''s)]]%,"")</f>
        <v>1.2730288879632268</v>
      </c>
    </row>
    <row r="77" spans="2:27" x14ac:dyDescent="0.3">
      <c r="B77" s="1">
        <v>46239</v>
      </c>
      <c r="C77" s="15">
        <f>WEEKNUM(Table1[[#This Row],[Date]])</f>
        <v>32</v>
      </c>
      <c r="D77" s="1" t="str">
        <f>TEXT(Table1[[#This Row],[Date]],"mmm-yy")</f>
        <v>Aug-26</v>
      </c>
      <c r="E77" t="s">
        <v>101</v>
      </c>
      <c r="F77" t="s">
        <v>115</v>
      </c>
      <c r="G77">
        <v>144898</v>
      </c>
      <c r="H77">
        <v>38306.699999999997</v>
      </c>
      <c r="I77" s="3">
        <v>0</v>
      </c>
      <c r="J77">
        <v>1019.8</v>
      </c>
      <c r="K77">
        <v>0</v>
      </c>
      <c r="L77">
        <v>925.5</v>
      </c>
      <c r="M77" s="3">
        <v>6196.1</v>
      </c>
      <c r="N77" s="3">
        <v>1550</v>
      </c>
      <c r="O77" s="3">
        <v>1625.6</v>
      </c>
      <c r="P77" s="3">
        <f>Table1[[#This Row],[Input Quantity (Kg''s)]]-SUM(Table1[[#This Row],[Wholes (kg''s)]:[Black Rejection (Kg''s)]],Table1[[#This Row],[Shell Dust]])</f>
        <v>103020.4</v>
      </c>
      <c r="Q77" s="3">
        <f>SUM(Table1[[#This Row],[Wholes (kg''s)]:[Pieces (kg''s)]])</f>
        <v>38306.699999999997</v>
      </c>
      <c r="R77" s="3">
        <f>SUM(Table1[[#This Row],[Wholes (kg''s)]:[Black Rejection (Kg''s)]])</f>
        <v>40252</v>
      </c>
      <c r="S77" s="4">
        <f>IFERROR(Table1[[#This Row],[Good Kernels (kg''s)]]/Table1[[#This Row],[Input Quantity (Kg''s)]]*176.36,"")</f>
        <v>46.624312357658489</v>
      </c>
      <c r="T77" s="4">
        <f>IFERROR(Table1[[#This Row],[Good Kernels (kg''s)]]/Table1[[#This Row],[Input Quantity (Kg''s)]]%,"")</f>
        <v>26.437010862813839</v>
      </c>
      <c r="U77" s="5">
        <f>IFERROR(Table1[[#This Row],[Final Kernels (kg''s)]]/Table1[[#This Row],[Input Quantity (Kg''s)]]%,"")</f>
        <v>27.779541470551699</v>
      </c>
      <c r="V77" s="5">
        <f>IFERROR(Table1[[#This Row],[Wholes (kg''s)]]/Table1[[#This Row],[Good Kernels (kg''s)]]%,"")</f>
        <v>100</v>
      </c>
      <c r="W77" s="5">
        <f>IFERROR(Table1[[#This Row],[Pieces (kg''s)]]/Table1[[#This Row],[Good Kernels (kg''s)]]%,"")</f>
        <v>0</v>
      </c>
      <c r="X77" s="5">
        <f>IFERROR(Table1[[#This Row],[First Pass Uncut (kg''s)]]/Table1[[#This Row],[Input Quantity (Kg''s)]]%,"")</f>
        <v>4.2761804855829624</v>
      </c>
      <c r="Y77" s="5">
        <f>IFERROR(Table1[[#This Row],[Final Uncut (kg''s)]]/Table1[[#This Row],[Input Quantity (Kg''s)]]%,"")</f>
        <v>1.0697180085301383</v>
      </c>
      <c r="Z77" s="21">
        <f>IFERROR(Table1[[#This Row],[Shell]]/Table1[[#This Row],[Input Quantity (Kg''s)]]%,"")</f>
        <v>71.098565887727915</v>
      </c>
      <c r="AA77" s="21">
        <f>IFERROR(Table1[[#This Row],[Shell Dust]]/Table1[[#This Row],[Input Quantity (Kg''s)]]%,"")</f>
        <v>1.1218926417203825</v>
      </c>
    </row>
    <row r="78" spans="2:27" x14ac:dyDescent="0.3">
      <c r="B78" s="1">
        <v>46240</v>
      </c>
      <c r="C78" s="15">
        <f>WEEKNUM(Table1[[#This Row],[Date]])</f>
        <v>32</v>
      </c>
      <c r="D78" s="1" t="str">
        <f>TEXT(Table1[[#This Row],[Date]],"mmm-yy")</f>
        <v>Aug-26</v>
      </c>
      <c r="E78" t="s">
        <v>101</v>
      </c>
      <c r="F78" t="s">
        <v>117</v>
      </c>
      <c r="G78">
        <v>149881</v>
      </c>
      <c r="H78">
        <v>37740</v>
      </c>
      <c r="I78" s="3">
        <v>56.4</v>
      </c>
      <c r="J78">
        <v>1097.2</v>
      </c>
      <c r="K78">
        <v>0</v>
      </c>
      <c r="L78">
        <v>935</v>
      </c>
      <c r="M78" s="3">
        <v>13297.3</v>
      </c>
      <c r="N78" s="3">
        <v>1720</v>
      </c>
      <c r="O78" s="3">
        <v>2580</v>
      </c>
      <c r="P78" s="3">
        <f>Table1[[#This Row],[Input Quantity (Kg''s)]]-SUM(Table1[[#This Row],[Wholes (kg''s)]:[Black Rejection (Kg''s)]],Table1[[#This Row],[Shell Dust]])</f>
        <v>107472.4</v>
      </c>
      <c r="Q78" s="3">
        <f>SUM(Table1[[#This Row],[Wholes (kg''s)]:[Pieces (kg''s)]])</f>
        <v>37796.400000000001</v>
      </c>
      <c r="R78" s="3">
        <f>SUM(Table1[[#This Row],[Wholes (kg''s)]:[Black Rejection (Kg''s)]])</f>
        <v>39828.6</v>
      </c>
      <c r="S78" s="4">
        <f>IFERROR(Table1[[#This Row],[Good Kernels (kg''s)]]/Table1[[#This Row],[Input Quantity (Kg''s)]]*176.36,"")</f>
        <v>44.473769884108066</v>
      </c>
      <c r="T78" s="4">
        <f>IFERROR(Table1[[#This Row],[Good Kernels (kg''s)]]/Table1[[#This Row],[Input Quantity (Kg''s)]]%,"")</f>
        <v>25.217605967400807</v>
      </c>
      <c r="U78" s="5">
        <f>IFERROR(Table1[[#This Row],[Final Kernels (kg''s)]]/Table1[[#This Row],[Input Quantity (Kg''s)]]%,"")</f>
        <v>26.573481628758817</v>
      </c>
      <c r="V78" s="5">
        <f>IFERROR(Table1[[#This Row],[Wholes (kg''s)]]/Table1[[#This Row],[Good Kernels (kg''s)]]%,"")</f>
        <v>99.85077943931168</v>
      </c>
      <c r="W78" s="5">
        <f>IFERROR(Table1[[#This Row],[Pieces (kg''s)]]/Table1[[#This Row],[Good Kernels (kg''s)]]%,"")</f>
        <v>0.14922056068831951</v>
      </c>
      <c r="X78" s="5">
        <f>IFERROR(Table1[[#This Row],[First Pass Uncut (kg''s)]]/Table1[[#This Row],[Input Quantity (Kg''s)]]%,"")</f>
        <v>8.8719050446687699</v>
      </c>
      <c r="Y78" s="5">
        <f>IFERROR(Table1[[#This Row],[Final Uncut (kg''s)]]/Table1[[#This Row],[Input Quantity (Kg''s)]]%,"")</f>
        <v>1.1475770778150667</v>
      </c>
      <c r="Z78" s="21">
        <f>IFERROR(Table1[[#This Row],[Shell]]/Table1[[#This Row],[Input Quantity (Kg''s)]]%,"")</f>
        <v>71.705152754518579</v>
      </c>
      <c r="AA78" s="21">
        <f>IFERROR(Table1[[#This Row],[Shell Dust]]/Table1[[#This Row],[Input Quantity (Kg''s)]]%,"")</f>
        <v>1.7213656167225999</v>
      </c>
    </row>
    <row r="79" spans="2:27" x14ac:dyDescent="0.3">
      <c r="B79" s="1">
        <v>46242</v>
      </c>
      <c r="C79" s="15">
        <f>WEEKNUM(Table1[[#This Row],[Date]])</f>
        <v>32</v>
      </c>
      <c r="D79" s="1" t="str">
        <f>TEXT(Table1[[#This Row],[Date]],"mmm-yy")</f>
        <v>Aug-26</v>
      </c>
      <c r="E79" t="s">
        <v>101</v>
      </c>
      <c r="F79" t="s">
        <v>118</v>
      </c>
      <c r="G79">
        <v>147305</v>
      </c>
      <c r="H79">
        <v>37190</v>
      </c>
      <c r="I79" s="3">
        <v>56.3</v>
      </c>
      <c r="J79">
        <v>1138.5999999999999</v>
      </c>
      <c r="K79">
        <v>0</v>
      </c>
      <c r="L79">
        <v>947</v>
      </c>
      <c r="M79" s="3">
        <v>13044.1</v>
      </c>
      <c r="N79" s="3">
        <v>1511</v>
      </c>
      <c r="O79" s="3">
        <v>2591.1999999999998</v>
      </c>
      <c r="P79" s="3">
        <f>Table1[[#This Row],[Input Quantity (Kg''s)]]-SUM(Table1[[#This Row],[Wholes (kg''s)]:[Black Rejection (Kg''s)]],Table1[[#This Row],[Shell Dust]])</f>
        <v>105381.9</v>
      </c>
      <c r="Q79" s="3">
        <f>SUM(Table1[[#This Row],[Wholes (kg''s)]:[Pieces (kg''s)]])</f>
        <v>37246.300000000003</v>
      </c>
      <c r="R79" s="3">
        <f>SUM(Table1[[#This Row],[Wholes (kg''s)]:[Black Rejection (Kg''s)]])</f>
        <v>39331.9</v>
      </c>
      <c r="S79" s="4">
        <f>IFERROR(Table1[[#This Row],[Good Kernels (kg''s)]]/Table1[[#This Row],[Input Quantity (Kg''s)]]*176.36,"")</f>
        <v>44.592902264010057</v>
      </c>
      <c r="T79" s="4">
        <f>IFERROR(Table1[[#This Row],[Good Kernels (kg''s)]]/Table1[[#This Row],[Input Quantity (Kg''s)]]%,"")</f>
        <v>25.285156647771633</v>
      </c>
      <c r="U79" s="5">
        <f>IFERROR(Table1[[#This Row],[Final Kernels (kg''s)]]/Table1[[#This Row],[Input Quantity (Kg''s)]]%,"")</f>
        <v>26.700994535148165</v>
      </c>
      <c r="V79" s="5">
        <f>IFERROR(Table1[[#This Row],[Wholes (kg''s)]]/Table1[[#This Row],[Good Kernels (kg''s)]]%,"")</f>
        <v>99.848844046254257</v>
      </c>
      <c r="W79" s="5">
        <f>IFERROR(Table1[[#This Row],[Pieces (kg''s)]]/Table1[[#This Row],[Good Kernels (kg''s)]]%,"")</f>
        <v>0.15115595374574117</v>
      </c>
      <c r="X79" s="5">
        <f>IFERROR(Table1[[#This Row],[First Pass Uncut (kg''s)]]/Table1[[#This Row],[Input Quantity (Kg''s)]]%,"")</f>
        <v>8.8551644547028285</v>
      </c>
      <c r="Y79" s="5">
        <f>IFERROR(Table1[[#This Row],[Final Uncut (kg''s)]]/Table1[[#This Row],[Input Quantity (Kg''s)]]%,"")</f>
        <v>1.0257628729506807</v>
      </c>
      <c r="Z79" s="21">
        <f>IFERROR(Table1[[#This Row],[Shell]]/Table1[[#This Row],[Input Quantity (Kg''s)]]%,"")</f>
        <v>71.539934150232511</v>
      </c>
      <c r="AA79" s="21">
        <f>IFERROR(Table1[[#This Row],[Shell Dust]]/Table1[[#This Row],[Input Quantity (Kg''s)]]%,"")</f>
        <v>1.7590713146193271</v>
      </c>
    </row>
    <row r="80" spans="2:27" x14ac:dyDescent="0.3">
      <c r="B80" s="1">
        <v>46244</v>
      </c>
      <c r="C80" s="15">
        <f>WEEKNUM(Table1[[#This Row],[Date]])</f>
        <v>33</v>
      </c>
      <c r="D80" s="1" t="str">
        <f>TEXT(Table1[[#This Row],[Date]],"mmm-yy")</f>
        <v>Aug-26</v>
      </c>
      <c r="E80" t="s">
        <v>101</v>
      </c>
      <c r="F80" t="s">
        <v>119</v>
      </c>
      <c r="G80">
        <v>89929</v>
      </c>
      <c r="H80">
        <v>25505.3</v>
      </c>
      <c r="I80" s="3">
        <v>32.799999999999997</v>
      </c>
      <c r="J80">
        <v>812.5</v>
      </c>
      <c r="K80">
        <v>0</v>
      </c>
      <c r="L80">
        <v>1112</v>
      </c>
      <c r="M80" s="3">
        <v>11355.1</v>
      </c>
      <c r="N80" s="3">
        <v>200</v>
      </c>
      <c r="O80" s="3">
        <v>1787.3</v>
      </c>
      <c r="P80" s="3">
        <f>Table1[[#This Row],[Input Quantity (Kg''s)]]-SUM(Table1[[#This Row],[Wholes (kg''s)]:[Black Rejection (Kg''s)]],Table1[[#This Row],[Shell Dust]])</f>
        <v>60679.100000000006</v>
      </c>
      <c r="Q80" s="3">
        <f>SUM(Table1[[#This Row],[Wholes (kg''s)]:[Pieces (kg''s)]])</f>
        <v>25538.1</v>
      </c>
      <c r="R80" s="3">
        <f>SUM(Table1[[#This Row],[Wholes (kg''s)]:[Black Rejection (Kg''s)]])</f>
        <v>27462.6</v>
      </c>
      <c r="S80" s="4">
        <f>IFERROR(Table1[[#This Row],[Good Kernels (kg''s)]]/Table1[[#This Row],[Input Quantity (Kg''s)]]*176.36,"")</f>
        <v>50.082835525803688</v>
      </c>
      <c r="T80" s="4">
        <f>IFERROR(Table1[[#This Row],[Good Kernels (kg''s)]]/Table1[[#This Row],[Input Quantity (Kg''s)]]%,"")</f>
        <v>28.398069588230715</v>
      </c>
      <c r="U80" s="5">
        <f>IFERROR(Table1[[#This Row],[Final Kernels (kg''s)]]/Table1[[#This Row],[Input Quantity (Kg''s)]]%,"")</f>
        <v>30.538091160804633</v>
      </c>
      <c r="V80" s="5">
        <f>IFERROR(Table1[[#This Row],[Wholes (kg''s)]]/Table1[[#This Row],[Good Kernels (kg''s)]]%,"")</f>
        <v>99.871564446846094</v>
      </c>
      <c r="W80" s="5">
        <f>IFERROR(Table1[[#This Row],[Pieces (kg''s)]]/Table1[[#This Row],[Good Kernels (kg''s)]]%,"")</f>
        <v>0.12843555315391514</v>
      </c>
      <c r="X80" s="5">
        <f>IFERROR(Table1[[#This Row],[First Pass Uncut (kg''s)]]/Table1[[#This Row],[Input Quantity (Kg''s)]]%,"")</f>
        <v>12.626738871776626</v>
      </c>
      <c r="Y80" s="5">
        <f>IFERROR(Table1[[#This Row],[Final Uncut (kg''s)]]/Table1[[#This Row],[Input Quantity (Kg''s)]]%,"")</f>
        <v>0.22239766927242605</v>
      </c>
      <c r="Z80" s="21">
        <f>IFERROR(Table1[[#This Row],[Shell]]/Table1[[#This Row],[Input Quantity (Kg''s)]]%,"")</f>
        <v>67.474452067742334</v>
      </c>
      <c r="AA80" s="21">
        <f>IFERROR(Table1[[#This Row],[Shell Dust]]/Table1[[#This Row],[Input Quantity (Kg''s)]]%,"")</f>
        <v>1.9874567714530351</v>
      </c>
    </row>
    <row r="81" spans="2:27" x14ac:dyDescent="0.3">
      <c r="B81" s="1">
        <v>46245</v>
      </c>
      <c r="C81" s="15">
        <f>WEEKNUM(Table1[[#This Row],[Date]])</f>
        <v>33</v>
      </c>
      <c r="D81" s="1" t="str">
        <f>TEXT(Table1[[#This Row],[Date]],"mmm-yy")</f>
        <v>Aug-26</v>
      </c>
      <c r="E81" t="s">
        <v>101</v>
      </c>
      <c r="F81" t="s">
        <v>120</v>
      </c>
      <c r="G81">
        <v>120899</v>
      </c>
      <c r="H81">
        <v>31398.1</v>
      </c>
      <c r="I81" s="3">
        <v>0</v>
      </c>
      <c r="J81" s="3">
        <v>906.6</v>
      </c>
      <c r="K81">
        <v>0</v>
      </c>
      <c r="L81">
        <v>368.5</v>
      </c>
      <c r="M81" s="3">
        <v>9147.2000000000007</v>
      </c>
      <c r="N81" s="3">
        <v>600</v>
      </c>
      <c r="O81" s="3">
        <v>1336.4</v>
      </c>
      <c r="P81" s="3">
        <f>Table1[[#This Row],[Input Quantity (Kg''s)]]-SUM(Table1[[#This Row],[Wholes (kg''s)]:[Black Rejection (Kg''s)]],Table1[[#This Row],[Shell Dust]])</f>
        <v>86889.4</v>
      </c>
      <c r="Q81" s="3">
        <f>SUM(Table1[[#This Row],[Wholes (kg''s)]:[Pieces (kg''s)]])</f>
        <v>31398.1</v>
      </c>
      <c r="R81" s="3">
        <f>SUM(Table1[[#This Row],[Wholes (kg''s)]:[Black Rejection (Kg''s)]])</f>
        <v>32673.199999999997</v>
      </c>
      <c r="S81" s="4">
        <f>IFERROR(Table1[[#This Row],[Good Kernels (kg''s)]]/Table1[[#This Row],[Input Quantity (Kg''s)]]*176.36,"")</f>
        <v>45.801610567498493</v>
      </c>
      <c r="T81" s="4">
        <f>IFERROR(Table1[[#This Row],[Good Kernels (kg''s)]]/Table1[[#This Row],[Input Quantity (Kg''s)]]%,"")</f>
        <v>25.970520847980545</v>
      </c>
      <c r="U81" s="5">
        <f>IFERROR(Table1[[#This Row],[Final Kernels (kg''s)]]/Table1[[#This Row],[Input Quantity (Kg''s)]]%,"")</f>
        <v>27.025202855275889</v>
      </c>
      <c r="V81" s="5">
        <f>IFERROR(Table1[[#This Row],[Wholes (kg''s)]]/Table1[[#This Row],[Good Kernels (kg''s)]]%,"")</f>
        <v>100</v>
      </c>
      <c r="W81" s="5">
        <f>IFERROR(Table1[[#This Row],[Pieces (kg''s)]]/Table1[[#This Row],[Good Kernels (kg''s)]]%,"")</f>
        <v>0</v>
      </c>
      <c r="X81" s="5">
        <f>IFERROR(Table1[[#This Row],[First Pass Uncut (kg''s)]]/Table1[[#This Row],[Input Quantity (Kg''s)]]%,"")</f>
        <v>7.5659848303129067</v>
      </c>
      <c r="Y81" s="5">
        <f>IFERROR(Table1[[#This Row],[Final Uncut (kg''s)]]/Table1[[#This Row],[Input Quantity (Kg''s)]]%,"")</f>
        <v>0.49628202052953291</v>
      </c>
      <c r="Z81" s="21">
        <f>IFERROR(Table1[[#This Row],[Shell]]/Table1[[#This Row],[Input Quantity (Kg''s)]]%,"")</f>
        <v>71.869411657664656</v>
      </c>
      <c r="AA81" s="21">
        <f>IFERROR(Table1[[#This Row],[Shell Dust]]/Table1[[#This Row],[Input Quantity (Kg''s)]]%,"")</f>
        <v>1.1053854870594464</v>
      </c>
    </row>
    <row r="82" spans="2:27" x14ac:dyDescent="0.3">
      <c r="B82" s="1">
        <v>46246</v>
      </c>
      <c r="C82" s="15">
        <f>WEEKNUM(Table1[[#This Row],[Date]])</f>
        <v>33</v>
      </c>
      <c r="D82" s="1" t="str">
        <f>TEXT(Table1[[#This Row],[Date]],"mmm-yy")</f>
        <v>Aug-26</v>
      </c>
      <c r="E82" t="s">
        <v>101</v>
      </c>
      <c r="F82" t="s">
        <v>121</v>
      </c>
      <c r="G82">
        <v>140239</v>
      </c>
      <c r="H82">
        <v>36631.199999999997</v>
      </c>
      <c r="I82" s="3">
        <v>37.4</v>
      </c>
      <c r="J82" s="3">
        <v>955</v>
      </c>
      <c r="K82">
        <v>0</v>
      </c>
      <c r="L82">
        <v>1727</v>
      </c>
      <c r="M82" s="3">
        <v>6123.1</v>
      </c>
      <c r="N82" s="3">
        <v>200</v>
      </c>
      <c r="O82" s="3">
        <v>1173</v>
      </c>
      <c r="P82" s="3">
        <f>Table1[[#This Row],[Input Quantity (Kg''s)]]-SUM(Table1[[#This Row],[Wholes (kg''s)]:[Black Rejection (Kg''s)]],Table1[[#This Row],[Shell Dust]])</f>
        <v>99715.4</v>
      </c>
      <c r="Q82" s="3">
        <f>SUM(Table1[[#This Row],[Wholes (kg''s)]:[Pieces (kg''s)]])</f>
        <v>36668.6</v>
      </c>
      <c r="R82" s="3">
        <f>SUM(Table1[[#This Row],[Wholes (kg''s)]:[Black Rejection (Kg''s)]])</f>
        <v>39350.6</v>
      </c>
      <c r="S82" s="4">
        <f>IFERROR(Table1[[#This Row],[Good Kernels (kg''s)]]/Table1[[#This Row],[Input Quantity (Kg''s)]]*176.36,"")</f>
        <v>46.113237373341228</v>
      </c>
      <c r="T82" s="4">
        <f>IFERROR(Table1[[#This Row],[Good Kernels (kg''s)]]/Table1[[#This Row],[Input Quantity (Kg''s)]]%,"")</f>
        <v>26.147220102824463</v>
      </c>
      <c r="U82" s="5">
        <f>IFERROR(Table1[[#This Row],[Final Kernels (kg''s)]]/Table1[[#This Row],[Input Quantity (Kg''s)]]%,"")</f>
        <v>28.059669564101281</v>
      </c>
      <c r="V82" s="5">
        <f>IFERROR(Table1[[#This Row],[Wholes (kg''s)]]/Table1[[#This Row],[Good Kernels (kg''s)]]%,"")</f>
        <v>99.898005377898258</v>
      </c>
      <c r="W82" s="5">
        <f>IFERROR(Table1[[#This Row],[Pieces (kg''s)]]/Table1[[#This Row],[Good Kernels (kg''s)]]%,"")</f>
        <v>0.10199462210174373</v>
      </c>
      <c r="X82" s="5">
        <f>IFERROR(Table1[[#This Row],[First Pass Uncut (kg''s)]]/Table1[[#This Row],[Input Quantity (Kg''s)]]%,"")</f>
        <v>4.3661891485250184</v>
      </c>
      <c r="Y82" s="5">
        <f>IFERROR(Table1[[#This Row],[Final Uncut (kg''s)]]/Table1[[#This Row],[Input Quantity (Kg''s)]]%,"")</f>
        <v>0.14261368093041166</v>
      </c>
      <c r="Z82" s="21">
        <f>IFERROR(Table1[[#This Row],[Shell]]/Table1[[#This Row],[Input Quantity (Kg''s)]]%,"")</f>
        <v>71.103901197241839</v>
      </c>
      <c r="AA82" s="21">
        <f>IFERROR(Table1[[#This Row],[Shell Dust]]/Table1[[#This Row],[Input Quantity (Kg''s)]]%,"")</f>
        <v>0.83642923865686425</v>
      </c>
    </row>
    <row r="83" spans="2:27" x14ac:dyDescent="0.3">
      <c r="B83" s="1">
        <v>46247</v>
      </c>
      <c r="C83" s="15">
        <f>WEEKNUM(Table1[[#This Row],[Date]])</f>
        <v>33</v>
      </c>
      <c r="D83" s="1" t="str">
        <f>TEXT(Table1[[#This Row],[Date]],"mmm-yy")</f>
        <v>Aug-26</v>
      </c>
      <c r="E83" t="s">
        <v>101</v>
      </c>
      <c r="F83" t="s">
        <v>122</v>
      </c>
      <c r="G83">
        <v>148909</v>
      </c>
      <c r="H83">
        <v>40102.400000000001</v>
      </c>
      <c r="I83" s="3">
        <v>32.6</v>
      </c>
      <c r="J83" s="3">
        <v>886.7</v>
      </c>
      <c r="K83">
        <v>0</v>
      </c>
      <c r="L83">
        <v>1220</v>
      </c>
      <c r="M83" s="3">
        <v>9216.1</v>
      </c>
      <c r="N83" s="3">
        <v>200</v>
      </c>
      <c r="O83" s="3">
        <v>3060.7</v>
      </c>
      <c r="P83" s="3">
        <f>Table1[[#This Row],[Input Quantity (Kg''s)]]-SUM(Table1[[#This Row],[Wholes (kg''s)]:[Black Rejection (Kg''s)]],Table1[[#This Row],[Shell Dust]])</f>
        <v>103606.6</v>
      </c>
      <c r="Q83" s="3">
        <f>SUM(Table1[[#This Row],[Wholes (kg''s)]:[Pieces (kg''s)]])</f>
        <v>40135</v>
      </c>
      <c r="R83" s="3">
        <f>SUM(Table1[[#This Row],[Wholes (kg''s)]:[Black Rejection (Kg''s)]])</f>
        <v>42241.7</v>
      </c>
      <c r="S83" s="4">
        <f>IFERROR(Table1[[#This Row],[Good Kernels (kg''s)]]/Table1[[#This Row],[Input Quantity (Kg''s)]]*176.36,"")</f>
        <v>47.533786406463015</v>
      </c>
      <c r="T83" s="4">
        <f>IFERROR(Table1[[#This Row],[Good Kernels (kg''s)]]/Table1[[#This Row],[Input Quantity (Kg''s)]]%,"")</f>
        <v>26.952702657327631</v>
      </c>
      <c r="U83" s="5">
        <f>IFERROR(Table1[[#This Row],[Final Kernels (kg''s)]]/Table1[[#This Row],[Input Quantity (Kg''s)]]%,"")</f>
        <v>28.367459320793238</v>
      </c>
      <c r="V83" s="5">
        <f>IFERROR(Table1[[#This Row],[Wholes (kg''s)]]/Table1[[#This Row],[Good Kernels (kg''s)]]%,"")</f>
        <v>99.918774137286661</v>
      </c>
      <c r="W83" s="5">
        <f>IFERROR(Table1[[#This Row],[Pieces (kg''s)]]/Table1[[#This Row],[Good Kernels (kg''s)]]%,"")</f>
        <v>8.1225862713342464E-2</v>
      </c>
      <c r="X83" s="5">
        <f>IFERROR(Table1[[#This Row],[First Pass Uncut (kg''s)]]/Table1[[#This Row],[Input Quantity (Kg''s)]]%,"")</f>
        <v>6.1890819225164364</v>
      </c>
      <c r="Y83" s="5">
        <f>IFERROR(Table1[[#This Row],[Final Uncut (kg''s)]]/Table1[[#This Row],[Input Quantity (Kg''s)]]%,"")</f>
        <v>0.13431021630660336</v>
      </c>
      <c r="Z83" s="21">
        <f>IFERROR(Table1[[#This Row],[Shell]]/Table1[[#This Row],[Input Quantity (Kg''s)]]%,"")</f>
        <v>69.577124283958668</v>
      </c>
      <c r="AA83" s="21">
        <f>IFERROR(Table1[[#This Row],[Shell Dust]]/Table1[[#This Row],[Input Quantity (Kg''s)]]%,"")</f>
        <v>2.0554163952481046</v>
      </c>
    </row>
    <row r="84" spans="2:27" x14ac:dyDescent="0.3">
      <c r="B84" s="1">
        <v>46248</v>
      </c>
      <c r="C84" s="15">
        <f>WEEKNUM(Table1[[#This Row],[Date]])</f>
        <v>33</v>
      </c>
      <c r="D84" s="1" t="str">
        <f>TEXT(Table1[[#This Row],[Date]],"mmm-yy")</f>
        <v>Aug-26</v>
      </c>
      <c r="E84" t="s">
        <v>101</v>
      </c>
      <c r="F84" t="s">
        <v>123</v>
      </c>
      <c r="G84">
        <v>152232</v>
      </c>
      <c r="H84">
        <v>40276.800000000003</v>
      </c>
      <c r="I84" s="3">
        <v>25.4</v>
      </c>
      <c r="J84" s="3">
        <v>853.4</v>
      </c>
      <c r="K84">
        <v>0</v>
      </c>
      <c r="L84">
        <v>981</v>
      </c>
      <c r="M84" s="3">
        <v>10478.5</v>
      </c>
      <c r="N84" s="3">
        <v>225</v>
      </c>
      <c r="O84" s="3">
        <v>2031.7</v>
      </c>
      <c r="P84" s="3">
        <f>Table1[[#This Row],[Input Quantity (Kg''s)]]-SUM(Table1[[#This Row],[Wholes (kg''s)]:[Black Rejection (Kg''s)]],Table1[[#This Row],[Shell Dust]])</f>
        <v>108063.7</v>
      </c>
      <c r="Q84" s="3">
        <f>SUM(Table1[[#This Row],[Wholes (kg''s)]:[Pieces (kg''s)]])</f>
        <v>40302.200000000004</v>
      </c>
      <c r="R84" s="3">
        <f>SUM(Table1[[#This Row],[Wholes (kg''s)]:[Black Rejection (Kg''s)]])</f>
        <v>42136.600000000006</v>
      </c>
      <c r="S84" s="4">
        <f>IFERROR(Table1[[#This Row],[Good Kernels (kg''s)]]/Table1[[#This Row],[Input Quantity (Kg''s)]]*176.36,"")</f>
        <v>46.689894319197023</v>
      </c>
      <c r="T84" s="4">
        <f>IFERROR(Table1[[#This Row],[Good Kernels (kg''s)]]/Table1[[#This Row],[Input Quantity (Kg''s)]]%,"")</f>
        <v>26.474197277839092</v>
      </c>
      <c r="U84" s="5">
        <f>IFERROR(Table1[[#This Row],[Final Kernels (kg''s)]]/Table1[[#This Row],[Input Quantity (Kg''s)]]%,"")</f>
        <v>27.679200168164385</v>
      </c>
      <c r="V84" s="5">
        <f>IFERROR(Table1[[#This Row],[Wholes (kg''s)]]/Table1[[#This Row],[Good Kernels (kg''s)]]%,"")</f>
        <v>99.936976145222843</v>
      </c>
      <c r="W84" s="5">
        <f>IFERROR(Table1[[#This Row],[Pieces (kg''s)]]/Table1[[#This Row],[Good Kernels (kg''s)]]%,"")</f>
        <v>6.302385477715855E-2</v>
      </c>
      <c r="X84" s="5">
        <f>IFERROR(Table1[[#This Row],[First Pass Uncut (kg''s)]]/Table1[[#This Row],[Input Quantity (Kg''s)]]%,"")</f>
        <v>6.8832439960060965</v>
      </c>
      <c r="Y84" s="5">
        <f>IFERROR(Table1[[#This Row],[Final Uncut (kg''s)]]/Table1[[#This Row],[Input Quantity (Kg''s)]]%,"")</f>
        <v>0.1478007252088917</v>
      </c>
      <c r="Z84" s="21">
        <f>IFERROR(Table1[[#This Row],[Shell]]/Table1[[#This Row],[Input Quantity (Kg''s)]]%,"")</f>
        <v>70.986192127804927</v>
      </c>
      <c r="AA84" s="21">
        <f>IFERROR(Table1[[#This Row],[Shell Dust]]/Table1[[#This Row],[Input Quantity (Kg''s)]]%,"")</f>
        <v>1.3346077040306901</v>
      </c>
    </row>
    <row r="85" spans="2:27" x14ac:dyDescent="0.3">
      <c r="B85" s="1">
        <v>46251</v>
      </c>
      <c r="C85" s="15">
        <f>WEEKNUM(Table1[[#This Row],[Date]])</f>
        <v>34</v>
      </c>
      <c r="D85" s="1" t="str">
        <f>TEXT(Table1[[#This Row],[Date]],"mmm-yy")</f>
        <v>Aug-26</v>
      </c>
      <c r="E85" t="s">
        <v>101</v>
      </c>
      <c r="F85" t="s">
        <v>124</v>
      </c>
      <c r="G85">
        <v>149921</v>
      </c>
      <c r="H85">
        <v>40547.599999999999</v>
      </c>
      <c r="I85" s="3">
        <v>22.1</v>
      </c>
      <c r="J85">
        <v>537.6</v>
      </c>
      <c r="K85">
        <v>0</v>
      </c>
      <c r="L85">
        <v>963</v>
      </c>
      <c r="M85" s="3">
        <v>8111.5</v>
      </c>
      <c r="N85" s="3">
        <v>200</v>
      </c>
      <c r="O85" s="3">
        <v>2005.8</v>
      </c>
      <c r="P85" s="3">
        <f>Table1[[#This Row],[Input Quantity (Kg''s)]]-SUM(Table1[[#This Row],[Wholes (kg''s)]:[Black Rejection (Kg''s)]],Table1[[#This Row],[Shell Dust]])</f>
        <v>105844.9</v>
      </c>
      <c r="Q85" s="3">
        <f>SUM(Table1[[#This Row],[Wholes (kg''s)]:[Pieces (kg''s)]])</f>
        <v>40569.699999999997</v>
      </c>
      <c r="R85" s="3">
        <f>SUM(Table1[[#This Row],[Wholes (kg''s)]:[Black Rejection (Kg''s)]])</f>
        <v>42070.299999999996</v>
      </c>
      <c r="S85" s="4">
        <f>IFERROR(Table1[[#This Row],[Good Kernels (kg''s)]]/Table1[[#This Row],[Input Quantity (Kg''s)]]*176.36,"")</f>
        <v>47.724283402592036</v>
      </c>
      <c r="T85" s="4">
        <f>IFERROR(Table1[[#This Row],[Good Kernels (kg''s)]]/Table1[[#This Row],[Input Quantity (Kg''s)]]%,"")</f>
        <v>27.060718645153113</v>
      </c>
      <c r="U85" s="5">
        <f>IFERROR(Table1[[#This Row],[Final Kernels (kg''s)]]/Table1[[#This Row],[Input Quantity (Kg''s)]]%,"")</f>
        <v>28.061645800121394</v>
      </c>
      <c r="V85" s="5">
        <f>IFERROR(Table1[[#This Row],[Wholes (kg''s)]]/Table1[[#This Row],[Good Kernels (kg''s)]]%,"")</f>
        <v>99.945525848108332</v>
      </c>
      <c r="W85" s="5">
        <f>IFERROR(Table1[[#This Row],[Pieces (kg''s)]]/Table1[[#This Row],[Good Kernels (kg''s)]]%,"")</f>
        <v>5.4474151891682719E-2</v>
      </c>
      <c r="X85" s="5">
        <f>IFERROR(Table1[[#This Row],[First Pass Uncut (kg''s)]]/Table1[[#This Row],[Input Quantity (Kg''s)]]%,"")</f>
        <v>5.4105162052014055</v>
      </c>
      <c r="Y85" s="5">
        <f>IFERROR(Table1[[#This Row],[Final Uncut (kg''s)]]/Table1[[#This Row],[Input Quantity (Kg''s)]]%,"")</f>
        <v>0.13340359255874759</v>
      </c>
      <c r="Z85" s="21">
        <f>IFERROR(Table1[[#This Row],[Shell]]/Table1[[#This Row],[Input Quantity (Kg''s)]]%,"")</f>
        <v>70.600449570106917</v>
      </c>
      <c r="AA85" s="21">
        <f>IFERROR(Table1[[#This Row],[Shell Dust]]/Table1[[#This Row],[Input Quantity (Kg''s)]]%,"")</f>
        <v>1.3379046297716797</v>
      </c>
    </row>
    <row r="86" spans="2:27" x14ac:dyDescent="0.3">
      <c r="B86" s="1">
        <v>46252</v>
      </c>
      <c r="C86" s="15">
        <f>WEEKNUM(Table1[[#This Row],[Date]])</f>
        <v>34</v>
      </c>
      <c r="D86" s="1" t="str">
        <f>TEXT(Table1[[#This Row],[Date]],"mmm-yy")</f>
        <v>Aug-26</v>
      </c>
      <c r="E86" t="s">
        <v>101</v>
      </c>
      <c r="F86" t="s">
        <v>128</v>
      </c>
      <c r="G86">
        <v>139026</v>
      </c>
      <c r="H86">
        <v>37312.9</v>
      </c>
      <c r="I86" s="3">
        <v>14.2</v>
      </c>
      <c r="J86">
        <v>762.8</v>
      </c>
      <c r="L86">
        <v>913</v>
      </c>
      <c r="M86" s="3">
        <v>9731.8200000000015</v>
      </c>
      <c r="N86" s="3">
        <v>160</v>
      </c>
      <c r="O86" s="3">
        <v>714.5</v>
      </c>
      <c r="P86" s="3">
        <f>Table1[[#This Row],[Input Quantity (Kg''s)]]-SUM(Table1[[#This Row],[Wholes (kg''s)]:[Black Rejection (Kg''s)]],Table1[[#This Row],[Shell Dust]])</f>
        <v>99308.6</v>
      </c>
      <c r="Q86" s="3">
        <f>SUM(Table1[[#This Row],[Wholes (kg''s)]:[Pieces (kg''s)]])</f>
        <v>37327.1</v>
      </c>
      <c r="R86" s="3">
        <f>SUM(Table1[[#This Row],[Wholes (kg''s)]:[Black Rejection (Kg''s)]])</f>
        <v>39002.9</v>
      </c>
      <c r="S86" s="4">
        <f>IFERROR(Table1[[#This Row],[Good Kernels (kg''s)]]/Table1[[#This Row],[Input Quantity (Kg''s)]]*176.36,"")</f>
        <v>47.350908146677604</v>
      </c>
      <c r="T86" s="4">
        <f>IFERROR(Table1[[#This Row],[Good Kernels (kg''s)]]/Table1[[#This Row],[Input Quantity (Kg''s)]]%,"")</f>
        <v>26.849006660624632</v>
      </c>
      <c r="U86" s="5">
        <f>IFERROR(Table1[[#This Row],[Final Kernels (kg''s)]]/Table1[[#This Row],[Input Quantity (Kg''s)]]%,"")</f>
        <v>28.054392703523082</v>
      </c>
      <c r="V86" s="5">
        <f>IFERROR(Table1[[#This Row],[Wholes (kg''s)]]/Table1[[#This Row],[Good Kernels (kg''s)]]%,"")</f>
        <v>99.961957934047931</v>
      </c>
      <c r="W86" s="5">
        <f>IFERROR(Table1[[#This Row],[Pieces (kg''s)]]/Table1[[#This Row],[Good Kernels (kg''s)]]%,"")</f>
        <v>3.8042065952083072E-2</v>
      </c>
      <c r="X86" s="5">
        <f>IFERROR(Table1[[#This Row],[First Pass Uncut (kg''s)]]/Table1[[#This Row],[Input Quantity (Kg''s)]]%,"")</f>
        <v>7.0000000000000009</v>
      </c>
      <c r="Y86" s="5">
        <f>IFERROR(Table1[[#This Row],[Final Uncut (kg''s)]]/Table1[[#This Row],[Input Quantity (Kg''s)]]%,"")</f>
        <v>0.11508638671903097</v>
      </c>
      <c r="Z86" s="21">
        <f>IFERROR(Table1[[#This Row],[Shell]]/Table1[[#This Row],[Input Quantity (Kg''s)]]%,"")</f>
        <v>71.431674650784757</v>
      </c>
      <c r="AA86" s="21">
        <f>IFERROR(Table1[[#This Row],[Shell Dust]]/Table1[[#This Row],[Input Quantity (Kg''s)]]%,"")</f>
        <v>0.51393264569217267</v>
      </c>
    </row>
    <row r="87" spans="2:27" x14ac:dyDescent="0.3">
      <c r="B87" s="1">
        <v>46253</v>
      </c>
      <c r="C87" s="15">
        <f>WEEKNUM(Table1[[#This Row],[Date]])</f>
        <v>34</v>
      </c>
      <c r="D87" s="1" t="str">
        <f>TEXT(Table1[[#This Row],[Date]],"mmm-yy")</f>
        <v>Aug-26</v>
      </c>
      <c r="E87" t="s">
        <v>101</v>
      </c>
      <c r="F87" t="s">
        <v>158</v>
      </c>
      <c r="G87" s="18">
        <v>150646</v>
      </c>
      <c r="H87" s="18">
        <v>40276.9</v>
      </c>
      <c r="I87" s="19">
        <v>54.6</v>
      </c>
      <c r="J87" s="18">
        <v>588.20000000000005</v>
      </c>
      <c r="K87" s="18"/>
      <c r="L87">
        <v>1036</v>
      </c>
      <c r="M87" s="19">
        <v>11298.449999999999</v>
      </c>
      <c r="N87" s="19">
        <v>285</v>
      </c>
      <c r="O87" s="3">
        <v>2942.9</v>
      </c>
      <c r="P87" s="3">
        <f>Table1[[#This Row],[Input Quantity (Kg''s)]]-SUM(Table1[[#This Row],[Wholes (kg''s)]:[Black Rejection (Kg''s)]],Table1[[#This Row],[Shell Dust]])</f>
        <v>105747.4</v>
      </c>
      <c r="Q87" s="19">
        <f>SUM(Table1[[#This Row],[Wholes (kg''s)]:[Pieces (kg''s)]])</f>
        <v>40331.5</v>
      </c>
      <c r="R87" s="19">
        <f>SUM(Table1[[#This Row],[Wholes (kg''s)]:[Black Rejection (Kg''s)]])</f>
        <v>41955.7</v>
      </c>
      <c r="S87" s="20">
        <f>IFERROR(Table1[[#This Row],[Good Kernels (kg''s)]]/Table1[[#This Row],[Input Quantity (Kg''s)]]*176.36,"")</f>
        <v>47.215746451946949</v>
      </c>
      <c r="T87" s="4">
        <f>IFERROR(Table1[[#This Row],[Good Kernels (kg''s)]]/Table1[[#This Row],[Input Quantity (Kg''s)]]%,"")</f>
        <v>26.772367006093756</v>
      </c>
      <c r="U87" s="21">
        <f>IFERROR(Table1[[#This Row],[Final Kernels (kg''s)]]/Table1[[#This Row],[Input Quantity (Kg''s)]]%,"")</f>
        <v>27.850523744407415</v>
      </c>
      <c r="V87" s="21">
        <f>IFERROR(Table1[[#This Row],[Wholes (kg''s)]]/Table1[[#This Row],[Good Kernels (kg''s)]]%,"")</f>
        <v>99.864621945625629</v>
      </c>
      <c r="W87" s="21">
        <f>IFERROR(Table1[[#This Row],[Pieces (kg''s)]]/Table1[[#This Row],[Good Kernels (kg''s)]]%,"")</f>
        <v>0.13537805437437239</v>
      </c>
      <c r="X87" s="5">
        <f>IFERROR(Table1[[#This Row],[First Pass Uncut (kg''s)]]/Table1[[#This Row],[Input Quantity (Kg''s)]]%,"")</f>
        <v>7.4999999999999991</v>
      </c>
      <c r="Y87" s="21">
        <f>IFERROR(Table1[[#This Row],[Final Uncut (kg''s)]]/Table1[[#This Row],[Input Quantity (Kg''s)]]%,"")</f>
        <v>0.18918524222349084</v>
      </c>
      <c r="Z87" s="21">
        <f>IFERROR(Table1[[#This Row],[Shell]]/Table1[[#This Row],[Input Quantity (Kg''s)]]%,"")</f>
        <v>70.195956082471483</v>
      </c>
      <c r="AA87" s="21">
        <f>IFERROR(Table1[[#This Row],[Shell Dust]]/Table1[[#This Row],[Input Quantity (Kg''s)]]%,"")</f>
        <v>1.9535201731210918</v>
      </c>
    </row>
    <row r="88" spans="2:27" x14ac:dyDescent="0.3">
      <c r="B88" s="1">
        <v>46254</v>
      </c>
      <c r="C88" s="15">
        <f>WEEKNUM(Table1[[#This Row],[Date]])</f>
        <v>34</v>
      </c>
      <c r="D88" s="1" t="str">
        <f>TEXT(Table1[[#This Row],[Date]],"mmm-yy")</f>
        <v>Aug-26</v>
      </c>
      <c r="E88" t="s">
        <v>101</v>
      </c>
      <c r="F88" t="s">
        <v>133</v>
      </c>
      <c r="G88">
        <v>154017</v>
      </c>
      <c r="H88">
        <v>40654.800000000003</v>
      </c>
      <c r="I88" s="3">
        <v>32.299999999999997</v>
      </c>
      <c r="J88">
        <v>786.9</v>
      </c>
      <c r="L88">
        <v>986.5</v>
      </c>
      <c r="M88" s="3">
        <v>12321.36</v>
      </c>
      <c r="N88" s="3">
        <v>150</v>
      </c>
      <c r="O88" s="3">
        <v>1465</v>
      </c>
      <c r="P88" s="3">
        <f>Table1[[#This Row],[Input Quantity (Kg''s)]]-SUM(Table1[[#This Row],[Wholes (kg''s)]:[Black Rejection (Kg''s)]],Table1[[#This Row],[Shell Dust]])</f>
        <v>110091.5</v>
      </c>
      <c r="Q88" s="3">
        <f>SUM(Table1[[#This Row],[Wholes (kg''s)]:[Pieces (kg''s)]])</f>
        <v>40687.100000000006</v>
      </c>
      <c r="R88" s="3">
        <f>SUM(Table1[[#This Row],[Wholes (kg''s)]:[Black Rejection (Kg''s)]])</f>
        <v>42460.500000000007</v>
      </c>
      <c r="S88" s="4">
        <f>IFERROR(Table1[[#This Row],[Good Kernels (kg''s)]]/Table1[[#This Row],[Input Quantity (Kg''s)]]*176.36,"")</f>
        <v>46.589512560301792</v>
      </c>
      <c r="T88" s="4">
        <f>IFERROR(Table1[[#This Row],[Good Kernels (kg''s)]]/Table1[[#This Row],[Input Quantity (Kg''s)]]%,"")</f>
        <v>26.417278612101263</v>
      </c>
      <c r="U88" s="5">
        <f>IFERROR(Table1[[#This Row],[Final Kernels (kg''s)]]/Table1[[#This Row],[Input Quantity (Kg''s)]]%,"")</f>
        <v>27.568709947603189</v>
      </c>
      <c r="V88" s="5">
        <f>IFERROR(Table1[[#This Row],[Wholes (kg''s)]]/Table1[[#This Row],[Good Kernels (kg''s)]]%,"")</f>
        <v>99.920613658874672</v>
      </c>
      <c r="W88" s="5">
        <f>IFERROR(Table1[[#This Row],[Pieces (kg''s)]]/Table1[[#This Row],[Good Kernels (kg''s)]]%,"")</f>
        <v>7.9386341125319809E-2</v>
      </c>
      <c r="X88" s="5">
        <f>IFERROR(Table1[[#This Row],[First Pass Uncut (kg''s)]]/Table1[[#This Row],[Input Quantity (Kg''s)]]%,"")</f>
        <v>8</v>
      </c>
      <c r="Y88" s="5">
        <f>IFERROR(Table1[[#This Row],[Final Uncut (kg''s)]]/Table1[[#This Row],[Input Quantity (Kg''s)]]%,"")</f>
        <v>9.7391846354623182E-2</v>
      </c>
      <c r="Z88" s="21">
        <f>IFERROR(Table1[[#This Row],[Shell]]/Table1[[#This Row],[Input Quantity (Kg''s)]]%,"")</f>
        <v>71.480096352999993</v>
      </c>
      <c r="AA88" s="21">
        <f>IFERROR(Table1[[#This Row],[Shell Dust]]/Table1[[#This Row],[Input Quantity (Kg''s)]]%,"")</f>
        <v>0.95119369939681975</v>
      </c>
    </row>
    <row r="89" spans="2:27" x14ac:dyDescent="0.3">
      <c r="B89" s="1">
        <v>46255</v>
      </c>
      <c r="C89" s="15">
        <f>WEEKNUM(Table1[[#This Row],[Date]])</f>
        <v>34</v>
      </c>
      <c r="D89" s="1" t="str">
        <f>TEXT(Table1[[#This Row],[Date]],"mmm-yy")</f>
        <v>Aug-26</v>
      </c>
      <c r="E89" t="s">
        <v>101</v>
      </c>
      <c r="F89" t="s">
        <v>134</v>
      </c>
      <c r="G89">
        <v>154392</v>
      </c>
      <c r="H89">
        <v>40204.5</v>
      </c>
      <c r="I89" s="3">
        <v>391.7</v>
      </c>
      <c r="J89">
        <v>1007.1</v>
      </c>
      <c r="L89">
        <v>904.5</v>
      </c>
      <c r="M89" s="3">
        <v>13123.320000000002</v>
      </c>
      <c r="N89" s="3">
        <v>250</v>
      </c>
      <c r="O89" s="3">
        <v>4364.8</v>
      </c>
      <c r="P89" s="3">
        <f>Table1[[#This Row],[Input Quantity (Kg''s)]]-SUM(Table1[[#This Row],[Wholes (kg''s)]:[Black Rejection (Kg''s)]],Table1[[#This Row],[Shell Dust]])</f>
        <v>107519.4</v>
      </c>
      <c r="Q89" s="3">
        <f>SUM(Table1[[#This Row],[Wholes (kg''s)]:[Pieces (kg''s)]])</f>
        <v>40596.199999999997</v>
      </c>
      <c r="R89" s="3">
        <f>SUM(Table1[[#This Row],[Wholes (kg''s)]:[Black Rejection (Kg''s)]])</f>
        <v>42507.799999999996</v>
      </c>
      <c r="S89" s="4">
        <f>IFERROR(Table1[[#This Row],[Good Kernels (kg''s)]]/Table1[[#This Row],[Input Quantity (Kg''s)]]*176.36,"")</f>
        <v>46.372518213378932</v>
      </c>
      <c r="T89" s="4">
        <f>IFERROR(Table1[[#This Row],[Good Kernels (kg''s)]]/Table1[[#This Row],[Input Quantity (Kg''s)]]%,"")</f>
        <v>26.294238043421934</v>
      </c>
      <c r="U89" s="5">
        <f>IFERROR(Table1[[#This Row],[Final Kernels (kg''s)]]/Table1[[#This Row],[Input Quantity (Kg''s)]]%,"")</f>
        <v>27.532385097673451</v>
      </c>
      <c r="V89" s="5">
        <f>IFERROR(Table1[[#This Row],[Wholes (kg''s)]]/Table1[[#This Row],[Good Kernels (kg''s)]]%,"")</f>
        <v>99.035131366975236</v>
      </c>
      <c r="W89" s="5">
        <f>IFERROR(Table1[[#This Row],[Pieces (kg''s)]]/Table1[[#This Row],[Good Kernels (kg''s)]]%,"")</f>
        <v>0.96486863302476589</v>
      </c>
      <c r="X89" s="5">
        <f>IFERROR(Table1[[#This Row],[First Pass Uncut (kg''s)]]/Table1[[#This Row],[Input Quantity (Kg''s)]]%,"")</f>
        <v>8.5</v>
      </c>
      <c r="Y89" s="5">
        <f>IFERROR(Table1[[#This Row],[Final Uncut (kg''s)]]/Table1[[#This Row],[Input Quantity (Kg''s)]]%,"")</f>
        <v>0.16192548836727291</v>
      </c>
      <c r="Z89" s="21">
        <f>IFERROR(Table1[[#This Row],[Shell]]/Table1[[#This Row],[Input Quantity (Kg''s)]]%,"")</f>
        <v>69.640525415824641</v>
      </c>
      <c r="AA89" s="21">
        <f>IFERROR(Table1[[#This Row],[Shell Dust]]/Table1[[#This Row],[Input Quantity (Kg''s)]]%,"")</f>
        <v>2.8270894865018912</v>
      </c>
    </row>
    <row r="90" spans="2:27" x14ac:dyDescent="0.3">
      <c r="B90" s="1">
        <v>46256</v>
      </c>
      <c r="C90" s="15">
        <f>WEEKNUM(Table1[[#This Row],[Date]])</f>
        <v>34</v>
      </c>
      <c r="D90" s="1" t="str">
        <f>TEXT(Table1[[#This Row],[Date]],"mmm-yy")</f>
        <v>Aug-26</v>
      </c>
      <c r="E90" t="s">
        <v>101</v>
      </c>
      <c r="F90" t="s">
        <v>135</v>
      </c>
      <c r="G90">
        <v>153388</v>
      </c>
      <c r="H90">
        <v>40663.599999999999</v>
      </c>
      <c r="I90" s="3">
        <v>613.6</v>
      </c>
      <c r="J90">
        <v>821.3</v>
      </c>
      <c r="L90">
        <v>1415</v>
      </c>
      <c r="M90" s="3">
        <v>11197.323999999999</v>
      </c>
      <c r="N90" s="3">
        <v>500</v>
      </c>
      <c r="O90" s="3">
        <v>2205.8000000000002</v>
      </c>
      <c r="P90" s="3">
        <f>Table1[[#This Row],[Input Quantity (Kg''s)]]-SUM(Table1[[#This Row],[Wholes (kg''s)]:[Black Rejection (Kg''s)]],Table1[[#This Row],[Shell Dust]])</f>
        <v>107668.7</v>
      </c>
      <c r="Q90" s="3">
        <f>SUM(Table1[[#This Row],[Wholes (kg''s)]:[Pieces (kg''s)]])</f>
        <v>41277.199999999997</v>
      </c>
      <c r="R90" s="3">
        <f>SUM(Table1[[#This Row],[Wholes (kg''s)]:[Black Rejection (Kg''s)]])</f>
        <v>43513.5</v>
      </c>
      <c r="S90" s="4">
        <f>IFERROR(Table1[[#This Row],[Good Kernels (kg''s)]]/Table1[[#This Row],[Input Quantity (Kg''s)]]*176.36,"")</f>
        <v>47.459038464547426</v>
      </c>
      <c r="T90" s="4">
        <f>IFERROR(Table1[[#This Row],[Good Kernels (kg''s)]]/Table1[[#This Row],[Input Quantity (Kg''s)]]%,"")</f>
        <v>26.91031892977286</v>
      </c>
      <c r="U90" s="5">
        <f>IFERROR(Table1[[#This Row],[Final Kernels (kg''s)]]/Table1[[#This Row],[Input Quantity (Kg''s)]]%,"")</f>
        <v>28.368255665371475</v>
      </c>
      <c r="V90" s="5">
        <f>IFERROR(Table1[[#This Row],[Wholes (kg''s)]]/Table1[[#This Row],[Good Kernels (kg''s)]]%,"")</f>
        <v>98.513465060614578</v>
      </c>
      <c r="W90" s="5">
        <f>IFERROR(Table1[[#This Row],[Pieces (kg''s)]]/Table1[[#This Row],[Good Kernels (kg''s)]]%,"")</f>
        <v>1.4865349393854235</v>
      </c>
      <c r="X90" s="5">
        <f>IFERROR(Table1[[#This Row],[First Pass Uncut (kg''s)]]/Table1[[#This Row],[Input Quantity (Kg''s)]]%,"")</f>
        <v>7.2999999999999989</v>
      </c>
      <c r="Y90" s="5">
        <f>IFERROR(Table1[[#This Row],[Final Uncut (kg''s)]]/Table1[[#This Row],[Input Quantity (Kg''s)]]%,"")</f>
        <v>0.32597074086629979</v>
      </c>
      <c r="Z90" s="21">
        <f>IFERROR(Table1[[#This Row],[Shell]]/Table1[[#This Row],[Input Quantity (Kg''s)]]%,"")</f>
        <v>70.193691814222746</v>
      </c>
      <c r="AA90" s="21">
        <f>IFERROR(Table1[[#This Row],[Shell Dust]]/Table1[[#This Row],[Input Quantity (Kg''s)]]%,"")</f>
        <v>1.4380525204057684</v>
      </c>
    </row>
    <row r="91" spans="2:27" x14ac:dyDescent="0.3">
      <c r="B91" s="1">
        <v>46258</v>
      </c>
      <c r="C91" s="15">
        <f>WEEKNUM(Table1[[#This Row],[Date]])</f>
        <v>35</v>
      </c>
      <c r="D91" s="1" t="str">
        <f>TEXT(Table1[[#This Row],[Date]],"mmm-yy")</f>
        <v>Aug-26</v>
      </c>
      <c r="E91" t="s">
        <v>101</v>
      </c>
      <c r="F91" t="s">
        <v>136</v>
      </c>
      <c r="G91">
        <v>150072</v>
      </c>
      <c r="H91">
        <v>39009.4</v>
      </c>
      <c r="I91" s="3">
        <v>531.6</v>
      </c>
      <c r="J91">
        <v>1046.5</v>
      </c>
      <c r="L91">
        <v>1077.5</v>
      </c>
      <c r="M91" s="3">
        <v>10505.04</v>
      </c>
      <c r="N91" s="3">
        <v>450</v>
      </c>
      <c r="O91" s="3">
        <v>3210</v>
      </c>
      <c r="P91" s="3">
        <f>Table1[[#This Row],[Input Quantity (Kg''s)]]-SUM(Table1[[#This Row],[Wholes (kg''s)]:[Black Rejection (Kg''s)]],Table1[[#This Row],[Shell Dust]])</f>
        <v>105197</v>
      </c>
      <c r="Q91" s="3">
        <f>SUM(Table1[[#This Row],[Wholes (kg''s)]:[Pieces (kg''s)]])</f>
        <v>39541</v>
      </c>
      <c r="R91" s="3">
        <f>SUM(Table1[[#This Row],[Wholes (kg''s)]:[Black Rejection (Kg''s)]])</f>
        <v>41665</v>
      </c>
      <c r="S91" s="4">
        <f>IFERROR(Table1[[#This Row],[Good Kernels (kg''s)]]/Table1[[#This Row],[Input Quantity (Kg''s)]]*176.36,"")</f>
        <v>46.46736739698278</v>
      </c>
      <c r="T91" s="4">
        <f>IFERROR(Table1[[#This Row],[Good Kernels (kg''s)]]/Table1[[#This Row],[Input Quantity (Kg''s)]]%,"")</f>
        <v>26.348019617250387</v>
      </c>
      <c r="U91" s="5">
        <f>IFERROR(Table1[[#This Row],[Final Kernels (kg''s)]]/Table1[[#This Row],[Input Quantity (Kg''s)]]%,"")</f>
        <v>27.763340263340261</v>
      </c>
      <c r="V91" s="5">
        <f>IFERROR(Table1[[#This Row],[Wholes (kg''s)]]/Table1[[#This Row],[Good Kernels (kg''s)]]%,"")</f>
        <v>98.655572696694563</v>
      </c>
      <c r="W91" s="5">
        <f>IFERROR(Table1[[#This Row],[Pieces (kg''s)]]/Table1[[#This Row],[Good Kernels (kg''s)]]%,"")</f>
        <v>1.3444273033054297</v>
      </c>
      <c r="X91" s="5">
        <f>IFERROR(Table1[[#This Row],[First Pass Uncut (kg''s)]]/Table1[[#This Row],[Input Quantity (Kg''s)]]%,"")</f>
        <v>7.0000000000000009</v>
      </c>
      <c r="Y91" s="5">
        <f>IFERROR(Table1[[#This Row],[Final Uncut (kg''s)]]/Table1[[#This Row],[Input Quantity (Kg''s)]]%,"")</f>
        <v>0.29985606908683832</v>
      </c>
      <c r="Z91" s="21">
        <f>IFERROR(Table1[[#This Row],[Shell]]/Table1[[#This Row],[Input Quantity (Kg''s)]]%,"")</f>
        <v>70.097686443840288</v>
      </c>
      <c r="AA91" s="21">
        <f>IFERROR(Table1[[#This Row],[Shell Dust]]/Table1[[#This Row],[Input Quantity (Kg''s)]]%,"")</f>
        <v>2.1389732928194465</v>
      </c>
    </row>
    <row r="92" spans="2:27" x14ac:dyDescent="0.3">
      <c r="B92" s="1">
        <v>46259</v>
      </c>
      <c r="C92" s="15">
        <f>WEEKNUM(Table1[[#This Row],[Date]])</f>
        <v>35</v>
      </c>
      <c r="D92" s="1" t="str">
        <f>TEXT(Table1[[#This Row],[Date]],"mmm-yy")</f>
        <v>Aug-26</v>
      </c>
      <c r="E92" t="s">
        <v>101</v>
      </c>
      <c r="F92" t="s">
        <v>137</v>
      </c>
      <c r="G92">
        <v>153089</v>
      </c>
      <c r="H92">
        <v>39523.9</v>
      </c>
      <c r="I92" s="3">
        <v>487.8</v>
      </c>
      <c r="J92">
        <v>1483.1</v>
      </c>
      <c r="L92">
        <v>832.5</v>
      </c>
      <c r="M92" s="3">
        <v>10716.230000000001</v>
      </c>
      <c r="N92" s="3">
        <v>750</v>
      </c>
      <c r="O92" s="3">
        <v>1951.7</v>
      </c>
      <c r="P92" s="3">
        <f>Table1[[#This Row],[Input Quantity (Kg''s)]]-SUM(Table1[[#This Row],[Wholes (kg''s)]:[Black Rejection (Kg''s)]],Table1[[#This Row],[Shell Dust]])</f>
        <v>108810</v>
      </c>
      <c r="Q92" s="3">
        <f>SUM(Table1[[#This Row],[Wholes (kg''s)]:[Pieces (kg''s)]])</f>
        <v>40011.700000000004</v>
      </c>
      <c r="R92" s="3">
        <f>SUM(Table1[[#This Row],[Wholes (kg''s)]:[Black Rejection (Kg''s)]])</f>
        <v>42327.3</v>
      </c>
      <c r="S92" s="4">
        <f>IFERROR(Table1[[#This Row],[Good Kernels (kg''s)]]/Table1[[#This Row],[Input Quantity (Kg''s)]]*176.36,"")</f>
        <v>46.093863125371527</v>
      </c>
      <c r="T92" s="4">
        <f>IFERROR(Table1[[#This Row],[Good Kernels (kg''s)]]/Table1[[#This Row],[Input Quantity (Kg''s)]]%,"")</f>
        <v>26.136234477983397</v>
      </c>
      <c r="U92" s="5">
        <f>IFERROR(Table1[[#This Row],[Final Kernels (kg''s)]]/Table1[[#This Row],[Input Quantity (Kg''s)]]%,"")</f>
        <v>27.648818661040309</v>
      </c>
      <c r="V92" s="5">
        <f>IFERROR(Table1[[#This Row],[Wholes (kg''s)]]/Table1[[#This Row],[Good Kernels (kg''s)]]%,"")</f>
        <v>98.780856599444661</v>
      </c>
      <c r="W92" s="5">
        <f>IFERROR(Table1[[#This Row],[Pieces (kg''s)]]/Table1[[#This Row],[Good Kernels (kg''s)]]%,"")</f>
        <v>1.2191434005553374</v>
      </c>
      <c r="X92" s="5">
        <f>IFERROR(Table1[[#This Row],[First Pass Uncut (kg''s)]]/Table1[[#This Row],[Input Quantity (Kg''s)]]%,"")</f>
        <v>7.0000000000000009</v>
      </c>
      <c r="Y92" s="5">
        <f>IFERROR(Table1[[#This Row],[Final Uncut (kg''s)]]/Table1[[#This Row],[Input Quantity (Kg''s)]]%,"")</f>
        <v>0.48991109746617978</v>
      </c>
      <c r="Z92" s="21">
        <f>IFERROR(Table1[[#This Row],[Shell]]/Table1[[#This Row],[Input Quantity (Kg''s)]]%,"")</f>
        <v>71.076302020393356</v>
      </c>
      <c r="AA92" s="21">
        <f>IFERROR(Table1[[#This Row],[Shell Dust]]/Table1[[#This Row],[Input Quantity (Kg''s)]]%,"")</f>
        <v>1.2748793185663241</v>
      </c>
    </row>
    <row r="93" spans="2:27" x14ac:dyDescent="0.3">
      <c r="B93" s="1">
        <v>46260</v>
      </c>
      <c r="C93" s="15">
        <f>WEEKNUM(Table1[[#This Row],[Date]])</f>
        <v>35</v>
      </c>
      <c r="D93" s="1" t="str">
        <f>TEXT(Table1[[#This Row],[Date]],"mmm-yy")</f>
        <v>Aug-26</v>
      </c>
      <c r="E93" t="s">
        <v>101</v>
      </c>
      <c r="F93" t="s">
        <v>138</v>
      </c>
      <c r="G93">
        <v>154690</v>
      </c>
      <c r="H93">
        <v>39250.199999999997</v>
      </c>
      <c r="I93" s="3">
        <v>452.3</v>
      </c>
      <c r="J93">
        <v>1368.9</v>
      </c>
      <c r="L93">
        <v>737</v>
      </c>
      <c r="M93" s="3">
        <v>11292.369999999999</v>
      </c>
      <c r="N93" s="3">
        <v>250</v>
      </c>
      <c r="O93" s="3">
        <v>2790.6</v>
      </c>
      <c r="P93" s="3">
        <f>Table1[[#This Row],[Input Quantity (Kg''s)]]-SUM(Table1[[#This Row],[Wholes (kg''s)]:[Black Rejection (Kg''s)]],Table1[[#This Row],[Shell Dust]])</f>
        <v>110091</v>
      </c>
      <c r="Q93" s="3">
        <f>SUM(Table1[[#This Row],[Wholes (kg''s)]:[Pieces (kg''s)]])</f>
        <v>39702.5</v>
      </c>
      <c r="R93" s="3">
        <f>SUM(Table1[[#This Row],[Wholes (kg''s)]:[Black Rejection (Kg''s)]])</f>
        <v>41808.400000000001</v>
      </c>
      <c r="S93" s="4">
        <f>IFERROR(Table1[[#This Row],[Good Kernels (kg''s)]]/Table1[[#This Row],[Input Quantity (Kg''s)]]*176.36,"")</f>
        <v>45.264289223608507</v>
      </c>
      <c r="T93" s="4">
        <f>IFERROR(Table1[[#This Row],[Good Kernels (kg''s)]]/Table1[[#This Row],[Input Quantity (Kg''s)]]%,"")</f>
        <v>25.66584782468162</v>
      </c>
      <c r="U93" s="5">
        <f>IFERROR(Table1[[#This Row],[Final Kernels (kg''s)]]/Table1[[#This Row],[Input Quantity (Kg''s)]]%,"")</f>
        <v>27.027215721766112</v>
      </c>
      <c r="V93" s="5">
        <f>IFERROR(Table1[[#This Row],[Wholes (kg''s)]]/Table1[[#This Row],[Good Kernels (kg''s)]]%,"")</f>
        <v>98.860777029154335</v>
      </c>
      <c r="W93" s="5">
        <f>IFERROR(Table1[[#This Row],[Pieces (kg''s)]]/Table1[[#This Row],[Good Kernels (kg''s)]]%,"")</f>
        <v>1.1392229708456647</v>
      </c>
      <c r="X93" s="5">
        <f>IFERROR(Table1[[#This Row],[First Pass Uncut (kg''s)]]/Table1[[#This Row],[Input Quantity (Kg''s)]]%,"")</f>
        <v>7.2999999999999989</v>
      </c>
      <c r="Y93" s="5">
        <f>IFERROR(Table1[[#This Row],[Final Uncut (kg''s)]]/Table1[[#This Row],[Input Quantity (Kg''s)]]%,"")</f>
        <v>0.16161354968000516</v>
      </c>
      <c r="Z93" s="21">
        <f>IFERROR(Table1[[#This Row],[Shell]]/Table1[[#This Row],[Input Quantity (Kg''s)]]%,"")</f>
        <v>71.168789191285796</v>
      </c>
      <c r="AA93" s="21">
        <f>IFERROR(Table1[[#This Row],[Shell Dust]]/Table1[[#This Row],[Input Quantity (Kg''s)]]%,"")</f>
        <v>1.8039950869480896</v>
      </c>
    </row>
    <row r="94" spans="2:27" x14ac:dyDescent="0.3">
      <c r="B94" s="1">
        <v>46261</v>
      </c>
      <c r="C94" s="15">
        <f>WEEKNUM(Table1[[#This Row],[Date]])</f>
        <v>35</v>
      </c>
      <c r="D94" s="1" t="str">
        <f>TEXT(Table1[[#This Row],[Date]],"mmm-yy")</f>
        <v>Aug-26</v>
      </c>
      <c r="E94" t="s">
        <v>101</v>
      </c>
      <c r="F94" t="s">
        <v>139</v>
      </c>
      <c r="G94">
        <v>45005</v>
      </c>
      <c r="H94">
        <v>12681</v>
      </c>
      <c r="I94" s="3">
        <v>370</v>
      </c>
      <c r="J94">
        <v>1274.5</v>
      </c>
      <c r="L94">
        <v>1280</v>
      </c>
      <c r="M94" s="3">
        <v>3375.375</v>
      </c>
      <c r="N94" s="3">
        <v>150</v>
      </c>
      <c r="O94" s="3">
        <v>980.8</v>
      </c>
      <c r="P94" s="3">
        <f>Table1[[#This Row],[Input Quantity (Kg''s)]]-SUM(Table1[[#This Row],[Wholes (kg''s)]:[Black Rejection (Kg''s)]],Table1[[#This Row],[Shell Dust]])</f>
        <v>28418.7</v>
      </c>
      <c r="Q94" s="3">
        <f>SUM(Table1[[#This Row],[Wholes (kg''s)]:[Pieces (kg''s)]])</f>
        <v>13051</v>
      </c>
      <c r="R94" s="3">
        <f>SUM(Table1[[#This Row],[Wholes (kg''s)]:[Black Rejection (Kg''s)]])</f>
        <v>15605.5</v>
      </c>
      <c r="S94" s="4">
        <f>IFERROR(Table1[[#This Row],[Good Kernels (kg''s)]]/Table1[[#This Row],[Input Quantity (Kg''s)]]*176.36,"")</f>
        <v>51.142636595933787</v>
      </c>
      <c r="T94" s="4">
        <f>IFERROR(Table1[[#This Row],[Good Kernels (kg''s)]]/Table1[[#This Row],[Input Quantity (Kg''s)]]%,"")</f>
        <v>28.999000111098766</v>
      </c>
      <c r="U94" s="5">
        <f>IFERROR(Table1[[#This Row],[Final Kernels (kg''s)]]/Table1[[#This Row],[Input Quantity (Kg''s)]]%,"")</f>
        <v>34.67503610709921</v>
      </c>
      <c r="V94" s="5">
        <f>IFERROR(Table1[[#This Row],[Wholes (kg''s)]]/Table1[[#This Row],[Good Kernels (kg''s)]]%,"")</f>
        <v>97.164968201670376</v>
      </c>
      <c r="W94" s="5">
        <f>IFERROR(Table1[[#This Row],[Pieces (kg''s)]]/Table1[[#This Row],[Good Kernels (kg''s)]]%,"")</f>
        <v>2.8350317983296303</v>
      </c>
      <c r="X94" s="5">
        <f>IFERROR(Table1[[#This Row],[First Pass Uncut (kg''s)]]/Table1[[#This Row],[Input Quantity (Kg''s)]]%,"")</f>
        <v>7.5</v>
      </c>
      <c r="Y94" s="5">
        <f>IFERROR(Table1[[#This Row],[Final Uncut (kg''s)]]/Table1[[#This Row],[Input Quantity (Kg''s)]]%,"")</f>
        <v>0.33329630041106545</v>
      </c>
      <c r="Z94" s="21">
        <f>IFERROR(Table1[[#This Row],[Shell]]/Table1[[#This Row],[Input Quantity (Kg''s)]]%,"")</f>
        <v>63.145650483279638</v>
      </c>
      <c r="AA94" s="21">
        <f>IFERROR(Table1[[#This Row],[Shell Dust]]/Table1[[#This Row],[Input Quantity (Kg''s)]]%,"")</f>
        <v>2.1793134096211531</v>
      </c>
    </row>
    <row r="95" spans="2:27" x14ac:dyDescent="0.3">
      <c r="B95" s="1">
        <v>46262</v>
      </c>
      <c r="C95" s="15">
        <f>WEEKNUM(Table1[[#This Row],[Date]])</f>
        <v>35</v>
      </c>
      <c r="D95" s="1" t="str">
        <f>TEXT(Table1[[#This Row],[Date]],"mmm-yy")</f>
        <v>Aug-26</v>
      </c>
      <c r="E95" t="s">
        <v>132</v>
      </c>
      <c r="F95" t="s">
        <v>140</v>
      </c>
      <c r="G95">
        <v>117078</v>
      </c>
      <c r="H95">
        <v>30656</v>
      </c>
      <c r="I95" s="3">
        <v>694.5</v>
      </c>
      <c r="J95">
        <v>954</v>
      </c>
      <c r="L95">
        <v>893</v>
      </c>
      <c r="M95" s="3">
        <v>8195.4600000000009</v>
      </c>
      <c r="N95" s="3">
        <v>50</v>
      </c>
      <c r="O95" s="3">
        <v>1486.2</v>
      </c>
      <c r="P95" s="3">
        <f>Table1[[#This Row],[Input Quantity (Kg''s)]]-SUM(Table1[[#This Row],[Wholes (kg''s)]:[Black Rejection (Kg''s)]],Table1[[#This Row],[Shell Dust]])</f>
        <v>82394.3</v>
      </c>
      <c r="Q95" s="3">
        <f>SUM(Table1[[#This Row],[Wholes (kg''s)]:[Pieces (kg''s)]])</f>
        <v>31350.5</v>
      </c>
      <c r="R95" s="3">
        <f>SUM(Table1[[#This Row],[Wholes (kg''s)]:[Black Rejection (Kg''s)]])</f>
        <v>33197.5</v>
      </c>
      <c r="S95" s="4">
        <f>IFERROR(Table1[[#This Row],[Good Kernels (kg''s)]]/Table1[[#This Row],[Input Quantity (Kg''s)]]*176.36,"")</f>
        <v>47.224706435026228</v>
      </c>
      <c r="T95" s="4">
        <f>IFERROR(Table1[[#This Row],[Good Kernels (kg''s)]]/Table1[[#This Row],[Input Quantity (Kg''s)]]%,"")</f>
        <v>26.777447513623397</v>
      </c>
      <c r="U95" s="5">
        <f>IFERROR(Table1[[#This Row],[Final Kernels (kg''s)]]/Table1[[#This Row],[Input Quantity (Kg''s)]]%,"")</f>
        <v>28.355028271750459</v>
      </c>
      <c r="V95" s="5">
        <f>IFERROR(Table1[[#This Row],[Wholes (kg''s)]]/Table1[[#This Row],[Good Kernels (kg''s)]]%,"")</f>
        <v>97.784724326565765</v>
      </c>
      <c r="W95" s="5">
        <f>IFERROR(Table1[[#This Row],[Pieces (kg''s)]]/Table1[[#This Row],[Good Kernels (kg''s)]]%,"")</f>
        <v>2.2152756734342356</v>
      </c>
      <c r="X95" s="5">
        <f>IFERROR(Table1[[#This Row],[First Pass Uncut (kg''s)]]/Table1[[#This Row],[Input Quantity (Kg''s)]]%,"")</f>
        <v>7.0000000000000009</v>
      </c>
      <c r="Y95" s="5">
        <f>IFERROR(Table1[[#This Row],[Final Uncut (kg''s)]]/Table1[[#This Row],[Input Quantity (Kg''s)]]%,"")</f>
        <v>4.2706571687251234E-2</v>
      </c>
      <c r="Z95" s="21">
        <f>IFERROR(Table1[[#This Row],[Shell]]/Table1[[#This Row],[Input Quantity (Kg''s)]]%,"")</f>
        <v>70.375561591417693</v>
      </c>
      <c r="AA95" s="21">
        <f>IFERROR(Table1[[#This Row],[Shell Dust]]/Table1[[#This Row],[Input Quantity (Kg''s)]]%,"")</f>
        <v>1.2694101368318558</v>
      </c>
    </row>
    <row r="96" spans="2:27" x14ac:dyDescent="0.3">
      <c r="B96" s="1">
        <v>46263</v>
      </c>
      <c r="C96" s="15">
        <f>WEEKNUM(Table1[[#This Row],[Date]])</f>
        <v>35</v>
      </c>
      <c r="D96" s="1" t="str">
        <f>TEXT(Table1[[#This Row],[Date]],"mmm-yy")</f>
        <v>Aug-26</v>
      </c>
      <c r="E96" t="s">
        <v>132</v>
      </c>
      <c r="F96" t="s">
        <v>141</v>
      </c>
      <c r="G96">
        <v>154457</v>
      </c>
      <c r="H96">
        <v>41936</v>
      </c>
      <c r="I96" s="3">
        <v>755</v>
      </c>
      <c r="J96">
        <v>923.5</v>
      </c>
      <c r="L96">
        <v>1150.5</v>
      </c>
      <c r="M96" s="3">
        <v>12356.56</v>
      </c>
      <c r="N96" s="3">
        <v>400</v>
      </c>
      <c r="O96" s="3">
        <v>1858.4</v>
      </c>
      <c r="P96" s="3">
        <f>Table1[[#This Row],[Input Quantity (Kg''s)]]-SUM(Table1[[#This Row],[Wholes (kg''s)]:[Black Rejection (Kg''s)]],Table1[[#This Row],[Shell Dust]])</f>
        <v>107833.60000000001</v>
      </c>
      <c r="Q96" s="3">
        <f>SUM(Table1[[#This Row],[Wholes (kg''s)]:[Pieces (kg''s)]])</f>
        <v>42691</v>
      </c>
      <c r="R96" s="3">
        <f>SUM(Table1[[#This Row],[Wholes (kg''s)]:[Black Rejection (Kg''s)]])</f>
        <v>44765</v>
      </c>
      <c r="S96" s="4">
        <f>IFERROR(Table1[[#This Row],[Good Kernels (kg''s)]]/Table1[[#This Row],[Input Quantity (Kg''s)]]*176.36,"")</f>
        <v>48.744859475452714</v>
      </c>
      <c r="T96" s="4">
        <f>IFERROR(Table1[[#This Row],[Good Kernels (kg''s)]]/Table1[[#This Row],[Input Quantity (Kg''s)]]%,"")</f>
        <v>27.639407731601676</v>
      </c>
      <c r="U96" s="5">
        <f>IFERROR(Table1[[#This Row],[Final Kernels (kg''s)]]/Table1[[#This Row],[Input Quantity (Kg''s)]]%,"")</f>
        <v>28.982176269123446</v>
      </c>
      <c r="V96" s="5">
        <f>IFERROR(Table1[[#This Row],[Wholes (kg''s)]]/Table1[[#This Row],[Good Kernels (kg''s)]]%,"")</f>
        <v>98.231477360567794</v>
      </c>
      <c r="W96" s="5">
        <f>IFERROR(Table1[[#This Row],[Pieces (kg''s)]]/Table1[[#This Row],[Good Kernels (kg''s)]]%,"")</f>
        <v>1.7685226394321987</v>
      </c>
      <c r="X96" s="5">
        <f>IFERROR(Table1[[#This Row],[First Pass Uncut (kg''s)]]/Table1[[#This Row],[Input Quantity (Kg''s)]]%,"")</f>
        <v>8</v>
      </c>
      <c r="Y96" s="5">
        <f>IFERROR(Table1[[#This Row],[Final Uncut (kg''s)]]/Table1[[#This Row],[Input Quantity (Kg''s)]]%,"")</f>
        <v>0.25897175265607902</v>
      </c>
      <c r="Z96" s="21">
        <f>IFERROR(Table1[[#This Row],[Shell]]/Table1[[#This Row],[Input Quantity (Kg''s)]]%,"")</f>
        <v>69.814640968036414</v>
      </c>
      <c r="AA96" s="21">
        <f>IFERROR(Table1[[#This Row],[Shell Dust]]/Table1[[#This Row],[Input Quantity (Kg''s)]]%,"")</f>
        <v>1.2031827628401432</v>
      </c>
    </row>
    <row r="97" spans="2:27" x14ac:dyDescent="0.3">
      <c r="B97" s="1">
        <v>46265</v>
      </c>
      <c r="C97" s="15">
        <f>WEEKNUM(Table1[[#This Row],[Date]])</f>
        <v>36</v>
      </c>
      <c r="D97" s="1" t="str">
        <f>TEXT(Table1[[#This Row],[Date]],"mmm-yy")</f>
        <v>Aug-26</v>
      </c>
      <c r="E97" t="s">
        <v>132</v>
      </c>
      <c r="F97" t="s">
        <v>142</v>
      </c>
      <c r="G97">
        <v>152362</v>
      </c>
      <c r="H97">
        <v>38722.1</v>
      </c>
      <c r="I97" s="3">
        <v>828</v>
      </c>
      <c r="J97">
        <v>843.5</v>
      </c>
      <c r="L97">
        <v>890.5</v>
      </c>
      <c r="M97" s="3">
        <v>13712.58</v>
      </c>
      <c r="N97" s="3">
        <v>150</v>
      </c>
      <c r="O97" s="3">
        <v>2849.6</v>
      </c>
      <c r="P97" s="3">
        <f>Table1[[#This Row],[Input Quantity (Kg''s)]]-SUM(Table1[[#This Row],[Wholes (kg''s)]:[Black Rejection (Kg''s)]],Table1[[#This Row],[Shell Dust]])</f>
        <v>108228.3</v>
      </c>
      <c r="Q97" s="3">
        <f>SUM(Table1[[#This Row],[Wholes (kg''s)]:[Pieces (kg''s)]])</f>
        <v>39550.1</v>
      </c>
      <c r="R97" s="3">
        <f>SUM(Table1[[#This Row],[Wholes (kg''s)]:[Black Rejection (Kg''s)]])</f>
        <v>41284.1</v>
      </c>
      <c r="S97" s="4">
        <f>IFERROR(Table1[[#This Row],[Good Kernels (kg''s)]]/Table1[[#This Row],[Input Quantity (Kg''s)]]*176.36,"")</f>
        <v>45.779496436119238</v>
      </c>
      <c r="T97" s="4">
        <f>IFERROR(Table1[[#This Row],[Good Kernels (kg''s)]]/Table1[[#This Row],[Input Quantity (Kg''s)]]%,"")</f>
        <v>25.957981648967593</v>
      </c>
      <c r="U97" s="5">
        <f>IFERROR(Table1[[#This Row],[Final Kernels (kg''s)]]/Table1[[#This Row],[Input Quantity (Kg''s)]]%,"")</f>
        <v>27.096060697549259</v>
      </c>
      <c r="V97" s="5">
        <f>IFERROR(Table1[[#This Row],[Wholes (kg''s)]]/Table1[[#This Row],[Good Kernels (kg''s)]]%,"")</f>
        <v>97.90645282818501</v>
      </c>
      <c r="W97" s="5">
        <f>IFERROR(Table1[[#This Row],[Pieces (kg''s)]]/Table1[[#This Row],[Good Kernels (kg''s)]]%,"")</f>
        <v>2.0935471718149894</v>
      </c>
      <c r="X97" s="5">
        <f>IFERROR(Table1[[#This Row],[First Pass Uncut (kg''s)]]/Table1[[#This Row],[Input Quantity (Kg''s)]]%,"")</f>
        <v>9</v>
      </c>
      <c r="Y97" s="5">
        <f>IFERROR(Table1[[#This Row],[Final Uncut (kg''s)]]/Table1[[#This Row],[Input Quantity (Kg''s)]]%,"")</f>
        <v>9.8449744686995452E-2</v>
      </c>
      <c r="Z97" s="21">
        <f>IFERROR(Table1[[#This Row],[Shell]]/Table1[[#This Row],[Input Quantity (Kg''s)]]%,"")</f>
        <v>71.033656686050335</v>
      </c>
      <c r="AA97" s="21">
        <f>IFERROR(Table1[[#This Row],[Shell Dust]]/Table1[[#This Row],[Input Quantity (Kg''s)]]%,"")</f>
        <v>1.8702826164004149</v>
      </c>
    </row>
    <row r="98" spans="2:27" x14ac:dyDescent="0.3">
      <c r="B98" s="1">
        <v>46266</v>
      </c>
      <c r="C98" s="15">
        <f>WEEKNUM(Table1[[#This Row],[Date]])</f>
        <v>36</v>
      </c>
      <c r="D98" s="1" t="str">
        <f>TEXT(Table1[[#This Row],[Date]],"mmm-yy")</f>
        <v>Sep-26</v>
      </c>
      <c r="E98" t="s">
        <v>132</v>
      </c>
      <c r="F98" t="s">
        <v>143</v>
      </c>
      <c r="G98">
        <v>152129</v>
      </c>
      <c r="H98">
        <v>39981.5</v>
      </c>
      <c r="I98" s="3">
        <v>809</v>
      </c>
      <c r="J98">
        <v>700.5</v>
      </c>
      <c r="L98">
        <v>892</v>
      </c>
      <c r="M98" s="3">
        <v>12170.32</v>
      </c>
      <c r="N98" s="3">
        <v>150</v>
      </c>
      <c r="O98" s="3">
        <v>1784.3</v>
      </c>
      <c r="P98" s="3">
        <f>Table1[[#This Row],[Input Quantity (Kg''s)]]-SUM(Table1[[#This Row],[Wholes (kg''s)]:[Black Rejection (Kg''s)]],Table1[[#This Row],[Shell Dust]])</f>
        <v>107961.7</v>
      </c>
      <c r="Q98" s="3">
        <f>SUM(Table1[[#This Row],[Wholes (kg''s)]:[Pieces (kg''s)]])</f>
        <v>40790.5</v>
      </c>
      <c r="R98" s="3">
        <f>SUM(Table1[[#This Row],[Wholes (kg''s)]:[Black Rejection (Kg''s)]])</f>
        <v>42383</v>
      </c>
      <c r="S98" s="4">
        <f>IFERROR(Table1[[#This Row],[Good Kernels (kg''s)]]/Table1[[#This Row],[Input Quantity (Kg''s)]]*176.36,"")</f>
        <v>47.287582117807915</v>
      </c>
      <c r="T98" s="4">
        <f>IFERROR(Table1[[#This Row],[Good Kernels (kg''s)]]/Table1[[#This Row],[Input Quantity (Kg''s)]]%,"")</f>
        <v>26.813099409054157</v>
      </c>
      <c r="U98" s="5">
        <f>IFERROR(Table1[[#This Row],[Final Kernels (kg''s)]]/Table1[[#This Row],[Input Quantity (Kg''s)]]%,"")</f>
        <v>27.859908367240962</v>
      </c>
      <c r="V98" s="5">
        <f>IFERROR(Table1[[#This Row],[Wholes (kg''s)]]/Table1[[#This Row],[Good Kernels (kg''s)]]%,"")</f>
        <v>98.01669506380162</v>
      </c>
      <c r="W98" s="5">
        <f>IFERROR(Table1[[#This Row],[Pieces (kg''s)]]/Table1[[#This Row],[Good Kernels (kg''s)]]%,"")</f>
        <v>1.9833049361983797</v>
      </c>
      <c r="X98" s="5">
        <f>IFERROR(Table1[[#This Row],[First Pass Uncut (kg''s)]]/Table1[[#This Row],[Input Quantity (Kg''s)]]%,"")</f>
        <v>8</v>
      </c>
      <c r="Y98" s="5">
        <f>IFERROR(Table1[[#This Row],[Final Uncut (kg''s)]]/Table1[[#This Row],[Input Quantity (Kg''s)]]%,"")</f>
        <v>9.8600529813513541E-2</v>
      </c>
      <c r="Z98" s="21">
        <f>IFERROR(Table1[[#This Row],[Shell]]/Table1[[#This Row],[Input Quantity (Kg''s)]]%,"")</f>
        <v>70.967205463784026</v>
      </c>
      <c r="AA98" s="21">
        <f>IFERROR(Table1[[#This Row],[Shell Dust]]/Table1[[#This Row],[Input Quantity (Kg''s)]]%,"")</f>
        <v>1.1728861689750145</v>
      </c>
    </row>
    <row r="99" spans="2:27" x14ac:dyDescent="0.3">
      <c r="B99" s="1">
        <v>46267</v>
      </c>
      <c r="C99" s="15">
        <f>WEEKNUM(Table1[[#This Row],[Date]])</f>
        <v>36</v>
      </c>
      <c r="D99" s="1" t="str">
        <f>TEXT(Table1[[#This Row],[Date]],"mmm-yy")</f>
        <v>Sep-26</v>
      </c>
      <c r="E99" t="s">
        <v>132</v>
      </c>
      <c r="F99" t="s">
        <v>144</v>
      </c>
      <c r="G99">
        <v>141783</v>
      </c>
      <c r="H99">
        <v>36219.5</v>
      </c>
      <c r="I99" s="3">
        <v>467</v>
      </c>
      <c r="J99">
        <v>757.5</v>
      </c>
      <c r="L99">
        <v>936</v>
      </c>
      <c r="M99" s="3">
        <v>12618.687</v>
      </c>
      <c r="N99" s="3">
        <v>500</v>
      </c>
      <c r="O99" s="3">
        <v>1494.1</v>
      </c>
      <c r="P99" s="3">
        <f>Table1[[#This Row],[Input Quantity (Kg''s)]]-SUM(Table1[[#This Row],[Wholes (kg''s)]:[Black Rejection (Kg''s)]],Table1[[#This Row],[Shell Dust]])</f>
        <v>101908.9</v>
      </c>
      <c r="Q99" s="3">
        <f>SUM(Table1[[#This Row],[Wholes (kg''s)]:[Pieces (kg''s)]])</f>
        <v>36686.5</v>
      </c>
      <c r="R99" s="3">
        <f>SUM(Table1[[#This Row],[Wholes (kg''s)]:[Black Rejection (Kg''s)]])</f>
        <v>38380</v>
      </c>
      <c r="S99" s="4">
        <f>IFERROR(Table1[[#This Row],[Good Kernels (kg''s)]]/Table1[[#This Row],[Input Quantity (Kg''s)]]*176.36,"")</f>
        <v>45.633335026060962</v>
      </c>
      <c r="T99" s="4">
        <f>IFERROR(Table1[[#This Row],[Good Kernels (kg''s)]]/Table1[[#This Row],[Input Quantity (Kg''s)]]%,"")</f>
        <v>25.875104913847217</v>
      </c>
      <c r="U99" s="5">
        <f>IFERROR(Table1[[#This Row],[Final Kernels (kg''s)]]/Table1[[#This Row],[Input Quantity (Kg''s)]]%,"")</f>
        <v>27.069535839980816</v>
      </c>
      <c r="V99" s="5">
        <f>IFERROR(Table1[[#This Row],[Wholes (kg''s)]]/Table1[[#This Row],[Good Kernels (kg''s)]]%,"")</f>
        <v>98.727052185408795</v>
      </c>
      <c r="W99" s="5">
        <f>IFERROR(Table1[[#This Row],[Pieces (kg''s)]]/Table1[[#This Row],[Good Kernels (kg''s)]]%,"")</f>
        <v>1.2729478145911983</v>
      </c>
      <c r="X99" s="5">
        <f>IFERROR(Table1[[#This Row],[First Pass Uncut (kg''s)]]/Table1[[#This Row],[Input Quantity (Kg''s)]]%,"")</f>
        <v>8.9</v>
      </c>
      <c r="Y99" s="5">
        <f>IFERROR(Table1[[#This Row],[Final Uncut (kg''s)]]/Table1[[#This Row],[Input Quantity (Kg''s)]]%,"")</f>
        <v>0.3526515872847944</v>
      </c>
      <c r="Z99" s="21">
        <f>IFERROR(Table1[[#This Row],[Shell]]/Table1[[#This Row],[Input Quantity (Kg''s)]]%,"")</f>
        <v>71.876670686894755</v>
      </c>
      <c r="AA99" s="21">
        <f>IFERROR(Table1[[#This Row],[Shell Dust]]/Table1[[#This Row],[Input Quantity (Kg''s)]]%,"")</f>
        <v>1.0537934731244225</v>
      </c>
    </row>
    <row r="100" spans="2:27" x14ac:dyDescent="0.3">
      <c r="B100" s="1">
        <v>46268</v>
      </c>
      <c r="C100" s="15">
        <f>WEEKNUM(Table1[[#This Row],[Date]])</f>
        <v>36</v>
      </c>
      <c r="D100" s="1" t="str">
        <f>TEXT(Table1[[#This Row],[Date]],"mmm-yy")</f>
        <v>Sep-26</v>
      </c>
      <c r="E100" t="s">
        <v>132</v>
      </c>
      <c r="F100" t="s">
        <v>147</v>
      </c>
      <c r="G100">
        <v>154699</v>
      </c>
      <c r="H100">
        <v>40217.5</v>
      </c>
      <c r="I100" s="3">
        <v>748.5</v>
      </c>
      <c r="J100">
        <v>1112</v>
      </c>
      <c r="L100">
        <v>984</v>
      </c>
      <c r="M100" s="3">
        <v>12375.92</v>
      </c>
      <c r="N100" s="3">
        <v>250</v>
      </c>
      <c r="O100" s="3">
        <v>2071.5</v>
      </c>
      <c r="P100" s="3">
        <f>Table1[[#This Row],[Input Quantity (Kg''s)]]-SUM(Table1[[#This Row],[Wholes (kg''s)]:[Black Rejection (Kg''s)]],Table1[[#This Row],[Shell Dust]])</f>
        <v>109565.5</v>
      </c>
      <c r="Q100" s="3">
        <f>SUM(Table1[[#This Row],[Wholes (kg''s)]:[Pieces (kg''s)]])</f>
        <v>40966</v>
      </c>
      <c r="R100" s="3">
        <f>SUM(Table1[[#This Row],[Wholes (kg''s)]:[Black Rejection (Kg''s)]])</f>
        <v>43062</v>
      </c>
      <c r="S100" s="4">
        <f>IFERROR(Table1[[#This Row],[Good Kernels (kg''s)]]/Table1[[#This Row],[Input Quantity (Kg''s)]]*176.36,"")</f>
        <v>46.702071506603147</v>
      </c>
      <c r="T100" s="4">
        <f>IFERROR(Table1[[#This Row],[Good Kernels (kg''s)]]/Table1[[#This Row],[Input Quantity (Kg''s)]]%,"")</f>
        <v>26.481102011002012</v>
      </c>
      <c r="U100" s="5">
        <f>IFERROR(Table1[[#This Row],[Final Kernels (kg''s)]]/Table1[[#This Row],[Input Quantity (Kg''s)]]%,"")</f>
        <v>27.835991182877716</v>
      </c>
      <c r="V100" s="5">
        <f>IFERROR(Table1[[#This Row],[Wholes (kg''s)]]/Table1[[#This Row],[Good Kernels (kg''s)]]%,"")</f>
        <v>98.172875067128828</v>
      </c>
      <c r="W100" s="5">
        <f>IFERROR(Table1[[#This Row],[Pieces (kg''s)]]/Table1[[#This Row],[Good Kernels (kg''s)]]%,"")</f>
        <v>1.8271249328711614</v>
      </c>
      <c r="X100" s="5">
        <f>IFERROR(Table1[[#This Row],[First Pass Uncut (kg''s)]]/Table1[[#This Row],[Input Quantity (Kg''s)]]%,"")</f>
        <v>8</v>
      </c>
      <c r="Y100" s="5">
        <f>IFERROR(Table1[[#This Row],[Final Uncut (kg''s)]]/Table1[[#This Row],[Input Quantity (Kg''s)]]%,"")</f>
        <v>0.16160414740883911</v>
      </c>
      <c r="Z100" s="21">
        <f>IFERROR(Table1[[#This Row],[Shell]]/Table1[[#This Row],[Input Quantity (Kg''s)]]%,"")</f>
        <v>70.824956851692647</v>
      </c>
      <c r="AA100" s="21">
        <f>IFERROR(Table1[[#This Row],[Shell Dust]]/Table1[[#This Row],[Input Quantity (Kg''s)]]%,"")</f>
        <v>1.3390519654296409</v>
      </c>
    </row>
    <row r="101" spans="2:27" x14ac:dyDescent="0.3">
      <c r="B101" s="1">
        <v>46269</v>
      </c>
      <c r="C101" s="15">
        <f>WEEKNUM(Table1[[#This Row],[Date]])</f>
        <v>36</v>
      </c>
      <c r="D101" s="1" t="str">
        <f>TEXT(Table1[[#This Row],[Date]],"mmm-yy")</f>
        <v>Sep-26</v>
      </c>
      <c r="E101" t="s">
        <v>132</v>
      </c>
      <c r="F101" t="s">
        <v>148</v>
      </c>
      <c r="G101">
        <v>154224</v>
      </c>
      <c r="H101">
        <v>39273</v>
      </c>
      <c r="I101" s="3">
        <v>536.5</v>
      </c>
      <c r="J101">
        <v>1156.5</v>
      </c>
      <c r="L101">
        <v>641.5</v>
      </c>
      <c r="M101" s="3">
        <v>12337.92</v>
      </c>
      <c r="N101" s="3">
        <v>150</v>
      </c>
      <c r="O101" s="3">
        <v>1699.1</v>
      </c>
      <c r="P101" s="3">
        <f>Table1[[#This Row],[Input Quantity (Kg''s)]]-SUM(Table1[[#This Row],[Wholes (kg''s)]:[Black Rejection (Kg''s)]],Table1[[#This Row],[Shell Dust]])</f>
        <v>110917.4</v>
      </c>
      <c r="Q101" s="3">
        <f>SUM(Table1[[#This Row],[Wholes (kg''s)]:[Pieces (kg''s)]])</f>
        <v>39809.5</v>
      </c>
      <c r="R101" s="3">
        <f>SUM(Table1[[#This Row],[Wholes (kg''s)]:[Black Rejection (Kg''s)]])</f>
        <v>41607.5</v>
      </c>
      <c r="S101" s="4">
        <f>IFERROR(Table1[[#This Row],[Good Kernels (kg''s)]]/Table1[[#This Row],[Input Quantity (Kg''s)]]*176.36,"")</f>
        <v>45.523416718539274</v>
      </c>
      <c r="T101" s="4">
        <f>IFERROR(Table1[[#This Row],[Good Kernels (kg''s)]]/Table1[[#This Row],[Input Quantity (Kg''s)]]%,"")</f>
        <v>25.812778815229795</v>
      </c>
      <c r="U101" s="5">
        <f>IFERROR(Table1[[#This Row],[Final Kernels (kg''s)]]/Table1[[#This Row],[Input Quantity (Kg''s)]]%,"")</f>
        <v>26.978615520282187</v>
      </c>
      <c r="V101" s="5">
        <f>IFERROR(Table1[[#This Row],[Wholes (kg''s)]]/Table1[[#This Row],[Good Kernels (kg''s)]]%,"")</f>
        <v>98.652331729863462</v>
      </c>
      <c r="W101" s="5">
        <f>IFERROR(Table1[[#This Row],[Pieces (kg''s)]]/Table1[[#This Row],[Good Kernels (kg''s)]]%,"")</f>
        <v>1.347668270136525</v>
      </c>
      <c r="X101" s="5">
        <f>IFERROR(Table1[[#This Row],[First Pass Uncut (kg''s)]]/Table1[[#This Row],[Input Quantity (Kg''s)]]%,"")</f>
        <v>8</v>
      </c>
      <c r="Y101" s="5">
        <f>IFERROR(Table1[[#This Row],[Final Uncut (kg''s)]]/Table1[[#This Row],[Input Quantity (Kg''s)]]%,"")</f>
        <v>9.7261126672891385E-2</v>
      </c>
      <c r="Z101" s="21">
        <f>IFERROR(Table1[[#This Row],[Shell]]/Table1[[#This Row],[Input Quantity (Kg''s)]]%,"")</f>
        <v>71.919675277518408</v>
      </c>
      <c r="AA101" s="21">
        <f>IFERROR(Table1[[#This Row],[Shell Dust]]/Table1[[#This Row],[Input Quantity (Kg''s)]]%,"")</f>
        <v>1.1017092021993982</v>
      </c>
    </row>
    <row r="102" spans="2:27" x14ac:dyDescent="0.3">
      <c r="B102" s="1">
        <v>46270</v>
      </c>
      <c r="C102" s="15">
        <f>WEEKNUM(Table1[[#This Row],[Date]])</f>
        <v>36</v>
      </c>
      <c r="D102" s="1" t="str">
        <f>TEXT(Table1[[#This Row],[Date]],"mmm-yy")</f>
        <v>Sep-26</v>
      </c>
      <c r="E102" t="s">
        <v>132</v>
      </c>
      <c r="F102" t="s">
        <v>149</v>
      </c>
      <c r="G102">
        <v>152750</v>
      </c>
      <c r="H102">
        <v>39669</v>
      </c>
      <c r="I102" s="3">
        <v>521</v>
      </c>
      <c r="J102">
        <v>875</v>
      </c>
      <c r="L102">
        <v>1023</v>
      </c>
      <c r="M102" s="3">
        <v>12220</v>
      </c>
      <c r="N102" s="3">
        <v>400</v>
      </c>
      <c r="O102" s="3">
        <v>2067.6999999999998</v>
      </c>
      <c r="P102" s="3">
        <f>Table1[[#This Row],[Input Quantity (Kg''s)]]-SUM(Table1[[#This Row],[Wholes (kg''s)]:[Black Rejection (Kg''s)]],Table1[[#This Row],[Shell Dust]])</f>
        <v>108594.3</v>
      </c>
      <c r="Q102" s="3">
        <f>SUM(Table1[[#This Row],[Wholes (kg''s)]:[Pieces (kg''s)]])</f>
        <v>40190</v>
      </c>
      <c r="R102" s="3">
        <f>SUM(Table1[[#This Row],[Wholes (kg''s)]:[Black Rejection (Kg''s)]])</f>
        <v>42088</v>
      </c>
      <c r="S102" s="4">
        <f>IFERROR(Table1[[#This Row],[Good Kernels (kg''s)]]/Table1[[#This Row],[Input Quantity (Kg''s)]]*176.36,"")</f>
        <v>46.402018985270054</v>
      </c>
      <c r="T102" s="4">
        <f>IFERROR(Table1[[#This Row],[Good Kernels (kg''s)]]/Table1[[#This Row],[Input Quantity (Kg''s)]]%,"")</f>
        <v>26.310965630114566</v>
      </c>
      <c r="U102" s="5">
        <f>IFERROR(Table1[[#This Row],[Final Kernels (kg''s)]]/Table1[[#This Row],[Input Quantity (Kg''s)]]%,"")</f>
        <v>27.553518821603927</v>
      </c>
      <c r="V102" s="5">
        <f>IFERROR(Table1[[#This Row],[Wholes (kg''s)]]/Table1[[#This Row],[Good Kernels (kg''s)]]%,"")</f>
        <v>98.703657626275202</v>
      </c>
      <c r="W102" s="5">
        <f>IFERROR(Table1[[#This Row],[Pieces (kg''s)]]/Table1[[#This Row],[Good Kernels (kg''s)]]%,"")</f>
        <v>1.2963423737248072</v>
      </c>
      <c r="X102" s="5">
        <f>IFERROR(Table1[[#This Row],[First Pass Uncut (kg''s)]]/Table1[[#This Row],[Input Quantity (Kg''s)]]%,"")</f>
        <v>8</v>
      </c>
      <c r="Y102" s="5">
        <f>IFERROR(Table1[[#This Row],[Final Uncut (kg''s)]]/Table1[[#This Row],[Input Quantity (Kg''s)]]%,"")</f>
        <v>0.26186579378068742</v>
      </c>
      <c r="Z102" s="21">
        <f>IFERROR(Table1[[#This Row],[Shell]]/Table1[[#This Row],[Input Quantity (Kg''s)]]%,"")</f>
        <v>71.092831423895262</v>
      </c>
      <c r="AA102" s="21">
        <f>IFERROR(Table1[[#This Row],[Shell Dust]]/Table1[[#This Row],[Input Quantity (Kg''s)]]%,"")</f>
        <v>1.3536497545008181</v>
      </c>
    </row>
    <row r="103" spans="2:27" x14ac:dyDescent="0.3">
      <c r="B103" s="1">
        <v>46272</v>
      </c>
      <c r="C103" s="15">
        <f>WEEKNUM(Table1[[#This Row],[Date]])</f>
        <v>37</v>
      </c>
      <c r="D103" s="1" t="str">
        <f>TEXT(Table1[[#This Row],[Date]],"mmm-yy")</f>
        <v>Sep-26</v>
      </c>
      <c r="E103" t="s">
        <v>132</v>
      </c>
      <c r="F103" t="s">
        <v>150</v>
      </c>
      <c r="G103">
        <v>152127</v>
      </c>
      <c r="H103">
        <v>38711.5</v>
      </c>
      <c r="I103" s="3">
        <v>345.5</v>
      </c>
      <c r="J103">
        <v>1137.5</v>
      </c>
      <c r="L103">
        <v>1122</v>
      </c>
      <c r="M103" s="3">
        <v>14452.065000000001</v>
      </c>
      <c r="N103" s="3">
        <v>550</v>
      </c>
      <c r="O103" s="3">
        <v>1838</v>
      </c>
      <c r="P103" s="3">
        <f>Table1[[#This Row],[Input Quantity (Kg''s)]]-SUM(Table1[[#This Row],[Wholes (kg''s)]:[Black Rejection (Kg''s)]],Table1[[#This Row],[Shell Dust]])</f>
        <v>108972.5</v>
      </c>
      <c r="Q103" s="3">
        <f>SUM(Table1[[#This Row],[Wholes (kg''s)]:[Pieces (kg''s)]])</f>
        <v>39057</v>
      </c>
      <c r="R103" s="3">
        <f>SUM(Table1[[#This Row],[Wholes (kg''s)]:[Black Rejection (Kg''s)]])</f>
        <v>41316.5</v>
      </c>
      <c r="S103" s="4">
        <f>IFERROR(Table1[[#This Row],[Good Kernels (kg''s)]]/Table1[[#This Row],[Input Quantity (Kg''s)]]*176.36,"")</f>
        <v>45.278566723855725</v>
      </c>
      <c r="T103" s="4">
        <f>IFERROR(Table1[[#This Row],[Good Kernels (kg''s)]]/Table1[[#This Row],[Input Quantity (Kg''s)]]%,"")</f>
        <v>25.673943481433277</v>
      </c>
      <c r="U103" s="5">
        <f>IFERROR(Table1[[#This Row],[Final Kernels (kg''s)]]/Table1[[#This Row],[Input Quantity (Kg''s)]]%,"")</f>
        <v>27.159215655340603</v>
      </c>
      <c r="V103" s="5">
        <f>IFERROR(Table1[[#This Row],[Wholes (kg''s)]]/Table1[[#This Row],[Good Kernels (kg''s)]]%,"")</f>
        <v>99.115395447679035</v>
      </c>
      <c r="W103" s="5">
        <f>IFERROR(Table1[[#This Row],[Pieces (kg''s)]]/Table1[[#This Row],[Good Kernels (kg''s)]]%,"")</f>
        <v>0.8846045523209668</v>
      </c>
      <c r="X103" s="5">
        <f>IFERROR(Table1[[#This Row],[First Pass Uncut (kg''s)]]/Table1[[#This Row],[Input Quantity (Kg''s)]]%,"")</f>
        <v>9.5</v>
      </c>
      <c r="Y103" s="5">
        <f>IFERROR(Table1[[#This Row],[Final Uncut (kg''s)]]/Table1[[#This Row],[Input Quantity (Kg''s)]]%,"")</f>
        <v>0.36154002905467142</v>
      </c>
      <c r="Z103" s="21">
        <f>IFERROR(Table1[[#This Row],[Shell]]/Table1[[#This Row],[Input Quantity (Kg''s)]]%,"")</f>
        <v>71.632583302109424</v>
      </c>
      <c r="AA103" s="21">
        <f>IFERROR(Table1[[#This Row],[Shell Dust]]/Table1[[#This Row],[Input Quantity (Kg''s)]]%,"")</f>
        <v>1.2082010425499747</v>
      </c>
    </row>
    <row r="104" spans="2:27" x14ac:dyDescent="0.3">
      <c r="B104" s="1">
        <v>46273</v>
      </c>
      <c r="C104" s="15">
        <f>WEEKNUM(Table1[[#This Row],[Date]])</f>
        <v>37</v>
      </c>
      <c r="D104" s="1" t="str">
        <f>TEXT(Table1[[#This Row],[Date]],"mmm-yy")</f>
        <v>Sep-26</v>
      </c>
      <c r="E104" t="s">
        <v>132</v>
      </c>
      <c r="F104" t="s">
        <v>151</v>
      </c>
      <c r="G104">
        <v>153345</v>
      </c>
      <c r="H104">
        <v>38276</v>
      </c>
      <c r="I104" s="3">
        <v>463.5</v>
      </c>
      <c r="J104">
        <v>1578</v>
      </c>
      <c r="L104">
        <v>1002.5</v>
      </c>
      <c r="M104" s="3">
        <v>11500.875</v>
      </c>
      <c r="N104" s="3">
        <v>500</v>
      </c>
      <c r="O104" s="3">
        <v>2968.5</v>
      </c>
      <c r="P104" s="3">
        <f>Table1[[#This Row],[Input Quantity (Kg''s)]]-SUM(Table1[[#This Row],[Wholes (kg''s)]:[Black Rejection (Kg''s)]],Table1[[#This Row],[Shell Dust]])</f>
        <v>109056.5</v>
      </c>
      <c r="Q104" s="3">
        <f>SUM(Table1[[#This Row],[Wholes (kg''s)]:[Pieces (kg''s)]])</f>
        <v>38739.5</v>
      </c>
      <c r="R104" s="3">
        <f>SUM(Table1[[#This Row],[Wholes (kg''s)]:[Black Rejection (Kg''s)]])</f>
        <v>41320</v>
      </c>
      <c r="S104" s="4">
        <f>IFERROR(Table1[[#This Row],[Good Kernels (kg''s)]]/Table1[[#This Row],[Input Quantity (Kg''s)]]*176.36,"")</f>
        <v>44.553772343408653</v>
      </c>
      <c r="T104" s="4">
        <f>IFERROR(Table1[[#This Row],[Good Kernels (kg''s)]]/Table1[[#This Row],[Input Quantity (Kg''s)]]%,"")</f>
        <v>25.262969121914637</v>
      </c>
      <c r="U104" s="5">
        <f>IFERROR(Table1[[#This Row],[Final Kernels (kg''s)]]/Table1[[#This Row],[Input Quantity (Kg''s)]]%,"")</f>
        <v>26.945775864879845</v>
      </c>
      <c r="V104" s="5">
        <f>IFERROR(Table1[[#This Row],[Wholes (kg''s)]]/Table1[[#This Row],[Good Kernels (kg''s)]]%,"")</f>
        <v>98.803546767511207</v>
      </c>
      <c r="W104" s="5">
        <f>IFERROR(Table1[[#This Row],[Pieces (kg''s)]]/Table1[[#This Row],[Good Kernels (kg''s)]]%,"")</f>
        <v>1.1964532324888035</v>
      </c>
      <c r="X104" s="5">
        <f>IFERROR(Table1[[#This Row],[First Pass Uncut (kg''s)]]/Table1[[#This Row],[Input Quantity (Kg''s)]]%,"")</f>
        <v>7.5</v>
      </c>
      <c r="Y104" s="5">
        <f>IFERROR(Table1[[#This Row],[Final Uncut (kg''s)]]/Table1[[#This Row],[Input Quantity (Kg''s)]]%,"")</f>
        <v>0.32606214744530304</v>
      </c>
      <c r="Z104" s="21">
        <f>IFERROR(Table1[[#This Row],[Shell]]/Table1[[#This Row],[Input Quantity (Kg''s)]]%,"")</f>
        <v>71.118393165737388</v>
      </c>
      <c r="AA104" s="21">
        <f>IFERROR(Table1[[#This Row],[Shell Dust]]/Table1[[#This Row],[Input Quantity (Kg''s)]]%,"")</f>
        <v>1.9358309693827642</v>
      </c>
    </row>
    <row r="105" spans="2:27" x14ac:dyDescent="0.3">
      <c r="B105" s="1">
        <v>46274</v>
      </c>
      <c r="C105" s="15">
        <f>WEEKNUM(Table1[[#This Row],[Date]])</f>
        <v>37</v>
      </c>
      <c r="D105" s="1" t="str">
        <f>TEXT(Table1[[#This Row],[Date]],"mmm-yy")</f>
        <v>Sep-26</v>
      </c>
      <c r="E105" t="s">
        <v>132</v>
      </c>
      <c r="F105" t="s">
        <v>152</v>
      </c>
      <c r="G105">
        <v>153719</v>
      </c>
      <c r="H105">
        <v>39979.5</v>
      </c>
      <c r="I105" s="3">
        <v>717.5</v>
      </c>
      <c r="J105">
        <v>1445.5</v>
      </c>
      <c r="L105">
        <v>831.5</v>
      </c>
      <c r="M105" s="3">
        <v>13834.71</v>
      </c>
      <c r="N105" s="3">
        <v>280</v>
      </c>
      <c r="O105" s="3">
        <v>1895.5</v>
      </c>
      <c r="P105" s="3">
        <f>Table1[[#This Row],[Input Quantity (Kg''s)]]-SUM(Table1[[#This Row],[Wholes (kg''s)]:[Black Rejection (Kg''s)]],Table1[[#This Row],[Shell Dust]])</f>
        <v>108849.5</v>
      </c>
      <c r="Q105" s="3">
        <f>SUM(Table1[[#This Row],[Wholes (kg''s)]:[Pieces (kg''s)]])</f>
        <v>40697</v>
      </c>
      <c r="R105" s="3">
        <f>SUM(Table1[[#This Row],[Wholes (kg''s)]:[Black Rejection (Kg''s)]])</f>
        <v>42974</v>
      </c>
      <c r="S105" s="4">
        <f>IFERROR(Table1[[#This Row],[Good Kernels (kg''s)]]/Table1[[#This Row],[Input Quantity (Kg''s)]]*176.36,"")</f>
        <v>46.6911892479134</v>
      </c>
      <c r="T105" s="4">
        <f>IFERROR(Table1[[#This Row],[Good Kernels (kg''s)]]/Table1[[#This Row],[Input Quantity (Kg''s)]]%,"")</f>
        <v>26.474931530910297</v>
      </c>
      <c r="U105" s="5">
        <f>IFERROR(Table1[[#This Row],[Final Kernels (kg''s)]]/Table1[[#This Row],[Input Quantity (Kg''s)]]%,"")</f>
        <v>27.956205804097085</v>
      </c>
      <c r="V105" s="5">
        <f>IFERROR(Table1[[#This Row],[Wholes (kg''s)]]/Table1[[#This Row],[Good Kernels (kg''s)]]%,"")</f>
        <v>98.236970784087276</v>
      </c>
      <c r="W105" s="5">
        <f>IFERROR(Table1[[#This Row],[Pieces (kg''s)]]/Table1[[#This Row],[Good Kernels (kg''s)]]%,"")</f>
        <v>1.7630292159127208</v>
      </c>
      <c r="X105" s="5">
        <f>IFERROR(Table1[[#This Row],[First Pass Uncut (kg''s)]]/Table1[[#This Row],[Input Quantity (Kg''s)]]%,"")</f>
        <v>9</v>
      </c>
      <c r="Y105" s="5">
        <f>IFERROR(Table1[[#This Row],[Final Uncut (kg''s)]]/Table1[[#This Row],[Input Quantity (Kg''s)]]%,"")</f>
        <v>0.18215054742744877</v>
      </c>
      <c r="Z105" s="21">
        <f>IFERROR(Table1[[#This Row],[Shell]]/Table1[[#This Row],[Input Quantity (Kg''s)]]%,"")</f>
        <v>70.810700043586024</v>
      </c>
      <c r="AA105" s="21">
        <f>IFERROR(Table1[[#This Row],[Shell Dust]]/Table1[[#This Row],[Input Quantity (Kg''s)]]%,"")</f>
        <v>1.2330941523168899</v>
      </c>
    </row>
    <row r="106" spans="2:27" x14ac:dyDescent="0.3">
      <c r="B106" s="1">
        <v>46275</v>
      </c>
      <c r="C106" s="15">
        <f>WEEKNUM(Table1[[#This Row],[Date]])</f>
        <v>37</v>
      </c>
      <c r="D106" s="1" t="str">
        <f>TEXT(Table1[[#This Row],[Date]],"mmm-yy")</f>
        <v>Sep-26</v>
      </c>
      <c r="E106" t="s">
        <v>132</v>
      </c>
      <c r="F106" t="s">
        <v>153</v>
      </c>
      <c r="G106">
        <v>153412</v>
      </c>
      <c r="H106">
        <v>40425.5</v>
      </c>
      <c r="I106" s="3">
        <v>969.5</v>
      </c>
      <c r="J106">
        <v>920.5</v>
      </c>
      <c r="L106">
        <v>731.5</v>
      </c>
      <c r="M106" s="3">
        <v>12272.960000000001</v>
      </c>
      <c r="N106" s="3">
        <v>300</v>
      </c>
      <c r="O106" s="3">
        <v>2420.1</v>
      </c>
      <c r="P106" s="3">
        <f>Table1[[#This Row],[Input Quantity (Kg''s)]]-SUM(Table1[[#This Row],[Wholes (kg''s)]:[Black Rejection (Kg''s)]],Table1[[#This Row],[Shell Dust]])</f>
        <v>107944.9</v>
      </c>
      <c r="Q106" s="3">
        <f>SUM(Table1[[#This Row],[Wholes (kg''s)]:[Pieces (kg''s)]])</f>
        <v>41395</v>
      </c>
      <c r="R106" s="3">
        <f>SUM(Table1[[#This Row],[Wholes (kg''s)]:[Black Rejection (Kg''s)]])</f>
        <v>43047</v>
      </c>
      <c r="S106" s="4">
        <f>IFERROR(Table1[[#This Row],[Good Kernels (kg''s)]]/Table1[[#This Row],[Input Quantity (Kg''s)]]*176.36,"")</f>
        <v>47.587034912523144</v>
      </c>
      <c r="T106" s="4">
        <f>IFERROR(Table1[[#This Row],[Good Kernels (kg''s)]]/Table1[[#This Row],[Input Quantity (Kg''s)]]%,"")</f>
        <v>26.982895731755015</v>
      </c>
      <c r="U106" s="5">
        <f>IFERROR(Table1[[#This Row],[Final Kernels (kg''s)]]/Table1[[#This Row],[Input Quantity (Kg''s)]]%,"")</f>
        <v>28.05973457095925</v>
      </c>
      <c r="V106" s="5">
        <f>IFERROR(Table1[[#This Row],[Wholes (kg''s)]]/Table1[[#This Row],[Good Kernels (kg''s)]]%,"")</f>
        <v>97.657929701654794</v>
      </c>
      <c r="W106" s="5">
        <f>IFERROR(Table1[[#This Row],[Pieces (kg''s)]]/Table1[[#This Row],[Good Kernels (kg''s)]]%,"")</f>
        <v>2.3420702983452109</v>
      </c>
      <c r="X106" s="5">
        <f>IFERROR(Table1[[#This Row],[First Pass Uncut (kg''s)]]/Table1[[#This Row],[Input Quantity (Kg''s)]]%,"")</f>
        <v>8.0000000000000018</v>
      </c>
      <c r="Y106" s="5">
        <f>IFERROR(Table1[[#This Row],[Final Uncut (kg''s)]]/Table1[[#This Row],[Input Quantity (Kg''s)]]%,"")</f>
        <v>0.19555184731311764</v>
      </c>
      <c r="Z106" s="21">
        <f>IFERROR(Table1[[#This Row],[Shell]]/Table1[[#This Row],[Input Quantity (Kg''s)]]%,"")</f>
        <v>70.362748676765833</v>
      </c>
      <c r="AA106" s="21">
        <f>IFERROR(Table1[[#This Row],[Shell Dust]]/Table1[[#This Row],[Input Quantity (Kg''s)]]%,"")</f>
        <v>1.5775167522749198</v>
      </c>
    </row>
    <row r="107" spans="2:27" x14ac:dyDescent="0.3">
      <c r="B107" s="1">
        <v>46276</v>
      </c>
      <c r="C107" s="15">
        <f>WEEKNUM(Table1[[#This Row],[Date]])</f>
        <v>37</v>
      </c>
      <c r="D107" s="1" t="str">
        <f>TEXT(Table1[[#This Row],[Date]],"mmm-yy")</f>
        <v>Sep-26</v>
      </c>
      <c r="E107" t="s">
        <v>132</v>
      </c>
      <c r="F107" t="s">
        <v>154</v>
      </c>
      <c r="G107">
        <v>154052</v>
      </c>
      <c r="H107">
        <v>40619.5</v>
      </c>
      <c r="I107" s="3">
        <v>887</v>
      </c>
      <c r="J107">
        <v>628.5</v>
      </c>
      <c r="L107">
        <v>590</v>
      </c>
      <c r="M107" s="3">
        <v>13864.68</v>
      </c>
      <c r="N107" s="3">
        <v>550</v>
      </c>
      <c r="O107" s="3">
        <v>2823.2</v>
      </c>
      <c r="P107" s="3">
        <f>Table1[[#This Row],[Input Quantity (Kg''s)]]-SUM(Table1[[#This Row],[Wholes (kg''s)]:[Black Rejection (Kg''s)]],Table1[[#This Row],[Shell Dust]])</f>
        <v>108503.8</v>
      </c>
      <c r="Q107" s="3">
        <f>SUM(Table1[[#This Row],[Wholes (kg''s)]:[Pieces (kg''s)]])</f>
        <v>41506.5</v>
      </c>
      <c r="R107" s="3">
        <f>SUM(Table1[[#This Row],[Wholes (kg''s)]:[Black Rejection (Kg''s)]])</f>
        <v>42725</v>
      </c>
      <c r="S107" s="4">
        <f>IFERROR(Table1[[#This Row],[Good Kernels (kg''s)]]/Table1[[#This Row],[Input Quantity (Kg''s)]]*176.36,"")</f>
        <v>47.516983486095612</v>
      </c>
      <c r="T107" s="4">
        <f>IFERROR(Table1[[#This Row],[Good Kernels (kg''s)]]/Table1[[#This Row],[Input Quantity (Kg''s)]]%,"")</f>
        <v>26.943175031807442</v>
      </c>
      <c r="U107" s="5">
        <f>IFERROR(Table1[[#This Row],[Final Kernels (kg''s)]]/Table1[[#This Row],[Input Quantity (Kg''s)]]%,"")</f>
        <v>27.734141718380808</v>
      </c>
      <c r="V107" s="5">
        <f>IFERROR(Table1[[#This Row],[Wholes (kg''s)]]/Table1[[#This Row],[Good Kernels (kg''s)]]%,"")</f>
        <v>97.86298531555299</v>
      </c>
      <c r="W107" s="5">
        <f>IFERROR(Table1[[#This Row],[Pieces (kg''s)]]/Table1[[#This Row],[Good Kernels (kg''s)]]%,"")</f>
        <v>2.1370146844470144</v>
      </c>
      <c r="X107" s="5">
        <f>IFERROR(Table1[[#This Row],[First Pass Uncut (kg''s)]]/Table1[[#This Row],[Input Quantity (Kg''s)]]%,"")</f>
        <v>9</v>
      </c>
      <c r="Y107" s="5">
        <f>IFERROR(Table1[[#This Row],[Final Uncut (kg''s)]]/Table1[[#This Row],[Input Quantity (Kg''s)]]%,"")</f>
        <v>0.3570223041570379</v>
      </c>
      <c r="Z107" s="21">
        <f>IFERROR(Table1[[#This Row],[Shell]]/Table1[[#This Row],[Input Quantity (Kg''s)]]%,"")</f>
        <v>70.433230337808013</v>
      </c>
      <c r="AA107" s="21">
        <f>IFERROR(Table1[[#This Row],[Shell Dust]]/Table1[[#This Row],[Input Quantity (Kg''s)]]%,"")</f>
        <v>1.8326279438111805</v>
      </c>
    </row>
    <row r="108" spans="2:27" x14ac:dyDescent="0.3">
      <c r="B108" s="1">
        <v>46277</v>
      </c>
      <c r="C108" s="15">
        <f>WEEKNUM(Table1[[#This Row],[Date]])</f>
        <v>37</v>
      </c>
      <c r="D108" s="1" t="str">
        <f>TEXT(Table1[[#This Row],[Date]],"mmm-yy")</f>
        <v>Sep-26</v>
      </c>
      <c r="E108" t="s">
        <v>132</v>
      </c>
      <c r="F108" t="s">
        <v>155</v>
      </c>
      <c r="G108">
        <v>153796</v>
      </c>
      <c r="H108">
        <v>40090.5</v>
      </c>
      <c r="I108" s="3">
        <v>747</v>
      </c>
      <c r="J108">
        <v>904</v>
      </c>
      <c r="L108">
        <v>609</v>
      </c>
      <c r="M108" s="3">
        <v>13841.64</v>
      </c>
      <c r="N108" s="3">
        <v>600</v>
      </c>
      <c r="O108" s="3">
        <v>2186.9</v>
      </c>
      <c r="P108" s="3">
        <f>Table1[[#This Row],[Input Quantity (Kg''s)]]-SUM(Table1[[#This Row],[Wholes (kg''s)]:[Black Rejection (Kg''s)]],Table1[[#This Row],[Shell Dust]])</f>
        <v>109258.6</v>
      </c>
      <c r="Q108" s="3">
        <f>SUM(Table1[[#This Row],[Wholes (kg''s)]:[Pieces (kg''s)]])</f>
        <v>40837.5</v>
      </c>
      <c r="R108" s="3">
        <f>SUM(Table1[[#This Row],[Wholes (kg''s)]:[Black Rejection (Kg''s)]])</f>
        <v>42350.5</v>
      </c>
      <c r="S108" s="4">
        <f>IFERROR(Table1[[#This Row],[Good Kernels (kg''s)]]/Table1[[#This Row],[Input Quantity (Kg''s)]]*176.36,"")</f>
        <v>46.828925979869439</v>
      </c>
      <c r="T108" s="4">
        <f>IFERROR(Table1[[#This Row],[Good Kernels (kg''s)]]/Table1[[#This Row],[Input Quantity (Kg''s)]]%,"")</f>
        <v>26.553031288199954</v>
      </c>
      <c r="U108" s="5">
        <f>IFERROR(Table1[[#This Row],[Final Kernels (kg''s)]]/Table1[[#This Row],[Input Quantity (Kg''s)]]%,"")</f>
        <v>27.536801997451168</v>
      </c>
      <c r="V108" s="5">
        <f>IFERROR(Table1[[#This Row],[Wholes (kg''s)]]/Table1[[#This Row],[Good Kernels (kg''s)]]%,"")</f>
        <v>98.170798898071624</v>
      </c>
      <c r="W108" s="5">
        <f>IFERROR(Table1[[#This Row],[Pieces (kg''s)]]/Table1[[#This Row],[Good Kernels (kg''s)]]%,"")</f>
        <v>1.8292011019283747</v>
      </c>
      <c r="X108" s="5">
        <f>IFERROR(Table1[[#This Row],[First Pass Uncut (kg''s)]]/Table1[[#This Row],[Input Quantity (Kg''s)]]%,"")</f>
        <v>9</v>
      </c>
      <c r="Y108" s="5">
        <f>IFERROR(Table1[[#This Row],[Final Uncut (kg''s)]]/Table1[[#This Row],[Input Quantity (Kg''s)]]%,"")</f>
        <v>0.39012718146115632</v>
      </c>
      <c r="Z108" s="21">
        <f>IFERROR(Table1[[#This Row],[Shell]]/Table1[[#This Row],[Input Quantity (Kg''s)]]%,"")</f>
        <v>71.041249447319828</v>
      </c>
      <c r="AA108" s="21">
        <f>IFERROR(Table1[[#This Row],[Shell Dust]]/Table1[[#This Row],[Input Quantity (Kg''s)]]%,"")</f>
        <v>1.4219485552290048</v>
      </c>
    </row>
    <row r="109" spans="2:27" x14ac:dyDescent="0.3">
      <c r="B109" s="1">
        <v>46279</v>
      </c>
      <c r="C109" s="15">
        <f>WEEKNUM(Table1[[#This Row],[Date]])</f>
        <v>38</v>
      </c>
      <c r="D109" s="1" t="str">
        <f>TEXT(Table1[[#This Row],[Date]],"mmm-yy")</f>
        <v>Sep-26</v>
      </c>
      <c r="E109" t="s">
        <v>132</v>
      </c>
      <c r="F109" t="s">
        <v>156</v>
      </c>
      <c r="G109">
        <v>151619</v>
      </c>
      <c r="H109">
        <v>39596</v>
      </c>
      <c r="I109" s="3">
        <v>1514.5</v>
      </c>
      <c r="J109">
        <v>560.5</v>
      </c>
      <c r="L109">
        <v>587</v>
      </c>
      <c r="M109" s="3">
        <v>13645.71</v>
      </c>
      <c r="N109" s="3">
        <v>600</v>
      </c>
      <c r="O109" s="3">
        <v>3108.2</v>
      </c>
      <c r="P109" s="3">
        <f>Table1[[#This Row],[Input Quantity (Kg''s)]]-SUM(Table1[[#This Row],[Wholes (kg''s)]:[Black Rejection (Kg''s)]],Table1[[#This Row],[Shell Dust]])</f>
        <v>106252.8</v>
      </c>
      <c r="Q109" s="3">
        <f>SUM(Table1[[#This Row],[Wholes (kg''s)]:[Pieces (kg''s)]])</f>
        <v>41110.5</v>
      </c>
      <c r="R109" s="3">
        <f>SUM(Table1[[#This Row],[Wholes (kg''s)]:[Black Rejection (Kg''s)]])</f>
        <v>42258</v>
      </c>
      <c r="S109" s="4">
        <f>IFERROR(Table1[[#This Row],[Good Kernels (kg''s)]]/Table1[[#This Row],[Input Quantity (Kg''s)]]*176.36,"")</f>
        <v>47.818860301149599</v>
      </c>
      <c r="T109" s="4">
        <f>IFERROR(Table1[[#This Row],[Good Kernels (kg''s)]]/Table1[[#This Row],[Input Quantity (Kg''s)]]%,"")</f>
        <v>27.11434582736992</v>
      </c>
      <c r="U109" s="5">
        <f>IFERROR(Table1[[#This Row],[Final Kernels (kg''s)]]/Table1[[#This Row],[Input Quantity (Kg''s)]]%,"")</f>
        <v>27.871177095218936</v>
      </c>
      <c r="V109" s="5">
        <f>IFERROR(Table1[[#This Row],[Wholes (kg''s)]]/Table1[[#This Row],[Good Kernels (kg''s)]]%,"")</f>
        <v>96.316026319310154</v>
      </c>
      <c r="W109" s="5">
        <f>IFERROR(Table1[[#This Row],[Pieces (kg''s)]]/Table1[[#This Row],[Good Kernels (kg''s)]]%,"")</f>
        <v>3.683973680689848</v>
      </c>
      <c r="X109" s="5">
        <f>IFERROR(Table1[[#This Row],[First Pass Uncut (kg''s)]]/Table1[[#This Row],[Input Quantity (Kg''s)]]%,"")</f>
        <v>8.9999999999999982</v>
      </c>
      <c r="Y109" s="5">
        <f>IFERROR(Table1[[#This Row],[Final Uncut (kg''s)]]/Table1[[#This Row],[Input Quantity (Kg''s)]]%,"")</f>
        <v>0.3957287675027536</v>
      </c>
      <c r="Z109" s="21">
        <f>IFERROR(Table1[[#This Row],[Shell]]/Table1[[#This Row],[Input Quantity (Kg''s)]]%,"")</f>
        <v>70.078815979527633</v>
      </c>
      <c r="AA109" s="21">
        <f>IFERROR(Table1[[#This Row],[Shell Dust]]/Table1[[#This Row],[Input Quantity (Kg''s)]]%,"")</f>
        <v>2.050006925253431</v>
      </c>
    </row>
    <row r="110" spans="2:27" x14ac:dyDescent="0.3">
      <c r="B110" s="1">
        <v>46280</v>
      </c>
      <c r="C110" s="15">
        <f>WEEKNUM(Table1[[#This Row],[Date]])</f>
        <v>38</v>
      </c>
      <c r="D110" s="1" t="str">
        <f>TEXT(Table1[[#This Row],[Date]],"mmm-yy")</f>
        <v>Sep-26</v>
      </c>
      <c r="E110" t="s">
        <v>132</v>
      </c>
      <c r="F110" t="s">
        <v>157</v>
      </c>
      <c r="G110">
        <v>147395</v>
      </c>
      <c r="H110">
        <v>39438.5</v>
      </c>
      <c r="I110" s="3">
        <v>1352.5</v>
      </c>
      <c r="J110">
        <v>328.5</v>
      </c>
      <c r="L110">
        <v>545.5</v>
      </c>
      <c r="M110" s="3">
        <v>13265.55</v>
      </c>
      <c r="N110" s="3">
        <v>550</v>
      </c>
      <c r="O110" s="3">
        <v>2857.2</v>
      </c>
      <c r="P110" s="3">
        <f>Table1[[#This Row],[Input Quantity (Kg''s)]]-SUM(Table1[[#This Row],[Wholes (kg''s)]:[Black Rejection (Kg''s)]],Table1[[#This Row],[Shell Dust]])</f>
        <v>102872.8</v>
      </c>
      <c r="Q110" s="3">
        <f>SUM(Table1[[#This Row],[Wholes (kg''s)]:[Pieces (kg''s)]])</f>
        <v>40791</v>
      </c>
      <c r="R110" s="3">
        <f>SUM(Table1[[#This Row],[Wholes (kg''s)]:[Black Rejection (Kg''s)]])</f>
        <v>41665</v>
      </c>
      <c r="S110" s="4">
        <f>IFERROR(Table1[[#This Row],[Good Kernels (kg''s)]]/Table1[[#This Row],[Input Quantity (Kg''s)]]*176.36,"")</f>
        <v>48.806952474642969</v>
      </c>
      <c r="T110" s="4">
        <f>IFERROR(Table1[[#This Row],[Good Kernels (kg''s)]]/Table1[[#This Row],[Input Quantity (Kg''s)]]%,"")</f>
        <v>27.674615828216695</v>
      </c>
      <c r="U110" s="5">
        <f>IFERROR(Table1[[#This Row],[Final Kernels (kg''s)]]/Table1[[#This Row],[Input Quantity (Kg''s)]]%,"")</f>
        <v>28.267580311408121</v>
      </c>
      <c r="V110" s="5">
        <f>IFERROR(Table1[[#This Row],[Wholes (kg''s)]]/Table1[[#This Row],[Good Kernels (kg''s)]]%,"")</f>
        <v>96.684317619082634</v>
      </c>
      <c r="W110" s="5">
        <f>IFERROR(Table1[[#This Row],[Pieces (kg''s)]]/Table1[[#This Row],[Good Kernels (kg''s)]]%,"")</f>
        <v>3.3156823809173592</v>
      </c>
      <c r="X110" s="5">
        <f>IFERROR(Table1[[#This Row],[First Pass Uncut (kg''s)]]/Table1[[#This Row],[Input Quantity (Kg''s)]]%,"")</f>
        <v>9</v>
      </c>
      <c r="Y110" s="5">
        <f>IFERROR(Table1[[#This Row],[Final Uncut (kg''s)]]/Table1[[#This Row],[Input Quantity (Kg''s)]]%,"")</f>
        <v>0.37314698599002677</v>
      </c>
      <c r="Z110" s="21">
        <f>IFERROR(Table1[[#This Row],[Shell]]/Table1[[#This Row],[Input Quantity (Kg''s)]]%,"")</f>
        <v>69.793955018826964</v>
      </c>
      <c r="AA110" s="21">
        <f>IFERROR(Table1[[#This Row],[Shell Dust]]/Table1[[#This Row],[Input Quantity (Kg''s)]]%,"")</f>
        <v>1.9384646697649173</v>
      </c>
    </row>
    <row r="111" spans="2:27" x14ac:dyDescent="0.3">
      <c r="B111" s="1"/>
      <c r="C111" s="15">
        <f>WEEKNUM(Table1[[#This Row],[Date]])</f>
        <v>0</v>
      </c>
      <c r="D111" s="1" t="str">
        <f>TEXT(Table1[[#This Row],[Date]],"mmm-yy")</f>
        <v>Jan-00</v>
      </c>
      <c r="E111" s="1"/>
      <c r="I111" s="3"/>
      <c r="M111" s="3"/>
      <c r="N111" s="3"/>
      <c r="O111" s="3"/>
      <c r="P111" s="3">
        <f>Table1[[#This Row],[Input Quantity (Kg''s)]]-SUM(Table1[[#This Row],[Wholes (kg''s)]:[Black Rejection (Kg''s)]],Table1[[#This Row],[Shell Dust]])</f>
        <v>0</v>
      </c>
      <c r="Q111" s="3">
        <f>SUM(Table1[[#This Row],[Wholes (kg''s)]:[Pieces (kg''s)]])</f>
        <v>0</v>
      </c>
      <c r="R111" s="3">
        <f>SUM(Table1[[#This Row],[Wholes (kg''s)]:[Black Rejection (Kg''s)]])</f>
        <v>0</v>
      </c>
      <c r="S111" s="4" t="str">
        <f>IFERROR(Table1[[#This Row],[Good Kernels (kg''s)]]/Table1[[#This Row],[Input Quantity (Kg''s)]]*176.36,"")</f>
        <v/>
      </c>
      <c r="T111" s="4" t="str">
        <f>IFERROR(Table1[[#This Row],[Good Kernels (kg''s)]]/Table1[[#This Row],[Input Quantity (Kg''s)]]%,"")</f>
        <v/>
      </c>
      <c r="U111" s="5" t="str">
        <f>IFERROR(Table1[[#This Row],[Final Kernels (kg''s)]]/Table1[[#This Row],[Input Quantity (Kg''s)]]%,"")</f>
        <v/>
      </c>
      <c r="V111" s="5" t="str">
        <f>IFERROR(Table1[[#This Row],[Wholes (kg''s)]]/Table1[[#This Row],[Good Kernels (kg''s)]]%,"")</f>
        <v/>
      </c>
      <c r="W111" s="5" t="str">
        <f>IFERROR(Table1[[#This Row],[Pieces (kg''s)]]/Table1[[#This Row],[Good Kernels (kg''s)]]%,"")</f>
        <v/>
      </c>
      <c r="X111" s="5" t="str">
        <f>IFERROR(Table1[[#This Row],[First Pass Uncut (kg''s)]]/Table1[[#This Row],[Input Quantity (Kg''s)]]%,"")</f>
        <v/>
      </c>
      <c r="Y111" s="5" t="str">
        <f>IFERROR(Table1[[#This Row],[Final Uncut (kg''s)]]/Table1[[#This Row],[Input Quantity (Kg''s)]]%,"")</f>
        <v/>
      </c>
      <c r="Z111" s="21" t="str">
        <f>IFERROR(Table1[[#This Row],[Shell]]/Table1[[#This Row],[Input Quantity (Kg''s)]]%,"")</f>
        <v/>
      </c>
      <c r="AA111" s="21" t="str">
        <f>IFERROR(Table1[[#This Row],[Shell Dust]]/Table1[[#This Row],[Input Quantity (Kg''s)]]%,"")</f>
        <v/>
      </c>
    </row>
    <row r="112" spans="2:27" x14ac:dyDescent="0.3">
      <c r="B112" s="1"/>
      <c r="C112" s="15">
        <f>WEEKNUM(Table1[[#This Row],[Date]])</f>
        <v>0</v>
      </c>
      <c r="D112" s="1" t="str">
        <f>TEXT(Table1[[#This Row],[Date]],"mmm-yy")</f>
        <v>Jan-00</v>
      </c>
      <c r="E112" s="1"/>
      <c r="I112" s="3"/>
      <c r="M112" s="3"/>
      <c r="N112" s="3"/>
      <c r="O112" s="3"/>
      <c r="P112" s="3">
        <f>Table1[[#This Row],[Input Quantity (Kg''s)]]-SUM(Table1[[#This Row],[Wholes (kg''s)]:[Black Rejection (Kg''s)]],Table1[[#This Row],[Shell Dust]])</f>
        <v>0</v>
      </c>
      <c r="Q112" s="3">
        <f>SUM(Table1[[#This Row],[Wholes (kg''s)]:[Pieces (kg''s)]])</f>
        <v>0</v>
      </c>
      <c r="R112" s="3">
        <f>SUM(Table1[[#This Row],[Wholes (kg''s)]:[Black Rejection (Kg''s)]])</f>
        <v>0</v>
      </c>
      <c r="S112" s="4" t="str">
        <f>IFERROR(Table1[[#This Row],[Good Kernels (kg''s)]]/Table1[[#This Row],[Input Quantity (Kg''s)]]*176.36,"")</f>
        <v/>
      </c>
      <c r="T112" s="4" t="str">
        <f>IFERROR(Table1[[#This Row],[Good Kernels (kg''s)]]/Table1[[#This Row],[Input Quantity (Kg''s)]]%,"")</f>
        <v/>
      </c>
      <c r="U112" s="5" t="str">
        <f>IFERROR(Table1[[#This Row],[Final Kernels (kg''s)]]/Table1[[#This Row],[Input Quantity (Kg''s)]]%,"")</f>
        <v/>
      </c>
      <c r="V112" s="5" t="str">
        <f>IFERROR(Table1[[#This Row],[Wholes (kg''s)]]/Table1[[#This Row],[Good Kernels (kg''s)]]%,"")</f>
        <v/>
      </c>
      <c r="W112" s="5" t="str">
        <f>IFERROR(Table1[[#This Row],[Pieces (kg''s)]]/Table1[[#This Row],[Good Kernels (kg''s)]]%,"")</f>
        <v/>
      </c>
      <c r="X112" s="5" t="str">
        <f>IFERROR(Table1[[#This Row],[First Pass Uncut (kg''s)]]/Table1[[#This Row],[Input Quantity (Kg''s)]]%,"")</f>
        <v/>
      </c>
      <c r="Y112" s="5" t="str">
        <f>IFERROR(Table1[[#This Row],[Final Uncut (kg''s)]]/Table1[[#This Row],[Input Quantity (Kg''s)]]%,"")</f>
        <v/>
      </c>
      <c r="Z112" s="21" t="str">
        <f>IFERROR(Table1[[#This Row],[Shell]]/Table1[[#This Row],[Input Quantity (Kg''s)]]%,"")</f>
        <v/>
      </c>
      <c r="AA112" s="21" t="str">
        <f>IFERROR(Table1[[#This Row],[Shell Dust]]/Table1[[#This Row],[Input Quantity (Kg''s)]]%,"")</f>
        <v/>
      </c>
    </row>
    <row r="113" spans="2:27" x14ac:dyDescent="0.3">
      <c r="B113" s="1"/>
      <c r="C113" s="15">
        <f>WEEKNUM(Table1[[#This Row],[Date]])</f>
        <v>0</v>
      </c>
      <c r="D113" s="1" t="str">
        <f>TEXT(Table1[[#This Row],[Date]],"mmm-yy")</f>
        <v>Jan-00</v>
      </c>
      <c r="E113" s="1"/>
      <c r="I113" s="3"/>
      <c r="M113" s="3"/>
      <c r="N113" s="3"/>
      <c r="O113" s="3"/>
      <c r="P113" s="3">
        <f>Table1[[#This Row],[Input Quantity (Kg''s)]]-SUM(Table1[[#This Row],[Wholes (kg''s)]:[Black Rejection (Kg''s)]],Table1[[#This Row],[Shell Dust]])</f>
        <v>0</v>
      </c>
      <c r="Q113" s="3">
        <f>SUM(Table1[[#This Row],[Wholes (kg''s)]:[Pieces (kg''s)]])</f>
        <v>0</v>
      </c>
      <c r="R113" s="3">
        <f>SUM(Table1[[#This Row],[Wholes (kg''s)]:[Black Rejection (Kg''s)]])</f>
        <v>0</v>
      </c>
      <c r="S113" s="4" t="str">
        <f>IFERROR(Table1[[#This Row],[Good Kernels (kg''s)]]/Table1[[#This Row],[Input Quantity (Kg''s)]]*176.36,"")</f>
        <v/>
      </c>
      <c r="T113" s="4" t="str">
        <f>IFERROR(Table1[[#This Row],[Good Kernels (kg''s)]]/Table1[[#This Row],[Input Quantity (Kg''s)]]%,"")</f>
        <v/>
      </c>
      <c r="U113" s="5" t="str">
        <f>IFERROR(Table1[[#This Row],[Final Kernels (kg''s)]]/Table1[[#This Row],[Input Quantity (Kg''s)]]%,"")</f>
        <v/>
      </c>
      <c r="V113" s="5" t="str">
        <f>IFERROR(Table1[[#This Row],[Wholes (kg''s)]]/Table1[[#This Row],[Good Kernels (kg''s)]]%,"")</f>
        <v/>
      </c>
      <c r="W113" s="5" t="str">
        <f>IFERROR(Table1[[#This Row],[Pieces (kg''s)]]/Table1[[#This Row],[Good Kernels (kg''s)]]%,"")</f>
        <v/>
      </c>
      <c r="X113" s="5" t="str">
        <f>IFERROR(Table1[[#This Row],[First Pass Uncut (kg''s)]]/Table1[[#This Row],[Input Quantity (Kg''s)]]%,"")</f>
        <v/>
      </c>
      <c r="Y113" s="5" t="str">
        <f>IFERROR(Table1[[#This Row],[Final Uncut (kg''s)]]/Table1[[#This Row],[Input Quantity (Kg''s)]]%,"")</f>
        <v/>
      </c>
      <c r="Z113" s="21" t="str">
        <f>IFERROR(Table1[[#This Row],[Shell]]/Table1[[#This Row],[Input Quantity (Kg''s)]]%,"")</f>
        <v/>
      </c>
      <c r="AA113" s="21" t="str">
        <f>IFERROR(Table1[[#This Row],[Shell Dust]]/Table1[[#This Row],[Input Quantity (Kg''s)]]%,"")</f>
        <v/>
      </c>
    </row>
    <row r="114" spans="2:27" x14ac:dyDescent="0.3">
      <c r="B114" s="1"/>
      <c r="C114" s="15">
        <f>WEEKNUM(Table1[[#This Row],[Date]])</f>
        <v>0</v>
      </c>
      <c r="D114" s="1" t="str">
        <f>TEXT(Table1[[#This Row],[Date]],"mmm-yy")</f>
        <v>Jan-00</v>
      </c>
      <c r="E114" s="1"/>
      <c r="I114" s="3"/>
      <c r="M114" s="3"/>
      <c r="N114" s="3"/>
      <c r="O114" s="3"/>
      <c r="P114" s="3">
        <f>Table1[[#This Row],[Input Quantity (Kg''s)]]-SUM(Table1[[#This Row],[Wholes (kg''s)]:[Black Rejection (Kg''s)]],Table1[[#This Row],[Shell Dust]])</f>
        <v>0</v>
      </c>
      <c r="Q114" s="3">
        <f>SUM(Table1[[#This Row],[Wholes (kg''s)]:[Pieces (kg''s)]])</f>
        <v>0</v>
      </c>
      <c r="R114" s="3">
        <f>SUM(Table1[[#This Row],[Wholes (kg''s)]:[Black Rejection (Kg''s)]])</f>
        <v>0</v>
      </c>
      <c r="S114" s="4" t="str">
        <f>IFERROR(Table1[[#This Row],[Good Kernels (kg''s)]]/Table1[[#This Row],[Input Quantity (Kg''s)]]*176.36,"")</f>
        <v/>
      </c>
      <c r="T114" s="4" t="str">
        <f>IFERROR(Table1[[#This Row],[Good Kernels (kg''s)]]/Table1[[#This Row],[Input Quantity (Kg''s)]]%,"")</f>
        <v/>
      </c>
      <c r="U114" s="5" t="str">
        <f>IFERROR(Table1[[#This Row],[Final Kernels (kg''s)]]/Table1[[#This Row],[Input Quantity (Kg''s)]]%,"")</f>
        <v/>
      </c>
      <c r="V114" s="5" t="str">
        <f>IFERROR(Table1[[#This Row],[Wholes (kg''s)]]/Table1[[#This Row],[Good Kernels (kg''s)]]%,"")</f>
        <v/>
      </c>
      <c r="W114" s="5" t="str">
        <f>IFERROR(Table1[[#This Row],[Pieces (kg''s)]]/Table1[[#This Row],[Good Kernels (kg''s)]]%,"")</f>
        <v/>
      </c>
      <c r="X114" s="5" t="str">
        <f>IFERROR(Table1[[#This Row],[First Pass Uncut (kg''s)]]/Table1[[#This Row],[Input Quantity (Kg''s)]]%,"")</f>
        <v/>
      </c>
      <c r="Y114" s="5" t="str">
        <f>IFERROR(Table1[[#This Row],[Final Uncut (kg''s)]]/Table1[[#This Row],[Input Quantity (Kg''s)]]%,"")</f>
        <v/>
      </c>
      <c r="Z114" s="21" t="str">
        <f>IFERROR(Table1[[#This Row],[Shell]]/Table1[[#This Row],[Input Quantity (Kg''s)]]%,"")</f>
        <v/>
      </c>
      <c r="AA114" s="21" t="str">
        <f>IFERROR(Table1[[#This Row],[Shell Dust]]/Table1[[#This Row],[Input Quantity (Kg''s)]]%,"")</f>
        <v/>
      </c>
    </row>
    <row r="115" spans="2:27" x14ac:dyDescent="0.3">
      <c r="B115" s="1"/>
      <c r="C115" s="15">
        <f>WEEKNUM(Table1[[#This Row],[Date]])</f>
        <v>0</v>
      </c>
      <c r="D115" s="1" t="str">
        <f>TEXT(Table1[[#This Row],[Date]],"mmm-yy")</f>
        <v>Jan-00</v>
      </c>
      <c r="E115" s="1"/>
      <c r="I115" s="3"/>
      <c r="M115" s="3"/>
      <c r="N115" s="3"/>
      <c r="O115" s="3"/>
      <c r="P115" s="3">
        <f>Table1[[#This Row],[Input Quantity (Kg''s)]]-SUM(Table1[[#This Row],[Wholes (kg''s)]:[Black Rejection (Kg''s)]],Table1[[#This Row],[Shell Dust]])</f>
        <v>0</v>
      </c>
      <c r="Q115" s="3">
        <f>SUM(Table1[[#This Row],[Wholes (kg''s)]:[Pieces (kg''s)]])</f>
        <v>0</v>
      </c>
      <c r="R115" s="3">
        <f>SUM(Table1[[#This Row],[Wholes (kg''s)]:[Black Rejection (Kg''s)]])</f>
        <v>0</v>
      </c>
      <c r="S115" s="4" t="str">
        <f>IFERROR(Table1[[#This Row],[Good Kernels (kg''s)]]/Table1[[#This Row],[Input Quantity (Kg''s)]]*176.36,"")</f>
        <v/>
      </c>
      <c r="T115" s="4" t="str">
        <f>IFERROR(Table1[[#This Row],[Good Kernels (kg''s)]]/Table1[[#This Row],[Input Quantity (Kg''s)]]%,"")</f>
        <v/>
      </c>
      <c r="U115" s="5" t="str">
        <f>IFERROR(Table1[[#This Row],[Final Kernels (kg''s)]]/Table1[[#This Row],[Input Quantity (Kg''s)]]%,"")</f>
        <v/>
      </c>
      <c r="V115" s="5" t="str">
        <f>IFERROR(Table1[[#This Row],[Wholes (kg''s)]]/Table1[[#This Row],[Good Kernels (kg''s)]]%,"")</f>
        <v/>
      </c>
      <c r="W115" s="5" t="str">
        <f>IFERROR(Table1[[#This Row],[Pieces (kg''s)]]/Table1[[#This Row],[Good Kernels (kg''s)]]%,"")</f>
        <v/>
      </c>
      <c r="X115" s="5" t="str">
        <f>IFERROR(Table1[[#This Row],[First Pass Uncut (kg''s)]]/Table1[[#This Row],[Input Quantity (Kg''s)]]%,"")</f>
        <v/>
      </c>
      <c r="Y115" s="5" t="str">
        <f>IFERROR(Table1[[#This Row],[Final Uncut (kg''s)]]/Table1[[#This Row],[Input Quantity (Kg''s)]]%,"")</f>
        <v/>
      </c>
      <c r="Z115" s="21" t="str">
        <f>IFERROR(Table1[[#This Row],[Shell]]/Table1[[#This Row],[Input Quantity (Kg''s)]]%,"")</f>
        <v/>
      </c>
      <c r="AA115" s="21" t="str">
        <f>IFERROR(Table1[[#This Row],[Shell Dust]]/Table1[[#This Row],[Input Quantity (Kg''s)]]%,"")</f>
        <v/>
      </c>
    </row>
    <row r="116" spans="2:27" x14ac:dyDescent="0.3">
      <c r="B116" s="1"/>
      <c r="C116" s="15">
        <f>WEEKNUM(Table1[[#This Row],[Date]])</f>
        <v>0</v>
      </c>
      <c r="D116" s="1" t="str">
        <f>TEXT(Table1[[#This Row],[Date]],"mmm-yy")</f>
        <v>Jan-00</v>
      </c>
      <c r="E116" s="1"/>
      <c r="I116" s="3"/>
      <c r="M116" s="3"/>
      <c r="N116" s="3"/>
      <c r="O116" s="3"/>
      <c r="P116" s="3">
        <f>Table1[[#This Row],[Input Quantity (Kg''s)]]-SUM(Table1[[#This Row],[Wholes (kg''s)]:[Black Rejection (Kg''s)]],Table1[[#This Row],[Shell Dust]])</f>
        <v>0</v>
      </c>
      <c r="Q116" s="3">
        <f>SUM(Table1[[#This Row],[Wholes (kg''s)]:[Pieces (kg''s)]])</f>
        <v>0</v>
      </c>
      <c r="R116" s="3">
        <f>SUM(Table1[[#This Row],[Wholes (kg''s)]:[Black Rejection (Kg''s)]])</f>
        <v>0</v>
      </c>
      <c r="S116" s="4" t="str">
        <f>IFERROR(Table1[[#This Row],[Good Kernels (kg''s)]]/Table1[[#This Row],[Input Quantity (Kg''s)]]*176.36,"")</f>
        <v/>
      </c>
      <c r="T116" s="4" t="str">
        <f>IFERROR(Table1[[#This Row],[Good Kernels (kg''s)]]/Table1[[#This Row],[Input Quantity (Kg''s)]]%,"")</f>
        <v/>
      </c>
      <c r="U116" s="5" t="str">
        <f>IFERROR(Table1[[#This Row],[Final Kernels (kg''s)]]/Table1[[#This Row],[Input Quantity (Kg''s)]]%,"")</f>
        <v/>
      </c>
      <c r="V116" s="5" t="str">
        <f>IFERROR(Table1[[#This Row],[Wholes (kg''s)]]/Table1[[#This Row],[Good Kernels (kg''s)]]%,"")</f>
        <v/>
      </c>
      <c r="W116" s="5" t="str">
        <f>IFERROR(Table1[[#This Row],[Pieces (kg''s)]]/Table1[[#This Row],[Good Kernels (kg''s)]]%,"")</f>
        <v/>
      </c>
      <c r="X116" s="5" t="str">
        <f>IFERROR(Table1[[#This Row],[First Pass Uncut (kg''s)]]/Table1[[#This Row],[Input Quantity (Kg''s)]]%,"")</f>
        <v/>
      </c>
      <c r="Y116" s="5" t="str">
        <f>IFERROR(Table1[[#This Row],[Final Uncut (kg''s)]]/Table1[[#This Row],[Input Quantity (Kg''s)]]%,"")</f>
        <v/>
      </c>
      <c r="Z116" s="21" t="str">
        <f>IFERROR(Table1[[#This Row],[Shell]]/Table1[[#This Row],[Input Quantity (Kg''s)]]%,"")</f>
        <v/>
      </c>
      <c r="AA116" s="21" t="str">
        <f>IFERROR(Table1[[#This Row],[Shell Dust]]/Table1[[#This Row],[Input Quantity (Kg''s)]]%,"")</f>
        <v/>
      </c>
    </row>
    <row r="117" spans="2:27" x14ac:dyDescent="0.3">
      <c r="B117" s="1"/>
      <c r="C117" s="15">
        <f>WEEKNUM(Table1[[#This Row],[Date]])</f>
        <v>0</v>
      </c>
      <c r="D117" s="1" t="str">
        <f>TEXT(Table1[[#This Row],[Date]],"mmm-yy")</f>
        <v>Jan-00</v>
      </c>
      <c r="E117" s="1"/>
      <c r="I117" s="3"/>
      <c r="M117" s="3"/>
      <c r="N117" s="3"/>
      <c r="O117" s="3"/>
      <c r="P117" s="3">
        <f>Table1[[#This Row],[Input Quantity (Kg''s)]]-SUM(Table1[[#This Row],[Wholes (kg''s)]:[Black Rejection (Kg''s)]],Table1[[#This Row],[Shell Dust]])</f>
        <v>0</v>
      </c>
      <c r="Q117" s="3">
        <f>SUM(Table1[[#This Row],[Wholes (kg''s)]:[Pieces (kg''s)]])</f>
        <v>0</v>
      </c>
      <c r="R117" s="3">
        <f>SUM(Table1[[#This Row],[Wholes (kg''s)]:[Black Rejection (Kg''s)]])</f>
        <v>0</v>
      </c>
      <c r="S117" s="4" t="str">
        <f>IFERROR(Table1[[#This Row],[Good Kernels (kg''s)]]/Table1[[#This Row],[Input Quantity (Kg''s)]]*176.36,"")</f>
        <v/>
      </c>
      <c r="T117" s="4" t="str">
        <f>IFERROR(Table1[[#This Row],[Good Kernels (kg''s)]]/Table1[[#This Row],[Input Quantity (Kg''s)]]%,"")</f>
        <v/>
      </c>
      <c r="U117" s="5" t="str">
        <f>IFERROR(Table1[[#This Row],[Final Kernels (kg''s)]]/Table1[[#This Row],[Input Quantity (Kg''s)]]%,"")</f>
        <v/>
      </c>
      <c r="V117" s="5" t="str">
        <f>IFERROR(Table1[[#This Row],[Wholes (kg''s)]]/Table1[[#This Row],[Good Kernels (kg''s)]]%,"")</f>
        <v/>
      </c>
      <c r="W117" s="5" t="str">
        <f>IFERROR(Table1[[#This Row],[Pieces (kg''s)]]/Table1[[#This Row],[Good Kernels (kg''s)]]%,"")</f>
        <v/>
      </c>
      <c r="X117" s="5" t="str">
        <f>IFERROR(Table1[[#This Row],[First Pass Uncut (kg''s)]]/Table1[[#This Row],[Input Quantity (Kg''s)]]%,"")</f>
        <v/>
      </c>
      <c r="Y117" s="5" t="str">
        <f>IFERROR(Table1[[#This Row],[Final Uncut (kg''s)]]/Table1[[#This Row],[Input Quantity (Kg''s)]]%,"")</f>
        <v/>
      </c>
      <c r="Z117" s="21" t="str">
        <f>IFERROR(Table1[[#This Row],[Shell]]/Table1[[#This Row],[Input Quantity (Kg''s)]]%,"")</f>
        <v/>
      </c>
      <c r="AA117" s="21" t="str">
        <f>IFERROR(Table1[[#This Row],[Shell Dust]]/Table1[[#This Row],[Input Quantity (Kg''s)]]%,"")</f>
        <v/>
      </c>
    </row>
    <row r="118" spans="2:27" x14ac:dyDescent="0.3">
      <c r="B118" s="1"/>
      <c r="C118" s="15">
        <f>WEEKNUM(Table1[[#This Row],[Date]])</f>
        <v>0</v>
      </c>
      <c r="D118" s="1" t="str">
        <f>TEXT(Table1[[#This Row],[Date]],"mmm-yy")</f>
        <v>Jan-00</v>
      </c>
      <c r="E118" s="1"/>
      <c r="I118" s="3"/>
      <c r="M118" s="3"/>
      <c r="N118" s="3"/>
      <c r="O118" s="3"/>
      <c r="P118" s="3">
        <f>Table1[[#This Row],[Input Quantity (Kg''s)]]-SUM(Table1[[#This Row],[Wholes (kg''s)]:[Black Rejection (Kg''s)]],Table1[[#This Row],[Shell Dust]])</f>
        <v>0</v>
      </c>
      <c r="Q118" s="3">
        <f>SUM(Table1[[#This Row],[Wholes (kg''s)]:[Pieces (kg''s)]])</f>
        <v>0</v>
      </c>
      <c r="R118" s="3">
        <f>SUM(Table1[[#This Row],[Wholes (kg''s)]:[Black Rejection (Kg''s)]])</f>
        <v>0</v>
      </c>
      <c r="S118" s="4" t="str">
        <f>IFERROR(Table1[[#This Row],[Good Kernels (kg''s)]]/Table1[[#This Row],[Input Quantity (Kg''s)]]*176.36,"")</f>
        <v/>
      </c>
      <c r="T118" s="4" t="str">
        <f>IFERROR(Table1[[#This Row],[Good Kernels (kg''s)]]/Table1[[#This Row],[Input Quantity (Kg''s)]]%,"")</f>
        <v/>
      </c>
      <c r="U118" s="5" t="str">
        <f>IFERROR(Table1[[#This Row],[Final Kernels (kg''s)]]/Table1[[#This Row],[Input Quantity (Kg''s)]]%,"")</f>
        <v/>
      </c>
      <c r="V118" s="5" t="str">
        <f>IFERROR(Table1[[#This Row],[Wholes (kg''s)]]/Table1[[#This Row],[Good Kernels (kg''s)]]%,"")</f>
        <v/>
      </c>
      <c r="W118" s="5" t="str">
        <f>IFERROR(Table1[[#This Row],[Pieces (kg''s)]]/Table1[[#This Row],[Good Kernels (kg''s)]]%,"")</f>
        <v/>
      </c>
      <c r="X118" s="5" t="str">
        <f>IFERROR(Table1[[#This Row],[First Pass Uncut (kg''s)]]/Table1[[#This Row],[Input Quantity (Kg''s)]]%,"")</f>
        <v/>
      </c>
      <c r="Y118" s="5" t="str">
        <f>IFERROR(Table1[[#This Row],[Final Uncut (kg''s)]]/Table1[[#This Row],[Input Quantity (Kg''s)]]%,"")</f>
        <v/>
      </c>
      <c r="Z118" s="21" t="str">
        <f>IFERROR(Table1[[#This Row],[Shell]]/Table1[[#This Row],[Input Quantity (Kg''s)]]%,"")</f>
        <v/>
      </c>
      <c r="AA118" s="21" t="str">
        <f>IFERROR(Table1[[#This Row],[Shell Dust]]/Table1[[#This Row],[Input Quantity (Kg''s)]]%,"")</f>
        <v/>
      </c>
    </row>
    <row r="119" spans="2:27" x14ac:dyDescent="0.3">
      <c r="B119" s="1"/>
      <c r="C119" s="15">
        <f>WEEKNUM(Table1[[#This Row],[Date]])</f>
        <v>0</v>
      </c>
      <c r="D119" s="1" t="str">
        <f>TEXT(Table1[[#This Row],[Date]],"mmm-yy")</f>
        <v>Jan-00</v>
      </c>
      <c r="E119" s="1"/>
      <c r="I119" s="3"/>
      <c r="M119" s="3"/>
      <c r="N119" s="3"/>
      <c r="O119" s="3"/>
      <c r="P119" s="3">
        <f>Table1[[#This Row],[Input Quantity (Kg''s)]]-SUM(Table1[[#This Row],[Wholes (kg''s)]:[Black Rejection (Kg''s)]],Table1[[#This Row],[Shell Dust]])</f>
        <v>0</v>
      </c>
      <c r="Q119" s="3">
        <f>SUM(Table1[[#This Row],[Wholes (kg''s)]:[Pieces (kg''s)]])</f>
        <v>0</v>
      </c>
      <c r="R119" s="3">
        <f>SUM(Table1[[#This Row],[Wholes (kg''s)]:[Black Rejection (Kg''s)]])</f>
        <v>0</v>
      </c>
      <c r="S119" s="4" t="str">
        <f>IFERROR(Table1[[#This Row],[Good Kernels (kg''s)]]/Table1[[#This Row],[Input Quantity (Kg''s)]]*176.36,"")</f>
        <v/>
      </c>
      <c r="T119" s="4" t="str">
        <f>IFERROR(Table1[[#This Row],[Good Kernels (kg''s)]]/Table1[[#This Row],[Input Quantity (Kg''s)]]%,"")</f>
        <v/>
      </c>
      <c r="U119" s="5" t="str">
        <f>IFERROR(Table1[[#This Row],[Final Kernels (kg''s)]]/Table1[[#This Row],[Input Quantity (Kg''s)]]%,"")</f>
        <v/>
      </c>
      <c r="V119" s="5" t="str">
        <f>IFERROR(Table1[[#This Row],[Wholes (kg''s)]]/Table1[[#This Row],[Good Kernels (kg''s)]]%,"")</f>
        <v/>
      </c>
      <c r="W119" s="5" t="str">
        <f>IFERROR(Table1[[#This Row],[Pieces (kg''s)]]/Table1[[#This Row],[Good Kernels (kg''s)]]%,"")</f>
        <v/>
      </c>
      <c r="X119" s="5" t="str">
        <f>IFERROR(Table1[[#This Row],[First Pass Uncut (kg''s)]]/Table1[[#This Row],[Input Quantity (Kg''s)]]%,"")</f>
        <v/>
      </c>
      <c r="Y119" s="5" t="str">
        <f>IFERROR(Table1[[#This Row],[Final Uncut (kg''s)]]/Table1[[#This Row],[Input Quantity (Kg''s)]]%,"")</f>
        <v/>
      </c>
      <c r="Z119" s="21" t="str">
        <f>IFERROR(Table1[[#This Row],[Shell]]/Table1[[#This Row],[Input Quantity (Kg''s)]]%,"")</f>
        <v/>
      </c>
      <c r="AA119" s="21" t="str">
        <f>IFERROR(Table1[[#This Row],[Shell Dust]]/Table1[[#This Row],[Input Quantity (Kg''s)]]%,"")</f>
        <v/>
      </c>
    </row>
    <row r="120" spans="2:27" x14ac:dyDescent="0.3">
      <c r="B120" s="1"/>
      <c r="C120" s="15">
        <f>WEEKNUM(Table1[[#This Row],[Date]])</f>
        <v>0</v>
      </c>
      <c r="D120" s="1" t="str">
        <f>TEXT(Table1[[#This Row],[Date]],"mmm-yy")</f>
        <v>Jan-00</v>
      </c>
      <c r="E120" s="1"/>
      <c r="I120" s="3"/>
      <c r="M120" s="3"/>
      <c r="N120" s="3"/>
      <c r="O120" s="3"/>
      <c r="P120" s="3">
        <f>Table1[[#This Row],[Input Quantity (Kg''s)]]-SUM(Table1[[#This Row],[Wholes (kg''s)]:[Black Rejection (Kg''s)]],Table1[[#This Row],[Shell Dust]])</f>
        <v>0</v>
      </c>
      <c r="Q120" s="3">
        <f>SUM(Table1[[#This Row],[Wholes (kg''s)]:[Pieces (kg''s)]])</f>
        <v>0</v>
      </c>
      <c r="R120" s="3">
        <f>SUM(Table1[[#This Row],[Wholes (kg''s)]:[Black Rejection (Kg''s)]])</f>
        <v>0</v>
      </c>
      <c r="S120" s="4" t="str">
        <f>IFERROR(Table1[[#This Row],[Good Kernels (kg''s)]]/Table1[[#This Row],[Input Quantity (Kg''s)]]*176.36,"")</f>
        <v/>
      </c>
      <c r="T120" s="4" t="str">
        <f>IFERROR(Table1[[#This Row],[Good Kernels (kg''s)]]/Table1[[#This Row],[Input Quantity (Kg''s)]]%,"")</f>
        <v/>
      </c>
      <c r="U120" s="5" t="str">
        <f>IFERROR(Table1[[#This Row],[Final Kernels (kg''s)]]/Table1[[#This Row],[Input Quantity (Kg''s)]]%,"")</f>
        <v/>
      </c>
      <c r="V120" s="5" t="str">
        <f>IFERROR(Table1[[#This Row],[Wholes (kg''s)]]/Table1[[#This Row],[Good Kernels (kg''s)]]%,"")</f>
        <v/>
      </c>
      <c r="W120" s="5" t="str">
        <f>IFERROR(Table1[[#This Row],[Pieces (kg''s)]]/Table1[[#This Row],[Good Kernels (kg''s)]]%,"")</f>
        <v/>
      </c>
      <c r="X120" s="5" t="str">
        <f>IFERROR(Table1[[#This Row],[First Pass Uncut (kg''s)]]/Table1[[#This Row],[Input Quantity (Kg''s)]]%,"")</f>
        <v/>
      </c>
      <c r="Y120" s="5" t="str">
        <f>IFERROR(Table1[[#This Row],[Final Uncut (kg''s)]]/Table1[[#This Row],[Input Quantity (Kg''s)]]%,"")</f>
        <v/>
      </c>
      <c r="Z120" s="21" t="str">
        <f>IFERROR(Table1[[#This Row],[Shell]]/Table1[[#This Row],[Input Quantity (Kg''s)]]%,"")</f>
        <v/>
      </c>
      <c r="AA120" s="21" t="str">
        <f>IFERROR(Table1[[#This Row],[Shell Dust]]/Table1[[#This Row],[Input Quantity (Kg''s)]]%,"")</f>
        <v/>
      </c>
    </row>
    <row r="121" spans="2:27" x14ac:dyDescent="0.3">
      <c r="B121" s="1"/>
      <c r="C121" s="15">
        <f>WEEKNUM(Table1[[#This Row],[Date]])</f>
        <v>0</v>
      </c>
      <c r="D121" s="1" t="str">
        <f>TEXT(Table1[[#This Row],[Date]],"mmm-yy")</f>
        <v>Jan-00</v>
      </c>
      <c r="E121" s="1"/>
      <c r="I121" s="3"/>
      <c r="M121" s="3"/>
      <c r="N121" s="3"/>
      <c r="O121" s="3"/>
      <c r="P121" s="3">
        <f>Table1[[#This Row],[Input Quantity (Kg''s)]]-SUM(Table1[[#This Row],[Wholes (kg''s)]:[Black Rejection (Kg''s)]],Table1[[#This Row],[Shell Dust]])</f>
        <v>0</v>
      </c>
      <c r="Q121" s="3">
        <f>SUM(Table1[[#This Row],[Wholes (kg''s)]:[Pieces (kg''s)]])</f>
        <v>0</v>
      </c>
      <c r="R121" s="3">
        <f>SUM(Table1[[#This Row],[Wholes (kg''s)]:[Black Rejection (Kg''s)]])</f>
        <v>0</v>
      </c>
      <c r="S121" s="4" t="str">
        <f>IFERROR(Table1[[#This Row],[Good Kernels (kg''s)]]/Table1[[#This Row],[Input Quantity (Kg''s)]]*176.36,"")</f>
        <v/>
      </c>
      <c r="T121" s="4" t="str">
        <f>IFERROR(Table1[[#This Row],[Good Kernels (kg''s)]]/Table1[[#This Row],[Input Quantity (Kg''s)]]%,"")</f>
        <v/>
      </c>
      <c r="U121" s="5" t="str">
        <f>IFERROR(Table1[[#This Row],[Final Kernels (kg''s)]]/Table1[[#This Row],[Input Quantity (Kg''s)]]%,"")</f>
        <v/>
      </c>
      <c r="V121" s="5" t="str">
        <f>IFERROR(Table1[[#This Row],[Wholes (kg''s)]]/Table1[[#This Row],[Good Kernels (kg''s)]]%,"")</f>
        <v/>
      </c>
      <c r="W121" s="5" t="str">
        <f>IFERROR(Table1[[#This Row],[Pieces (kg''s)]]/Table1[[#This Row],[Good Kernels (kg''s)]]%,"")</f>
        <v/>
      </c>
      <c r="X121" s="5" t="str">
        <f>IFERROR(Table1[[#This Row],[First Pass Uncut (kg''s)]]/Table1[[#This Row],[Input Quantity (Kg''s)]]%,"")</f>
        <v/>
      </c>
      <c r="Y121" s="5" t="str">
        <f>IFERROR(Table1[[#This Row],[Final Uncut (kg''s)]]/Table1[[#This Row],[Input Quantity (Kg''s)]]%,"")</f>
        <v/>
      </c>
      <c r="Z121" s="21" t="str">
        <f>IFERROR(Table1[[#This Row],[Shell]]/Table1[[#This Row],[Input Quantity (Kg''s)]]%,"")</f>
        <v/>
      </c>
      <c r="AA121" s="21" t="str">
        <f>IFERROR(Table1[[#This Row],[Shell Dust]]/Table1[[#This Row],[Input Quantity (Kg''s)]]%,"")</f>
        <v/>
      </c>
    </row>
    <row r="122" spans="2:27" x14ac:dyDescent="0.3">
      <c r="B122" s="1"/>
      <c r="C122" s="15">
        <f>WEEKNUM(Table1[[#This Row],[Date]])</f>
        <v>0</v>
      </c>
      <c r="D122" s="1" t="str">
        <f>TEXT(Table1[[#This Row],[Date]],"mmm-yy")</f>
        <v>Jan-00</v>
      </c>
      <c r="E122" s="1"/>
      <c r="I122" s="3"/>
      <c r="M122" s="3"/>
      <c r="N122" s="3"/>
      <c r="O122" s="3"/>
      <c r="P122" s="3">
        <f>Table1[[#This Row],[Input Quantity (Kg''s)]]-SUM(Table1[[#This Row],[Wholes (kg''s)]:[Black Rejection (Kg''s)]],Table1[[#This Row],[Shell Dust]])</f>
        <v>0</v>
      </c>
      <c r="Q122" s="3">
        <f>SUM(Table1[[#This Row],[Wholes (kg''s)]:[Pieces (kg''s)]])</f>
        <v>0</v>
      </c>
      <c r="R122" s="3">
        <f>SUM(Table1[[#This Row],[Wholes (kg''s)]:[Black Rejection (Kg''s)]])</f>
        <v>0</v>
      </c>
      <c r="S122" s="4" t="str">
        <f>IFERROR(Table1[[#This Row],[Good Kernels (kg''s)]]/Table1[[#This Row],[Input Quantity (Kg''s)]]*176.36,"")</f>
        <v/>
      </c>
      <c r="T122" s="4" t="str">
        <f>IFERROR(Table1[[#This Row],[Good Kernels (kg''s)]]/Table1[[#This Row],[Input Quantity (Kg''s)]]%,"")</f>
        <v/>
      </c>
      <c r="U122" s="5" t="str">
        <f>IFERROR(Table1[[#This Row],[Final Kernels (kg''s)]]/Table1[[#This Row],[Input Quantity (Kg''s)]]%,"")</f>
        <v/>
      </c>
      <c r="V122" s="5" t="str">
        <f>IFERROR(Table1[[#This Row],[Wholes (kg''s)]]/Table1[[#This Row],[Good Kernels (kg''s)]]%,"")</f>
        <v/>
      </c>
      <c r="W122" s="5" t="str">
        <f>IFERROR(Table1[[#This Row],[Pieces (kg''s)]]/Table1[[#This Row],[Good Kernels (kg''s)]]%,"")</f>
        <v/>
      </c>
      <c r="X122" s="5" t="str">
        <f>IFERROR(Table1[[#This Row],[First Pass Uncut (kg''s)]]/Table1[[#This Row],[Input Quantity (Kg''s)]]%,"")</f>
        <v/>
      </c>
      <c r="Y122" s="5" t="str">
        <f>IFERROR(Table1[[#This Row],[Final Uncut (kg''s)]]/Table1[[#This Row],[Input Quantity (Kg''s)]]%,"")</f>
        <v/>
      </c>
      <c r="Z122" s="21" t="str">
        <f>IFERROR(Table1[[#This Row],[Shell]]/Table1[[#This Row],[Input Quantity (Kg''s)]]%,"")</f>
        <v/>
      </c>
      <c r="AA122" s="21" t="str">
        <f>IFERROR(Table1[[#This Row],[Shell Dust]]/Table1[[#This Row],[Input Quantity (Kg''s)]]%,"")</f>
        <v/>
      </c>
    </row>
    <row r="123" spans="2:27" x14ac:dyDescent="0.3">
      <c r="B123" s="1"/>
      <c r="C123" s="15">
        <f>WEEKNUM(Table1[[#This Row],[Date]])</f>
        <v>0</v>
      </c>
      <c r="D123" s="1" t="str">
        <f>TEXT(Table1[[#This Row],[Date]],"mmm-yy")</f>
        <v>Jan-00</v>
      </c>
      <c r="E123" s="1"/>
      <c r="I123" s="3"/>
      <c r="M123" s="3"/>
      <c r="N123" s="3"/>
      <c r="O123" s="3"/>
      <c r="P123" s="3">
        <f>Table1[[#This Row],[Input Quantity (Kg''s)]]-SUM(Table1[[#This Row],[Wholes (kg''s)]:[Black Rejection (Kg''s)]],Table1[[#This Row],[Shell Dust]])</f>
        <v>0</v>
      </c>
      <c r="Q123" s="3">
        <f>SUM(Table1[[#This Row],[Wholes (kg''s)]:[Pieces (kg''s)]])</f>
        <v>0</v>
      </c>
      <c r="R123" s="3">
        <f>SUM(Table1[[#This Row],[Wholes (kg''s)]:[Black Rejection (Kg''s)]])</f>
        <v>0</v>
      </c>
      <c r="S123" s="4" t="str">
        <f>IFERROR(Table1[[#This Row],[Good Kernels (kg''s)]]/Table1[[#This Row],[Input Quantity (Kg''s)]]*176.36,"")</f>
        <v/>
      </c>
      <c r="T123" s="4" t="str">
        <f>IFERROR(Table1[[#This Row],[Good Kernels (kg''s)]]/Table1[[#This Row],[Input Quantity (Kg''s)]]%,"")</f>
        <v/>
      </c>
      <c r="U123" s="5" t="str">
        <f>IFERROR(Table1[[#This Row],[Final Kernels (kg''s)]]/Table1[[#This Row],[Input Quantity (Kg''s)]]%,"")</f>
        <v/>
      </c>
      <c r="V123" s="5" t="str">
        <f>IFERROR(Table1[[#This Row],[Wholes (kg''s)]]/Table1[[#This Row],[Good Kernels (kg''s)]]%,"")</f>
        <v/>
      </c>
      <c r="W123" s="5" t="str">
        <f>IFERROR(Table1[[#This Row],[Pieces (kg''s)]]/Table1[[#This Row],[Good Kernels (kg''s)]]%,"")</f>
        <v/>
      </c>
      <c r="X123" s="5" t="str">
        <f>IFERROR(Table1[[#This Row],[First Pass Uncut (kg''s)]]/Table1[[#This Row],[Input Quantity (Kg''s)]]%,"")</f>
        <v/>
      </c>
      <c r="Y123" s="5" t="str">
        <f>IFERROR(Table1[[#This Row],[Final Uncut (kg''s)]]/Table1[[#This Row],[Input Quantity (Kg''s)]]%,"")</f>
        <v/>
      </c>
      <c r="Z123" s="21" t="str">
        <f>IFERROR(Table1[[#This Row],[Shell]]/Table1[[#This Row],[Input Quantity (Kg''s)]]%,"")</f>
        <v/>
      </c>
      <c r="AA123" s="21" t="str">
        <f>IFERROR(Table1[[#This Row],[Shell Dust]]/Table1[[#This Row],[Input Quantity (Kg''s)]]%,"")</f>
        <v/>
      </c>
    </row>
    <row r="124" spans="2:27" x14ac:dyDescent="0.3">
      <c r="B124" s="1"/>
      <c r="C124" s="15">
        <f>WEEKNUM(Table1[[#This Row],[Date]])</f>
        <v>0</v>
      </c>
      <c r="D124" s="1" t="str">
        <f>TEXT(Table1[[#This Row],[Date]],"mmm-yy")</f>
        <v>Jan-00</v>
      </c>
      <c r="E124" s="1"/>
      <c r="I124" s="3"/>
      <c r="M124" s="3"/>
      <c r="N124" s="3"/>
      <c r="O124" s="3"/>
      <c r="P124" s="3">
        <f>Table1[[#This Row],[Input Quantity (Kg''s)]]-SUM(Table1[[#This Row],[Wholes (kg''s)]:[Black Rejection (Kg''s)]],Table1[[#This Row],[Shell Dust]])</f>
        <v>0</v>
      </c>
      <c r="Q124" s="3">
        <f>SUM(Table1[[#This Row],[Wholes (kg''s)]:[Pieces (kg''s)]])</f>
        <v>0</v>
      </c>
      <c r="R124" s="3">
        <f>SUM(Table1[[#This Row],[Wholes (kg''s)]:[Black Rejection (Kg''s)]])</f>
        <v>0</v>
      </c>
      <c r="S124" s="4" t="str">
        <f>IFERROR(Table1[[#This Row],[Good Kernels (kg''s)]]/Table1[[#This Row],[Input Quantity (Kg''s)]]*176.36,"")</f>
        <v/>
      </c>
      <c r="T124" s="4" t="str">
        <f>IFERROR(Table1[[#This Row],[Good Kernels (kg''s)]]/Table1[[#This Row],[Input Quantity (Kg''s)]]%,"")</f>
        <v/>
      </c>
      <c r="U124" s="5" t="str">
        <f>IFERROR(Table1[[#This Row],[Final Kernels (kg''s)]]/Table1[[#This Row],[Input Quantity (Kg''s)]]%,"")</f>
        <v/>
      </c>
      <c r="V124" s="5" t="str">
        <f>IFERROR(Table1[[#This Row],[Wholes (kg''s)]]/Table1[[#This Row],[Good Kernels (kg''s)]]%,"")</f>
        <v/>
      </c>
      <c r="W124" s="5" t="str">
        <f>IFERROR(Table1[[#This Row],[Pieces (kg''s)]]/Table1[[#This Row],[Good Kernels (kg''s)]]%,"")</f>
        <v/>
      </c>
      <c r="X124" s="5" t="str">
        <f>IFERROR(Table1[[#This Row],[First Pass Uncut (kg''s)]]/Table1[[#This Row],[Input Quantity (Kg''s)]]%,"")</f>
        <v/>
      </c>
      <c r="Y124" s="5" t="str">
        <f>IFERROR(Table1[[#This Row],[Final Uncut (kg''s)]]/Table1[[#This Row],[Input Quantity (Kg''s)]]%,"")</f>
        <v/>
      </c>
      <c r="Z124" s="21" t="str">
        <f>IFERROR(Table1[[#This Row],[Shell]]/Table1[[#This Row],[Input Quantity (Kg''s)]]%,"")</f>
        <v/>
      </c>
      <c r="AA124" s="21" t="str">
        <f>IFERROR(Table1[[#This Row],[Shell Dust]]/Table1[[#This Row],[Input Quantity (Kg''s)]]%,"")</f>
        <v/>
      </c>
    </row>
    <row r="125" spans="2:27" x14ac:dyDescent="0.3">
      <c r="B125" s="1"/>
      <c r="C125" s="15">
        <f>WEEKNUM(Table1[[#This Row],[Date]])</f>
        <v>0</v>
      </c>
      <c r="D125" s="1" t="str">
        <f>TEXT(Table1[[#This Row],[Date]],"mmm-yy")</f>
        <v>Jan-00</v>
      </c>
      <c r="E125" s="1"/>
      <c r="I125" s="3"/>
      <c r="M125" s="3"/>
      <c r="N125" s="3"/>
      <c r="O125" s="3"/>
      <c r="P125" s="3">
        <f>Table1[[#This Row],[Input Quantity (Kg''s)]]-SUM(Table1[[#This Row],[Wholes (kg''s)]:[Black Rejection (Kg''s)]],Table1[[#This Row],[Shell Dust]])</f>
        <v>0</v>
      </c>
      <c r="Q125" s="3">
        <f>SUM(Table1[[#This Row],[Wholes (kg''s)]:[Pieces (kg''s)]])</f>
        <v>0</v>
      </c>
      <c r="R125" s="3">
        <f>SUM(Table1[[#This Row],[Wholes (kg''s)]:[Black Rejection (Kg''s)]])</f>
        <v>0</v>
      </c>
      <c r="S125" s="4" t="str">
        <f>IFERROR(Table1[[#This Row],[Good Kernels (kg''s)]]/Table1[[#This Row],[Input Quantity (Kg''s)]]*176.36,"")</f>
        <v/>
      </c>
      <c r="T125" s="4" t="str">
        <f>IFERROR(Table1[[#This Row],[Good Kernels (kg''s)]]/Table1[[#This Row],[Input Quantity (Kg''s)]]%,"")</f>
        <v/>
      </c>
      <c r="U125" s="5" t="str">
        <f>IFERROR(Table1[[#This Row],[Final Kernels (kg''s)]]/Table1[[#This Row],[Input Quantity (Kg''s)]]%,"")</f>
        <v/>
      </c>
      <c r="V125" s="5" t="str">
        <f>IFERROR(Table1[[#This Row],[Wholes (kg''s)]]/Table1[[#This Row],[Good Kernels (kg''s)]]%,"")</f>
        <v/>
      </c>
      <c r="W125" s="5" t="str">
        <f>IFERROR(Table1[[#This Row],[Pieces (kg''s)]]/Table1[[#This Row],[Good Kernels (kg''s)]]%,"")</f>
        <v/>
      </c>
      <c r="X125" s="5" t="str">
        <f>IFERROR(Table1[[#This Row],[First Pass Uncut (kg''s)]]/Table1[[#This Row],[Input Quantity (Kg''s)]]%,"")</f>
        <v/>
      </c>
      <c r="Y125" s="5" t="str">
        <f>IFERROR(Table1[[#This Row],[Final Uncut (kg''s)]]/Table1[[#This Row],[Input Quantity (Kg''s)]]%,"")</f>
        <v/>
      </c>
      <c r="Z125" s="21" t="str">
        <f>IFERROR(Table1[[#This Row],[Shell]]/Table1[[#This Row],[Input Quantity (Kg''s)]]%,"")</f>
        <v/>
      </c>
      <c r="AA125" s="21" t="str">
        <f>IFERROR(Table1[[#This Row],[Shell Dust]]/Table1[[#This Row],[Input Quantity (Kg''s)]]%,"")</f>
        <v/>
      </c>
    </row>
    <row r="126" spans="2:27" x14ac:dyDescent="0.3">
      <c r="B126" s="1"/>
      <c r="C126" s="15">
        <f>WEEKNUM(Table1[[#This Row],[Date]])</f>
        <v>0</v>
      </c>
      <c r="D126" s="1" t="str">
        <f>TEXT(Table1[[#This Row],[Date]],"mmm-yy")</f>
        <v>Jan-00</v>
      </c>
      <c r="E126" s="1"/>
      <c r="I126" s="3"/>
      <c r="M126" s="3"/>
      <c r="N126" s="3"/>
      <c r="O126" s="3"/>
      <c r="P126" s="3">
        <f>Table1[[#This Row],[Input Quantity (Kg''s)]]-SUM(Table1[[#This Row],[Wholes (kg''s)]:[Black Rejection (Kg''s)]],Table1[[#This Row],[Shell Dust]])</f>
        <v>0</v>
      </c>
      <c r="Q126" s="3">
        <f>SUM(Table1[[#This Row],[Wholes (kg''s)]:[Pieces (kg''s)]])</f>
        <v>0</v>
      </c>
      <c r="R126" s="3">
        <f>SUM(Table1[[#This Row],[Wholes (kg''s)]:[Black Rejection (Kg''s)]])</f>
        <v>0</v>
      </c>
      <c r="S126" s="4" t="str">
        <f>IFERROR(Table1[[#This Row],[Good Kernels (kg''s)]]/Table1[[#This Row],[Input Quantity (Kg''s)]]*176.36,"")</f>
        <v/>
      </c>
      <c r="T126" s="4" t="str">
        <f>IFERROR(Table1[[#This Row],[Good Kernels (kg''s)]]/Table1[[#This Row],[Input Quantity (Kg''s)]]%,"")</f>
        <v/>
      </c>
      <c r="U126" s="5" t="str">
        <f>IFERROR(Table1[[#This Row],[Final Kernels (kg''s)]]/Table1[[#This Row],[Input Quantity (Kg''s)]]%,"")</f>
        <v/>
      </c>
      <c r="V126" s="5" t="str">
        <f>IFERROR(Table1[[#This Row],[Wholes (kg''s)]]/Table1[[#This Row],[Good Kernels (kg''s)]]%,"")</f>
        <v/>
      </c>
      <c r="W126" s="5" t="str">
        <f>IFERROR(Table1[[#This Row],[Pieces (kg''s)]]/Table1[[#This Row],[Good Kernels (kg''s)]]%,"")</f>
        <v/>
      </c>
      <c r="X126" s="5" t="str">
        <f>IFERROR(Table1[[#This Row],[First Pass Uncut (kg''s)]]/Table1[[#This Row],[Input Quantity (Kg''s)]]%,"")</f>
        <v/>
      </c>
      <c r="Y126" s="5" t="str">
        <f>IFERROR(Table1[[#This Row],[Final Uncut (kg''s)]]/Table1[[#This Row],[Input Quantity (Kg''s)]]%,"")</f>
        <v/>
      </c>
      <c r="Z126" s="21" t="str">
        <f>IFERROR(Table1[[#This Row],[Shell]]/Table1[[#This Row],[Input Quantity (Kg''s)]]%,"")</f>
        <v/>
      </c>
      <c r="AA126" s="21" t="str">
        <f>IFERROR(Table1[[#This Row],[Shell Dust]]/Table1[[#This Row],[Input Quantity (Kg''s)]]%,"")</f>
        <v/>
      </c>
    </row>
    <row r="127" spans="2:27" x14ac:dyDescent="0.3">
      <c r="B127" s="1"/>
      <c r="C127" s="15">
        <f>WEEKNUM(Table1[[#This Row],[Date]])</f>
        <v>0</v>
      </c>
      <c r="D127" s="1" t="str">
        <f>TEXT(Table1[[#This Row],[Date]],"mmm-yy")</f>
        <v>Jan-00</v>
      </c>
      <c r="E127" s="1"/>
      <c r="I127" s="3"/>
      <c r="M127" s="3"/>
      <c r="N127" s="3"/>
      <c r="O127" s="3"/>
      <c r="P127" s="3">
        <f>Table1[[#This Row],[Input Quantity (Kg''s)]]-SUM(Table1[[#This Row],[Wholes (kg''s)]:[Black Rejection (Kg''s)]],Table1[[#This Row],[Shell Dust]])</f>
        <v>0</v>
      </c>
      <c r="Q127" s="3">
        <f>SUM(Table1[[#This Row],[Wholes (kg''s)]:[Pieces (kg''s)]])</f>
        <v>0</v>
      </c>
      <c r="R127" s="3">
        <f>SUM(Table1[[#This Row],[Wholes (kg''s)]:[Black Rejection (Kg''s)]])</f>
        <v>0</v>
      </c>
      <c r="S127" s="4" t="str">
        <f>IFERROR(Table1[[#This Row],[Good Kernels (kg''s)]]/Table1[[#This Row],[Input Quantity (Kg''s)]]*176.36,"")</f>
        <v/>
      </c>
      <c r="T127" s="4" t="str">
        <f>IFERROR(Table1[[#This Row],[Good Kernels (kg''s)]]/Table1[[#This Row],[Input Quantity (Kg''s)]]%,"")</f>
        <v/>
      </c>
      <c r="U127" s="5" t="str">
        <f>IFERROR(Table1[[#This Row],[Final Kernels (kg''s)]]/Table1[[#This Row],[Input Quantity (Kg''s)]]%,"")</f>
        <v/>
      </c>
      <c r="V127" s="5" t="str">
        <f>IFERROR(Table1[[#This Row],[Wholes (kg''s)]]/Table1[[#This Row],[Good Kernels (kg''s)]]%,"")</f>
        <v/>
      </c>
      <c r="W127" s="5" t="str">
        <f>IFERROR(Table1[[#This Row],[Pieces (kg''s)]]/Table1[[#This Row],[Good Kernels (kg''s)]]%,"")</f>
        <v/>
      </c>
      <c r="X127" s="5" t="str">
        <f>IFERROR(Table1[[#This Row],[First Pass Uncut (kg''s)]]/Table1[[#This Row],[Input Quantity (Kg''s)]]%,"")</f>
        <v/>
      </c>
      <c r="Y127" s="5" t="str">
        <f>IFERROR(Table1[[#This Row],[Final Uncut (kg''s)]]/Table1[[#This Row],[Input Quantity (Kg''s)]]%,"")</f>
        <v/>
      </c>
      <c r="Z127" s="21" t="str">
        <f>IFERROR(Table1[[#This Row],[Shell]]/Table1[[#This Row],[Input Quantity (Kg''s)]]%,"")</f>
        <v/>
      </c>
      <c r="AA127" s="21" t="str">
        <f>IFERROR(Table1[[#This Row],[Shell Dust]]/Table1[[#This Row],[Input Quantity (Kg''s)]]%,"")</f>
        <v/>
      </c>
    </row>
    <row r="128" spans="2:27" x14ac:dyDescent="0.3">
      <c r="B128" s="1"/>
      <c r="C128" s="15">
        <f>WEEKNUM(Table1[[#This Row],[Date]])</f>
        <v>0</v>
      </c>
      <c r="D128" s="1" t="str">
        <f>TEXT(Table1[[#This Row],[Date]],"mmm-yy")</f>
        <v>Jan-00</v>
      </c>
      <c r="E128" s="1"/>
      <c r="I128" s="3"/>
      <c r="M128" s="3"/>
      <c r="N128" s="3"/>
      <c r="O128" s="3"/>
      <c r="P128" s="3">
        <f>Table1[[#This Row],[Input Quantity (Kg''s)]]-SUM(Table1[[#This Row],[Wholes (kg''s)]:[Black Rejection (Kg''s)]],Table1[[#This Row],[Shell Dust]])</f>
        <v>0</v>
      </c>
      <c r="Q128" s="3">
        <f>SUM(Table1[[#This Row],[Wholes (kg''s)]:[Pieces (kg''s)]])</f>
        <v>0</v>
      </c>
      <c r="R128" s="3">
        <f>SUM(Table1[[#This Row],[Wholes (kg''s)]:[Black Rejection (Kg''s)]])</f>
        <v>0</v>
      </c>
      <c r="S128" s="4" t="str">
        <f>IFERROR(Table1[[#This Row],[Good Kernels (kg''s)]]/Table1[[#This Row],[Input Quantity (Kg''s)]]*176.36,"")</f>
        <v/>
      </c>
      <c r="T128" s="4" t="str">
        <f>IFERROR(Table1[[#This Row],[Good Kernels (kg''s)]]/Table1[[#This Row],[Input Quantity (Kg''s)]]%,"")</f>
        <v/>
      </c>
      <c r="U128" s="5" t="str">
        <f>IFERROR(Table1[[#This Row],[Final Kernels (kg''s)]]/Table1[[#This Row],[Input Quantity (Kg''s)]]%,"")</f>
        <v/>
      </c>
      <c r="V128" s="5" t="str">
        <f>IFERROR(Table1[[#This Row],[Wholes (kg''s)]]/Table1[[#This Row],[Good Kernels (kg''s)]]%,"")</f>
        <v/>
      </c>
      <c r="W128" s="5" t="str">
        <f>IFERROR(Table1[[#This Row],[Pieces (kg''s)]]/Table1[[#This Row],[Good Kernels (kg''s)]]%,"")</f>
        <v/>
      </c>
      <c r="X128" s="5" t="str">
        <f>IFERROR(Table1[[#This Row],[First Pass Uncut (kg''s)]]/Table1[[#This Row],[Input Quantity (Kg''s)]]%,"")</f>
        <v/>
      </c>
      <c r="Y128" s="5" t="str">
        <f>IFERROR(Table1[[#This Row],[Final Uncut (kg''s)]]/Table1[[#This Row],[Input Quantity (Kg''s)]]%,"")</f>
        <v/>
      </c>
      <c r="Z128" s="21" t="str">
        <f>IFERROR(Table1[[#This Row],[Shell]]/Table1[[#This Row],[Input Quantity (Kg''s)]]%,"")</f>
        <v/>
      </c>
      <c r="AA128" s="21" t="str">
        <f>IFERROR(Table1[[#This Row],[Shell Dust]]/Table1[[#This Row],[Input Quantity (Kg''s)]]%,"")</f>
        <v/>
      </c>
    </row>
    <row r="129" spans="2:27" x14ac:dyDescent="0.3">
      <c r="B129" s="1"/>
      <c r="C129" s="15">
        <f>WEEKNUM(Table1[[#This Row],[Date]])</f>
        <v>0</v>
      </c>
      <c r="D129" s="1" t="str">
        <f>TEXT(Table1[[#This Row],[Date]],"mmm-yy")</f>
        <v>Jan-00</v>
      </c>
      <c r="E129" s="1"/>
      <c r="I129" s="3"/>
      <c r="M129" s="3"/>
      <c r="N129" s="3"/>
      <c r="O129" s="3"/>
      <c r="P129" s="3">
        <f>Table1[[#This Row],[Input Quantity (Kg''s)]]-SUM(Table1[[#This Row],[Wholes (kg''s)]:[Black Rejection (Kg''s)]],Table1[[#This Row],[Shell Dust]])</f>
        <v>0</v>
      </c>
      <c r="Q129" s="3">
        <f>SUM(Table1[[#This Row],[Wholes (kg''s)]:[Pieces (kg''s)]])</f>
        <v>0</v>
      </c>
      <c r="R129" s="3">
        <f>SUM(Table1[[#This Row],[Wholes (kg''s)]:[Black Rejection (Kg''s)]])</f>
        <v>0</v>
      </c>
      <c r="S129" s="4" t="str">
        <f>IFERROR(Table1[[#This Row],[Good Kernels (kg''s)]]/Table1[[#This Row],[Input Quantity (Kg''s)]]*176.36,"")</f>
        <v/>
      </c>
      <c r="T129" s="4" t="str">
        <f>IFERROR(Table1[[#This Row],[Good Kernels (kg''s)]]/Table1[[#This Row],[Input Quantity (Kg''s)]]%,"")</f>
        <v/>
      </c>
      <c r="U129" s="5" t="str">
        <f>IFERROR(Table1[[#This Row],[Final Kernels (kg''s)]]/Table1[[#This Row],[Input Quantity (Kg''s)]]%,"")</f>
        <v/>
      </c>
      <c r="V129" s="5" t="str">
        <f>IFERROR(Table1[[#This Row],[Wholes (kg''s)]]/Table1[[#This Row],[Good Kernels (kg''s)]]%,"")</f>
        <v/>
      </c>
      <c r="W129" s="5" t="str">
        <f>IFERROR(Table1[[#This Row],[Pieces (kg''s)]]/Table1[[#This Row],[Good Kernels (kg''s)]]%,"")</f>
        <v/>
      </c>
      <c r="X129" s="5" t="str">
        <f>IFERROR(Table1[[#This Row],[First Pass Uncut (kg''s)]]/Table1[[#This Row],[Input Quantity (Kg''s)]]%,"")</f>
        <v/>
      </c>
      <c r="Y129" s="5" t="str">
        <f>IFERROR(Table1[[#This Row],[Final Uncut (kg''s)]]/Table1[[#This Row],[Input Quantity (Kg''s)]]%,"")</f>
        <v/>
      </c>
      <c r="Z129" s="21" t="str">
        <f>IFERROR(Table1[[#This Row],[Shell]]/Table1[[#This Row],[Input Quantity (Kg''s)]]%,"")</f>
        <v/>
      </c>
      <c r="AA129" s="21" t="str">
        <f>IFERROR(Table1[[#This Row],[Shell Dust]]/Table1[[#This Row],[Input Quantity (Kg''s)]]%,"")</f>
        <v/>
      </c>
    </row>
    <row r="130" spans="2:27" x14ac:dyDescent="0.3">
      <c r="B130" s="1"/>
      <c r="C130" s="15">
        <f>WEEKNUM(Table1[[#This Row],[Date]])</f>
        <v>0</v>
      </c>
      <c r="D130" s="1" t="str">
        <f>TEXT(Table1[[#This Row],[Date]],"mmm-yy")</f>
        <v>Jan-00</v>
      </c>
      <c r="E130" s="1"/>
      <c r="I130" s="3"/>
      <c r="M130" s="3"/>
      <c r="N130" s="3"/>
      <c r="O130" s="3"/>
      <c r="P130" s="3">
        <f>Table1[[#This Row],[Input Quantity (Kg''s)]]-SUM(Table1[[#This Row],[Wholes (kg''s)]:[Black Rejection (Kg''s)]],Table1[[#This Row],[Shell Dust]])</f>
        <v>0</v>
      </c>
      <c r="Q130" s="3">
        <f>SUM(Table1[[#This Row],[Wholes (kg''s)]:[Pieces (kg''s)]])</f>
        <v>0</v>
      </c>
      <c r="R130" s="3">
        <f>SUM(Table1[[#This Row],[Wholes (kg''s)]:[Black Rejection (Kg''s)]])</f>
        <v>0</v>
      </c>
      <c r="S130" s="4" t="str">
        <f>IFERROR(Table1[[#This Row],[Good Kernels (kg''s)]]/Table1[[#This Row],[Input Quantity (Kg''s)]]*176.36,"")</f>
        <v/>
      </c>
      <c r="T130" s="4" t="str">
        <f>IFERROR(Table1[[#This Row],[Good Kernels (kg''s)]]/Table1[[#This Row],[Input Quantity (Kg''s)]]%,"")</f>
        <v/>
      </c>
      <c r="U130" s="5" t="str">
        <f>IFERROR(Table1[[#This Row],[Final Kernels (kg''s)]]/Table1[[#This Row],[Input Quantity (Kg''s)]]%,"")</f>
        <v/>
      </c>
      <c r="V130" s="5" t="str">
        <f>IFERROR(Table1[[#This Row],[Wholes (kg''s)]]/Table1[[#This Row],[Good Kernels (kg''s)]]%,"")</f>
        <v/>
      </c>
      <c r="W130" s="5" t="str">
        <f>IFERROR(Table1[[#This Row],[Pieces (kg''s)]]/Table1[[#This Row],[Good Kernels (kg''s)]]%,"")</f>
        <v/>
      </c>
      <c r="X130" s="5" t="str">
        <f>IFERROR(Table1[[#This Row],[First Pass Uncut (kg''s)]]/Table1[[#This Row],[Input Quantity (Kg''s)]]%,"")</f>
        <v/>
      </c>
      <c r="Y130" s="5" t="str">
        <f>IFERROR(Table1[[#This Row],[Final Uncut (kg''s)]]/Table1[[#This Row],[Input Quantity (Kg''s)]]%,"")</f>
        <v/>
      </c>
      <c r="Z130" s="21" t="str">
        <f>IFERROR(Table1[[#This Row],[Shell]]/Table1[[#This Row],[Input Quantity (Kg''s)]]%,"")</f>
        <v/>
      </c>
      <c r="AA130" s="21" t="str">
        <f>IFERROR(Table1[[#This Row],[Shell Dust]]/Table1[[#This Row],[Input Quantity (Kg''s)]]%,"")</f>
        <v/>
      </c>
    </row>
    <row r="131" spans="2:27" x14ac:dyDescent="0.3">
      <c r="B131" s="1"/>
      <c r="C131" s="15">
        <f>WEEKNUM(Table1[[#This Row],[Date]])</f>
        <v>0</v>
      </c>
      <c r="D131" s="1" t="str">
        <f>TEXT(Table1[[#This Row],[Date]],"mmm-yy")</f>
        <v>Jan-00</v>
      </c>
      <c r="E131" s="1"/>
      <c r="I131" s="3"/>
      <c r="M131" s="3"/>
      <c r="N131" s="3"/>
      <c r="O131" s="3"/>
      <c r="P131" s="3">
        <f>Table1[[#This Row],[Input Quantity (Kg''s)]]-SUM(Table1[[#This Row],[Wholes (kg''s)]:[Black Rejection (Kg''s)]],Table1[[#This Row],[Shell Dust]])</f>
        <v>0</v>
      </c>
      <c r="Q131" s="3">
        <f>SUM(Table1[[#This Row],[Wholes (kg''s)]:[Pieces (kg''s)]])</f>
        <v>0</v>
      </c>
      <c r="R131" s="3">
        <f>SUM(Table1[[#This Row],[Wholes (kg''s)]:[Black Rejection (Kg''s)]])</f>
        <v>0</v>
      </c>
      <c r="S131" s="4" t="str">
        <f>IFERROR(Table1[[#This Row],[Good Kernels (kg''s)]]/Table1[[#This Row],[Input Quantity (Kg''s)]]*176.36,"")</f>
        <v/>
      </c>
      <c r="T131" s="4" t="str">
        <f>IFERROR(Table1[[#This Row],[Good Kernels (kg''s)]]/Table1[[#This Row],[Input Quantity (Kg''s)]]%,"")</f>
        <v/>
      </c>
      <c r="U131" s="5" t="str">
        <f>IFERROR(Table1[[#This Row],[Final Kernels (kg''s)]]/Table1[[#This Row],[Input Quantity (Kg''s)]]%,"")</f>
        <v/>
      </c>
      <c r="V131" s="5" t="str">
        <f>IFERROR(Table1[[#This Row],[Wholes (kg''s)]]/Table1[[#This Row],[Good Kernels (kg''s)]]%,"")</f>
        <v/>
      </c>
      <c r="W131" s="5" t="str">
        <f>IFERROR(Table1[[#This Row],[Pieces (kg''s)]]/Table1[[#This Row],[Good Kernels (kg''s)]]%,"")</f>
        <v/>
      </c>
      <c r="X131" s="5" t="str">
        <f>IFERROR(Table1[[#This Row],[First Pass Uncut (kg''s)]]/Table1[[#This Row],[Input Quantity (Kg''s)]]%,"")</f>
        <v/>
      </c>
      <c r="Y131" s="5" t="str">
        <f>IFERROR(Table1[[#This Row],[Final Uncut (kg''s)]]/Table1[[#This Row],[Input Quantity (Kg''s)]]%,"")</f>
        <v/>
      </c>
      <c r="Z131" s="21" t="str">
        <f>IFERROR(Table1[[#This Row],[Shell]]/Table1[[#This Row],[Input Quantity (Kg''s)]]%,"")</f>
        <v/>
      </c>
      <c r="AA131" s="21" t="str">
        <f>IFERROR(Table1[[#This Row],[Shell Dust]]/Table1[[#This Row],[Input Quantity (Kg''s)]]%,"")</f>
        <v/>
      </c>
    </row>
    <row r="132" spans="2:27" x14ac:dyDescent="0.3">
      <c r="B132" s="1"/>
      <c r="C132" s="15">
        <f>WEEKNUM(Table1[[#This Row],[Date]])</f>
        <v>0</v>
      </c>
      <c r="D132" s="1" t="str">
        <f>TEXT(Table1[[#This Row],[Date]],"mmm-yy")</f>
        <v>Jan-00</v>
      </c>
      <c r="E132" s="1"/>
      <c r="I132" s="3"/>
      <c r="M132" s="3"/>
      <c r="N132" s="3"/>
      <c r="O132" s="3"/>
      <c r="P132" s="3">
        <f>Table1[[#This Row],[Input Quantity (Kg''s)]]-SUM(Table1[[#This Row],[Wholes (kg''s)]:[Black Rejection (Kg''s)]],Table1[[#This Row],[Shell Dust]])</f>
        <v>0</v>
      </c>
      <c r="Q132" s="3">
        <f>SUM(Table1[[#This Row],[Wholes (kg''s)]:[Pieces (kg''s)]])</f>
        <v>0</v>
      </c>
      <c r="R132" s="3">
        <f>SUM(Table1[[#This Row],[Wholes (kg''s)]:[Black Rejection (Kg''s)]])</f>
        <v>0</v>
      </c>
      <c r="S132" s="4" t="str">
        <f>IFERROR(Table1[[#This Row],[Good Kernels (kg''s)]]/Table1[[#This Row],[Input Quantity (Kg''s)]]*176.36,"")</f>
        <v/>
      </c>
      <c r="T132" s="4" t="str">
        <f>IFERROR(Table1[[#This Row],[Good Kernels (kg''s)]]/Table1[[#This Row],[Input Quantity (Kg''s)]]%,"")</f>
        <v/>
      </c>
      <c r="U132" s="5" t="str">
        <f>IFERROR(Table1[[#This Row],[Final Kernels (kg''s)]]/Table1[[#This Row],[Input Quantity (Kg''s)]]%,"")</f>
        <v/>
      </c>
      <c r="V132" s="5" t="str">
        <f>IFERROR(Table1[[#This Row],[Wholes (kg''s)]]/Table1[[#This Row],[Good Kernels (kg''s)]]%,"")</f>
        <v/>
      </c>
      <c r="W132" s="5" t="str">
        <f>IFERROR(Table1[[#This Row],[Pieces (kg''s)]]/Table1[[#This Row],[Good Kernels (kg''s)]]%,"")</f>
        <v/>
      </c>
      <c r="X132" s="5" t="str">
        <f>IFERROR(Table1[[#This Row],[First Pass Uncut (kg''s)]]/Table1[[#This Row],[Input Quantity (Kg''s)]]%,"")</f>
        <v/>
      </c>
      <c r="Y132" s="5" t="str">
        <f>IFERROR(Table1[[#This Row],[Final Uncut (kg''s)]]/Table1[[#This Row],[Input Quantity (Kg''s)]]%,"")</f>
        <v/>
      </c>
      <c r="Z132" s="21" t="str">
        <f>IFERROR(Table1[[#This Row],[Shell]]/Table1[[#This Row],[Input Quantity (Kg''s)]]%,"")</f>
        <v/>
      </c>
      <c r="AA132" s="21" t="str">
        <f>IFERROR(Table1[[#This Row],[Shell Dust]]/Table1[[#This Row],[Input Quantity (Kg''s)]]%,"")</f>
        <v/>
      </c>
    </row>
    <row r="133" spans="2:27" x14ac:dyDescent="0.3">
      <c r="B133" s="1"/>
      <c r="C133" s="15">
        <f>WEEKNUM(Table1[[#This Row],[Date]])</f>
        <v>0</v>
      </c>
      <c r="D133" s="1" t="str">
        <f>TEXT(Table1[[#This Row],[Date]],"mmm-yy")</f>
        <v>Jan-00</v>
      </c>
      <c r="E133" s="1"/>
      <c r="I133" s="3"/>
      <c r="M133" s="3"/>
      <c r="N133" s="3"/>
      <c r="O133" s="3"/>
      <c r="P133" s="3">
        <f>Table1[[#This Row],[Input Quantity (Kg''s)]]-SUM(Table1[[#This Row],[Wholes (kg''s)]:[Black Rejection (Kg''s)]],Table1[[#This Row],[Shell Dust]])</f>
        <v>0</v>
      </c>
      <c r="Q133" s="3">
        <f>SUM(Table1[[#This Row],[Wholes (kg''s)]:[Pieces (kg''s)]])</f>
        <v>0</v>
      </c>
      <c r="R133" s="3">
        <f>SUM(Table1[[#This Row],[Wholes (kg''s)]:[Black Rejection (Kg''s)]])</f>
        <v>0</v>
      </c>
      <c r="S133" s="4" t="str">
        <f>IFERROR(Table1[[#This Row],[Good Kernels (kg''s)]]/Table1[[#This Row],[Input Quantity (Kg''s)]]*176.36,"")</f>
        <v/>
      </c>
      <c r="T133" s="4" t="str">
        <f>IFERROR(Table1[[#This Row],[Good Kernels (kg''s)]]/Table1[[#This Row],[Input Quantity (Kg''s)]]%,"")</f>
        <v/>
      </c>
      <c r="U133" s="5" t="str">
        <f>IFERROR(Table1[[#This Row],[Final Kernels (kg''s)]]/Table1[[#This Row],[Input Quantity (Kg''s)]]%,"")</f>
        <v/>
      </c>
      <c r="V133" s="5" t="str">
        <f>IFERROR(Table1[[#This Row],[Wholes (kg''s)]]/Table1[[#This Row],[Good Kernels (kg''s)]]%,"")</f>
        <v/>
      </c>
      <c r="W133" s="5" t="str">
        <f>IFERROR(Table1[[#This Row],[Pieces (kg''s)]]/Table1[[#This Row],[Good Kernels (kg''s)]]%,"")</f>
        <v/>
      </c>
      <c r="X133" s="5" t="str">
        <f>IFERROR(Table1[[#This Row],[First Pass Uncut (kg''s)]]/Table1[[#This Row],[Input Quantity (Kg''s)]]%,"")</f>
        <v/>
      </c>
      <c r="Y133" s="5" t="str">
        <f>IFERROR(Table1[[#This Row],[Final Uncut (kg''s)]]/Table1[[#This Row],[Input Quantity (Kg''s)]]%,"")</f>
        <v/>
      </c>
      <c r="Z133" s="21" t="str">
        <f>IFERROR(Table1[[#This Row],[Shell]]/Table1[[#This Row],[Input Quantity (Kg''s)]]%,"")</f>
        <v/>
      </c>
      <c r="AA133" s="21" t="str">
        <f>IFERROR(Table1[[#This Row],[Shell Dust]]/Table1[[#This Row],[Input Quantity (Kg''s)]]%,"")</f>
        <v/>
      </c>
    </row>
    <row r="134" spans="2:27" x14ac:dyDescent="0.3">
      <c r="B134" s="1"/>
      <c r="C134" s="15">
        <f>WEEKNUM(Table1[[#This Row],[Date]])</f>
        <v>0</v>
      </c>
      <c r="D134" s="1" t="str">
        <f>TEXT(Table1[[#This Row],[Date]],"mmm-yy")</f>
        <v>Jan-00</v>
      </c>
      <c r="E134" s="1"/>
      <c r="I134" s="3"/>
      <c r="M134" s="3"/>
      <c r="N134" s="3"/>
      <c r="O134" s="3"/>
      <c r="P134" s="3">
        <f>Table1[[#This Row],[Input Quantity (Kg''s)]]-SUM(Table1[[#This Row],[Wholes (kg''s)]:[Black Rejection (Kg''s)]],Table1[[#This Row],[Shell Dust]])</f>
        <v>0</v>
      </c>
      <c r="Q134" s="3">
        <f>SUM(Table1[[#This Row],[Wholes (kg''s)]:[Pieces (kg''s)]])</f>
        <v>0</v>
      </c>
      <c r="R134" s="3">
        <f>SUM(Table1[[#This Row],[Wholes (kg''s)]:[Black Rejection (Kg''s)]])</f>
        <v>0</v>
      </c>
      <c r="S134" s="4" t="str">
        <f>IFERROR(Table1[[#This Row],[Good Kernels (kg''s)]]/Table1[[#This Row],[Input Quantity (Kg''s)]]*176.36,"")</f>
        <v/>
      </c>
      <c r="T134" s="4" t="str">
        <f>IFERROR(Table1[[#This Row],[Good Kernels (kg''s)]]/Table1[[#This Row],[Input Quantity (Kg''s)]]%,"")</f>
        <v/>
      </c>
      <c r="U134" s="5" t="str">
        <f>IFERROR(Table1[[#This Row],[Final Kernels (kg''s)]]/Table1[[#This Row],[Input Quantity (Kg''s)]]%,"")</f>
        <v/>
      </c>
      <c r="V134" s="5" t="str">
        <f>IFERROR(Table1[[#This Row],[Wholes (kg''s)]]/Table1[[#This Row],[Good Kernels (kg''s)]]%,"")</f>
        <v/>
      </c>
      <c r="W134" s="5" t="str">
        <f>IFERROR(Table1[[#This Row],[Pieces (kg''s)]]/Table1[[#This Row],[Good Kernels (kg''s)]]%,"")</f>
        <v/>
      </c>
      <c r="X134" s="5" t="str">
        <f>IFERROR(Table1[[#This Row],[First Pass Uncut (kg''s)]]/Table1[[#This Row],[Input Quantity (Kg''s)]]%,"")</f>
        <v/>
      </c>
      <c r="Y134" s="5" t="str">
        <f>IFERROR(Table1[[#This Row],[Final Uncut (kg''s)]]/Table1[[#This Row],[Input Quantity (Kg''s)]]%,"")</f>
        <v/>
      </c>
      <c r="Z134" s="21" t="str">
        <f>IFERROR(Table1[[#This Row],[Shell]]/Table1[[#This Row],[Input Quantity (Kg''s)]]%,"")</f>
        <v/>
      </c>
      <c r="AA134" s="21" t="str">
        <f>IFERROR(Table1[[#This Row],[Shell Dust]]/Table1[[#This Row],[Input Quantity (Kg''s)]]%,"")</f>
        <v/>
      </c>
    </row>
    <row r="135" spans="2:27" x14ac:dyDescent="0.3">
      <c r="B135" s="1"/>
      <c r="C135" s="15">
        <f>WEEKNUM(Table1[[#This Row],[Date]])</f>
        <v>0</v>
      </c>
      <c r="D135" s="1" t="str">
        <f>TEXT(Table1[[#This Row],[Date]],"mmm-yy")</f>
        <v>Jan-00</v>
      </c>
      <c r="E135" s="1"/>
      <c r="I135" s="3"/>
      <c r="M135" s="3"/>
      <c r="N135" s="3"/>
      <c r="O135" s="3"/>
      <c r="P135" s="3">
        <f>Table1[[#This Row],[Input Quantity (Kg''s)]]-SUM(Table1[[#This Row],[Wholes (kg''s)]:[Black Rejection (Kg''s)]],Table1[[#This Row],[Shell Dust]])</f>
        <v>0</v>
      </c>
      <c r="Q135" s="3">
        <f>SUM(Table1[[#This Row],[Wholes (kg''s)]:[Pieces (kg''s)]])</f>
        <v>0</v>
      </c>
      <c r="R135" s="3">
        <f>SUM(Table1[[#This Row],[Wholes (kg''s)]:[Black Rejection (Kg''s)]])</f>
        <v>0</v>
      </c>
      <c r="S135" s="4" t="str">
        <f>IFERROR(Table1[[#This Row],[Good Kernels (kg''s)]]/Table1[[#This Row],[Input Quantity (Kg''s)]]*176.36,"")</f>
        <v/>
      </c>
      <c r="T135" s="4" t="str">
        <f>IFERROR(Table1[[#This Row],[Good Kernels (kg''s)]]/Table1[[#This Row],[Input Quantity (Kg''s)]]%,"")</f>
        <v/>
      </c>
      <c r="U135" s="5" t="str">
        <f>IFERROR(Table1[[#This Row],[Final Kernels (kg''s)]]/Table1[[#This Row],[Input Quantity (Kg''s)]]%,"")</f>
        <v/>
      </c>
      <c r="V135" s="5" t="str">
        <f>IFERROR(Table1[[#This Row],[Wholes (kg''s)]]/Table1[[#This Row],[Good Kernels (kg''s)]]%,"")</f>
        <v/>
      </c>
      <c r="W135" s="5" t="str">
        <f>IFERROR(Table1[[#This Row],[Pieces (kg''s)]]/Table1[[#This Row],[Good Kernels (kg''s)]]%,"")</f>
        <v/>
      </c>
      <c r="X135" s="5" t="str">
        <f>IFERROR(Table1[[#This Row],[First Pass Uncut (kg''s)]]/Table1[[#This Row],[Input Quantity (Kg''s)]]%,"")</f>
        <v/>
      </c>
      <c r="Y135" s="5" t="str">
        <f>IFERROR(Table1[[#This Row],[Final Uncut (kg''s)]]/Table1[[#This Row],[Input Quantity (Kg''s)]]%,"")</f>
        <v/>
      </c>
      <c r="Z135" s="21" t="str">
        <f>IFERROR(Table1[[#This Row],[Shell]]/Table1[[#This Row],[Input Quantity (Kg''s)]]%,"")</f>
        <v/>
      </c>
      <c r="AA135" s="21" t="str">
        <f>IFERROR(Table1[[#This Row],[Shell Dust]]/Table1[[#This Row],[Input Quantity (Kg''s)]]%,"")</f>
        <v/>
      </c>
    </row>
    <row r="136" spans="2:27" x14ac:dyDescent="0.3">
      <c r="B136" s="1"/>
      <c r="C136" s="15">
        <f>WEEKNUM(Table1[[#This Row],[Date]])</f>
        <v>0</v>
      </c>
      <c r="D136" s="1" t="str">
        <f>TEXT(Table1[[#This Row],[Date]],"mmm-yy")</f>
        <v>Jan-00</v>
      </c>
      <c r="E136" s="1"/>
      <c r="I136" s="3"/>
      <c r="M136" s="3"/>
      <c r="N136" s="3"/>
      <c r="O136" s="3"/>
      <c r="P136" s="3">
        <f>Table1[[#This Row],[Input Quantity (Kg''s)]]-SUM(Table1[[#This Row],[Wholes (kg''s)]:[Black Rejection (Kg''s)]],Table1[[#This Row],[Shell Dust]])</f>
        <v>0</v>
      </c>
      <c r="Q136" s="3">
        <f>SUM(Table1[[#This Row],[Wholes (kg''s)]:[Pieces (kg''s)]])</f>
        <v>0</v>
      </c>
      <c r="R136" s="3">
        <f>SUM(Table1[[#This Row],[Wholes (kg''s)]:[Black Rejection (Kg''s)]])</f>
        <v>0</v>
      </c>
      <c r="S136" s="4" t="str">
        <f>IFERROR(Table1[[#This Row],[Good Kernels (kg''s)]]/Table1[[#This Row],[Input Quantity (Kg''s)]]*176.36,"")</f>
        <v/>
      </c>
      <c r="T136" s="4" t="str">
        <f>IFERROR(Table1[[#This Row],[Good Kernels (kg''s)]]/Table1[[#This Row],[Input Quantity (Kg''s)]]%,"")</f>
        <v/>
      </c>
      <c r="U136" s="5" t="str">
        <f>IFERROR(Table1[[#This Row],[Final Kernels (kg''s)]]/Table1[[#This Row],[Input Quantity (Kg''s)]]%,"")</f>
        <v/>
      </c>
      <c r="V136" s="5" t="str">
        <f>IFERROR(Table1[[#This Row],[Wholes (kg''s)]]/Table1[[#This Row],[Good Kernels (kg''s)]]%,"")</f>
        <v/>
      </c>
      <c r="W136" s="5" t="str">
        <f>IFERROR(Table1[[#This Row],[Pieces (kg''s)]]/Table1[[#This Row],[Good Kernels (kg''s)]]%,"")</f>
        <v/>
      </c>
      <c r="X136" s="5" t="str">
        <f>IFERROR(Table1[[#This Row],[First Pass Uncut (kg''s)]]/Table1[[#This Row],[Input Quantity (Kg''s)]]%,"")</f>
        <v/>
      </c>
      <c r="Y136" s="5" t="str">
        <f>IFERROR(Table1[[#This Row],[Final Uncut (kg''s)]]/Table1[[#This Row],[Input Quantity (Kg''s)]]%,"")</f>
        <v/>
      </c>
      <c r="Z136" s="21" t="str">
        <f>IFERROR(Table1[[#This Row],[Shell]]/Table1[[#This Row],[Input Quantity (Kg''s)]]%,"")</f>
        <v/>
      </c>
      <c r="AA136" s="21" t="str">
        <f>IFERROR(Table1[[#This Row],[Shell Dust]]/Table1[[#This Row],[Input Quantity (Kg''s)]]%,"")</f>
        <v/>
      </c>
    </row>
    <row r="137" spans="2:27" x14ac:dyDescent="0.3">
      <c r="B137" s="1"/>
      <c r="C137" s="15">
        <f>WEEKNUM(Table1[[#This Row],[Date]])</f>
        <v>0</v>
      </c>
      <c r="D137" s="1" t="str">
        <f>TEXT(Table1[[#This Row],[Date]],"mmm-yy")</f>
        <v>Jan-00</v>
      </c>
      <c r="E137" s="1"/>
      <c r="I137" s="3"/>
      <c r="M137" s="3"/>
      <c r="N137" s="3"/>
      <c r="O137" s="3"/>
      <c r="P137" s="3">
        <f>Table1[[#This Row],[Input Quantity (Kg''s)]]-SUM(Table1[[#This Row],[Wholes (kg''s)]:[Black Rejection (Kg''s)]],Table1[[#This Row],[Shell Dust]])</f>
        <v>0</v>
      </c>
      <c r="Q137" s="3">
        <f>SUM(Table1[[#This Row],[Wholes (kg''s)]:[Pieces (kg''s)]])</f>
        <v>0</v>
      </c>
      <c r="R137" s="3">
        <f>SUM(Table1[[#This Row],[Wholes (kg''s)]:[Black Rejection (Kg''s)]])</f>
        <v>0</v>
      </c>
      <c r="S137" s="4" t="str">
        <f>IFERROR(Table1[[#This Row],[Good Kernels (kg''s)]]/Table1[[#This Row],[Input Quantity (Kg''s)]]*176.36,"")</f>
        <v/>
      </c>
      <c r="T137" s="4" t="str">
        <f>IFERROR(Table1[[#This Row],[Good Kernels (kg''s)]]/Table1[[#This Row],[Input Quantity (Kg''s)]]%,"")</f>
        <v/>
      </c>
      <c r="U137" s="5" t="str">
        <f>IFERROR(Table1[[#This Row],[Final Kernels (kg''s)]]/Table1[[#This Row],[Input Quantity (Kg''s)]]%,"")</f>
        <v/>
      </c>
      <c r="V137" s="5" t="str">
        <f>IFERROR(Table1[[#This Row],[Wholes (kg''s)]]/Table1[[#This Row],[Good Kernels (kg''s)]]%,"")</f>
        <v/>
      </c>
      <c r="W137" s="5" t="str">
        <f>IFERROR(Table1[[#This Row],[Pieces (kg''s)]]/Table1[[#This Row],[Good Kernels (kg''s)]]%,"")</f>
        <v/>
      </c>
      <c r="X137" s="5" t="str">
        <f>IFERROR(Table1[[#This Row],[First Pass Uncut (kg''s)]]/Table1[[#This Row],[Input Quantity (Kg''s)]]%,"")</f>
        <v/>
      </c>
      <c r="Y137" s="5" t="str">
        <f>IFERROR(Table1[[#This Row],[Final Uncut (kg''s)]]/Table1[[#This Row],[Input Quantity (Kg''s)]]%,"")</f>
        <v/>
      </c>
      <c r="Z137" s="21" t="str">
        <f>IFERROR(Table1[[#This Row],[Shell]]/Table1[[#This Row],[Input Quantity (Kg''s)]]%,"")</f>
        <v/>
      </c>
      <c r="AA137" s="21" t="str">
        <f>IFERROR(Table1[[#This Row],[Shell Dust]]/Table1[[#This Row],[Input Quantity (Kg''s)]]%,"")</f>
        <v/>
      </c>
    </row>
    <row r="138" spans="2:27" x14ac:dyDescent="0.3">
      <c r="B138" s="1"/>
      <c r="C138" s="15">
        <f>WEEKNUM(Table1[[#This Row],[Date]])</f>
        <v>0</v>
      </c>
      <c r="D138" s="1" t="str">
        <f>TEXT(Table1[[#This Row],[Date]],"mmm-yy")</f>
        <v>Jan-00</v>
      </c>
      <c r="E138" s="1"/>
      <c r="I138" s="3"/>
      <c r="M138" s="3"/>
      <c r="N138" s="3"/>
      <c r="O138" s="3"/>
      <c r="P138" s="3">
        <f>Table1[[#This Row],[Input Quantity (Kg''s)]]-SUM(Table1[[#This Row],[Wholes (kg''s)]:[Black Rejection (Kg''s)]],Table1[[#This Row],[Shell Dust]])</f>
        <v>0</v>
      </c>
      <c r="Q138" s="3">
        <f>SUM(Table1[[#This Row],[Wholes (kg''s)]:[Pieces (kg''s)]])</f>
        <v>0</v>
      </c>
      <c r="R138" s="3">
        <f>SUM(Table1[[#This Row],[Wholes (kg''s)]:[Black Rejection (Kg''s)]])</f>
        <v>0</v>
      </c>
      <c r="S138" s="4" t="str">
        <f>IFERROR(Table1[[#This Row],[Good Kernels (kg''s)]]/Table1[[#This Row],[Input Quantity (Kg''s)]]*176.36,"")</f>
        <v/>
      </c>
      <c r="T138" s="4" t="str">
        <f>IFERROR(Table1[[#This Row],[Good Kernels (kg''s)]]/Table1[[#This Row],[Input Quantity (Kg''s)]]%,"")</f>
        <v/>
      </c>
      <c r="U138" s="5" t="str">
        <f>IFERROR(Table1[[#This Row],[Final Kernels (kg''s)]]/Table1[[#This Row],[Input Quantity (Kg''s)]]%,"")</f>
        <v/>
      </c>
      <c r="V138" s="5" t="str">
        <f>IFERROR(Table1[[#This Row],[Wholes (kg''s)]]/Table1[[#This Row],[Good Kernels (kg''s)]]%,"")</f>
        <v/>
      </c>
      <c r="W138" s="5" t="str">
        <f>IFERROR(Table1[[#This Row],[Pieces (kg''s)]]/Table1[[#This Row],[Good Kernels (kg''s)]]%,"")</f>
        <v/>
      </c>
      <c r="X138" s="5" t="str">
        <f>IFERROR(Table1[[#This Row],[First Pass Uncut (kg''s)]]/Table1[[#This Row],[Input Quantity (Kg''s)]]%,"")</f>
        <v/>
      </c>
      <c r="Y138" s="5" t="str">
        <f>IFERROR(Table1[[#This Row],[Final Uncut (kg''s)]]/Table1[[#This Row],[Input Quantity (Kg''s)]]%,"")</f>
        <v/>
      </c>
      <c r="Z138" s="21" t="str">
        <f>IFERROR(Table1[[#This Row],[Shell]]/Table1[[#This Row],[Input Quantity (Kg''s)]]%,"")</f>
        <v/>
      </c>
      <c r="AA138" s="21" t="str">
        <f>IFERROR(Table1[[#This Row],[Shell Dust]]/Table1[[#This Row],[Input Quantity (Kg''s)]]%,"")</f>
        <v/>
      </c>
    </row>
    <row r="139" spans="2:27" x14ac:dyDescent="0.3">
      <c r="B139" s="1"/>
      <c r="C139" s="15">
        <f>WEEKNUM(Table1[[#This Row],[Date]])</f>
        <v>0</v>
      </c>
      <c r="D139" s="1" t="str">
        <f>TEXT(Table1[[#This Row],[Date]],"mmm-yy")</f>
        <v>Jan-00</v>
      </c>
      <c r="E139" s="1"/>
      <c r="I139" s="3"/>
      <c r="M139" s="3"/>
      <c r="N139" s="3"/>
      <c r="O139" s="3"/>
      <c r="P139" s="3">
        <f>Table1[[#This Row],[Input Quantity (Kg''s)]]-SUM(Table1[[#This Row],[Wholes (kg''s)]:[Black Rejection (Kg''s)]],Table1[[#This Row],[Shell Dust]])</f>
        <v>0</v>
      </c>
      <c r="Q139" s="3">
        <f>SUM(Table1[[#This Row],[Wholes (kg''s)]:[Pieces (kg''s)]])</f>
        <v>0</v>
      </c>
      <c r="R139" s="3">
        <f>SUM(Table1[[#This Row],[Wholes (kg''s)]:[Black Rejection (Kg''s)]])</f>
        <v>0</v>
      </c>
      <c r="S139" s="4" t="str">
        <f>IFERROR(Table1[[#This Row],[Good Kernels (kg''s)]]/Table1[[#This Row],[Input Quantity (Kg''s)]]*176.36,"")</f>
        <v/>
      </c>
      <c r="T139" s="4" t="str">
        <f>IFERROR(Table1[[#This Row],[Good Kernels (kg''s)]]/Table1[[#This Row],[Input Quantity (Kg''s)]]%,"")</f>
        <v/>
      </c>
      <c r="U139" s="5" t="str">
        <f>IFERROR(Table1[[#This Row],[Final Kernels (kg''s)]]/Table1[[#This Row],[Input Quantity (Kg''s)]]%,"")</f>
        <v/>
      </c>
      <c r="V139" s="5" t="str">
        <f>IFERROR(Table1[[#This Row],[Wholes (kg''s)]]/Table1[[#This Row],[Good Kernels (kg''s)]]%,"")</f>
        <v/>
      </c>
      <c r="W139" s="5" t="str">
        <f>IFERROR(Table1[[#This Row],[Pieces (kg''s)]]/Table1[[#This Row],[Good Kernels (kg''s)]]%,"")</f>
        <v/>
      </c>
      <c r="X139" s="5" t="str">
        <f>IFERROR(Table1[[#This Row],[First Pass Uncut (kg''s)]]/Table1[[#This Row],[Input Quantity (Kg''s)]]%,"")</f>
        <v/>
      </c>
      <c r="Y139" s="5" t="str">
        <f>IFERROR(Table1[[#This Row],[Final Uncut (kg''s)]]/Table1[[#This Row],[Input Quantity (Kg''s)]]%,"")</f>
        <v/>
      </c>
      <c r="Z139" s="21" t="str">
        <f>IFERROR(Table1[[#This Row],[Shell]]/Table1[[#This Row],[Input Quantity (Kg''s)]]%,"")</f>
        <v/>
      </c>
      <c r="AA139" s="21" t="str">
        <f>IFERROR(Table1[[#This Row],[Shell Dust]]/Table1[[#This Row],[Input Quantity (Kg''s)]]%,"")</f>
        <v/>
      </c>
    </row>
    <row r="140" spans="2:27" x14ac:dyDescent="0.3">
      <c r="B140" s="1"/>
      <c r="C140" s="15">
        <f>WEEKNUM(Table1[[#This Row],[Date]])</f>
        <v>0</v>
      </c>
      <c r="D140" s="1" t="str">
        <f>TEXT(Table1[[#This Row],[Date]],"mmm-yy")</f>
        <v>Jan-00</v>
      </c>
      <c r="E140" s="1"/>
      <c r="I140" s="3"/>
      <c r="M140" s="3"/>
      <c r="N140" s="3"/>
      <c r="O140" s="3"/>
      <c r="P140" s="3">
        <f>Table1[[#This Row],[Input Quantity (Kg''s)]]-SUM(Table1[[#This Row],[Wholes (kg''s)]:[Black Rejection (Kg''s)]],Table1[[#This Row],[Shell Dust]])</f>
        <v>0</v>
      </c>
      <c r="Q140" s="3">
        <f>SUM(Table1[[#This Row],[Wholes (kg''s)]:[Pieces (kg''s)]])</f>
        <v>0</v>
      </c>
      <c r="R140" s="3">
        <f>SUM(Table1[[#This Row],[Wholes (kg''s)]:[Black Rejection (Kg''s)]])</f>
        <v>0</v>
      </c>
      <c r="S140" s="4" t="str">
        <f>IFERROR(Table1[[#This Row],[Good Kernels (kg''s)]]/Table1[[#This Row],[Input Quantity (Kg''s)]]*176.36,"")</f>
        <v/>
      </c>
      <c r="T140" s="4" t="str">
        <f>IFERROR(Table1[[#This Row],[Good Kernels (kg''s)]]/Table1[[#This Row],[Input Quantity (Kg''s)]]%,"")</f>
        <v/>
      </c>
      <c r="U140" s="5" t="str">
        <f>IFERROR(Table1[[#This Row],[Final Kernels (kg''s)]]/Table1[[#This Row],[Input Quantity (Kg''s)]]%,"")</f>
        <v/>
      </c>
      <c r="V140" s="5" t="str">
        <f>IFERROR(Table1[[#This Row],[Wholes (kg''s)]]/Table1[[#This Row],[Good Kernels (kg''s)]]%,"")</f>
        <v/>
      </c>
      <c r="W140" s="5" t="str">
        <f>IFERROR(Table1[[#This Row],[Pieces (kg''s)]]/Table1[[#This Row],[Good Kernels (kg''s)]]%,"")</f>
        <v/>
      </c>
      <c r="X140" s="5" t="str">
        <f>IFERROR(Table1[[#This Row],[First Pass Uncut (kg''s)]]/Table1[[#This Row],[Input Quantity (Kg''s)]]%,"")</f>
        <v/>
      </c>
      <c r="Y140" s="5" t="str">
        <f>IFERROR(Table1[[#This Row],[Final Uncut (kg''s)]]/Table1[[#This Row],[Input Quantity (Kg''s)]]%,"")</f>
        <v/>
      </c>
      <c r="Z140" s="21" t="str">
        <f>IFERROR(Table1[[#This Row],[Shell]]/Table1[[#This Row],[Input Quantity (Kg''s)]]%,"")</f>
        <v/>
      </c>
      <c r="AA140" s="21" t="str">
        <f>IFERROR(Table1[[#This Row],[Shell Dust]]/Table1[[#This Row],[Input Quantity (Kg''s)]]%,"")</f>
        <v/>
      </c>
    </row>
    <row r="141" spans="2:27" x14ac:dyDescent="0.3">
      <c r="B141" s="1"/>
      <c r="C141" s="15">
        <f>WEEKNUM(Table1[[#This Row],[Date]])</f>
        <v>0</v>
      </c>
      <c r="D141" s="1" t="str">
        <f>TEXT(Table1[[#This Row],[Date]],"mmm-yy")</f>
        <v>Jan-00</v>
      </c>
      <c r="E141" s="1"/>
      <c r="I141" s="3"/>
      <c r="M141" s="3"/>
      <c r="N141" s="3"/>
      <c r="O141" s="3"/>
      <c r="P141" s="3">
        <f>Table1[[#This Row],[Input Quantity (Kg''s)]]-SUM(Table1[[#This Row],[Wholes (kg''s)]:[Black Rejection (Kg''s)]],Table1[[#This Row],[Shell Dust]])</f>
        <v>0</v>
      </c>
      <c r="Q141" s="3">
        <f>SUM(Table1[[#This Row],[Wholes (kg''s)]:[Pieces (kg''s)]])</f>
        <v>0</v>
      </c>
      <c r="R141" s="3">
        <f>SUM(Table1[[#This Row],[Wholes (kg''s)]:[Black Rejection (Kg''s)]])</f>
        <v>0</v>
      </c>
      <c r="S141" s="4" t="str">
        <f>IFERROR(Table1[[#This Row],[Good Kernels (kg''s)]]/Table1[[#This Row],[Input Quantity (Kg''s)]]*176.36,"")</f>
        <v/>
      </c>
      <c r="T141" s="4" t="str">
        <f>IFERROR(Table1[[#This Row],[Good Kernels (kg''s)]]/Table1[[#This Row],[Input Quantity (Kg''s)]]%,"")</f>
        <v/>
      </c>
      <c r="U141" s="5" t="str">
        <f>IFERROR(Table1[[#This Row],[Final Kernels (kg''s)]]/Table1[[#This Row],[Input Quantity (Kg''s)]]%,"")</f>
        <v/>
      </c>
      <c r="V141" s="5" t="str">
        <f>IFERROR(Table1[[#This Row],[Wholes (kg''s)]]/Table1[[#This Row],[Good Kernels (kg''s)]]%,"")</f>
        <v/>
      </c>
      <c r="W141" s="5" t="str">
        <f>IFERROR(Table1[[#This Row],[Pieces (kg''s)]]/Table1[[#This Row],[Good Kernels (kg''s)]]%,"")</f>
        <v/>
      </c>
      <c r="X141" s="5" t="str">
        <f>IFERROR(Table1[[#This Row],[First Pass Uncut (kg''s)]]/Table1[[#This Row],[Input Quantity (Kg''s)]]%,"")</f>
        <v/>
      </c>
      <c r="Y141" s="5" t="str">
        <f>IFERROR(Table1[[#This Row],[Final Uncut (kg''s)]]/Table1[[#This Row],[Input Quantity (Kg''s)]]%,"")</f>
        <v/>
      </c>
      <c r="Z141" s="21" t="str">
        <f>IFERROR(Table1[[#This Row],[Shell]]/Table1[[#This Row],[Input Quantity (Kg''s)]]%,"")</f>
        <v/>
      </c>
      <c r="AA141" s="21" t="str">
        <f>IFERROR(Table1[[#This Row],[Shell Dust]]/Table1[[#This Row],[Input Quantity (Kg''s)]]%,"")</f>
        <v/>
      </c>
    </row>
    <row r="142" spans="2:27" x14ac:dyDescent="0.3">
      <c r="B142" s="1"/>
      <c r="C142" s="15">
        <f>WEEKNUM(Table1[[#This Row],[Date]])</f>
        <v>0</v>
      </c>
      <c r="D142" s="1" t="str">
        <f>TEXT(Table1[[#This Row],[Date]],"mmm-yy")</f>
        <v>Jan-00</v>
      </c>
      <c r="E142" s="1"/>
      <c r="I142" s="3"/>
      <c r="M142" s="3"/>
      <c r="N142" s="3"/>
      <c r="O142" s="3"/>
      <c r="P142" s="3">
        <f>Table1[[#This Row],[Input Quantity (Kg''s)]]-SUM(Table1[[#This Row],[Wholes (kg''s)]:[Black Rejection (Kg''s)]],Table1[[#This Row],[Shell Dust]])</f>
        <v>0</v>
      </c>
      <c r="Q142" s="3">
        <f>SUM(Table1[[#This Row],[Wholes (kg''s)]:[Pieces (kg''s)]])</f>
        <v>0</v>
      </c>
      <c r="R142" s="3">
        <f>SUM(Table1[[#This Row],[Wholes (kg''s)]:[Black Rejection (Kg''s)]])</f>
        <v>0</v>
      </c>
      <c r="S142" s="4" t="str">
        <f>IFERROR(Table1[[#This Row],[Good Kernels (kg''s)]]/Table1[[#This Row],[Input Quantity (Kg''s)]]*176.36,"")</f>
        <v/>
      </c>
      <c r="T142" s="4" t="str">
        <f>IFERROR(Table1[[#This Row],[Good Kernels (kg''s)]]/Table1[[#This Row],[Input Quantity (Kg''s)]]%,"")</f>
        <v/>
      </c>
      <c r="U142" s="5" t="str">
        <f>IFERROR(Table1[[#This Row],[Final Kernels (kg''s)]]/Table1[[#This Row],[Input Quantity (Kg''s)]]%,"")</f>
        <v/>
      </c>
      <c r="V142" s="5" t="str">
        <f>IFERROR(Table1[[#This Row],[Wholes (kg''s)]]/Table1[[#This Row],[Good Kernels (kg''s)]]%,"")</f>
        <v/>
      </c>
      <c r="W142" s="5" t="str">
        <f>IFERROR(Table1[[#This Row],[Pieces (kg''s)]]/Table1[[#This Row],[Good Kernels (kg''s)]]%,"")</f>
        <v/>
      </c>
      <c r="X142" s="5" t="str">
        <f>IFERROR(Table1[[#This Row],[First Pass Uncut (kg''s)]]/Table1[[#This Row],[Input Quantity (Kg''s)]]%,"")</f>
        <v/>
      </c>
      <c r="Y142" s="5" t="str">
        <f>IFERROR(Table1[[#This Row],[Final Uncut (kg''s)]]/Table1[[#This Row],[Input Quantity (Kg''s)]]%,"")</f>
        <v/>
      </c>
      <c r="Z142" s="21" t="str">
        <f>IFERROR(Table1[[#This Row],[Shell]]/Table1[[#This Row],[Input Quantity (Kg''s)]]%,"")</f>
        <v/>
      </c>
      <c r="AA142" s="21" t="str">
        <f>IFERROR(Table1[[#This Row],[Shell Dust]]/Table1[[#This Row],[Input Quantity (Kg''s)]]%,"")</f>
        <v/>
      </c>
    </row>
    <row r="143" spans="2:27" x14ac:dyDescent="0.3">
      <c r="B143" s="1"/>
      <c r="C143" s="15">
        <f>WEEKNUM(Table1[[#This Row],[Date]])</f>
        <v>0</v>
      </c>
      <c r="D143" s="1" t="str">
        <f>TEXT(Table1[[#This Row],[Date]],"mmm-yy")</f>
        <v>Jan-00</v>
      </c>
      <c r="E143" s="1"/>
      <c r="I143" s="3"/>
      <c r="M143" s="3"/>
      <c r="N143" s="3"/>
      <c r="O143" s="3"/>
      <c r="P143" s="3">
        <f>Table1[[#This Row],[Input Quantity (Kg''s)]]-SUM(Table1[[#This Row],[Wholes (kg''s)]:[Black Rejection (Kg''s)]],Table1[[#This Row],[Shell Dust]])</f>
        <v>0</v>
      </c>
      <c r="Q143" s="3">
        <f>SUM(Table1[[#This Row],[Wholes (kg''s)]:[Pieces (kg''s)]])</f>
        <v>0</v>
      </c>
      <c r="R143" s="3">
        <f>SUM(Table1[[#This Row],[Wholes (kg''s)]:[Black Rejection (Kg''s)]])</f>
        <v>0</v>
      </c>
      <c r="S143" s="4" t="str">
        <f>IFERROR(Table1[[#This Row],[Good Kernels (kg''s)]]/Table1[[#This Row],[Input Quantity (Kg''s)]]*176.36,"")</f>
        <v/>
      </c>
      <c r="T143" s="4" t="str">
        <f>IFERROR(Table1[[#This Row],[Good Kernels (kg''s)]]/Table1[[#This Row],[Input Quantity (Kg''s)]]%,"")</f>
        <v/>
      </c>
      <c r="U143" s="5" t="str">
        <f>IFERROR(Table1[[#This Row],[Final Kernels (kg''s)]]/Table1[[#This Row],[Input Quantity (Kg''s)]]%,"")</f>
        <v/>
      </c>
      <c r="V143" s="5" t="str">
        <f>IFERROR(Table1[[#This Row],[Wholes (kg''s)]]/Table1[[#This Row],[Good Kernels (kg''s)]]%,"")</f>
        <v/>
      </c>
      <c r="W143" s="5" t="str">
        <f>IFERROR(Table1[[#This Row],[Pieces (kg''s)]]/Table1[[#This Row],[Good Kernels (kg''s)]]%,"")</f>
        <v/>
      </c>
      <c r="X143" s="5" t="str">
        <f>IFERROR(Table1[[#This Row],[First Pass Uncut (kg''s)]]/Table1[[#This Row],[Input Quantity (Kg''s)]]%,"")</f>
        <v/>
      </c>
      <c r="Y143" s="5" t="str">
        <f>IFERROR(Table1[[#This Row],[Final Uncut (kg''s)]]/Table1[[#This Row],[Input Quantity (Kg''s)]]%,"")</f>
        <v/>
      </c>
      <c r="Z143" s="21" t="str">
        <f>IFERROR(Table1[[#This Row],[Shell]]/Table1[[#This Row],[Input Quantity (Kg''s)]]%,"")</f>
        <v/>
      </c>
      <c r="AA143" s="21" t="str">
        <f>IFERROR(Table1[[#This Row],[Shell Dust]]/Table1[[#This Row],[Input Quantity (Kg''s)]]%,"")</f>
        <v/>
      </c>
    </row>
    <row r="144" spans="2:27" x14ac:dyDescent="0.3">
      <c r="B144" s="1"/>
      <c r="C144" s="15">
        <f>WEEKNUM(Table1[[#This Row],[Date]])</f>
        <v>0</v>
      </c>
      <c r="D144" s="1" t="str">
        <f>TEXT(Table1[[#This Row],[Date]],"mmm-yy")</f>
        <v>Jan-00</v>
      </c>
      <c r="E144" s="1"/>
      <c r="I144" s="3"/>
      <c r="M144" s="3"/>
      <c r="N144" s="3"/>
      <c r="O144" s="3"/>
      <c r="P144" s="3">
        <f>Table1[[#This Row],[Input Quantity (Kg''s)]]-SUM(Table1[[#This Row],[Wholes (kg''s)]:[Black Rejection (Kg''s)]],Table1[[#This Row],[Shell Dust]])</f>
        <v>0</v>
      </c>
      <c r="Q144" s="3">
        <f>SUM(Table1[[#This Row],[Wholes (kg''s)]:[Pieces (kg''s)]])</f>
        <v>0</v>
      </c>
      <c r="R144" s="3">
        <f>SUM(Table1[[#This Row],[Wholes (kg''s)]:[Black Rejection (Kg''s)]])</f>
        <v>0</v>
      </c>
      <c r="S144" s="4" t="str">
        <f>IFERROR(Table1[[#This Row],[Good Kernels (kg''s)]]/Table1[[#This Row],[Input Quantity (Kg''s)]]*176.36,"")</f>
        <v/>
      </c>
      <c r="T144" s="4" t="str">
        <f>IFERROR(Table1[[#This Row],[Good Kernels (kg''s)]]/Table1[[#This Row],[Input Quantity (Kg''s)]]%,"")</f>
        <v/>
      </c>
      <c r="U144" s="5" t="str">
        <f>IFERROR(Table1[[#This Row],[Final Kernels (kg''s)]]/Table1[[#This Row],[Input Quantity (Kg''s)]]%,"")</f>
        <v/>
      </c>
      <c r="V144" s="5" t="str">
        <f>IFERROR(Table1[[#This Row],[Wholes (kg''s)]]/Table1[[#This Row],[Good Kernels (kg''s)]]%,"")</f>
        <v/>
      </c>
      <c r="W144" s="5" t="str">
        <f>IFERROR(Table1[[#This Row],[Pieces (kg''s)]]/Table1[[#This Row],[Good Kernels (kg''s)]]%,"")</f>
        <v/>
      </c>
      <c r="X144" s="5" t="str">
        <f>IFERROR(Table1[[#This Row],[First Pass Uncut (kg''s)]]/Table1[[#This Row],[Input Quantity (Kg''s)]]%,"")</f>
        <v/>
      </c>
      <c r="Y144" s="5" t="str">
        <f>IFERROR(Table1[[#This Row],[Final Uncut (kg''s)]]/Table1[[#This Row],[Input Quantity (Kg''s)]]%,"")</f>
        <v/>
      </c>
      <c r="Z144" s="21" t="str">
        <f>IFERROR(Table1[[#This Row],[Shell]]/Table1[[#This Row],[Input Quantity (Kg''s)]]%,"")</f>
        <v/>
      </c>
      <c r="AA144" s="21" t="str">
        <f>IFERROR(Table1[[#This Row],[Shell Dust]]/Table1[[#This Row],[Input Quantity (Kg''s)]]%,"")</f>
        <v/>
      </c>
    </row>
    <row r="145" spans="2:27" x14ac:dyDescent="0.3">
      <c r="B145" s="1"/>
      <c r="C145" s="15">
        <f>WEEKNUM(Table1[[#This Row],[Date]])</f>
        <v>0</v>
      </c>
      <c r="D145" s="1" t="str">
        <f>TEXT(Table1[[#This Row],[Date]],"mmm-yy")</f>
        <v>Jan-00</v>
      </c>
      <c r="E145" s="1"/>
      <c r="I145" s="3"/>
      <c r="M145" s="3"/>
      <c r="N145" s="3"/>
      <c r="O145" s="3"/>
      <c r="P145" s="3">
        <f>Table1[[#This Row],[Input Quantity (Kg''s)]]-SUM(Table1[[#This Row],[Wholes (kg''s)]:[Black Rejection (Kg''s)]],Table1[[#This Row],[Shell Dust]])</f>
        <v>0</v>
      </c>
      <c r="Q145" s="3">
        <f>SUM(Table1[[#This Row],[Wholes (kg''s)]:[Pieces (kg''s)]])</f>
        <v>0</v>
      </c>
      <c r="R145" s="3">
        <f>SUM(Table1[[#This Row],[Wholes (kg''s)]:[Black Rejection (Kg''s)]])</f>
        <v>0</v>
      </c>
      <c r="S145" s="4" t="str">
        <f>IFERROR(Table1[[#This Row],[Good Kernels (kg''s)]]/Table1[[#This Row],[Input Quantity (Kg''s)]]*176.36,"")</f>
        <v/>
      </c>
      <c r="T145" s="4" t="str">
        <f>IFERROR(Table1[[#This Row],[Good Kernels (kg''s)]]/Table1[[#This Row],[Input Quantity (Kg''s)]]%,"")</f>
        <v/>
      </c>
      <c r="U145" s="5" t="str">
        <f>IFERROR(Table1[[#This Row],[Final Kernels (kg''s)]]/Table1[[#This Row],[Input Quantity (Kg''s)]]%,"")</f>
        <v/>
      </c>
      <c r="V145" s="5" t="str">
        <f>IFERROR(Table1[[#This Row],[Wholes (kg''s)]]/Table1[[#This Row],[Good Kernels (kg''s)]]%,"")</f>
        <v/>
      </c>
      <c r="W145" s="5" t="str">
        <f>IFERROR(Table1[[#This Row],[Pieces (kg''s)]]/Table1[[#This Row],[Good Kernels (kg''s)]]%,"")</f>
        <v/>
      </c>
      <c r="X145" s="5" t="str">
        <f>IFERROR(Table1[[#This Row],[First Pass Uncut (kg''s)]]/Table1[[#This Row],[Input Quantity (Kg''s)]]%,"")</f>
        <v/>
      </c>
      <c r="Y145" s="5" t="str">
        <f>IFERROR(Table1[[#This Row],[Final Uncut (kg''s)]]/Table1[[#This Row],[Input Quantity (Kg''s)]]%,"")</f>
        <v/>
      </c>
      <c r="Z145" s="21" t="str">
        <f>IFERROR(Table1[[#This Row],[Shell]]/Table1[[#This Row],[Input Quantity (Kg''s)]]%,"")</f>
        <v/>
      </c>
      <c r="AA145" s="21" t="str">
        <f>IFERROR(Table1[[#This Row],[Shell Dust]]/Table1[[#This Row],[Input Quantity (Kg''s)]]%,"")</f>
        <v/>
      </c>
    </row>
    <row r="146" spans="2:27" x14ac:dyDescent="0.3">
      <c r="B146" s="1"/>
      <c r="C146" s="15">
        <f>WEEKNUM(Table1[[#This Row],[Date]])</f>
        <v>0</v>
      </c>
      <c r="D146" s="1" t="str">
        <f>TEXT(Table1[[#This Row],[Date]],"mmm-yy")</f>
        <v>Jan-00</v>
      </c>
      <c r="E146" s="1"/>
      <c r="I146" s="3"/>
      <c r="M146" s="3"/>
      <c r="N146" s="3"/>
      <c r="O146" s="3"/>
      <c r="P146" s="3">
        <f>Table1[[#This Row],[Input Quantity (Kg''s)]]-SUM(Table1[[#This Row],[Wholes (kg''s)]:[Black Rejection (Kg''s)]],Table1[[#This Row],[Shell Dust]])</f>
        <v>0</v>
      </c>
      <c r="Q146" s="3">
        <f>SUM(Table1[[#This Row],[Wholes (kg''s)]:[Pieces (kg''s)]])</f>
        <v>0</v>
      </c>
      <c r="R146" s="3">
        <f>SUM(Table1[[#This Row],[Wholes (kg''s)]:[Black Rejection (Kg''s)]])</f>
        <v>0</v>
      </c>
      <c r="S146" s="4" t="str">
        <f>IFERROR(Table1[[#This Row],[Good Kernels (kg''s)]]/Table1[[#This Row],[Input Quantity (Kg''s)]]*176.36,"")</f>
        <v/>
      </c>
      <c r="T146" s="4" t="str">
        <f>IFERROR(Table1[[#This Row],[Good Kernels (kg''s)]]/Table1[[#This Row],[Input Quantity (Kg''s)]]%,"")</f>
        <v/>
      </c>
      <c r="U146" s="5" t="str">
        <f>IFERROR(Table1[[#This Row],[Final Kernels (kg''s)]]/Table1[[#This Row],[Input Quantity (Kg''s)]]%,"")</f>
        <v/>
      </c>
      <c r="V146" s="5" t="str">
        <f>IFERROR(Table1[[#This Row],[Wholes (kg''s)]]/Table1[[#This Row],[Good Kernels (kg''s)]]%,"")</f>
        <v/>
      </c>
      <c r="W146" s="5" t="str">
        <f>IFERROR(Table1[[#This Row],[Pieces (kg''s)]]/Table1[[#This Row],[Good Kernels (kg''s)]]%,"")</f>
        <v/>
      </c>
      <c r="X146" s="5" t="str">
        <f>IFERROR(Table1[[#This Row],[First Pass Uncut (kg''s)]]/Table1[[#This Row],[Input Quantity (Kg''s)]]%,"")</f>
        <v/>
      </c>
      <c r="Y146" s="5" t="str">
        <f>IFERROR(Table1[[#This Row],[Final Uncut (kg''s)]]/Table1[[#This Row],[Input Quantity (Kg''s)]]%,"")</f>
        <v/>
      </c>
      <c r="Z146" s="21" t="str">
        <f>IFERROR(Table1[[#This Row],[Shell]]/Table1[[#This Row],[Input Quantity (Kg''s)]]%,"")</f>
        <v/>
      </c>
      <c r="AA146" s="21" t="str">
        <f>IFERROR(Table1[[#This Row],[Shell Dust]]/Table1[[#This Row],[Input Quantity (Kg''s)]]%,"")</f>
        <v/>
      </c>
    </row>
    <row r="147" spans="2:27" x14ac:dyDescent="0.3">
      <c r="B147" s="1"/>
      <c r="C147" s="15">
        <f>WEEKNUM(Table1[[#This Row],[Date]])</f>
        <v>0</v>
      </c>
      <c r="D147" s="1" t="str">
        <f>TEXT(Table1[[#This Row],[Date]],"mmm-yy")</f>
        <v>Jan-00</v>
      </c>
      <c r="E147" s="1"/>
      <c r="I147" s="3"/>
      <c r="M147" s="3"/>
      <c r="N147" s="3"/>
      <c r="O147" s="3"/>
      <c r="P147" s="3">
        <f>Table1[[#This Row],[Input Quantity (Kg''s)]]-SUM(Table1[[#This Row],[Wholes (kg''s)]:[Black Rejection (Kg''s)]],Table1[[#This Row],[Shell Dust]])</f>
        <v>0</v>
      </c>
      <c r="Q147" s="3">
        <f>SUM(Table1[[#This Row],[Wholes (kg''s)]:[Pieces (kg''s)]])</f>
        <v>0</v>
      </c>
      <c r="R147" s="3">
        <f>SUM(Table1[[#This Row],[Wholes (kg''s)]:[Black Rejection (Kg''s)]])</f>
        <v>0</v>
      </c>
      <c r="S147" s="4" t="str">
        <f>IFERROR(Table1[[#This Row],[Good Kernels (kg''s)]]/Table1[[#This Row],[Input Quantity (Kg''s)]]*176.36,"")</f>
        <v/>
      </c>
      <c r="T147" s="4" t="str">
        <f>IFERROR(Table1[[#This Row],[Good Kernels (kg''s)]]/Table1[[#This Row],[Input Quantity (Kg''s)]]%,"")</f>
        <v/>
      </c>
      <c r="U147" s="5" t="str">
        <f>IFERROR(Table1[[#This Row],[Final Kernels (kg''s)]]/Table1[[#This Row],[Input Quantity (Kg''s)]]%,"")</f>
        <v/>
      </c>
      <c r="V147" s="5" t="str">
        <f>IFERROR(Table1[[#This Row],[Wholes (kg''s)]]/Table1[[#This Row],[Good Kernels (kg''s)]]%,"")</f>
        <v/>
      </c>
      <c r="W147" s="5" t="str">
        <f>IFERROR(Table1[[#This Row],[Pieces (kg''s)]]/Table1[[#This Row],[Good Kernels (kg''s)]]%,"")</f>
        <v/>
      </c>
      <c r="X147" s="5" t="str">
        <f>IFERROR(Table1[[#This Row],[First Pass Uncut (kg''s)]]/Table1[[#This Row],[Input Quantity (Kg''s)]]%,"")</f>
        <v/>
      </c>
      <c r="Y147" s="5" t="str">
        <f>IFERROR(Table1[[#This Row],[Final Uncut (kg''s)]]/Table1[[#This Row],[Input Quantity (Kg''s)]]%,"")</f>
        <v/>
      </c>
      <c r="Z147" s="21" t="str">
        <f>IFERROR(Table1[[#This Row],[Shell]]/Table1[[#This Row],[Input Quantity (Kg''s)]]%,"")</f>
        <v/>
      </c>
      <c r="AA147" s="21" t="str">
        <f>IFERROR(Table1[[#This Row],[Shell Dust]]/Table1[[#This Row],[Input Quantity (Kg''s)]]%,"")</f>
        <v/>
      </c>
    </row>
    <row r="148" spans="2:27" x14ac:dyDescent="0.3">
      <c r="B148" s="1"/>
      <c r="C148" s="15">
        <f>WEEKNUM(Table1[[#This Row],[Date]])</f>
        <v>0</v>
      </c>
      <c r="D148" s="1" t="str">
        <f>TEXT(Table1[[#This Row],[Date]],"mmm-yy")</f>
        <v>Jan-00</v>
      </c>
      <c r="E148" s="1"/>
      <c r="I148" s="3"/>
      <c r="M148" s="3"/>
      <c r="N148" s="3"/>
      <c r="O148" s="3"/>
      <c r="P148" s="3">
        <f>Table1[[#This Row],[Input Quantity (Kg''s)]]-SUM(Table1[[#This Row],[Wholes (kg''s)]:[Black Rejection (Kg''s)]],Table1[[#This Row],[Shell Dust]])</f>
        <v>0</v>
      </c>
      <c r="Q148" s="3">
        <f>SUM(Table1[[#This Row],[Wholes (kg''s)]:[Pieces (kg''s)]])</f>
        <v>0</v>
      </c>
      <c r="R148" s="3">
        <f>SUM(Table1[[#This Row],[Wholes (kg''s)]:[Black Rejection (Kg''s)]])</f>
        <v>0</v>
      </c>
      <c r="S148" s="4" t="str">
        <f>IFERROR(Table1[[#This Row],[Good Kernels (kg''s)]]/Table1[[#This Row],[Input Quantity (Kg''s)]]*176.36,"")</f>
        <v/>
      </c>
      <c r="T148" s="4" t="str">
        <f>IFERROR(Table1[[#This Row],[Good Kernels (kg''s)]]/Table1[[#This Row],[Input Quantity (Kg''s)]]%,"")</f>
        <v/>
      </c>
      <c r="U148" s="5" t="str">
        <f>IFERROR(Table1[[#This Row],[Final Kernels (kg''s)]]/Table1[[#This Row],[Input Quantity (Kg''s)]]%,"")</f>
        <v/>
      </c>
      <c r="V148" s="5" t="str">
        <f>IFERROR(Table1[[#This Row],[Wholes (kg''s)]]/Table1[[#This Row],[Good Kernels (kg''s)]]%,"")</f>
        <v/>
      </c>
      <c r="W148" s="5" t="str">
        <f>IFERROR(Table1[[#This Row],[Pieces (kg''s)]]/Table1[[#This Row],[Good Kernels (kg''s)]]%,"")</f>
        <v/>
      </c>
      <c r="X148" s="5" t="str">
        <f>IFERROR(Table1[[#This Row],[First Pass Uncut (kg''s)]]/Table1[[#This Row],[Input Quantity (Kg''s)]]%,"")</f>
        <v/>
      </c>
      <c r="Y148" s="5" t="str">
        <f>IFERROR(Table1[[#This Row],[Final Uncut (kg''s)]]/Table1[[#This Row],[Input Quantity (Kg''s)]]%,"")</f>
        <v/>
      </c>
      <c r="Z148" s="21" t="str">
        <f>IFERROR(Table1[[#This Row],[Shell]]/Table1[[#This Row],[Input Quantity (Kg''s)]]%,"")</f>
        <v/>
      </c>
      <c r="AA148" s="21" t="str">
        <f>IFERROR(Table1[[#This Row],[Shell Dust]]/Table1[[#This Row],[Input Quantity (Kg''s)]]%,"")</f>
        <v/>
      </c>
    </row>
    <row r="149" spans="2:27" x14ac:dyDescent="0.3">
      <c r="B149" s="1"/>
      <c r="C149" s="15">
        <f>WEEKNUM(Table1[[#This Row],[Date]])</f>
        <v>0</v>
      </c>
      <c r="D149" s="1" t="str">
        <f>TEXT(Table1[[#This Row],[Date]],"mmm-yy")</f>
        <v>Jan-00</v>
      </c>
      <c r="E149" s="1"/>
      <c r="I149" s="3"/>
      <c r="M149" s="3"/>
      <c r="N149" s="3"/>
      <c r="O149" s="3"/>
      <c r="P149" s="3">
        <f>Table1[[#This Row],[Input Quantity (Kg''s)]]-SUM(Table1[[#This Row],[Wholes (kg''s)]:[Black Rejection (Kg''s)]],Table1[[#This Row],[Shell Dust]])</f>
        <v>0</v>
      </c>
      <c r="Q149" s="3">
        <f>SUM(Table1[[#This Row],[Wholes (kg''s)]:[Pieces (kg''s)]])</f>
        <v>0</v>
      </c>
      <c r="R149" s="3">
        <f>SUM(Table1[[#This Row],[Wholes (kg''s)]:[Black Rejection (Kg''s)]])</f>
        <v>0</v>
      </c>
      <c r="S149" s="4" t="str">
        <f>IFERROR(Table1[[#This Row],[Good Kernels (kg''s)]]/Table1[[#This Row],[Input Quantity (Kg''s)]]*176.36,"")</f>
        <v/>
      </c>
      <c r="T149" s="4" t="str">
        <f>IFERROR(Table1[[#This Row],[Good Kernels (kg''s)]]/Table1[[#This Row],[Input Quantity (Kg''s)]]%,"")</f>
        <v/>
      </c>
      <c r="U149" s="5" t="str">
        <f>IFERROR(Table1[[#This Row],[Final Kernels (kg''s)]]/Table1[[#This Row],[Input Quantity (Kg''s)]]%,"")</f>
        <v/>
      </c>
      <c r="V149" s="5" t="str">
        <f>IFERROR(Table1[[#This Row],[Wholes (kg''s)]]/Table1[[#This Row],[Good Kernels (kg''s)]]%,"")</f>
        <v/>
      </c>
      <c r="W149" s="5" t="str">
        <f>IFERROR(Table1[[#This Row],[Pieces (kg''s)]]/Table1[[#This Row],[Good Kernels (kg''s)]]%,"")</f>
        <v/>
      </c>
      <c r="X149" s="5" t="str">
        <f>IFERROR(Table1[[#This Row],[First Pass Uncut (kg''s)]]/Table1[[#This Row],[Input Quantity (Kg''s)]]%,"")</f>
        <v/>
      </c>
      <c r="Y149" s="5" t="str">
        <f>IFERROR(Table1[[#This Row],[Final Uncut (kg''s)]]/Table1[[#This Row],[Input Quantity (Kg''s)]]%,"")</f>
        <v/>
      </c>
      <c r="Z149" s="21" t="str">
        <f>IFERROR(Table1[[#This Row],[Shell]]/Table1[[#This Row],[Input Quantity (Kg''s)]]%,"")</f>
        <v/>
      </c>
      <c r="AA149" s="21" t="str">
        <f>IFERROR(Table1[[#This Row],[Shell Dust]]/Table1[[#This Row],[Input Quantity (Kg''s)]]%,"")</f>
        <v/>
      </c>
    </row>
    <row r="150" spans="2:27" x14ac:dyDescent="0.3">
      <c r="B150" s="1"/>
      <c r="C150" s="15">
        <f>WEEKNUM(Table1[[#This Row],[Date]])</f>
        <v>0</v>
      </c>
      <c r="D150" s="1" t="str">
        <f>TEXT(Table1[[#This Row],[Date]],"mmm-yy")</f>
        <v>Jan-00</v>
      </c>
      <c r="E150" s="1"/>
      <c r="I150" s="3"/>
      <c r="M150" s="3"/>
      <c r="N150" s="3"/>
      <c r="O150" s="3"/>
      <c r="P150" s="3">
        <f>Table1[[#This Row],[Input Quantity (Kg''s)]]-SUM(Table1[[#This Row],[Wholes (kg''s)]:[Black Rejection (Kg''s)]],Table1[[#This Row],[Shell Dust]])</f>
        <v>0</v>
      </c>
      <c r="Q150" s="3">
        <f>SUM(Table1[[#This Row],[Wholes (kg''s)]:[Pieces (kg''s)]])</f>
        <v>0</v>
      </c>
      <c r="R150" s="3">
        <f>SUM(Table1[[#This Row],[Wholes (kg''s)]:[Black Rejection (Kg''s)]])</f>
        <v>0</v>
      </c>
      <c r="S150" s="4" t="str">
        <f>IFERROR(Table1[[#This Row],[Good Kernels (kg''s)]]/Table1[[#This Row],[Input Quantity (Kg''s)]]*176.36,"")</f>
        <v/>
      </c>
      <c r="T150" s="4" t="str">
        <f>IFERROR(Table1[[#This Row],[Good Kernels (kg''s)]]/Table1[[#This Row],[Input Quantity (Kg''s)]]%,"")</f>
        <v/>
      </c>
      <c r="U150" s="5" t="str">
        <f>IFERROR(Table1[[#This Row],[Final Kernels (kg''s)]]/Table1[[#This Row],[Input Quantity (Kg''s)]]%,"")</f>
        <v/>
      </c>
      <c r="V150" s="5" t="str">
        <f>IFERROR(Table1[[#This Row],[Wholes (kg''s)]]/Table1[[#This Row],[Good Kernels (kg''s)]]%,"")</f>
        <v/>
      </c>
      <c r="W150" s="5" t="str">
        <f>IFERROR(Table1[[#This Row],[Pieces (kg''s)]]/Table1[[#This Row],[Good Kernels (kg''s)]]%,"")</f>
        <v/>
      </c>
      <c r="X150" s="5" t="str">
        <f>IFERROR(Table1[[#This Row],[First Pass Uncut (kg''s)]]/Table1[[#This Row],[Input Quantity (Kg''s)]]%,"")</f>
        <v/>
      </c>
      <c r="Y150" s="5" t="str">
        <f>IFERROR(Table1[[#This Row],[Final Uncut (kg''s)]]/Table1[[#This Row],[Input Quantity (Kg''s)]]%,"")</f>
        <v/>
      </c>
      <c r="Z150" s="21" t="str">
        <f>IFERROR(Table1[[#This Row],[Shell]]/Table1[[#This Row],[Input Quantity (Kg''s)]]%,"")</f>
        <v/>
      </c>
      <c r="AA150" s="21" t="str">
        <f>IFERROR(Table1[[#This Row],[Shell Dust]]/Table1[[#This Row],[Input Quantity (Kg''s)]]%,"")</f>
        <v/>
      </c>
    </row>
    <row r="151" spans="2:27" x14ac:dyDescent="0.3">
      <c r="B151" s="1"/>
      <c r="C151" s="15">
        <f>WEEKNUM(Table1[[#This Row],[Date]])</f>
        <v>0</v>
      </c>
      <c r="D151" s="1" t="str">
        <f>TEXT(Table1[[#This Row],[Date]],"mmm-yy")</f>
        <v>Jan-00</v>
      </c>
      <c r="E151" s="1"/>
      <c r="I151" s="3"/>
      <c r="M151" s="3"/>
      <c r="N151" s="3"/>
      <c r="O151" s="3"/>
      <c r="P151" s="3">
        <f>Table1[[#This Row],[Input Quantity (Kg''s)]]-SUM(Table1[[#This Row],[Wholes (kg''s)]:[Black Rejection (Kg''s)]],Table1[[#This Row],[Shell Dust]])</f>
        <v>0</v>
      </c>
      <c r="Q151" s="3">
        <f>SUM(Table1[[#This Row],[Wholes (kg''s)]:[Pieces (kg''s)]])</f>
        <v>0</v>
      </c>
      <c r="R151" s="3">
        <f>SUM(Table1[[#This Row],[Wholes (kg''s)]:[Black Rejection (Kg''s)]])</f>
        <v>0</v>
      </c>
      <c r="S151" s="4" t="str">
        <f>IFERROR(Table1[[#This Row],[Good Kernels (kg''s)]]/Table1[[#This Row],[Input Quantity (Kg''s)]]*176.36,"")</f>
        <v/>
      </c>
      <c r="T151" s="4" t="str">
        <f>IFERROR(Table1[[#This Row],[Good Kernels (kg''s)]]/Table1[[#This Row],[Input Quantity (Kg''s)]]%,"")</f>
        <v/>
      </c>
      <c r="U151" s="5" t="str">
        <f>IFERROR(Table1[[#This Row],[Final Kernels (kg''s)]]/Table1[[#This Row],[Input Quantity (Kg''s)]]%,"")</f>
        <v/>
      </c>
      <c r="V151" s="5" t="str">
        <f>IFERROR(Table1[[#This Row],[Wholes (kg''s)]]/Table1[[#This Row],[Good Kernels (kg''s)]]%,"")</f>
        <v/>
      </c>
      <c r="W151" s="5" t="str">
        <f>IFERROR(Table1[[#This Row],[Pieces (kg''s)]]/Table1[[#This Row],[Good Kernels (kg''s)]]%,"")</f>
        <v/>
      </c>
      <c r="X151" s="5" t="str">
        <f>IFERROR(Table1[[#This Row],[First Pass Uncut (kg''s)]]/Table1[[#This Row],[Input Quantity (Kg''s)]]%,"")</f>
        <v/>
      </c>
      <c r="Y151" s="5" t="str">
        <f>IFERROR(Table1[[#This Row],[Final Uncut (kg''s)]]/Table1[[#This Row],[Input Quantity (Kg''s)]]%,"")</f>
        <v/>
      </c>
      <c r="Z151" s="21" t="str">
        <f>IFERROR(Table1[[#This Row],[Shell]]/Table1[[#This Row],[Input Quantity (Kg''s)]]%,"")</f>
        <v/>
      </c>
      <c r="AA151" s="21" t="str">
        <f>IFERROR(Table1[[#This Row],[Shell Dust]]/Table1[[#This Row],[Input Quantity (Kg''s)]]%,"")</f>
        <v/>
      </c>
    </row>
    <row r="152" spans="2:27" x14ac:dyDescent="0.3">
      <c r="B152" s="1"/>
      <c r="C152" s="15">
        <f>WEEKNUM(Table1[[#This Row],[Date]])</f>
        <v>0</v>
      </c>
      <c r="D152" s="1" t="str">
        <f>TEXT(Table1[[#This Row],[Date]],"mmm-yy")</f>
        <v>Jan-00</v>
      </c>
      <c r="E152" s="1"/>
      <c r="I152" s="3"/>
      <c r="M152" s="3"/>
      <c r="N152" s="3"/>
      <c r="O152" s="3"/>
      <c r="P152" s="3">
        <f>Table1[[#This Row],[Input Quantity (Kg''s)]]-SUM(Table1[[#This Row],[Wholes (kg''s)]:[Black Rejection (Kg''s)]],Table1[[#This Row],[Shell Dust]])</f>
        <v>0</v>
      </c>
      <c r="Q152" s="3">
        <f>SUM(Table1[[#This Row],[Wholes (kg''s)]:[Pieces (kg''s)]])</f>
        <v>0</v>
      </c>
      <c r="R152" s="3">
        <f>SUM(Table1[[#This Row],[Wholes (kg''s)]:[Black Rejection (Kg''s)]])</f>
        <v>0</v>
      </c>
      <c r="S152" s="4" t="str">
        <f>IFERROR(Table1[[#This Row],[Good Kernels (kg''s)]]/Table1[[#This Row],[Input Quantity (Kg''s)]]*176.36,"")</f>
        <v/>
      </c>
      <c r="T152" s="4" t="str">
        <f>IFERROR(Table1[[#This Row],[Good Kernels (kg''s)]]/Table1[[#This Row],[Input Quantity (Kg''s)]]%,"")</f>
        <v/>
      </c>
      <c r="U152" s="5" t="str">
        <f>IFERROR(Table1[[#This Row],[Final Kernels (kg''s)]]/Table1[[#This Row],[Input Quantity (Kg''s)]]%,"")</f>
        <v/>
      </c>
      <c r="V152" s="5" t="str">
        <f>IFERROR(Table1[[#This Row],[Wholes (kg''s)]]/Table1[[#This Row],[Good Kernels (kg''s)]]%,"")</f>
        <v/>
      </c>
      <c r="W152" s="5" t="str">
        <f>IFERROR(Table1[[#This Row],[Pieces (kg''s)]]/Table1[[#This Row],[Good Kernels (kg''s)]]%,"")</f>
        <v/>
      </c>
      <c r="X152" s="5" t="str">
        <f>IFERROR(Table1[[#This Row],[First Pass Uncut (kg''s)]]/Table1[[#This Row],[Input Quantity (Kg''s)]]%,"")</f>
        <v/>
      </c>
      <c r="Y152" s="5" t="str">
        <f>IFERROR(Table1[[#This Row],[Final Uncut (kg''s)]]/Table1[[#This Row],[Input Quantity (Kg''s)]]%,"")</f>
        <v/>
      </c>
      <c r="Z152" s="21" t="str">
        <f>IFERROR(Table1[[#This Row],[Shell]]/Table1[[#This Row],[Input Quantity (Kg''s)]]%,"")</f>
        <v/>
      </c>
      <c r="AA152" s="21" t="str">
        <f>IFERROR(Table1[[#This Row],[Shell Dust]]/Table1[[#This Row],[Input Quantity (Kg''s)]]%,"")</f>
        <v/>
      </c>
    </row>
    <row r="153" spans="2:27" x14ac:dyDescent="0.3">
      <c r="B153" s="1"/>
      <c r="C153" s="15">
        <f>WEEKNUM(Table1[[#This Row],[Date]])</f>
        <v>0</v>
      </c>
      <c r="D153" s="1" t="str">
        <f>TEXT(Table1[[#This Row],[Date]],"mmm-yy")</f>
        <v>Jan-00</v>
      </c>
      <c r="E153" s="1"/>
      <c r="I153" s="3"/>
      <c r="M153" s="3"/>
      <c r="N153" s="3"/>
      <c r="O153" s="3"/>
      <c r="P153" s="3">
        <f>Table1[[#This Row],[Input Quantity (Kg''s)]]-SUM(Table1[[#This Row],[Wholes (kg''s)]:[Black Rejection (Kg''s)]],Table1[[#This Row],[Shell Dust]])</f>
        <v>0</v>
      </c>
      <c r="Q153" s="3">
        <f>SUM(Table1[[#This Row],[Wholes (kg''s)]:[Pieces (kg''s)]])</f>
        <v>0</v>
      </c>
      <c r="R153" s="3">
        <f>SUM(Table1[[#This Row],[Wholes (kg''s)]:[Black Rejection (Kg''s)]])</f>
        <v>0</v>
      </c>
      <c r="S153" s="4" t="str">
        <f>IFERROR(Table1[[#This Row],[Good Kernels (kg''s)]]/Table1[[#This Row],[Input Quantity (Kg''s)]]*176.36,"")</f>
        <v/>
      </c>
      <c r="T153" s="4" t="str">
        <f>IFERROR(Table1[[#This Row],[Good Kernels (kg''s)]]/Table1[[#This Row],[Input Quantity (Kg''s)]]%,"")</f>
        <v/>
      </c>
      <c r="U153" s="5" t="str">
        <f>IFERROR(Table1[[#This Row],[Final Kernels (kg''s)]]/Table1[[#This Row],[Input Quantity (Kg''s)]]%,"")</f>
        <v/>
      </c>
      <c r="V153" s="5" t="str">
        <f>IFERROR(Table1[[#This Row],[Wholes (kg''s)]]/Table1[[#This Row],[Good Kernels (kg''s)]]%,"")</f>
        <v/>
      </c>
      <c r="W153" s="5" t="str">
        <f>IFERROR(Table1[[#This Row],[Pieces (kg''s)]]/Table1[[#This Row],[Good Kernels (kg''s)]]%,"")</f>
        <v/>
      </c>
      <c r="X153" s="5" t="str">
        <f>IFERROR(Table1[[#This Row],[First Pass Uncut (kg''s)]]/Table1[[#This Row],[Input Quantity (Kg''s)]]%,"")</f>
        <v/>
      </c>
      <c r="Y153" s="5" t="str">
        <f>IFERROR(Table1[[#This Row],[Final Uncut (kg''s)]]/Table1[[#This Row],[Input Quantity (Kg''s)]]%,"")</f>
        <v/>
      </c>
      <c r="Z153" s="21" t="str">
        <f>IFERROR(Table1[[#This Row],[Shell]]/Table1[[#This Row],[Input Quantity (Kg''s)]]%,"")</f>
        <v/>
      </c>
      <c r="AA153" s="21" t="str">
        <f>IFERROR(Table1[[#This Row],[Shell Dust]]/Table1[[#This Row],[Input Quantity (Kg''s)]]%,"")</f>
        <v/>
      </c>
    </row>
    <row r="154" spans="2:27" x14ac:dyDescent="0.3">
      <c r="B154" s="1"/>
      <c r="C154" s="15">
        <f>WEEKNUM(Table1[[#This Row],[Date]])</f>
        <v>0</v>
      </c>
      <c r="D154" s="1" t="str">
        <f>TEXT(Table1[[#This Row],[Date]],"mmm-yy")</f>
        <v>Jan-00</v>
      </c>
      <c r="E154" s="1"/>
      <c r="I154" s="3"/>
      <c r="M154" s="3"/>
      <c r="N154" s="3"/>
      <c r="O154" s="3"/>
      <c r="P154" s="3">
        <f>Table1[[#This Row],[Input Quantity (Kg''s)]]-SUM(Table1[[#This Row],[Wholes (kg''s)]:[Black Rejection (Kg''s)]],Table1[[#This Row],[Shell Dust]])</f>
        <v>0</v>
      </c>
      <c r="Q154" s="3">
        <f>SUM(Table1[[#This Row],[Wholes (kg''s)]:[Pieces (kg''s)]])</f>
        <v>0</v>
      </c>
      <c r="R154" s="3">
        <f>SUM(Table1[[#This Row],[Wholes (kg''s)]:[Black Rejection (Kg''s)]])</f>
        <v>0</v>
      </c>
      <c r="S154" s="4" t="str">
        <f>IFERROR(Table1[[#This Row],[Good Kernels (kg''s)]]/Table1[[#This Row],[Input Quantity (Kg''s)]]*176.36,"")</f>
        <v/>
      </c>
      <c r="T154" s="4" t="str">
        <f>IFERROR(Table1[[#This Row],[Good Kernels (kg''s)]]/Table1[[#This Row],[Input Quantity (Kg''s)]]%,"")</f>
        <v/>
      </c>
      <c r="U154" s="5" t="str">
        <f>IFERROR(Table1[[#This Row],[Final Kernels (kg''s)]]/Table1[[#This Row],[Input Quantity (Kg''s)]]%,"")</f>
        <v/>
      </c>
      <c r="V154" s="5" t="str">
        <f>IFERROR(Table1[[#This Row],[Wholes (kg''s)]]/Table1[[#This Row],[Good Kernels (kg''s)]]%,"")</f>
        <v/>
      </c>
      <c r="W154" s="5" t="str">
        <f>IFERROR(Table1[[#This Row],[Pieces (kg''s)]]/Table1[[#This Row],[Good Kernels (kg''s)]]%,"")</f>
        <v/>
      </c>
      <c r="X154" s="5" t="str">
        <f>IFERROR(Table1[[#This Row],[First Pass Uncut (kg''s)]]/Table1[[#This Row],[Input Quantity (Kg''s)]]%,"")</f>
        <v/>
      </c>
      <c r="Y154" s="5" t="str">
        <f>IFERROR(Table1[[#This Row],[Final Uncut (kg''s)]]/Table1[[#This Row],[Input Quantity (Kg''s)]]%,"")</f>
        <v/>
      </c>
      <c r="Z154" s="21" t="str">
        <f>IFERROR(Table1[[#This Row],[Shell]]/Table1[[#This Row],[Input Quantity (Kg''s)]]%,"")</f>
        <v/>
      </c>
      <c r="AA154" s="21" t="str">
        <f>IFERROR(Table1[[#This Row],[Shell Dust]]/Table1[[#This Row],[Input Quantity (Kg''s)]]%,"")</f>
        <v/>
      </c>
    </row>
    <row r="155" spans="2:27" x14ac:dyDescent="0.3">
      <c r="B155" s="1"/>
      <c r="C155" s="15">
        <f>WEEKNUM(Table1[[#This Row],[Date]])</f>
        <v>0</v>
      </c>
      <c r="D155" s="1" t="str">
        <f>TEXT(Table1[[#This Row],[Date]],"mmm-yy")</f>
        <v>Jan-00</v>
      </c>
      <c r="E155" s="1"/>
      <c r="I155" s="3"/>
      <c r="M155" s="3"/>
      <c r="N155" s="3"/>
      <c r="O155" s="3"/>
      <c r="P155" s="3">
        <f>Table1[[#This Row],[Input Quantity (Kg''s)]]-SUM(Table1[[#This Row],[Wholes (kg''s)]:[Black Rejection (Kg''s)]],Table1[[#This Row],[Shell Dust]])</f>
        <v>0</v>
      </c>
      <c r="Q155" s="3">
        <f>SUM(Table1[[#This Row],[Wholes (kg''s)]:[Pieces (kg''s)]])</f>
        <v>0</v>
      </c>
      <c r="R155" s="3">
        <f>SUM(Table1[[#This Row],[Wholes (kg''s)]:[Black Rejection (Kg''s)]])</f>
        <v>0</v>
      </c>
      <c r="S155" s="4" t="str">
        <f>IFERROR(Table1[[#This Row],[Good Kernels (kg''s)]]/Table1[[#This Row],[Input Quantity (Kg''s)]]*176.36,"")</f>
        <v/>
      </c>
      <c r="T155" s="4" t="str">
        <f>IFERROR(Table1[[#This Row],[Good Kernels (kg''s)]]/Table1[[#This Row],[Input Quantity (Kg''s)]]%,"")</f>
        <v/>
      </c>
      <c r="U155" s="5" t="str">
        <f>IFERROR(Table1[[#This Row],[Final Kernels (kg''s)]]/Table1[[#This Row],[Input Quantity (Kg''s)]]%,"")</f>
        <v/>
      </c>
      <c r="V155" s="5" t="str">
        <f>IFERROR(Table1[[#This Row],[Wholes (kg''s)]]/Table1[[#This Row],[Good Kernels (kg''s)]]%,"")</f>
        <v/>
      </c>
      <c r="W155" s="5" t="str">
        <f>IFERROR(Table1[[#This Row],[Pieces (kg''s)]]/Table1[[#This Row],[Good Kernels (kg''s)]]%,"")</f>
        <v/>
      </c>
      <c r="X155" s="5" t="str">
        <f>IFERROR(Table1[[#This Row],[First Pass Uncut (kg''s)]]/Table1[[#This Row],[Input Quantity (Kg''s)]]%,"")</f>
        <v/>
      </c>
      <c r="Y155" s="5" t="str">
        <f>IFERROR(Table1[[#This Row],[Final Uncut (kg''s)]]/Table1[[#This Row],[Input Quantity (Kg''s)]]%,"")</f>
        <v/>
      </c>
      <c r="Z155" s="21" t="str">
        <f>IFERROR(Table1[[#This Row],[Shell]]/Table1[[#This Row],[Input Quantity (Kg''s)]]%,"")</f>
        <v/>
      </c>
      <c r="AA155" s="21" t="str">
        <f>IFERROR(Table1[[#This Row],[Shell Dust]]/Table1[[#This Row],[Input Quantity (Kg''s)]]%,"")</f>
        <v/>
      </c>
    </row>
    <row r="156" spans="2:27" x14ac:dyDescent="0.3">
      <c r="B156" s="1"/>
      <c r="C156" s="15">
        <f>WEEKNUM(Table1[[#This Row],[Date]])</f>
        <v>0</v>
      </c>
      <c r="D156" s="1" t="str">
        <f>TEXT(Table1[[#This Row],[Date]],"mmm-yy")</f>
        <v>Jan-00</v>
      </c>
      <c r="E156" s="1"/>
      <c r="I156" s="3"/>
      <c r="M156" s="3"/>
      <c r="N156" s="3"/>
      <c r="O156" s="3"/>
      <c r="P156" s="3">
        <f>Table1[[#This Row],[Input Quantity (Kg''s)]]-SUM(Table1[[#This Row],[Wholes (kg''s)]:[Black Rejection (Kg''s)]],Table1[[#This Row],[Shell Dust]])</f>
        <v>0</v>
      </c>
      <c r="Q156" s="3">
        <f>SUM(Table1[[#This Row],[Wholes (kg''s)]:[Pieces (kg''s)]])</f>
        <v>0</v>
      </c>
      <c r="R156" s="3">
        <f>SUM(Table1[[#This Row],[Wholes (kg''s)]:[Black Rejection (Kg''s)]])</f>
        <v>0</v>
      </c>
      <c r="S156" s="4" t="str">
        <f>IFERROR(Table1[[#This Row],[Good Kernels (kg''s)]]/Table1[[#This Row],[Input Quantity (Kg''s)]]*176.36,"")</f>
        <v/>
      </c>
      <c r="T156" s="4" t="str">
        <f>IFERROR(Table1[[#This Row],[Good Kernels (kg''s)]]/Table1[[#This Row],[Input Quantity (Kg''s)]]%,"")</f>
        <v/>
      </c>
      <c r="U156" s="5" t="str">
        <f>IFERROR(Table1[[#This Row],[Final Kernels (kg''s)]]/Table1[[#This Row],[Input Quantity (Kg''s)]]%,"")</f>
        <v/>
      </c>
      <c r="V156" s="5" t="str">
        <f>IFERROR(Table1[[#This Row],[Wholes (kg''s)]]/Table1[[#This Row],[Good Kernels (kg''s)]]%,"")</f>
        <v/>
      </c>
      <c r="W156" s="5" t="str">
        <f>IFERROR(Table1[[#This Row],[Pieces (kg''s)]]/Table1[[#This Row],[Good Kernels (kg''s)]]%,"")</f>
        <v/>
      </c>
      <c r="X156" s="5" t="str">
        <f>IFERROR(Table1[[#This Row],[First Pass Uncut (kg''s)]]/Table1[[#This Row],[Input Quantity (Kg''s)]]%,"")</f>
        <v/>
      </c>
      <c r="Y156" s="5" t="str">
        <f>IFERROR(Table1[[#This Row],[Final Uncut (kg''s)]]/Table1[[#This Row],[Input Quantity (Kg''s)]]%,"")</f>
        <v/>
      </c>
      <c r="Z156" s="21" t="str">
        <f>IFERROR(Table1[[#This Row],[Shell]]/Table1[[#This Row],[Input Quantity (Kg''s)]]%,"")</f>
        <v/>
      </c>
      <c r="AA156" s="21" t="str">
        <f>IFERROR(Table1[[#This Row],[Shell Dust]]/Table1[[#This Row],[Input Quantity (Kg''s)]]%,"")</f>
        <v/>
      </c>
    </row>
    <row r="157" spans="2:27" x14ac:dyDescent="0.3">
      <c r="B157" s="1"/>
      <c r="C157" s="15">
        <f>WEEKNUM(Table1[[#This Row],[Date]])</f>
        <v>0</v>
      </c>
      <c r="D157" s="1" t="str">
        <f>TEXT(Table1[[#This Row],[Date]],"mmm-yy")</f>
        <v>Jan-00</v>
      </c>
      <c r="E157" s="1"/>
      <c r="I157" s="3"/>
      <c r="M157" s="3"/>
      <c r="N157" s="3"/>
      <c r="O157" s="3"/>
      <c r="P157" s="3">
        <f>Table1[[#This Row],[Input Quantity (Kg''s)]]-SUM(Table1[[#This Row],[Wholes (kg''s)]:[Black Rejection (Kg''s)]],Table1[[#This Row],[Shell Dust]])</f>
        <v>0</v>
      </c>
      <c r="Q157" s="3">
        <f>SUM(Table1[[#This Row],[Wholes (kg''s)]:[Pieces (kg''s)]])</f>
        <v>0</v>
      </c>
      <c r="R157" s="3">
        <f>SUM(Table1[[#This Row],[Wholes (kg''s)]:[Black Rejection (Kg''s)]])</f>
        <v>0</v>
      </c>
      <c r="S157" s="4" t="str">
        <f>IFERROR(Table1[[#This Row],[Good Kernels (kg''s)]]/Table1[[#This Row],[Input Quantity (Kg''s)]]*176.36,"")</f>
        <v/>
      </c>
      <c r="T157" s="4" t="str">
        <f>IFERROR(Table1[[#This Row],[Good Kernels (kg''s)]]/Table1[[#This Row],[Input Quantity (Kg''s)]]%,"")</f>
        <v/>
      </c>
      <c r="U157" s="5" t="str">
        <f>IFERROR(Table1[[#This Row],[Final Kernels (kg''s)]]/Table1[[#This Row],[Input Quantity (Kg''s)]]%,"")</f>
        <v/>
      </c>
      <c r="V157" s="5" t="str">
        <f>IFERROR(Table1[[#This Row],[Wholes (kg''s)]]/Table1[[#This Row],[Good Kernels (kg''s)]]%,"")</f>
        <v/>
      </c>
      <c r="W157" s="5" t="str">
        <f>IFERROR(Table1[[#This Row],[Pieces (kg''s)]]/Table1[[#This Row],[Good Kernels (kg''s)]]%,"")</f>
        <v/>
      </c>
      <c r="X157" s="5" t="str">
        <f>IFERROR(Table1[[#This Row],[First Pass Uncut (kg''s)]]/Table1[[#This Row],[Input Quantity (Kg''s)]]%,"")</f>
        <v/>
      </c>
      <c r="Y157" s="5" t="str">
        <f>IFERROR(Table1[[#This Row],[Final Uncut (kg''s)]]/Table1[[#This Row],[Input Quantity (Kg''s)]]%,"")</f>
        <v/>
      </c>
      <c r="Z157" s="21" t="str">
        <f>IFERROR(Table1[[#This Row],[Shell]]/Table1[[#This Row],[Input Quantity (Kg''s)]]%,"")</f>
        <v/>
      </c>
      <c r="AA157" s="21" t="str">
        <f>IFERROR(Table1[[#This Row],[Shell Dust]]/Table1[[#This Row],[Input Quantity (Kg''s)]]%,"")</f>
        <v/>
      </c>
    </row>
    <row r="158" spans="2:27" x14ac:dyDescent="0.3">
      <c r="B158" s="1"/>
      <c r="C158" s="15">
        <f>WEEKNUM(Table1[[#This Row],[Date]])</f>
        <v>0</v>
      </c>
      <c r="D158" s="1" t="str">
        <f>TEXT(Table1[[#This Row],[Date]],"mmm-yy")</f>
        <v>Jan-00</v>
      </c>
      <c r="E158" s="1"/>
      <c r="I158" s="3"/>
      <c r="M158" s="3"/>
      <c r="N158" s="3"/>
      <c r="O158" s="3"/>
      <c r="P158" s="3">
        <f>Table1[[#This Row],[Input Quantity (Kg''s)]]-SUM(Table1[[#This Row],[Wholes (kg''s)]:[Black Rejection (Kg''s)]],Table1[[#This Row],[Shell Dust]])</f>
        <v>0</v>
      </c>
      <c r="Q158" s="3">
        <f>SUM(Table1[[#This Row],[Wholes (kg''s)]:[Pieces (kg''s)]])</f>
        <v>0</v>
      </c>
      <c r="R158" s="3">
        <f>SUM(Table1[[#This Row],[Wholes (kg''s)]:[Black Rejection (Kg''s)]])</f>
        <v>0</v>
      </c>
      <c r="S158" s="4" t="str">
        <f>IFERROR(Table1[[#This Row],[Good Kernels (kg''s)]]/Table1[[#This Row],[Input Quantity (Kg''s)]]*176.36,"")</f>
        <v/>
      </c>
      <c r="T158" s="4" t="str">
        <f>IFERROR(Table1[[#This Row],[Good Kernels (kg''s)]]/Table1[[#This Row],[Input Quantity (Kg''s)]]%,"")</f>
        <v/>
      </c>
      <c r="U158" s="5" t="str">
        <f>IFERROR(Table1[[#This Row],[Final Kernels (kg''s)]]/Table1[[#This Row],[Input Quantity (Kg''s)]]%,"")</f>
        <v/>
      </c>
      <c r="V158" s="5" t="str">
        <f>IFERROR(Table1[[#This Row],[Wholes (kg''s)]]/Table1[[#This Row],[Good Kernels (kg''s)]]%,"")</f>
        <v/>
      </c>
      <c r="W158" s="5" t="str">
        <f>IFERROR(Table1[[#This Row],[Pieces (kg''s)]]/Table1[[#This Row],[Good Kernels (kg''s)]]%,"")</f>
        <v/>
      </c>
      <c r="X158" s="5" t="str">
        <f>IFERROR(Table1[[#This Row],[First Pass Uncut (kg''s)]]/Table1[[#This Row],[Input Quantity (Kg''s)]]%,"")</f>
        <v/>
      </c>
      <c r="Y158" s="5" t="str">
        <f>IFERROR(Table1[[#This Row],[Final Uncut (kg''s)]]/Table1[[#This Row],[Input Quantity (Kg''s)]]%,"")</f>
        <v/>
      </c>
      <c r="Z158" s="21" t="str">
        <f>IFERROR(Table1[[#This Row],[Shell]]/Table1[[#This Row],[Input Quantity (Kg''s)]]%,"")</f>
        <v/>
      </c>
      <c r="AA158" s="21" t="str">
        <f>IFERROR(Table1[[#This Row],[Shell Dust]]/Table1[[#This Row],[Input Quantity (Kg''s)]]%,"")</f>
        <v/>
      </c>
    </row>
    <row r="159" spans="2:27" x14ac:dyDescent="0.3">
      <c r="B159" s="1"/>
      <c r="C159" s="15">
        <f>WEEKNUM(Table1[[#This Row],[Date]])</f>
        <v>0</v>
      </c>
      <c r="D159" s="1" t="str">
        <f>TEXT(Table1[[#This Row],[Date]],"mmm-yy")</f>
        <v>Jan-00</v>
      </c>
      <c r="E159" s="1"/>
      <c r="I159" s="3"/>
      <c r="M159" s="3"/>
      <c r="N159" s="3"/>
      <c r="O159" s="3"/>
      <c r="P159" s="3">
        <f>Table1[[#This Row],[Input Quantity (Kg''s)]]-SUM(Table1[[#This Row],[Wholes (kg''s)]:[Black Rejection (Kg''s)]],Table1[[#This Row],[Shell Dust]])</f>
        <v>0</v>
      </c>
      <c r="Q159" s="3">
        <f>SUM(Table1[[#This Row],[Wholes (kg''s)]:[Pieces (kg''s)]])</f>
        <v>0</v>
      </c>
      <c r="R159" s="3">
        <f>SUM(Table1[[#This Row],[Wholes (kg''s)]:[Black Rejection (Kg''s)]])</f>
        <v>0</v>
      </c>
      <c r="S159" s="4" t="str">
        <f>IFERROR(Table1[[#This Row],[Good Kernels (kg''s)]]/Table1[[#This Row],[Input Quantity (Kg''s)]]*176.36,"")</f>
        <v/>
      </c>
      <c r="T159" s="4" t="str">
        <f>IFERROR(Table1[[#This Row],[Good Kernels (kg''s)]]/Table1[[#This Row],[Input Quantity (Kg''s)]]%,"")</f>
        <v/>
      </c>
      <c r="U159" s="5" t="str">
        <f>IFERROR(Table1[[#This Row],[Final Kernels (kg''s)]]/Table1[[#This Row],[Input Quantity (Kg''s)]]%,"")</f>
        <v/>
      </c>
      <c r="V159" s="5" t="str">
        <f>IFERROR(Table1[[#This Row],[Wholes (kg''s)]]/Table1[[#This Row],[Good Kernels (kg''s)]]%,"")</f>
        <v/>
      </c>
      <c r="W159" s="5" t="str">
        <f>IFERROR(Table1[[#This Row],[Pieces (kg''s)]]/Table1[[#This Row],[Good Kernels (kg''s)]]%,"")</f>
        <v/>
      </c>
      <c r="X159" s="5" t="str">
        <f>IFERROR(Table1[[#This Row],[First Pass Uncut (kg''s)]]/Table1[[#This Row],[Input Quantity (Kg''s)]]%,"")</f>
        <v/>
      </c>
      <c r="Y159" s="5" t="str">
        <f>IFERROR(Table1[[#This Row],[Final Uncut (kg''s)]]/Table1[[#This Row],[Input Quantity (Kg''s)]]%,"")</f>
        <v/>
      </c>
      <c r="Z159" s="21" t="str">
        <f>IFERROR(Table1[[#This Row],[Shell]]/Table1[[#This Row],[Input Quantity (Kg''s)]]%,"")</f>
        <v/>
      </c>
      <c r="AA159" s="21" t="str">
        <f>IFERROR(Table1[[#This Row],[Shell Dust]]/Table1[[#This Row],[Input Quantity (Kg''s)]]%,"")</f>
        <v/>
      </c>
    </row>
    <row r="160" spans="2:27" x14ac:dyDescent="0.3">
      <c r="B160" s="1"/>
      <c r="C160" s="15">
        <f>WEEKNUM(Table1[[#This Row],[Date]])</f>
        <v>0</v>
      </c>
      <c r="D160" s="1" t="str">
        <f>TEXT(Table1[[#This Row],[Date]],"mmm-yy")</f>
        <v>Jan-00</v>
      </c>
      <c r="E160" s="1"/>
      <c r="I160" s="3"/>
      <c r="M160" s="3"/>
      <c r="N160" s="3"/>
      <c r="O160" s="3"/>
      <c r="P160" s="3">
        <f>Table1[[#This Row],[Input Quantity (Kg''s)]]-SUM(Table1[[#This Row],[Wholes (kg''s)]:[Black Rejection (Kg''s)]],Table1[[#This Row],[Shell Dust]])</f>
        <v>0</v>
      </c>
      <c r="Q160" s="3">
        <f>SUM(Table1[[#This Row],[Wholes (kg''s)]:[Pieces (kg''s)]])</f>
        <v>0</v>
      </c>
      <c r="R160" s="3">
        <f>SUM(Table1[[#This Row],[Wholes (kg''s)]:[Black Rejection (Kg''s)]])</f>
        <v>0</v>
      </c>
      <c r="S160" s="4" t="str">
        <f>IFERROR(Table1[[#This Row],[Good Kernels (kg''s)]]/Table1[[#This Row],[Input Quantity (Kg''s)]]*176.36,"")</f>
        <v/>
      </c>
      <c r="T160" s="4" t="str">
        <f>IFERROR(Table1[[#This Row],[Good Kernels (kg''s)]]/Table1[[#This Row],[Input Quantity (Kg''s)]]%,"")</f>
        <v/>
      </c>
      <c r="U160" s="5" t="str">
        <f>IFERROR(Table1[[#This Row],[Final Kernels (kg''s)]]/Table1[[#This Row],[Input Quantity (Kg''s)]]%,"")</f>
        <v/>
      </c>
      <c r="V160" s="5" t="str">
        <f>IFERROR(Table1[[#This Row],[Wholes (kg''s)]]/Table1[[#This Row],[Good Kernels (kg''s)]]%,"")</f>
        <v/>
      </c>
      <c r="W160" s="5" t="str">
        <f>IFERROR(Table1[[#This Row],[Pieces (kg''s)]]/Table1[[#This Row],[Good Kernels (kg''s)]]%,"")</f>
        <v/>
      </c>
      <c r="X160" s="5" t="str">
        <f>IFERROR(Table1[[#This Row],[First Pass Uncut (kg''s)]]/Table1[[#This Row],[Input Quantity (Kg''s)]]%,"")</f>
        <v/>
      </c>
      <c r="Y160" s="5" t="str">
        <f>IFERROR(Table1[[#This Row],[Final Uncut (kg''s)]]/Table1[[#This Row],[Input Quantity (Kg''s)]]%,"")</f>
        <v/>
      </c>
      <c r="Z160" s="21" t="str">
        <f>IFERROR(Table1[[#This Row],[Shell]]/Table1[[#This Row],[Input Quantity (Kg''s)]]%,"")</f>
        <v/>
      </c>
      <c r="AA160" s="21" t="str">
        <f>IFERROR(Table1[[#This Row],[Shell Dust]]/Table1[[#This Row],[Input Quantity (Kg''s)]]%,"")</f>
        <v/>
      </c>
    </row>
    <row r="161" spans="2:27" x14ac:dyDescent="0.3">
      <c r="B161" s="1"/>
      <c r="C161" s="15">
        <f>WEEKNUM(Table1[[#This Row],[Date]])</f>
        <v>0</v>
      </c>
      <c r="D161" s="1" t="str">
        <f>TEXT(Table1[[#This Row],[Date]],"mmm-yy")</f>
        <v>Jan-00</v>
      </c>
      <c r="E161" s="1"/>
      <c r="I161" s="3"/>
      <c r="M161" s="3"/>
      <c r="N161" s="3"/>
      <c r="O161" s="3"/>
      <c r="P161" s="3">
        <f>Table1[[#This Row],[Input Quantity (Kg''s)]]-SUM(Table1[[#This Row],[Wholes (kg''s)]:[Black Rejection (Kg''s)]],Table1[[#This Row],[Shell Dust]])</f>
        <v>0</v>
      </c>
      <c r="Q161" s="3">
        <f>SUM(Table1[[#This Row],[Wholes (kg''s)]:[Pieces (kg''s)]])</f>
        <v>0</v>
      </c>
      <c r="R161" s="3">
        <f>SUM(Table1[[#This Row],[Wholes (kg''s)]:[Black Rejection (Kg''s)]])</f>
        <v>0</v>
      </c>
      <c r="S161" s="4" t="str">
        <f>IFERROR(Table1[[#This Row],[Good Kernels (kg''s)]]/Table1[[#This Row],[Input Quantity (Kg''s)]]*176.36,"")</f>
        <v/>
      </c>
      <c r="T161" s="4" t="str">
        <f>IFERROR(Table1[[#This Row],[Good Kernels (kg''s)]]/Table1[[#This Row],[Input Quantity (Kg''s)]]%,"")</f>
        <v/>
      </c>
      <c r="U161" s="5" t="str">
        <f>IFERROR(Table1[[#This Row],[Final Kernels (kg''s)]]/Table1[[#This Row],[Input Quantity (Kg''s)]]%,"")</f>
        <v/>
      </c>
      <c r="V161" s="5" t="str">
        <f>IFERROR(Table1[[#This Row],[Wholes (kg''s)]]/Table1[[#This Row],[Good Kernels (kg''s)]]%,"")</f>
        <v/>
      </c>
      <c r="W161" s="5" t="str">
        <f>IFERROR(Table1[[#This Row],[Pieces (kg''s)]]/Table1[[#This Row],[Good Kernels (kg''s)]]%,"")</f>
        <v/>
      </c>
      <c r="X161" s="5" t="str">
        <f>IFERROR(Table1[[#This Row],[First Pass Uncut (kg''s)]]/Table1[[#This Row],[Input Quantity (Kg''s)]]%,"")</f>
        <v/>
      </c>
      <c r="Y161" s="5" t="str">
        <f>IFERROR(Table1[[#This Row],[Final Uncut (kg''s)]]/Table1[[#This Row],[Input Quantity (Kg''s)]]%,"")</f>
        <v/>
      </c>
      <c r="Z161" s="21" t="str">
        <f>IFERROR(Table1[[#This Row],[Shell]]/Table1[[#This Row],[Input Quantity (Kg''s)]]%,"")</f>
        <v/>
      </c>
      <c r="AA161" s="21" t="str">
        <f>IFERROR(Table1[[#This Row],[Shell Dust]]/Table1[[#This Row],[Input Quantity (Kg''s)]]%,"")</f>
        <v/>
      </c>
    </row>
    <row r="162" spans="2:27" x14ac:dyDescent="0.3">
      <c r="B162" s="1"/>
      <c r="C162" s="15">
        <f>WEEKNUM(Table1[[#This Row],[Date]])</f>
        <v>0</v>
      </c>
      <c r="D162" s="1" t="str">
        <f>TEXT(Table1[[#This Row],[Date]],"mmm-yy")</f>
        <v>Jan-00</v>
      </c>
      <c r="E162" s="1"/>
      <c r="I162" s="3"/>
      <c r="M162" s="3"/>
      <c r="N162" s="3"/>
      <c r="O162" s="3"/>
      <c r="P162" s="3">
        <f>Table1[[#This Row],[Input Quantity (Kg''s)]]-SUM(Table1[[#This Row],[Wholes (kg''s)]:[Black Rejection (Kg''s)]],Table1[[#This Row],[Shell Dust]])</f>
        <v>0</v>
      </c>
      <c r="Q162" s="3">
        <f>SUM(Table1[[#This Row],[Wholes (kg''s)]:[Pieces (kg''s)]])</f>
        <v>0</v>
      </c>
      <c r="R162" s="3">
        <f>SUM(Table1[[#This Row],[Wholes (kg''s)]:[Black Rejection (Kg''s)]])</f>
        <v>0</v>
      </c>
      <c r="S162" s="4" t="str">
        <f>IFERROR(Table1[[#This Row],[Good Kernels (kg''s)]]/Table1[[#This Row],[Input Quantity (Kg''s)]]*176.36,"")</f>
        <v/>
      </c>
      <c r="T162" s="4" t="str">
        <f>IFERROR(Table1[[#This Row],[Good Kernels (kg''s)]]/Table1[[#This Row],[Input Quantity (Kg''s)]]%,"")</f>
        <v/>
      </c>
      <c r="U162" s="5" t="str">
        <f>IFERROR(Table1[[#This Row],[Final Kernels (kg''s)]]/Table1[[#This Row],[Input Quantity (Kg''s)]]%,"")</f>
        <v/>
      </c>
      <c r="V162" s="5" t="str">
        <f>IFERROR(Table1[[#This Row],[Wholes (kg''s)]]/Table1[[#This Row],[Good Kernels (kg''s)]]%,"")</f>
        <v/>
      </c>
      <c r="W162" s="5" t="str">
        <f>IFERROR(Table1[[#This Row],[Pieces (kg''s)]]/Table1[[#This Row],[Good Kernels (kg''s)]]%,"")</f>
        <v/>
      </c>
      <c r="X162" s="5" t="str">
        <f>IFERROR(Table1[[#This Row],[First Pass Uncut (kg''s)]]/Table1[[#This Row],[Input Quantity (Kg''s)]]%,"")</f>
        <v/>
      </c>
      <c r="Y162" s="5" t="str">
        <f>IFERROR(Table1[[#This Row],[Final Uncut (kg''s)]]/Table1[[#This Row],[Input Quantity (Kg''s)]]%,"")</f>
        <v/>
      </c>
      <c r="Z162" s="21" t="str">
        <f>IFERROR(Table1[[#This Row],[Shell]]/Table1[[#This Row],[Input Quantity (Kg''s)]]%,"")</f>
        <v/>
      </c>
      <c r="AA162" s="21" t="str">
        <f>IFERROR(Table1[[#This Row],[Shell Dust]]/Table1[[#This Row],[Input Quantity (Kg''s)]]%,"")</f>
        <v/>
      </c>
    </row>
    <row r="163" spans="2:27" x14ac:dyDescent="0.3">
      <c r="B163" s="1"/>
      <c r="C163" s="15">
        <f>WEEKNUM(Table1[[#This Row],[Date]])</f>
        <v>0</v>
      </c>
      <c r="D163" s="1" t="str">
        <f>TEXT(Table1[[#This Row],[Date]],"mmm-yy")</f>
        <v>Jan-00</v>
      </c>
      <c r="E163" s="1"/>
      <c r="I163" s="3"/>
      <c r="M163" s="3"/>
      <c r="N163" s="3"/>
      <c r="O163" s="3"/>
      <c r="P163" s="3">
        <f>Table1[[#This Row],[Input Quantity (Kg''s)]]-SUM(Table1[[#This Row],[Wholes (kg''s)]:[Black Rejection (Kg''s)]],Table1[[#This Row],[Shell Dust]])</f>
        <v>0</v>
      </c>
      <c r="Q163" s="3">
        <f>SUM(Table1[[#This Row],[Wholes (kg''s)]:[Pieces (kg''s)]])</f>
        <v>0</v>
      </c>
      <c r="R163" s="3">
        <f>SUM(Table1[[#This Row],[Wholes (kg''s)]:[Black Rejection (Kg''s)]])</f>
        <v>0</v>
      </c>
      <c r="S163" s="4" t="str">
        <f>IFERROR(Table1[[#This Row],[Good Kernels (kg''s)]]/Table1[[#This Row],[Input Quantity (Kg''s)]]*176.36,"")</f>
        <v/>
      </c>
      <c r="T163" s="4" t="str">
        <f>IFERROR(Table1[[#This Row],[Good Kernels (kg''s)]]/Table1[[#This Row],[Input Quantity (Kg''s)]]%,"")</f>
        <v/>
      </c>
      <c r="U163" s="5" t="str">
        <f>IFERROR(Table1[[#This Row],[Final Kernels (kg''s)]]/Table1[[#This Row],[Input Quantity (Kg''s)]]%,"")</f>
        <v/>
      </c>
      <c r="V163" s="5" t="str">
        <f>IFERROR(Table1[[#This Row],[Wholes (kg''s)]]/Table1[[#This Row],[Good Kernels (kg''s)]]%,"")</f>
        <v/>
      </c>
      <c r="W163" s="5" t="str">
        <f>IFERROR(Table1[[#This Row],[Pieces (kg''s)]]/Table1[[#This Row],[Good Kernels (kg''s)]]%,"")</f>
        <v/>
      </c>
      <c r="X163" s="5" t="str">
        <f>IFERROR(Table1[[#This Row],[First Pass Uncut (kg''s)]]/Table1[[#This Row],[Input Quantity (Kg''s)]]%,"")</f>
        <v/>
      </c>
      <c r="Y163" s="5" t="str">
        <f>IFERROR(Table1[[#This Row],[Final Uncut (kg''s)]]/Table1[[#This Row],[Input Quantity (Kg''s)]]%,"")</f>
        <v/>
      </c>
      <c r="Z163" s="21" t="str">
        <f>IFERROR(Table1[[#This Row],[Shell]]/Table1[[#This Row],[Input Quantity (Kg''s)]]%,"")</f>
        <v/>
      </c>
      <c r="AA163" s="21" t="str">
        <f>IFERROR(Table1[[#This Row],[Shell Dust]]/Table1[[#This Row],[Input Quantity (Kg''s)]]%,"")</f>
        <v/>
      </c>
    </row>
    <row r="164" spans="2:27" x14ac:dyDescent="0.3">
      <c r="B164" s="1"/>
      <c r="C164" s="15">
        <f>WEEKNUM(Table1[[#This Row],[Date]])</f>
        <v>0</v>
      </c>
      <c r="D164" s="1" t="str">
        <f>TEXT(Table1[[#This Row],[Date]],"mmm-yy")</f>
        <v>Jan-00</v>
      </c>
      <c r="E164" s="1"/>
      <c r="I164" s="3"/>
      <c r="M164" s="3"/>
      <c r="N164" s="3"/>
      <c r="O164" s="3"/>
      <c r="P164" s="3">
        <f>Table1[[#This Row],[Input Quantity (Kg''s)]]-SUM(Table1[[#This Row],[Wholes (kg''s)]:[Black Rejection (Kg''s)]],Table1[[#This Row],[Shell Dust]])</f>
        <v>0</v>
      </c>
      <c r="Q164" s="3">
        <f>SUM(Table1[[#This Row],[Wholes (kg''s)]:[Pieces (kg''s)]])</f>
        <v>0</v>
      </c>
      <c r="R164" s="3">
        <f>SUM(Table1[[#This Row],[Wholes (kg''s)]:[Black Rejection (Kg''s)]])</f>
        <v>0</v>
      </c>
      <c r="S164" s="4" t="str">
        <f>IFERROR(Table1[[#This Row],[Good Kernels (kg''s)]]/Table1[[#This Row],[Input Quantity (Kg''s)]]*176.36,"")</f>
        <v/>
      </c>
      <c r="T164" s="4" t="str">
        <f>IFERROR(Table1[[#This Row],[Good Kernels (kg''s)]]/Table1[[#This Row],[Input Quantity (Kg''s)]]%,"")</f>
        <v/>
      </c>
      <c r="U164" s="5" t="str">
        <f>IFERROR(Table1[[#This Row],[Final Kernels (kg''s)]]/Table1[[#This Row],[Input Quantity (Kg''s)]]%,"")</f>
        <v/>
      </c>
      <c r="V164" s="5" t="str">
        <f>IFERROR(Table1[[#This Row],[Wholes (kg''s)]]/Table1[[#This Row],[Good Kernels (kg''s)]]%,"")</f>
        <v/>
      </c>
      <c r="W164" s="5" t="str">
        <f>IFERROR(Table1[[#This Row],[Pieces (kg''s)]]/Table1[[#This Row],[Good Kernels (kg''s)]]%,"")</f>
        <v/>
      </c>
      <c r="X164" s="5" t="str">
        <f>IFERROR(Table1[[#This Row],[First Pass Uncut (kg''s)]]/Table1[[#This Row],[Input Quantity (Kg''s)]]%,"")</f>
        <v/>
      </c>
      <c r="Y164" s="5" t="str">
        <f>IFERROR(Table1[[#This Row],[Final Uncut (kg''s)]]/Table1[[#This Row],[Input Quantity (Kg''s)]]%,"")</f>
        <v/>
      </c>
      <c r="Z164" s="21" t="str">
        <f>IFERROR(Table1[[#This Row],[Shell]]/Table1[[#This Row],[Input Quantity (Kg''s)]]%,"")</f>
        <v/>
      </c>
      <c r="AA164" s="21" t="str">
        <f>IFERROR(Table1[[#This Row],[Shell Dust]]/Table1[[#This Row],[Input Quantity (Kg''s)]]%,"")</f>
        <v/>
      </c>
    </row>
    <row r="165" spans="2:27" x14ac:dyDescent="0.3">
      <c r="B165" s="1"/>
      <c r="C165" s="15">
        <f>WEEKNUM(Table1[[#This Row],[Date]])</f>
        <v>0</v>
      </c>
      <c r="D165" s="1" t="str">
        <f>TEXT(Table1[[#This Row],[Date]],"mmm-yy")</f>
        <v>Jan-00</v>
      </c>
      <c r="E165" s="1"/>
      <c r="I165" s="3"/>
      <c r="M165" s="3"/>
      <c r="N165" s="3"/>
      <c r="O165" s="3"/>
      <c r="P165" s="3">
        <f>Table1[[#This Row],[Input Quantity (Kg''s)]]-SUM(Table1[[#This Row],[Wholes (kg''s)]:[Black Rejection (Kg''s)]],Table1[[#This Row],[Shell Dust]])</f>
        <v>0</v>
      </c>
      <c r="Q165" s="3">
        <f>SUM(Table1[[#This Row],[Wholes (kg''s)]:[Pieces (kg''s)]])</f>
        <v>0</v>
      </c>
      <c r="R165" s="3">
        <f>SUM(Table1[[#This Row],[Wholes (kg''s)]:[Black Rejection (Kg''s)]])</f>
        <v>0</v>
      </c>
      <c r="S165" s="4" t="str">
        <f>IFERROR(Table1[[#This Row],[Good Kernels (kg''s)]]/Table1[[#This Row],[Input Quantity (Kg''s)]]*176.36,"")</f>
        <v/>
      </c>
      <c r="T165" s="4" t="str">
        <f>IFERROR(Table1[[#This Row],[Good Kernels (kg''s)]]/Table1[[#This Row],[Input Quantity (Kg''s)]]%,"")</f>
        <v/>
      </c>
      <c r="U165" s="5" t="str">
        <f>IFERROR(Table1[[#This Row],[Final Kernels (kg''s)]]/Table1[[#This Row],[Input Quantity (Kg''s)]]%,"")</f>
        <v/>
      </c>
      <c r="V165" s="5" t="str">
        <f>IFERROR(Table1[[#This Row],[Wholes (kg''s)]]/Table1[[#This Row],[Good Kernels (kg''s)]]%,"")</f>
        <v/>
      </c>
      <c r="W165" s="5" t="str">
        <f>IFERROR(Table1[[#This Row],[Pieces (kg''s)]]/Table1[[#This Row],[Good Kernels (kg''s)]]%,"")</f>
        <v/>
      </c>
      <c r="X165" s="5" t="str">
        <f>IFERROR(Table1[[#This Row],[First Pass Uncut (kg''s)]]/Table1[[#This Row],[Input Quantity (Kg''s)]]%,"")</f>
        <v/>
      </c>
      <c r="Y165" s="5" t="str">
        <f>IFERROR(Table1[[#This Row],[Final Uncut (kg''s)]]/Table1[[#This Row],[Input Quantity (Kg''s)]]%,"")</f>
        <v/>
      </c>
      <c r="Z165" s="21" t="str">
        <f>IFERROR(Table1[[#This Row],[Shell]]/Table1[[#This Row],[Input Quantity (Kg''s)]]%,"")</f>
        <v/>
      </c>
      <c r="AA165" s="21" t="str">
        <f>IFERROR(Table1[[#This Row],[Shell Dust]]/Table1[[#This Row],[Input Quantity (Kg''s)]]%,"")</f>
        <v/>
      </c>
    </row>
    <row r="166" spans="2:27" x14ac:dyDescent="0.3">
      <c r="B166" s="1"/>
      <c r="C166" s="15">
        <f>WEEKNUM(Table1[[#This Row],[Date]])</f>
        <v>0</v>
      </c>
      <c r="D166" s="1" t="str">
        <f>TEXT(Table1[[#This Row],[Date]],"mmm-yy")</f>
        <v>Jan-00</v>
      </c>
      <c r="E166" s="1"/>
      <c r="I166" s="3"/>
      <c r="M166" s="3"/>
      <c r="N166" s="3"/>
      <c r="O166" s="3"/>
      <c r="P166" s="3">
        <f>Table1[[#This Row],[Input Quantity (Kg''s)]]-SUM(Table1[[#This Row],[Wholes (kg''s)]:[Black Rejection (Kg''s)]],Table1[[#This Row],[Shell Dust]])</f>
        <v>0</v>
      </c>
      <c r="Q166" s="3">
        <f>SUM(Table1[[#This Row],[Wholes (kg''s)]:[Pieces (kg''s)]])</f>
        <v>0</v>
      </c>
      <c r="R166" s="3">
        <f>SUM(Table1[[#This Row],[Wholes (kg''s)]:[Black Rejection (Kg''s)]])</f>
        <v>0</v>
      </c>
      <c r="S166" s="4" t="str">
        <f>IFERROR(Table1[[#This Row],[Good Kernels (kg''s)]]/Table1[[#This Row],[Input Quantity (Kg''s)]]*176.36,"")</f>
        <v/>
      </c>
      <c r="T166" s="4" t="str">
        <f>IFERROR(Table1[[#This Row],[Good Kernels (kg''s)]]/Table1[[#This Row],[Input Quantity (Kg''s)]]%,"")</f>
        <v/>
      </c>
      <c r="U166" s="5" t="str">
        <f>IFERROR(Table1[[#This Row],[Final Kernels (kg''s)]]/Table1[[#This Row],[Input Quantity (Kg''s)]]%,"")</f>
        <v/>
      </c>
      <c r="V166" s="5" t="str">
        <f>IFERROR(Table1[[#This Row],[Wholes (kg''s)]]/Table1[[#This Row],[Good Kernels (kg''s)]]%,"")</f>
        <v/>
      </c>
      <c r="W166" s="5" t="str">
        <f>IFERROR(Table1[[#This Row],[Pieces (kg''s)]]/Table1[[#This Row],[Good Kernels (kg''s)]]%,"")</f>
        <v/>
      </c>
      <c r="X166" s="5" t="str">
        <f>IFERROR(Table1[[#This Row],[First Pass Uncut (kg''s)]]/Table1[[#This Row],[Input Quantity (Kg''s)]]%,"")</f>
        <v/>
      </c>
      <c r="Y166" s="5" t="str">
        <f>IFERROR(Table1[[#This Row],[Final Uncut (kg''s)]]/Table1[[#This Row],[Input Quantity (Kg''s)]]%,"")</f>
        <v/>
      </c>
      <c r="Z166" s="21" t="str">
        <f>IFERROR(Table1[[#This Row],[Shell]]/Table1[[#This Row],[Input Quantity (Kg''s)]]%,"")</f>
        <v/>
      </c>
      <c r="AA166" s="21" t="str">
        <f>IFERROR(Table1[[#This Row],[Shell Dust]]/Table1[[#This Row],[Input Quantity (Kg''s)]]%,"")</f>
        <v/>
      </c>
    </row>
    <row r="167" spans="2:27" x14ac:dyDescent="0.3">
      <c r="B167" s="1"/>
      <c r="C167" s="15">
        <f>WEEKNUM(Table1[[#This Row],[Date]])</f>
        <v>0</v>
      </c>
      <c r="D167" s="1" t="str">
        <f>TEXT(Table1[[#This Row],[Date]],"mmm-yy")</f>
        <v>Jan-00</v>
      </c>
      <c r="E167" s="1"/>
      <c r="I167" s="3"/>
      <c r="M167" s="3"/>
      <c r="N167" s="3"/>
      <c r="O167" s="3"/>
      <c r="P167" s="3">
        <f>Table1[[#This Row],[Input Quantity (Kg''s)]]-SUM(Table1[[#This Row],[Wholes (kg''s)]:[Black Rejection (Kg''s)]],Table1[[#This Row],[Shell Dust]])</f>
        <v>0</v>
      </c>
      <c r="Q167" s="3">
        <f>SUM(Table1[[#This Row],[Wholes (kg''s)]:[Pieces (kg''s)]])</f>
        <v>0</v>
      </c>
      <c r="R167" s="3">
        <f>SUM(Table1[[#This Row],[Wholes (kg''s)]:[Black Rejection (Kg''s)]])</f>
        <v>0</v>
      </c>
      <c r="S167" s="4" t="str">
        <f>IFERROR(Table1[[#This Row],[Good Kernels (kg''s)]]/Table1[[#This Row],[Input Quantity (Kg''s)]]*176.36,"")</f>
        <v/>
      </c>
      <c r="T167" s="4" t="str">
        <f>IFERROR(Table1[[#This Row],[Good Kernels (kg''s)]]/Table1[[#This Row],[Input Quantity (Kg''s)]]%,"")</f>
        <v/>
      </c>
      <c r="U167" s="5" t="str">
        <f>IFERROR(Table1[[#This Row],[Final Kernels (kg''s)]]/Table1[[#This Row],[Input Quantity (Kg''s)]]%,"")</f>
        <v/>
      </c>
      <c r="V167" s="5" t="str">
        <f>IFERROR(Table1[[#This Row],[Wholes (kg''s)]]/Table1[[#This Row],[Good Kernels (kg''s)]]%,"")</f>
        <v/>
      </c>
      <c r="W167" s="5" t="str">
        <f>IFERROR(Table1[[#This Row],[Pieces (kg''s)]]/Table1[[#This Row],[Good Kernels (kg''s)]]%,"")</f>
        <v/>
      </c>
      <c r="X167" s="5" t="str">
        <f>IFERROR(Table1[[#This Row],[First Pass Uncut (kg''s)]]/Table1[[#This Row],[Input Quantity (Kg''s)]]%,"")</f>
        <v/>
      </c>
      <c r="Y167" s="5" t="str">
        <f>IFERROR(Table1[[#This Row],[Final Uncut (kg''s)]]/Table1[[#This Row],[Input Quantity (Kg''s)]]%,"")</f>
        <v/>
      </c>
      <c r="Z167" s="21" t="str">
        <f>IFERROR(Table1[[#This Row],[Shell]]/Table1[[#This Row],[Input Quantity (Kg''s)]]%,"")</f>
        <v/>
      </c>
      <c r="AA167" s="21" t="str">
        <f>IFERROR(Table1[[#This Row],[Shell Dust]]/Table1[[#This Row],[Input Quantity (Kg''s)]]%,"")</f>
        <v/>
      </c>
    </row>
    <row r="168" spans="2:27" x14ac:dyDescent="0.3">
      <c r="B168" s="1"/>
      <c r="C168" s="15">
        <f>WEEKNUM(Table1[[#This Row],[Date]])</f>
        <v>0</v>
      </c>
      <c r="D168" s="1" t="str">
        <f>TEXT(Table1[[#This Row],[Date]],"mmm-yy")</f>
        <v>Jan-00</v>
      </c>
      <c r="E168" s="1"/>
      <c r="I168" s="3"/>
      <c r="M168" s="3"/>
      <c r="N168" s="3"/>
      <c r="O168" s="3"/>
      <c r="P168" s="3">
        <f>Table1[[#This Row],[Input Quantity (Kg''s)]]-SUM(Table1[[#This Row],[Wholes (kg''s)]:[Black Rejection (Kg''s)]],Table1[[#This Row],[Shell Dust]])</f>
        <v>0</v>
      </c>
      <c r="Q168" s="3">
        <f>SUM(Table1[[#This Row],[Wholes (kg''s)]:[Pieces (kg''s)]])</f>
        <v>0</v>
      </c>
      <c r="R168" s="3">
        <f>SUM(Table1[[#This Row],[Wholes (kg''s)]:[Black Rejection (Kg''s)]])</f>
        <v>0</v>
      </c>
      <c r="S168" s="4" t="str">
        <f>IFERROR(Table1[[#This Row],[Good Kernels (kg''s)]]/Table1[[#This Row],[Input Quantity (Kg''s)]]*176.36,"")</f>
        <v/>
      </c>
      <c r="T168" s="4" t="str">
        <f>IFERROR(Table1[[#This Row],[Good Kernels (kg''s)]]/Table1[[#This Row],[Input Quantity (Kg''s)]]%,"")</f>
        <v/>
      </c>
      <c r="U168" s="5" t="str">
        <f>IFERROR(Table1[[#This Row],[Final Kernels (kg''s)]]/Table1[[#This Row],[Input Quantity (Kg''s)]]%,"")</f>
        <v/>
      </c>
      <c r="V168" s="5" t="str">
        <f>IFERROR(Table1[[#This Row],[Wholes (kg''s)]]/Table1[[#This Row],[Good Kernels (kg''s)]]%,"")</f>
        <v/>
      </c>
      <c r="W168" s="5" t="str">
        <f>IFERROR(Table1[[#This Row],[Pieces (kg''s)]]/Table1[[#This Row],[Good Kernels (kg''s)]]%,"")</f>
        <v/>
      </c>
      <c r="X168" s="5" t="str">
        <f>IFERROR(Table1[[#This Row],[First Pass Uncut (kg''s)]]/Table1[[#This Row],[Input Quantity (Kg''s)]]%,"")</f>
        <v/>
      </c>
      <c r="Y168" s="5" t="str">
        <f>IFERROR(Table1[[#This Row],[Final Uncut (kg''s)]]/Table1[[#This Row],[Input Quantity (Kg''s)]]%,"")</f>
        <v/>
      </c>
      <c r="Z168" s="21" t="str">
        <f>IFERROR(Table1[[#This Row],[Shell]]/Table1[[#This Row],[Input Quantity (Kg''s)]]%,"")</f>
        <v/>
      </c>
      <c r="AA168" s="21" t="str">
        <f>IFERROR(Table1[[#This Row],[Shell Dust]]/Table1[[#This Row],[Input Quantity (Kg''s)]]%,"")</f>
        <v/>
      </c>
    </row>
    <row r="169" spans="2:27" x14ac:dyDescent="0.3">
      <c r="B169" s="1"/>
      <c r="C169" s="15">
        <f>WEEKNUM(Table1[[#This Row],[Date]])</f>
        <v>0</v>
      </c>
      <c r="D169" s="1" t="str">
        <f>TEXT(Table1[[#This Row],[Date]],"mmm-yy")</f>
        <v>Jan-00</v>
      </c>
      <c r="E169" s="1"/>
      <c r="I169" s="3"/>
      <c r="M169" s="3"/>
      <c r="N169" s="3"/>
      <c r="O169" s="3"/>
      <c r="P169" s="3">
        <f>Table1[[#This Row],[Input Quantity (Kg''s)]]-SUM(Table1[[#This Row],[Wholes (kg''s)]:[Black Rejection (Kg''s)]],Table1[[#This Row],[Shell Dust]])</f>
        <v>0</v>
      </c>
      <c r="Q169" s="3">
        <f>SUM(Table1[[#This Row],[Wholes (kg''s)]:[Pieces (kg''s)]])</f>
        <v>0</v>
      </c>
      <c r="R169" s="3">
        <f>SUM(Table1[[#This Row],[Wholes (kg''s)]:[Black Rejection (Kg''s)]])</f>
        <v>0</v>
      </c>
      <c r="S169" s="4" t="str">
        <f>IFERROR(Table1[[#This Row],[Good Kernels (kg''s)]]/Table1[[#This Row],[Input Quantity (Kg''s)]]*176.36,"")</f>
        <v/>
      </c>
      <c r="T169" s="4" t="str">
        <f>IFERROR(Table1[[#This Row],[Good Kernels (kg''s)]]/Table1[[#This Row],[Input Quantity (Kg''s)]]%,"")</f>
        <v/>
      </c>
      <c r="U169" s="5" t="str">
        <f>IFERROR(Table1[[#This Row],[Final Kernels (kg''s)]]/Table1[[#This Row],[Input Quantity (Kg''s)]]%,"")</f>
        <v/>
      </c>
      <c r="V169" s="5" t="str">
        <f>IFERROR(Table1[[#This Row],[Wholes (kg''s)]]/Table1[[#This Row],[Good Kernels (kg''s)]]%,"")</f>
        <v/>
      </c>
      <c r="W169" s="5" t="str">
        <f>IFERROR(Table1[[#This Row],[Pieces (kg''s)]]/Table1[[#This Row],[Good Kernels (kg''s)]]%,"")</f>
        <v/>
      </c>
      <c r="X169" s="5" t="str">
        <f>IFERROR(Table1[[#This Row],[First Pass Uncut (kg''s)]]/Table1[[#This Row],[Input Quantity (Kg''s)]]%,"")</f>
        <v/>
      </c>
      <c r="Y169" s="5" t="str">
        <f>IFERROR(Table1[[#This Row],[Final Uncut (kg''s)]]/Table1[[#This Row],[Input Quantity (Kg''s)]]%,"")</f>
        <v/>
      </c>
      <c r="Z169" s="21" t="str">
        <f>IFERROR(Table1[[#This Row],[Shell]]/Table1[[#This Row],[Input Quantity (Kg''s)]]%,"")</f>
        <v/>
      </c>
      <c r="AA169" s="21" t="str">
        <f>IFERROR(Table1[[#This Row],[Shell Dust]]/Table1[[#This Row],[Input Quantity (Kg''s)]]%,"")</f>
        <v/>
      </c>
    </row>
    <row r="170" spans="2:27" x14ac:dyDescent="0.3">
      <c r="B170" s="1"/>
      <c r="C170" s="15">
        <f>WEEKNUM(Table1[[#This Row],[Date]])</f>
        <v>0</v>
      </c>
      <c r="D170" s="1" t="str">
        <f>TEXT(Table1[[#This Row],[Date]],"mmm-yy")</f>
        <v>Jan-00</v>
      </c>
      <c r="E170" s="1"/>
      <c r="I170" s="3"/>
      <c r="M170" s="3"/>
      <c r="N170" s="3"/>
      <c r="O170" s="3"/>
      <c r="P170" s="3">
        <f>Table1[[#This Row],[Input Quantity (Kg''s)]]-SUM(Table1[[#This Row],[Wholes (kg''s)]:[Black Rejection (Kg''s)]],Table1[[#This Row],[Shell Dust]])</f>
        <v>0</v>
      </c>
      <c r="Q170" s="3">
        <f>SUM(Table1[[#This Row],[Wholes (kg''s)]:[Pieces (kg''s)]])</f>
        <v>0</v>
      </c>
      <c r="R170" s="3">
        <f>SUM(Table1[[#This Row],[Wholes (kg''s)]:[Black Rejection (Kg''s)]])</f>
        <v>0</v>
      </c>
      <c r="S170" s="4" t="str">
        <f>IFERROR(Table1[[#This Row],[Good Kernels (kg''s)]]/Table1[[#This Row],[Input Quantity (Kg''s)]]*176.36,"")</f>
        <v/>
      </c>
      <c r="T170" s="4" t="str">
        <f>IFERROR(Table1[[#This Row],[Good Kernels (kg''s)]]/Table1[[#This Row],[Input Quantity (Kg''s)]]%,"")</f>
        <v/>
      </c>
      <c r="U170" s="5" t="str">
        <f>IFERROR(Table1[[#This Row],[Final Kernels (kg''s)]]/Table1[[#This Row],[Input Quantity (Kg''s)]]%,"")</f>
        <v/>
      </c>
      <c r="V170" s="5" t="str">
        <f>IFERROR(Table1[[#This Row],[Wholes (kg''s)]]/Table1[[#This Row],[Good Kernels (kg''s)]]%,"")</f>
        <v/>
      </c>
      <c r="W170" s="5" t="str">
        <f>IFERROR(Table1[[#This Row],[Pieces (kg''s)]]/Table1[[#This Row],[Good Kernels (kg''s)]]%,"")</f>
        <v/>
      </c>
      <c r="X170" s="5" t="str">
        <f>IFERROR(Table1[[#This Row],[First Pass Uncut (kg''s)]]/Table1[[#This Row],[Input Quantity (Kg''s)]]%,"")</f>
        <v/>
      </c>
      <c r="Y170" s="5" t="str">
        <f>IFERROR(Table1[[#This Row],[Final Uncut (kg''s)]]/Table1[[#This Row],[Input Quantity (Kg''s)]]%,"")</f>
        <v/>
      </c>
      <c r="Z170" s="21" t="str">
        <f>IFERROR(Table1[[#This Row],[Shell]]/Table1[[#This Row],[Input Quantity (Kg''s)]]%,"")</f>
        <v/>
      </c>
      <c r="AA170" s="21" t="str">
        <f>IFERROR(Table1[[#This Row],[Shell Dust]]/Table1[[#This Row],[Input Quantity (Kg''s)]]%,"")</f>
        <v/>
      </c>
    </row>
    <row r="171" spans="2:27" x14ac:dyDescent="0.3">
      <c r="B171" s="1"/>
      <c r="C171" s="15">
        <f>WEEKNUM(Table1[[#This Row],[Date]])</f>
        <v>0</v>
      </c>
      <c r="D171" s="1" t="str">
        <f>TEXT(Table1[[#This Row],[Date]],"mmm-yy")</f>
        <v>Jan-00</v>
      </c>
      <c r="E171" s="1"/>
      <c r="I171" s="3"/>
      <c r="M171" s="3"/>
      <c r="N171" s="3"/>
      <c r="O171" s="3"/>
      <c r="P171" s="3">
        <f>Table1[[#This Row],[Input Quantity (Kg''s)]]-SUM(Table1[[#This Row],[Wholes (kg''s)]:[Black Rejection (Kg''s)]],Table1[[#This Row],[Shell Dust]])</f>
        <v>0</v>
      </c>
      <c r="Q171" s="3">
        <f>SUM(Table1[[#This Row],[Wholes (kg''s)]:[Pieces (kg''s)]])</f>
        <v>0</v>
      </c>
      <c r="R171" s="3">
        <f>SUM(Table1[[#This Row],[Wholes (kg''s)]:[Black Rejection (Kg''s)]])</f>
        <v>0</v>
      </c>
      <c r="S171" s="4" t="str">
        <f>IFERROR(Table1[[#This Row],[Good Kernels (kg''s)]]/Table1[[#This Row],[Input Quantity (Kg''s)]]*176.36,"")</f>
        <v/>
      </c>
      <c r="T171" s="4" t="str">
        <f>IFERROR(Table1[[#This Row],[Good Kernels (kg''s)]]/Table1[[#This Row],[Input Quantity (Kg''s)]]%,"")</f>
        <v/>
      </c>
      <c r="U171" s="5" t="str">
        <f>IFERROR(Table1[[#This Row],[Final Kernels (kg''s)]]/Table1[[#This Row],[Input Quantity (Kg''s)]]%,"")</f>
        <v/>
      </c>
      <c r="V171" s="5" t="str">
        <f>IFERROR(Table1[[#This Row],[Wholes (kg''s)]]/Table1[[#This Row],[Good Kernels (kg''s)]]%,"")</f>
        <v/>
      </c>
      <c r="W171" s="5" t="str">
        <f>IFERROR(Table1[[#This Row],[Pieces (kg''s)]]/Table1[[#This Row],[Good Kernels (kg''s)]]%,"")</f>
        <v/>
      </c>
      <c r="X171" s="5" t="str">
        <f>IFERROR(Table1[[#This Row],[First Pass Uncut (kg''s)]]/Table1[[#This Row],[Input Quantity (Kg''s)]]%,"")</f>
        <v/>
      </c>
      <c r="Y171" s="5" t="str">
        <f>IFERROR(Table1[[#This Row],[Final Uncut (kg''s)]]/Table1[[#This Row],[Input Quantity (Kg''s)]]%,"")</f>
        <v/>
      </c>
      <c r="Z171" s="21" t="str">
        <f>IFERROR(Table1[[#This Row],[Shell]]/Table1[[#This Row],[Input Quantity (Kg''s)]]%,"")</f>
        <v/>
      </c>
      <c r="AA171" s="21" t="str">
        <f>IFERROR(Table1[[#This Row],[Shell Dust]]/Table1[[#This Row],[Input Quantity (Kg''s)]]%,"")</f>
        <v/>
      </c>
    </row>
    <row r="172" spans="2:27" x14ac:dyDescent="0.3">
      <c r="B172" s="1"/>
      <c r="C172" s="15">
        <f>WEEKNUM(Table1[[#This Row],[Date]])</f>
        <v>0</v>
      </c>
      <c r="D172" s="1" t="str">
        <f>TEXT(Table1[[#This Row],[Date]],"mmm-yy")</f>
        <v>Jan-00</v>
      </c>
      <c r="E172" s="1"/>
      <c r="I172" s="3"/>
      <c r="M172" s="3"/>
      <c r="N172" s="3"/>
      <c r="O172" s="3"/>
      <c r="P172" s="3">
        <f>Table1[[#This Row],[Input Quantity (Kg''s)]]-SUM(Table1[[#This Row],[Wholes (kg''s)]:[Black Rejection (Kg''s)]],Table1[[#This Row],[Shell Dust]])</f>
        <v>0</v>
      </c>
      <c r="Q172" s="3">
        <f>SUM(Table1[[#This Row],[Wholes (kg''s)]:[Pieces (kg''s)]])</f>
        <v>0</v>
      </c>
      <c r="R172" s="3">
        <f>SUM(Table1[[#This Row],[Wholes (kg''s)]:[Black Rejection (Kg''s)]])</f>
        <v>0</v>
      </c>
      <c r="S172" s="4" t="str">
        <f>IFERROR(Table1[[#This Row],[Good Kernels (kg''s)]]/Table1[[#This Row],[Input Quantity (Kg''s)]]*176.36,"")</f>
        <v/>
      </c>
      <c r="T172" s="4" t="str">
        <f>IFERROR(Table1[[#This Row],[Good Kernels (kg''s)]]/Table1[[#This Row],[Input Quantity (Kg''s)]]%,"")</f>
        <v/>
      </c>
      <c r="U172" s="5" t="str">
        <f>IFERROR(Table1[[#This Row],[Final Kernels (kg''s)]]/Table1[[#This Row],[Input Quantity (Kg''s)]]%,"")</f>
        <v/>
      </c>
      <c r="V172" s="5" t="str">
        <f>IFERROR(Table1[[#This Row],[Wholes (kg''s)]]/Table1[[#This Row],[Good Kernels (kg''s)]]%,"")</f>
        <v/>
      </c>
      <c r="W172" s="5" t="str">
        <f>IFERROR(Table1[[#This Row],[Pieces (kg''s)]]/Table1[[#This Row],[Good Kernels (kg''s)]]%,"")</f>
        <v/>
      </c>
      <c r="X172" s="5" t="str">
        <f>IFERROR(Table1[[#This Row],[First Pass Uncut (kg''s)]]/Table1[[#This Row],[Input Quantity (Kg''s)]]%,"")</f>
        <v/>
      </c>
      <c r="Y172" s="5" t="str">
        <f>IFERROR(Table1[[#This Row],[Final Uncut (kg''s)]]/Table1[[#This Row],[Input Quantity (Kg''s)]]%,"")</f>
        <v/>
      </c>
      <c r="Z172" s="21" t="str">
        <f>IFERROR(Table1[[#This Row],[Shell]]/Table1[[#This Row],[Input Quantity (Kg''s)]]%,"")</f>
        <v/>
      </c>
      <c r="AA172" s="21" t="str">
        <f>IFERROR(Table1[[#This Row],[Shell Dust]]/Table1[[#This Row],[Input Quantity (Kg''s)]]%,"")</f>
        <v/>
      </c>
    </row>
    <row r="173" spans="2:27" x14ac:dyDescent="0.3">
      <c r="B173" s="1"/>
      <c r="C173" s="15">
        <f>WEEKNUM(Table1[[#This Row],[Date]])</f>
        <v>0</v>
      </c>
      <c r="D173" s="1" t="str">
        <f>TEXT(Table1[[#This Row],[Date]],"mmm-yy")</f>
        <v>Jan-00</v>
      </c>
      <c r="E173" s="1"/>
      <c r="I173" s="3"/>
      <c r="M173" s="3"/>
      <c r="N173" s="3"/>
      <c r="O173" s="3"/>
      <c r="P173" s="3">
        <f>Table1[[#This Row],[Input Quantity (Kg''s)]]-SUM(Table1[[#This Row],[Wholes (kg''s)]:[Black Rejection (Kg''s)]],Table1[[#This Row],[Shell Dust]])</f>
        <v>0</v>
      </c>
      <c r="Q173" s="3">
        <f>SUM(Table1[[#This Row],[Wholes (kg''s)]:[Pieces (kg''s)]])</f>
        <v>0</v>
      </c>
      <c r="R173" s="3">
        <f>SUM(Table1[[#This Row],[Wholes (kg''s)]:[Black Rejection (Kg''s)]])</f>
        <v>0</v>
      </c>
      <c r="S173" s="4" t="str">
        <f>IFERROR(Table1[[#This Row],[Good Kernels (kg''s)]]/Table1[[#This Row],[Input Quantity (Kg''s)]]*176.36,"")</f>
        <v/>
      </c>
      <c r="T173" s="4" t="str">
        <f>IFERROR(Table1[[#This Row],[Good Kernels (kg''s)]]/Table1[[#This Row],[Input Quantity (Kg''s)]]%,"")</f>
        <v/>
      </c>
      <c r="U173" s="5" t="str">
        <f>IFERROR(Table1[[#This Row],[Final Kernels (kg''s)]]/Table1[[#This Row],[Input Quantity (Kg''s)]]%,"")</f>
        <v/>
      </c>
      <c r="V173" s="5" t="str">
        <f>IFERROR(Table1[[#This Row],[Wholes (kg''s)]]/Table1[[#This Row],[Good Kernels (kg''s)]]%,"")</f>
        <v/>
      </c>
      <c r="W173" s="5" t="str">
        <f>IFERROR(Table1[[#This Row],[Pieces (kg''s)]]/Table1[[#This Row],[Good Kernels (kg''s)]]%,"")</f>
        <v/>
      </c>
      <c r="X173" s="5" t="str">
        <f>IFERROR(Table1[[#This Row],[First Pass Uncut (kg''s)]]/Table1[[#This Row],[Input Quantity (Kg''s)]]%,"")</f>
        <v/>
      </c>
      <c r="Y173" s="5" t="str">
        <f>IFERROR(Table1[[#This Row],[Final Uncut (kg''s)]]/Table1[[#This Row],[Input Quantity (Kg''s)]]%,"")</f>
        <v/>
      </c>
      <c r="Z173" s="21" t="str">
        <f>IFERROR(Table1[[#This Row],[Shell]]/Table1[[#This Row],[Input Quantity (Kg''s)]]%,"")</f>
        <v/>
      </c>
      <c r="AA173" s="21" t="str">
        <f>IFERROR(Table1[[#This Row],[Shell Dust]]/Table1[[#This Row],[Input Quantity (Kg''s)]]%,"")</f>
        <v/>
      </c>
    </row>
    <row r="174" spans="2:27" x14ac:dyDescent="0.3">
      <c r="B174" s="1"/>
      <c r="C174" s="15">
        <f>WEEKNUM(Table1[[#This Row],[Date]])</f>
        <v>0</v>
      </c>
      <c r="D174" s="1" t="str">
        <f>TEXT(Table1[[#This Row],[Date]],"mmm-yy")</f>
        <v>Jan-00</v>
      </c>
      <c r="E174" s="1"/>
      <c r="I174" s="3"/>
      <c r="M174" s="3"/>
      <c r="N174" s="3"/>
      <c r="O174" s="3"/>
      <c r="P174" s="3">
        <f>Table1[[#This Row],[Input Quantity (Kg''s)]]-SUM(Table1[[#This Row],[Wholes (kg''s)]:[Black Rejection (Kg''s)]],Table1[[#This Row],[Shell Dust]])</f>
        <v>0</v>
      </c>
      <c r="Q174" s="3">
        <f>SUM(Table1[[#This Row],[Wholes (kg''s)]:[Pieces (kg''s)]])</f>
        <v>0</v>
      </c>
      <c r="R174" s="3">
        <f>SUM(Table1[[#This Row],[Wholes (kg''s)]:[Black Rejection (Kg''s)]])</f>
        <v>0</v>
      </c>
      <c r="S174" s="4" t="str">
        <f>IFERROR(Table1[[#This Row],[Good Kernels (kg''s)]]/Table1[[#This Row],[Input Quantity (Kg''s)]]*176.36,"")</f>
        <v/>
      </c>
      <c r="T174" s="4" t="str">
        <f>IFERROR(Table1[[#This Row],[Good Kernels (kg''s)]]/Table1[[#This Row],[Input Quantity (Kg''s)]]%,"")</f>
        <v/>
      </c>
      <c r="U174" s="5" t="str">
        <f>IFERROR(Table1[[#This Row],[Final Kernels (kg''s)]]/Table1[[#This Row],[Input Quantity (Kg''s)]]%,"")</f>
        <v/>
      </c>
      <c r="V174" s="5" t="str">
        <f>IFERROR(Table1[[#This Row],[Wholes (kg''s)]]/Table1[[#This Row],[Good Kernels (kg''s)]]%,"")</f>
        <v/>
      </c>
      <c r="W174" s="5" t="str">
        <f>IFERROR(Table1[[#This Row],[Pieces (kg''s)]]/Table1[[#This Row],[Good Kernels (kg''s)]]%,"")</f>
        <v/>
      </c>
      <c r="X174" s="5" t="str">
        <f>IFERROR(Table1[[#This Row],[First Pass Uncut (kg''s)]]/Table1[[#This Row],[Input Quantity (Kg''s)]]%,"")</f>
        <v/>
      </c>
      <c r="Y174" s="5" t="str">
        <f>IFERROR(Table1[[#This Row],[Final Uncut (kg''s)]]/Table1[[#This Row],[Input Quantity (Kg''s)]]%,"")</f>
        <v/>
      </c>
      <c r="Z174" s="21" t="str">
        <f>IFERROR(Table1[[#This Row],[Shell]]/Table1[[#This Row],[Input Quantity (Kg''s)]]%,"")</f>
        <v/>
      </c>
      <c r="AA174" s="21" t="str">
        <f>IFERROR(Table1[[#This Row],[Shell Dust]]/Table1[[#This Row],[Input Quantity (Kg''s)]]%,"")</f>
        <v/>
      </c>
    </row>
    <row r="175" spans="2:27" x14ac:dyDescent="0.3">
      <c r="B175" s="1"/>
      <c r="C175" s="15">
        <f>WEEKNUM(Table1[[#This Row],[Date]])</f>
        <v>0</v>
      </c>
      <c r="D175" s="1" t="str">
        <f>TEXT(Table1[[#This Row],[Date]],"mmm-yy")</f>
        <v>Jan-00</v>
      </c>
      <c r="E175" s="1"/>
      <c r="I175" s="3"/>
      <c r="M175" s="3"/>
      <c r="N175" s="3"/>
      <c r="O175" s="3"/>
      <c r="P175" s="3">
        <f>Table1[[#This Row],[Input Quantity (Kg''s)]]-SUM(Table1[[#This Row],[Wholes (kg''s)]:[Black Rejection (Kg''s)]],Table1[[#This Row],[Shell Dust]])</f>
        <v>0</v>
      </c>
      <c r="Q175" s="3">
        <f>SUM(Table1[[#This Row],[Wholes (kg''s)]:[Pieces (kg''s)]])</f>
        <v>0</v>
      </c>
      <c r="R175" s="3">
        <f>SUM(Table1[[#This Row],[Wholes (kg''s)]:[Black Rejection (Kg''s)]])</f>
        <v>0</v>
      </c>
      <c r="S175" s="4" t="str">
        <f>IFERROR(Table1[[#This Row],[Good Kernels (kg''s)]]/Table1[[#This Row],[Input Quantity (Kg''s)]]*176.36,"")</f>
        <v/>
      </c>
      <c r="T175" s="4" t="str">
        <f>IFERROR(Table1[[#This Row],[Good Kernels (kg''s)]]/Table1[[#This Row],[Input Quantity (Kg''s)]]%,"")</f>
        <v/>
      </c>
      <c r="U175" s="5" t="str">
        <f>IFERROR(Table1[[#This Row],[Final Kernels (kg''s)]]/Table1[[#This Row],[Input Quantity (Kg''s)]]%,"")</f>
        <v/>
      </c>
      <c r="V175" s="5" t="str">
        <f>IFERROR(Table1[[#This Row],[Wholes (kg''s)]]/Table1[[#This Row],[Good Kernels (kg''s)]]%,"")</f>
        <v/>
      </c>
      <c r="W175" s="5" t="str">
        <f>IFERROR(Table1[[#This Row],[Pieces (kg''s)]]/Table1[[#This Row],[Good Kernels (kg''s)]]%,"")</f>
        <v/>
      </c>
      <c r="X175" s="5" t="str">
        <f>IFERROR(Table1[[#This Row],[First Pass Uncut (kg''s)]]/Table1[[#This Row],[Input Quantity (Kg''s)]]%,"")</f>
        <v/>
      </c>
      <c r="Y175" s="5" t="str">
        <f>IFERROR(Table1[[#This Row],[Final Uncut (kg''s)]]/Table1[[#This Row],[Input Quantity (Kg''s)]]%,"")</f>
        <v/>
      </c>
      <c r="Z175" s="21" t="str">
        <f>IFERROR(Table1[[#This Row],[Shell]]/Table1[[#This Row],[Input Quantity (Kg''s)]]%,"")</f>
        <v/>
      </c>
      <c r="AA175" s="21" t="str">
        <f>IFERROR(Table1[[#This Row],[Shell Dust]]/Table1[[#This Row],[Input Quantity (Kg''s)]]%,"")</f>
        <v/>
      </c>
    </row>
    <row r="176" spans="2:27" x14ac:dyDescent="0.3">
      <c r="B176" s="1"/>
      <c r="C176" s="15">
        <f>WEEKNUM(Table1[[#This Row],[Date]])</f>
        <v>0</v>
      </c>
      <c r="D176" s="1" t="str">
        <f>TEXT(Table1[[#This Row],[Date]],"mmm-yy")</f>
        <v>Jan-00</v>
      </c>
      <c r="E176" s="1"/>
      <c r="I176" s="3"/>
      <c r="M176" s="3"/>
      <c r="N176" s="3"/>
      <c r="O176" s="3"/>
      <c r="P176" s="3">
        <f>Table1[[#This Row],[Input Quantity (Kg''s)]]-SUM(Table1[[#This Row],[Wholes (kg''s)]:[Black Rejection (Kg''s)]],Table1[[#This Row],[Shell Dust]])</f>
        <v>0</v>
      </c>
      <c r="Q176" s="3">
        <f>SUM(Table1[[#This Row],[Wholes (kg''s)]:[Pieces (kg''s)]])</f>
        <v>0</v>
      </c>
      <c r="R176" s="3">
        <f>SUM(Table1[[#This Row],[Wholes (kg''s)]:[Black Rejection (Kg''s)]])</f>
        <v>0</v>
      </c>
      <c r="S176" s="4" t="str">
        <f>IFERROR(Table1[[#This Row],[Good Kernels (kg''s)]]/Table1[[#This Row],[Input Quantity (Kg''s)]]*176.36,"")</f>
        <v/>
      </c>
      <c r="T176" s="4" t="str">
        <f>IFERROR(Table1[[#This Row],[Good Kernels (kg''s)]]/Table1[[#This Row],[Input Quantity (Kg''s)]]%,"")</f>
        <v/>
      </c>
      <c r="U176" s="5" t="str">
        <f>IFERROR(Table1[[#This Row],[Final Kernels (kg''s)]]/Table1[[#This Row],[Input Quantity (Kg''s)]]%,"")</f>
        <v/>
      </c>
      <c r="V176" s="5" t="str">
        <f>IFERROR(Table1[[#This Row],[Wholes (kg''s)]]/Table1[[#This Row],[Good Kernels (kg''s)]]%,"")</f>
        <v/>
      </c>
      <c r="W176" s="5" t="str">
        <f>IFERROR(Table1[[#This Row],[Pieces (kg''s)]]/Table1[[#This Row],[Good Kernels (kg''s)]]%,"")</f>
        <v/>
      </c>
      <c r="X176" s="5" t="str">
        <f>IFERROR(Table1[[#This Row],[First Pass Uncut (kg''s)]]/Table1[[#This Row],[Input Quantity (Kg''s)]]%,"")</f>
        <v/>
      </c>
      <c r="Y176" s="5" t="str">
        <f>IFERROR(Table1[[#This Row],[Final Uncut (kg''s)]]/Table1[[#This Row],[Input Quantity (Kg''s)]]%,"")</f>
        <v/>
      </c>
      <c r="Z176" s="21" t="str">
        <f>IFERROR(Table1[[#This Row],[Shell]]/Table1[[#This Row],[Input Quantity (Kg''s)]]%,"")</f>
        <v/>
      </c>
      <c r="AA176" s="21" t="str">
        <f>IFERROR(Table1[[#This Row],[Shell Dust]]/Table1[[#This Row],[Input Quantity (Kg''s)]]%,"")</f>
        <v/>
      </c>
    </row>
    <row r="177" spans="2:27" x14ac:dyDescent="0.3">
      <c r="B177" s="1"/>
      <c r="C177" s="15">
        <f>WEEKNUM(Table1[[#This Row],[Date]])</f>
        <v>0</v>
      </c>
      <c r="D177" s="1" t="str">
        <f>TEXT(Table1[[#This Row],[Date]],"mmm-yy")</f>
        <v>Jan-00</v>
      </c>
      <c r="E177" s="1"/>
      <c r="I177" s="3"/>
      <c r="M177" s="3"/>
      <c r="N177" s="3"/>
      <c r="O177" s="3"/>
      <c r="P177" s="3">
        <f>Table1[[#This Row],[Input Quantity (Kg''s)]]-SUM(Table1[[#This Row],[Wholes (kg''s)]:[Black Rejection (Kg''s)]],Table1[[#This Row],[Shell Dust]])</f>
        <v>0</v>
      </c>
      <c r="Q177" s="3">
        <f>SUM(Table1[[#This Row],[Wholes (kg''s)]:[Pieces (kg''s)]])</f>
        <v>0</v>
      </c>
      <c r="R177" s="3">
        <f>SUM(Table1[[#This Row],[Wholes (kg''s)]:[Black Rejection (Kg''s)]])</f>
        <v>0</v>
      </c>
      <c r="S177" s="4" t="str">
        <f>IFERROR(Table1[[#This Row],[Good Kernels (kg''s)]]/Table1[[#This Row],[Input Quantity (Kg''s)]]*176.36,"")</f>
        <v/>
      </c>
      <c r="T177" s="4" t="str">
        <f>IFERROR(Table1[[#This Row],[Good Kernels (kg''s)]]/Table1[[#This Row],[Input Quantity (Kg''s)]]%,"")</f>
        <v/>
      </c>
      <c r="U177" s="5" t="str">
        <f>IFERROR(Table1[[#This Row],[Final Kernels (kg''s)]]/Table1[[#This Row],[Input Quantity (Kg''s)]]%,"")</f>
        <v/>
      </c>
      <c r="V177" s="5" t="str">
        <f>IFERROR(Table1[[#This Row],[Wholes (kg''s)]]/Table1[[#This Row],[Good Kernels (kg''s)]]%,"")</f>
        <v/>
      </c>
      <c r="W177" s="5" t="str">
        <f>IFERROR(Table1[[#This Row],[Pieces (kg''s)]]/Table1[[#This Row],[Good Kernels (kg''s)]]%,"")</f>
        <v/>
      </c>
      <c r="X177" s="5" t="str">
        <f>IFERROR(Table1[[#This Row],[First Pass Uncut (kg''s)]]/Table1[[#This Row],[Input Quantity (Kg''s)]]%,"")</f>
        <v/>
      </c>
      <c r="Y177" s="5" t="str">
        <f>IFERROR(Table1[[#This Row],[Final Uncut (kg''s)]]/Table1[[#This Row],[Input Quantity (Kg''s)]]%,"")</f>
        <v/>
      </c>
      <c r="Z177" s="21" t="str">
        <f>IFERROR(Table1[[#This Row],[Shell]]/Table1[[#This Row],[Input Quantity (Kg''s)]]%,"")</f>
        <v/>
      </c>
      <c r="AA177" s="21" t="str">
        <f>IFERROR(Table1[[#This Row],[Shell Dust]]/Table1[[#This Row],[Input Quantity (Kg''s)]]%,"")</f>
        <v/>
      </c>
    </row>
    <row r="178" spans="2:27" x14ac:dyDescent="0.3">
      <c r="B178" s="1"/>
      <c r="C178" s="15">
        <f>WEEKNUM(Table1[[#This Row],[Date]])</f>
        <v>0</v>
      </c>
      <c r="D178" s="1" t="str">
        <f>TEXT(Table1[[#This Row],[Date]],"mmm-yy")</f>
        <v>Jan-00</v>
      </c>
      <c r="E178" s="1"/>
      <c r="I178" s="3"/>
      <c r="M178" s="3"/>
      <c r="N178" s="3"/>
      <c r="O178" s="3"/>
      <c r="P178" s="3">
        <f>Table1[[#This Row],[Input Quantity (Kg''s)]]-SUM(Table1[[#This Row],[Wholes (kg''s)]:[Black Rejection (Kg''s)]],Table1[[#This Row],[Shell Dust]])</f>
        <v>0</v>
      </c>
      <c r="Q178" s="3">
        <f>SUM(Table1[[#This Row],[Wholes (kg''s)]:[Pieces (kg''s)]])</f>
        <v>0</v>
      </c>
      <c r="R178" s="3">
        <f>SUM(Table1[[#This Row],[Wholes (kg''s)]:[Black Rejection (Kg''s)]])</f>
        <v>0</v>
      </c>
      <c r="S178" s="4" t="str">
        <f>IFERROR(Table1[[#This Row],[Good Kernels (kg''s)]]/Table1[[#This Row],[Input Quantity (Kg''s)]]*176.36,"")</f>
        <v/>
      </c>
      <c r="T178" s="4" t="str">
        <f>IFERROR(Table1[[#This Row],[Good Kernels (kg''s)]]/Table1[[#This Row],[Input Quantity (Kg''s)]]%,"")</f>
        <v/>
      </c>
      <c r="U178" s="5" t="str">
        <f>IFERROR(Table1[[#This Row],[Final Kernels (kg''s)]]/Table1[[#This Row],[Input Quantity (Kg''s)]]%,"")</f>
        <v/>
      </c>
      <c r="V178" s="5" t="str">
        <f>IFERROR(Table1[[#This Row],[Wholes (kg''s)]]/Table1[[#This Row],[Good Kernels (kg''s)]]%,"")</f>
        <v/>
      </c>
      <c r="W178" s="5" t="str">
        <f>IFERROR(Table1[[#This Row],[Pieces (kg''s)]]/Table1[[#This Row],[Good Kernels (kg''s)]]%,"")</f>
        <v/>
      </c>
      <c r="X178" s="5" t="str">
        <f>IFERROR(Table1[[#This Row],[First Pass Uncut (kg''s)]]/Table1[[#This Row],[Input Quantity (Kg''s)]]%,"")</f>
        <v/>
      </c>
      <c r="Y178" s="5" t="str">
        <f>IFERROR(Table1[[#This Row],[Final Uncut (kg''s)]]/Table1[[#This Row],[Input Quantity (Kg''s)]]%,"")</f>
        <v/>
      </c>
      <c r="Z178" s="21" t="str">
        <f>IFERROR(Table1[[#This Row],[Shell]]/Table1[[#This Row],[Input Quantity (Kg''s)]]%,"")</f>
        <v/>
      </c>
      <c r="AA178" s="21" t="str">
        <f>IFERROR(Table1[[#This Row],[Shell Dust]]/Table1[[#This Row],[Input Quantity (Kg''s)]]%,"")</f>
        <v/>
      </c>
    </row>
    <row r="179" spans="2:27" x14ac:dyDescent="0.3">
      <c r="B179" s="1"/>
      <c r="C179" s="15">
        <f>WEEKNUM(Table1[[#This Row],[Date]])</f>
        <v>0</v>
      </c>
      <c r="D179" s="1" t="str">
        <f>TEXT(Table1[[#This Row],[Date]],"mmm-yy")</f>
        <v>Jan-00</v>
      </c>
      <c r="E179" s="1"/>
      <c r="I179" s="3"/>
      <c r="M179" s="3"/>
      <c r="N179" s="3"/>
      <c r="O179" s="3"/>
      <c r="P179" s="3">
        <f>Table1[[#This Row],[Input Quantity (Kg''s)]]-SUM(Table1[[#This Row],[Wholes (kg''s)]:[Black Rejection (Kg''s)]],Table1[[#This Row],[Shell Dust]])</f>
        <v>0</v>
      </c>
      <c r="Q179" s="3">
        <f>SUM(Table1[[#This Row],[Wholes (kg''s)]:[Pieces (kg''s)]])</f>
        <v>0</v>
      </c>
      <c r="R179" s="3">
        <f>SUM(Table1[[#This Row],[Wholes (kg''s)]:[Black Rejection (Kg''s)]])</f>
        <v>0</v>
      </c>
      <c r="S179" s="4" t="str">
        <f>IFERROR(Table1[[#This Row],[Good Kernels (kg''s)]]/Table1[[#This Row],[Input Quantity (Kg''s)]]*176.36,"")</f>
        <v/>
      </c>
      <c r="T179" s="4" t="str">
        <f>IFERROR(Table1[[#This Row],[Good Kernels (kg''s)]]/Table1[[#This Row],[Input Quantity (Kg''s)]]%,"")</f>
        <v/>
      </c>
      <c r="U179" s="5" t="str">
        <f>IFERROR(Table1[[#This Row],[Final Kernels (kg''s)]]/Table1[[#This Row],[Input Quantity (Kg''s)]]%,"")</f>
        <v/>
      </c>
      <c r="V179" s="5" t="str">
        <f>IFERROR(Table1[[#This Row],[Wholes (kg''s)]]/Table1[[#This Row],[Good Kernels (kg''s)]]%,"")</f>
        <v/>
      </c>
      <c r="W179" s="5" t="str">
        <f>IFERROR(Table1[[#This Row],[Pieces (kg''s)]]/Table1[[#This Row],[Good Kernels (kg''s)]]%,"")</f>
        <v/>
      </c>
      <c r="X179" s="5" t="str">
        <f>IFERROR(Table1[[#This Row],[First Pass Uncut (kg''s)]]/Table1[[#This Row],[Input Quantity (Kg''s)]]%,"")</f>
        <v/>
      </c>
      <c r="Y179" s="5" t="str">
        <f>IFERROR(Table1[[#This Row],[Final Uncut (kg''s)]]/Table1[[#This Row],[Input Quantity (Kg''s)]]%,"")</f>
        <v/>
      </c>
      <c r="Z179" s="21" t="str">
        <f>IFERROR(Table1[[#This Row],[Shell]]/Table1[[#This Row],[Input Quantity (Kg''s)]]%,"")</f>
        <v/>
      </c>
      <c r="AA179" s="21" t="str">
        <f>IFERROR(Table1[[#This Row],[Shell Dust]]/Table1[[#This Row],[Input Quantity (Kg''s)]]%,"")</f>
        <v/>
      </c>
    </row>
    <row r="180" spans="2:27" x14ac:dyDescent="0.3">
      <c r="B180" s="1"/>
      <c r="C180" s="15">
        <f>WEEKNUM(Table1[[#This Row],[Date]])</f>
        <v>0</v>
      </c>
      <c r="D180" s="1" t="str">
        <f>TEXT(Table1[[#This Row],[Date]],"mmm-yy")</f>
        <v>Jan-00</v>
      </c>
      <c r="E180" s="1"/>
      <c r="I180" s="3"/>
      <c r="M180" s="3"/>
      <c r="N180" s="3"/>
      <c r="O180" s="3"/>
      <c r="P180" s="3">
        <f>Table1[[#This Row],[Input Quantity (Kg''s)]]-SUM(Table1[[#This Row],[Wholes (kg''s)]:[Black Rejection (Kg''s)]],Table1[[#This Row],[Shell Dust]])</f>
        <v>0</v>
      </c>
      <c r="Q180" s="3">
        <f>SUM(Table1[[#This Row],[Wholes (kg''s)]:[Pieces (kg''s)]])</f>
        <v>0</v>
      </c>
      <c r="R180" s="3">
        <f>SUM(Table1[[#This Row],[Wholes (kg''s)]:[Black Rejection (Kg''s)]])</f>
        <v>0</v>
      </c>
      <c r="S180" s="4" t="str">
        <f>IFERROR(Table1[[#This Row],[Good Kernels (kg''s)]]/Table1[[#This Row],[Input Quantity (Kg''s)]]*176.36,"")</f>
        <v/>
      </c>
      <c r="T180" s="4" t="str">
        <f>IFERROR(Table1[[#This Row],[Good Kernels (kg''s)]]/Table1[[#This Row],[Input Quantity (Kg''s)]]%,"")</f>
        <v/>
      </c>
      <c r="U180" s="5" t="str">
        <f>IFERROR(Table1[[#This Row],[Final Kernels (kg''s)]]/Table1[[#This Row],[Input Quantity (Kg''s)]]%,"")</f>
        <v/>
      </c>
      <c r="V180" s="5" t="str">
        <f>IFERROR(Table1[[#This Row],[Wholes (kg''s)]]/Table1[[#This Row],[Good Kernels (kg''s)]]%,"")</f>
        <v/>
      </c>
      <c r="W180" s="5" t="str">
        <f>IFERROR(Table1[[#This Row],[Pieces (kg''s)]]/Table1[[#This Row],[Good Kernels (kg''s)]]%,"")</f>
        <v/>
      </c>
      <c r="X180" s="5" t="str">
        <f>IFERROR(Table1[[#This Row],[First Pass Uncut (kg''s)]]/Table1[[#This Row],[Input Quantity (Kg''s)]]%,"")</f>
        <v/>
      </c>
      <c r="Y180" s="5" t="str">
        <f>IFERROR(Table1[[#This Row],[Final Uncut (kg''s)]]/Table1[[#This Row],[Input Quantity (Kg''s)]]%,"")</f>
        <v/>
      </c>
      <c r="Z180" s="21" t="str">
        <f>IFERROR(Table1[[#This Row],[Shell]]/Table1[[#This Row],[Input Quantity (Kg''s)]]%,"")</f>
        <v/>
      </c>
      <c r="AA180" s="21" t="str">
        <f>IFERROR(Table1[[#This Row],[Shell Dust]]/Table1[[#This Row],[Input Quantity (Kg''s)]]%,"")</f>
        <v/>
      </c>
    </row>
    <row r="181" spans="2:27" x14ac:dyDescent="0.3">
      <c r="B181" s="1"/>
      <c r="C181" s="15">
        <f>WEEKNUM(Table1[[#This Row],[Date]])</f>
        <v>0</v>
      </c>
      <c r="D181" s="1" t="str">
        <f>TEXT(Table1[[#This Row],[Date]],"mmm-yy")</f>
        <v>Jan-00</v>
      </c>
      <c r="E181" s="1"/>
      <c r="I181" s="3"/>
      <c r="M181" s="3"/>
      <c r="N181" s="3"/>
      <c r="O181" s="3"/>
      <c r="P181" s="3">
        <f>Table1[[#This Row],[Input Quantity (Kg''s)]]-SUM(Table1[[#This Row],[Wholes (kg''s)]:[Black Rejection (Kg''s)]],Table1[[#This Row],[Shell Dust]])</f>
        <v>0</v>
      </c>
      <c r="Q181" s="3">
        <f>SUM(Table1[[#This Row],[Wholes (kg''s)]:[Pieces (kg''s)]])</f>
        <v>0</v>
      </c>
      <c r="R181" s="3">
        <f>SUM(Table1[[#This Row],[Wholes (kg''s)]:[Black Rejection (Kg''s)]])</f>
        <v>0</v>
      </c>
      <c r="S181" s="4" t="str">
        <f>IFERROR(Table1[[#This Row],[Good Kernels (kg''s)]]/Table1[[#This Row],[Input Quantity (Kg''s)]]*176.36,"")</f>
        <v/>
      </c>
      <c r="T181" s="4" t="str">
        <f>IFERROR(Table1[[#This Row],[Good Kernels (kg''s)]]/Table1[[#This Row],[Input Quantity (Kg''s)]]%,"")</f>
        <v/>
      </c>
      <c r="U181" s="5" t="str">
        <f>IFERROR(Table1[[#This Row],[Final Kernels (kg''s)]]/Table1[[#This Row],[Input Quantity (Kg''s)]]%,"")</f>
        <v/>
      </c>
      <c r="V181" s="5" t="str">
        <f>IFERROR(Table1[[#This Row],[Wholes (kg''s)]]/Table1[[#This Row],[Good Kernels (kg''s)]]%,"")</f>
        <v/>
      </c>
      <c r="W181" s="5" t="str">
        <f>IFERROR(Table1[[#This Row],[Pieces (kg''s)]]/Table1[[#This Row],[Good Kernels (kg''s)]]%,"")</f>
        <v/>
      </c>
      <c r="X181" s="5" t="str">
        <f>IFERROR(Table1[[#This Row],[First Pass Uncut (kg''s)]]/Table1[[#This Row],[Input Quantity (Kg''s)]]%,"")</f>
        <v/>
      </c>
      <c r="Y181" s="5" t="str">
        <f>IFERROR(Table1[[#This Row],[Final Uncut (kg''s)]]/Table1[[#This Row],[Input Quantity (Kg''s)]]%,"")</f>
        <v/>
      </c>
      <c r="Z181" s="21" t="str">
        <f>IFERROR(Table1[[#This Row],[Shell]]/Table1[[#This Row],[Input Quantity (Kg''s)]]%,"")</f>
        <v/>
      </c>
      <c r="AA181" s="21" t="str">
        <f>IFERROR(Table1[[#This Row],[Shell Dust]]/Table1[[#This Row],[Input Quantity (Kg''s)]]%,"")</f>
        <v/>
      </c>
    </row>
    <row r="182" spans="2:27" x14ac:dyDescent="0.3">
      <c r="B182" s="1"/>
      <c r="C182" s="15">
        <f>WEEKNUM(Table1[[#This Row],[Date]])</f>
        <v>0</v>
      </c>
      <c r="D182" s="1" t="str">
        <f>TEXT(Table1[[#This Row],[Date]],"mmm-yy")</f>
        <v>Jan-00</v>
      </c>
      <c r="E182" s="1"/>
      <c r="I182" s="3"/>
      <c r="M182" s="3"/>
      <c r="N182" s="3"/>
      <c r="O182" s="3"/>
      <c r="P182" s="3">
        <f>Table1[[#This Row],[Input Quantity (Kg''s)]]-SUM(Table1[[#This Row],[Wholes (kg''s)]:[Black Rejection (Kg''s)]],Table1[[#This Row],[Shell Dust]])</f>
        <v>0</v>
      </c>
      <c r="Q182" s="3">
        <f>SUM(Table1[[#This Row],[Wholes (kg''s)]:[Pieces (kg''s)]])</f>
        <v>0</v>
      </c>
      <c r="R182" s="3">
        <f>SUM(Table1[[#This Row],[Wholes (kg''s)]:[Black Rejection (Kg''s)]])</f>
        <v>0</v>
      </c>
      <c r="S182" s="4" t="str">
        <f>IFERROR(Table1[[#This Row],[Good Kernels (kg''s)]]/Table1[[#This Row],[Input Quantity (Kg''s)]]*176.36,"")</f>
        <v/>
      </c>
      <c r="T182" s="4" t="str">
        <f>IFERROR(Table1[[#This Row],[Good Kernels (kg''s)]]/Table1[[#This Row],[Input Quantity (Kg''s)]]%,"")</f>
        <v/>
      </c>
      <c r="U182" s="5" t="str">
        <f>IFERROR(Table1[[#This Row],[Final Kernels (kg''s)]]/Table1[[#This Row],[Input Quantity (Kg''s)]]%,"")</f>
        <v/>
      </c>
      <c r="V182" s="5" t="str">
        <f>IFERROR(Table1[[#This Row],[Wholes (kg''s)]]/Table1[[#This Row],[Good Kernels (kg''s)]]%,"")</f>
        <v/>
      </c>
      <c r="W182" s="5" t="str">
        <f>IFERROR(Table1[[#This Row],[Pieces (kg''s)]]/Table1[[#This Row],[Good Kernels (kg''s)]]%,"")</f>
        <v/>
      </c>
      <c r="X182" s="5" t="str">
        <f>IFERROR(Table1[[#This Row],[First Pass Uncut (kg''s)]]/Table1[[#This Row],[Input Quantity (Kg''s)]]%,"")</f>
        <v/>
      </c>
      <c r="Y182" s="5" t="str">
        <f>IFERROR(Table1[[#This Row],[Final Uncut (kg''s)]]/Table1[[#This Row],[Input Quantity (Kg''s)]]%,"")</f>
        <v/>
      </c>
      <c r="Z182" s="21" t="str">
        <f>IFERROR(Table1[[#This Row],[Shell]]/Table1[[#This Row],[Input Quantity (Kg''s)]]%,"")</f>
        <v/>
      </c>
      <c r="AA182" s="21" t="str">
        <f>IFERROR(Table1[[#This Row],[Shell Dust]]/Table1[[#This Row],[Input Quantity (Kg''s)]]%,"")</f>
        <v/>
      </c>
    </row>
    <row r="183" spans="2:27" x14ac:dyDescent="0.3">
      <c r="B183" s="1"/>
      <c r="C183" s="15">
        <f>WEEKNUM(Table1[[#This Row],[Date]])</f>
        <v>0</v>
      </c>
      <c r="D183" s="1" t="str">
        <f>TEXT(Table1[[#This Row],[Date]],"mmm-yy")</f>
        <v>Jan-00</v>
      </c>
      <c r="E183" s="1"/>
      <c r="I183" s="3"/>
      <c r="M183" s="3"/>
      <c r="N183" s="3"/>
      <c r="O183" s="3"/>
      <c r="P183" s="3">
        <f>Table1[[#This Row],[Input Quantity (Kg''s)]]-SUM(Table1[[#This Row],[Wholes (kg''s)]:[Black Rejection (Kg''s)]],Table1[[#This Row],[Shell Dust]])</f>
        <v>0</v>
      </c>
      <c r="Q183" s="3">
        <f>SUM(Table1[[#This Row],[Wholes (kg''s)]:[Pieces (kg''s)]])</f>
        <v>0</v>
      </c>
      <c r="R183" s="3">
        <f>SUM(Table1[[#This Row],[Wholes (kg''s)]:[Black Rejection (Kg''s)]])</f>
        <v>0</v>
      </c>
      <c r="S183" s="4" t="str">
        <f>IFERROR(Table1[[#This Row],[Good Kernels (kg''s)]]/Table1[[#This Row],[Input Quantity (Kg''s)]]*176.36,"")</f>
        <v/>
      </c>
      <c r="T183" s="4" t="str">
        <f>IFERROR(Table1[[#This Row],[Good Kernels (kg''s)]]/Table1[[#This Row],[Input Quantity (Kg''s)]]%,"")</f>
        <v/>
      </c>
      <c r="U183" s="5" t="str">
        <f>IFERROR(Table1[[#This Row],[Final Kernels (kg''s)]]/Table1[[#This Row],[Input Quantity (Kg''s)]]%,"")</f>
        <v/>
      </c>
      <c r="V183" s="5" t="str">
        <f>IFERROR(Table1[[#This Row],[Wholes (kg''s)]]/Table1[[#This Row],[Good Kernels (kg''s)]]%,"")</f>
        <v/>
      </c>
      <c r="W183" s="5" t="str">
        <f>IFERROR(Table1[[#This Row],[Pieces (kg''s)]]/Table1[[#This Row],[Good Kernels (kg''s)]]%,"")</f>
        <v/>
      </c>
      <c r="X183" s="5" t="str">
        <f>IFERROR(Table1[[#This Row],[First Pass Uncut (kg''s)]]/Table1[[#This Row],[Input Quantity (Kg''s)]]%,"")</f>
        <v/>
      </c>
      <c r="Y183" s="5" t="str">
        <f>IFERROR(Table1[[#This Row],[Final Uncut (kg''s)]]/Table1[[#This Row],[Input Quantity (Kg''s)]]%,"")</f>
        <v/>
      </c>
      <c r="Z183" s="21" t="str">
        <f>IFERROR(Table1[[#This Row],[Shell]]/Table1[[#This Row],[Input Quantity (Kg''s)]]%,"")</f>
        <v/>
      </c>
      <c r="AA183" s="21" t="str">
        <f>IFERROR(Table1[[#This Row],[Shell Dust]]/Table1[[#This Row],[Input Quantity (Kg''s)]]%,"")</f>
        <v/>
      </c>
    </row>
    <row r="184" spans="2:27" x14ac:dyDescent="0.3">
      <c r="B184" s="1"/>
      <c r="C184" s="15">
        <f>WEEKNUM(Table1[[#This Row],[Date]])</f>
        <v>0</v>
      </c>
      <c r="D184" s="1" t="str">
        <f>TEXT(Table1[[#This Row],[Date]],"mmm-yy")</f>
        <v>Jan-00</v>
      </c>
      <c r="E184" s="1"/>
      <c r="I184" s="3"/>
      <c r="M184" s="3"/>
      <c r="N184" s="3"/>
      <c r="O184" s="3"/>
      <c r="P184" s="3">
        <f>Table1[[#This Row],[Input Quantity (Kg''s)]]-SUM(Table1[[#This Row],[Wholes (kg''s)]:[Black Rejection (Kg''s)]],Table1[[#This Row],[Shell Dust]])</f>
        <v>0</v>
      </c>
      <c r="Q184" s="3">
        <f>SUM(Table1[[#This Row],[Wholes (kg''s)]:[Pieces (kg''s)]])</f>
        <v>0</v>
      </c>
      <c r="R184" s="3">
        <f>SUM(Table1[[#This Row],[Wholes (kg''s)]:[Black Rejection (Kg''s)]])</f>
        <v>0</v>
      </c>
      <c r="S184" s="4" t="str">
        <f>IFERROR(Table1[[#This Row],[Good Kernels (kg''s)]]/Table1[[#This Row],[Input Quantity (Kg''s)]]*176.36,"")</f>
        <v/>
      </c>
      <c r="T184" s="4" t="str">
        <f>IFERROR(Table1[[#This Row],[Good Kernels (kg''s)]]/Table1[[#This Row],[Input Quantity (Kg''s)]]%,"")</f>
        <v/>
      </c>
      <c r="U184" s="5" t="str">
        <f>IFERROR(Table1[[#This Row],[Final Kernels (kg''s)]]/Table1[[#This Row],[Input Quantity (Kg''s)]]%,"")</f>
        <v/>
      </c>
      <c r="V184" s="5" t="str">
        <f>IFERROR(Table1[[#This Row],[Wholes (kg''s)]]/Table1[[#This Row],[Good Kernels (kg''s)]]%,"")</f>
        <v/>
      </c>
      <c r="W184" s="5" t="str">
        <f>IFERROR(Table1[[#This Row],[Pieces (kg''s)]]/Table1[[#This Row],[Good Kernels (kg''s)]]%,"")</f>
        <v/>
      </c>
      <c r="X184" s="5" t="str">
        <f>IFERROR(Table1[[#This Row],[First Pass Uncut (kg''s)]]/Table1[[#This Row],[Input Quantity (Kg''s)]]%,"")</f>
        <v/>
      </c>
      <c r="Y184" s="5" t="str">
        <f>IFERROR(Table1[[#This Row],[Final Uncut (kg''s)]]/Table1[[#This Row],[Input Quantity (Kg''s)]]%,"")</f>
        <v/>
      </c>
      <c r="Z184" s="21" t="str">
        <f>IFERROR(Table1[[#This Row],[Shell]]/Table1[[#This Row],[Input Quantity (Kg''s)]]%,"")</f>
        <v/>
      </c>
      <c r="AA184" s="21" t="str">
        <f>IFERROR(Table1[[#This Row],[Shell Dust]]/Table1[[#This Row],[Input Quantity (Kg''s)]]%,"")</f>
        <v/>
      </c>
    </row>
    <row r="185" spans="2:27" x14ac:dyDescent="0.3">
      <c r="B185" s="1"/>
      <c r="C185" s="15">
        <f>WEEKNUM(Table1[[#This Row],[Date]])</f>
        <v>0</v>
      </c>
      <c r="D185" s="1" t="str">
        <f>TEXT(Table1[[#This Row],[Date]],"mmm-yy")</f>
        <v>Jan-00</v>
      </c>
      <c r="E185" s="1"/>
      <c r="I185" s="3"/>
      <c r="M185" s="3"/>
      <c r="N185" s="3"/>
      <c r="O185" s="3"/>
      <c r="P185" s="3">
        <f>Table1[[#This Row],[Input Quantity (Kg''s)]]-SUM(Table1[[#This Row],[Wholes (kg''s)]:[Black Rejection (Kg''s)]],Table1[[#This Row],[Shell Dust]])</f>
        <v>0</v>
      </c>
      <c r="Q185" s="3">
        <f>SUM(Table1[[#This Row],[Wholes (kg''s)]:[Pieces (kg''s)]])</f>
        <v>0</v>
      </c>
      <c r="R185" s="3">
        <f>SUM(Table1[[#This Row],[Wholes (kg''s)]:[Black Rejection (Kg''s)]])</f>
        <v>0</v>
      </c>
      <c r="S185" s="4" t="str">
        <f>IFERROR(Table1[[#This Row],[Good Kernels (kg''s)]]/Table1[[#This Row],[Input Quantity (Kg''s)]]*176.36,"")</f>
        <v/>
      </c>
      <c r="T185" s="4" t="str">
        <f>IFERROR(Table1[[#This Row],[Good Kernels (kg''s)]]/Table1[[#This Row],[Input Quantity (Kg''s)]]%,"")</f>
        <v/>
      </c>
      <c r="U185" s="5" t="str">
        <f>IFERROR(Table1[[#This Row],[Final Kernels (kg''s)]]/Table1[[#This Row],[Input Quantity (Kg''s)]]%,"")</f>
        <v/>
      </c>
      <c r="V185" s="5" t="str">
        <f>IFERROR(Table1[[#This Row],[Wholes (kg''s)]]/Table1[[#This Row],[Good Kernels (kg''s)]]%,"")</f>
        <v/>
      </c>
      <c r="W185" s="5" t="str">
        <f>IFERROR(Table1[[#This Row],[Pieces (kg''s)]]/Table1[[#This Row],[Good Kernels (kg''s)]]%,"")</f>
        <v/>
      </c>
      <c r="X185" s="5" t="str">
        <f>IFERROR(Table1[[#This Row],[First Pass Uncut (kg''s)]]/Table1[[#This Row],[Input Quantity (Kg''s)]]%,"")</f>
        <v/>
      </c>
      <c r="Y185" s="5" t="str">
        <f>IFERROR(Table1[[#This Row],[Final Uncut (kg''s)]]/Table1[[#This Row],[Input Quantity (Kg''s)]]%,"")</f>
        <v/>
      </c>
      <c r="Z185" s="21" t="str">
        <f>IFERROR(Table1[[#This Row],[Shell]]/Table1[[#This Row],[Input Quantity (Kg''s)]]%,"")</f>
        <v/>
      </c>
      <c r="AA185" s="21" t="str">
        <f>IFERROR(Table1[[#This Row],[Shell Dust]]/Table1[[#This Row],[Input Quantity (Kg''s)]]%,"")</f>
        <v/>
      </c>
    </row>
    <row r="186" spans="2:27" x14ac:dyDescent="0.3">
      <c r="B186" s="1"/>
      <c r="C186" s="15">
        <f>WEEKNUM(Table1[[#This Row],[Date]])</f>
        <v>0</v>
      </c>
      <c r="D186" s="1" t="str">
        <f>TEXT(Table1[[#This Row],[Date]],"mmm-yy")</f>
        <v>Jan-00</v>
      </c>
      <c r="E186" s="1"/>
      <c r="I186" s="3"/>
      <c r="M186" s="3"/>
      <c r="N186" s="3"/>
      <c r="O186" s="3"/>
      <c r="P186" s="3">
        <f>Table1[[#This Row],[Input Quantity (Kg''s)]]-SUM(Table1[[#This Row],[Wholes (kg''s)]:[Black Rejection (Kg''s)]],Table1[[#This Row],[Shell Dust]])</f>
        <v>0</v>
      </c>
      <c r="Q186" s="3">
        <f>SUM(Table1[[#This Row],[Wholes (kg''s)]:[Pieces (kg''s)]])</f>
        <v>0</v>
      </c>
      <c r="R186" s="3">
        <f>SUM(Table1[[#This Row],[Wholes (kg''s)]:[Black Rejection (Kg''s)]])</f>
        <v>0</v>
      </c>
      <c r="S186" s="4" t="str">
        <f>IFERROR(Table1[[#This Row],[Good Kernels (kg''s)]]/Table1[[#This Row],[Input Quantity (Kg''s)]]*176.36,"")</f>
        <v/>
      </c>
      <c r="T186" s="4" t="str">
        <f>IFERROR(Table1[[#This Row],[Good Kernels (kg''s)]]/Table1[[#This Row],[Input Quantity (Kg''s)]]%,"")</f>
        <v/>
      </c>
      <c r="U186" s="5" t="str">
        <f>IFERROR(Table1[[#This Row],[Final Kernels (kg''s)]]/Table1[[#This Row],[Input Quantity (Kg''s)]]%,"")</f>
        <v/>
      </c>
      <c r="V186" s="5" t="str">
        <f>IFERROR(Table1[[#This Row],[Wholes (kg''s)]]/Table1[[#This Row],[Good Kernels (kg''s)]]%,"")</f>
        <v/>
      </c>
      <c r="W186" s="5" t="str">
        <f>IFERROR(Table1[[#This Row],[Pieces (kg''s)]]/Table1[[#This Row],[Good Kernels (kg''s)]]%,"")</f>
        <v/>
      </c>
      <c r="X186" s="5" t="str">
        <f>IFERROR(Table1[[#This Row],[First Pass Uncut (kg''s)]]/Table1[[#This Row],[Input Quantity (Kg''s)]]%,"")</f>
        <v/>
      </c>
      <c r="Y186" s="5" t="str">
        <f>IFERROR(Table1[[#This Row],[Final Uncut (kg''s)]]/Table1[[#This Row],[Input Quantity (Kg''s)]]%,"")</f>
        <v/>
      </c>
      <c r="Z186" s="21" t="str">
        <f>IFERROR(Table1[[#This Row],[Shell]]/Table1[[#This Row],[Input Quantity (Kg''s)]]%,"")</f>
        <v/>
      </c>
      <c r="AA186" s="21" t="str">
        <f>IFERROR(Table1[[#This Row],[Shell Dust]]/Table1[[#This Row],[Input Quantity (Kg''s)]]%,"")</f>
        <v/>
      </c>
    </row>
    <row r="187" spans="2:27" x14ac:dyDescent="0.3">
      <c r="B187" s="1"/>
      <c r="C187" s="15">
        <f>WEEKNUM(Table1[[#This Row],[Date]])</f>
        <v>0</v>
      </c>
      <c r="D187" s="1" t="str">
        <f>TEXT(Table1[[#This Row],[Date]],"mmm-yy")</f>
        <v>Jan-00</v>
      </c>
      <c r="E187" s="1"/>
      <c r="I187" s="3"/>
      <c r="M187" s="3"/>
      <c r="N187" s="3"/>
      <c r="O187" s="3"/>
      <c r="P187" s="3">
        <f>Table1[[#This Row],[Input Quantity (Kg''s)]]-SUM(Table1[[#This Row],[Wholes (kg''s)]:[Black Rejection (Kg''s)]],Table1[[#This Row],[Shell Dust]])</f>
        <v>0</v>
      </c>
      <c r="Q187" s="3">
        <f>SUM(Table1[[#This Row],[Wholes (kg''s)]:[Pieces (kg''s)]])</f>
        <v>0</v>
      </c>
      <c r="R187" s="3">
        <f>SUM(Table1[[#This Row],[Wholes (kg''s)]:[Black Rejection (Kg''s)]])</f>
        <v>0</v>
      </c>
      <c r="S187" s="4" t="str">
        <f>IFERROR(Table1[[#This Row],[Good Kernels (kg''s)]]/Table1[[#This Row],[Input Quantity (Kg''s)]]*176.36,"")</f>
        <v/>
      </c>
      <c r="T187" s="4" t="str">
        <f>IFERROR(Table1[[#This Row],[Good Kernels (kg''s)]]/Table1[[#This Row],[Input Quantity (Kg''s)]]%,"")</f>
        <v/>
      </c>
      <c r="U187" s="5" t="str">
        <f>IFERROR(Table1[[#This Row],[Final Kernels (kg''s)]]/Table1[[#This Row],[Input Quantity (Kg''s)]]%,"")</f>
        <v/>
      </c>
      <c r="V187" s="5" t="str">
        <f>IFERROR(Table1[[#This Row],[Wholes (kg''s)]]/Table1[[#This Row],[Good Kernels (kg''s)]]%,"")</f>
        <v/>
      </c>
      <c r="W187" s="5" t="str">
        <f>IFERROR(Table1[[#This Row],[Pieces (kg''s)]]/Table1[[#This Row],[Good Kernels (kg''s)]]%,"")</f>
        <v/>
      </c>
      <c r="X187" s="5" t="str">
        <f>IFERROR(Table1[[#This Row],[First Pass Uncut (kg''s)]]/Table1[[#This Row],[Input Quantity (Kg''s)]]%,"")</f>
        <v/>
      </c>
      <c r="Y187" s="5" t="str">
        <f>IFERROR(Table1[[#This Row],[Final Uncut (kg''s)]]/Table1[[#This Row],[Input Quantity (Kg''s)]]%,"")</f>
        <v/>
      </c>
      <c r="Z187" s="21" t="str">
        <f>IFERROR(Table1[[#This Row],[Shell]]/Table1[[#This Row],[Input Quantity (Kg''s)]]%,"")</f>
        <v/>
      </c>
      <c r="AA187" s="21" t="str">
        <f>IFERROR(Table1[[#This Row],[Shell Dust]]/Table1[[#This Row],[Input Quantity (Kg''s)]]%,"")</f>
        <v/>
      </c>
    </row>
    <row r="188" spans="2:27" x14ac:dyDescent="0.3">
      <c r="B188" s="1"/>
      <c r="C188" s="15">
        <f>WEEKNUM(Table1[[#This Row],[Date]])</f>
        <v>0</v>
      </c>
      <c r="D188" s="1" t="str">
        <f>TEXT(Table1[[#This Row],[Date]],"mmm-yy")</f>
        <v>Jan-00</v>
      </c>
      <c r="E188" s="1"/>
      <c r="I188" s="3"/>
      <c r="M188" s="3"/>
      <c r="N188" s="3"/>
      <c r="O188" s="3"/>
      <c r="P188" s="3">
        <f>Table1[[#This Row],[Input Quantity (Kg''s)]]-SUM(Table1[[#This Row],[Wholes (kg''s)]:[Black Rejection (Kg''s)]],Table1[[#This Row],[Shell Dust]])</f>
        <v>0</v>
      </c>
      <c r="Q188" s="3">
        <f>SUM(Table1[[#This Row],[Wholes (kg''s)]:[Pieces (kg''s)]])</f>
        <v>0</v>
      </c>
      <c r="R188" s="3">
        <f>SUM(Table1[[#This Row],[Wholes (kg''s)]:[Black Rejection (Kg''s)]])</f>
        <v>0</v>
      </c>
      <c r="S188" s="4" t="str">
        <f>IFERROR(Table1[[#This Row],[Good Kernels (kg''s)]]/Table1[[#This Row],[Input Quantity (Kg''s)]]*176.36,"")</f>
        <v/>
      </c>
      <c r="T188" s="4" t="str">
        <f>IFERROR(Table1[[#This Row],[Good Kernels (kg''s)]]/Table1[[#This Row],[Input Quantity (Kg''s)]]%,"")</f>
        <v/>
      </c>
      <c r="U188" s="5" t="str">
        <f>IFERROR(Table1[[#This Row],[Final Kernels (kg''s)]]/Table1[[#This Row],[Input Quantity (Kg''s)]]%,"")</f>
        <v/>
      </c>
      <c r="V188" s="5" t="str">
        <f>IFERROR(Table1[[#This Row],[Wholes (kg''s)]]/Table1[[#This Row],[Good Kernels (kg''s)]]%,"")</f>
        <v/>
      </c>
      <c r="W188" s="5" t="str">
        <f>IFERROR(Table1[[#This Row],[Pieces (kg''s)]]/Table1[[#This Row],[Good Kernels (kg''s)]]%,"")</f>
        <v/>
      </c>
      <c r="X188" s="5" t="str">
        <f>IFERROR(Table1[[#This Row],[First Pass Uncut (kg''s)]]/Table1[[#This Row],[Input Quantity (Kg''s)]]%,"")</f>
        <v/>
      </c>
      <c r="Y188" s="5" t="str">
        <f>IFERROR(Table1[[#This Row],[Final Uncut (kg''s)]]/Table1[[#This Row],[Input Quantity (Kg''s)]]%,"")</f>
        <v/>
      </c>
      <c r="Z188" s="21" t="str">
        <f>IFERROR(Table1[[#This Row],[Shell]]/Table1[[#This Row],[Input Quantity (Kg''s)]]%,"")</f>
        <v/>
      </c>
      <c r="AA188" s="21" t="str">
        <f>IFERROR(Table1[[#This Row],[Shell Dust]]/Table1[[#This Row],[Input Quantity (Kg''s)]]%,"")</f>
        <v/>
      </c>
    </row>
    <row r="189" spans="2:27" x14ac:dyDescent="0.3">
      <c r="B189" s="1"/>
      <c r="C189" s="15">
        <f>WEEKNUM(Table1[[#This Row],[Date]])</f>
        <v>0</v>
      </c>
      <c r="D189" s="1" t="str">
        <f>TEXT(Table1[[#This Row],[Date]],"mmm-yy")</f>
        <v>Jan-00</v>
      </c>
      <c r="E189" s="1"/>
      <c r="I189" s="3"/>
      <c r="M189" s="3"/>
      <c r="N189" s="3"/>
      <c r="O189" s="3"/>
      <c r="P189" s="3">
        <f>Table1[[#This Row],[Input Quantity (Kg''s)]]-SUM(Table1[[#This Row],[Wholes (kg''s)]:[Black Rejection (Kg''s)]],Table1[[#This Row],[Shell Dust]])</f>
        <v>0</v>
      </c>
      <c r="Q189" s="3">
        <f>SUM(Table1[[#This Row],[Wholes (kg''s)]:[Pieces (kg''s)]])</f>
        <v>0</v>
      </c>
      <c r="R189" s="3">
        <f>SUM(Table1[[#This Row],[Wholes (kg''s)]:[Black Rejection (Kg''s)]])</f>
        <v>0</v>
      </c>
      <c r="S189" s="4" t="str">
        <f>IFERROR(Table1[[#This Row],[Good Kernels (kg''s)]]/Table1[[#This Row],[Input Quantity (Kg''s)]]*176.36,"")</f>
        <v/>
      </c>
      <c r="T189" s="4" t="str">
        <f>IFERROR(Table1[[#This Row],[Good Kernels (kg''s)]]/Table1[[#This Row],[Input Quantity (Kg''s)]]%,"")</f>
        <v/>
      </c>
      <c r="U189" s="5" t="str">
        <f>IFERROR(Table1[[#This Row],[Final Kernels (kg''s)]]/Table1[[#This Row],[Input Quantity (Kg''s)]]%,"")</f>
        <v/>
      </c>
      <c r="V189" s="5" t="str">
        <f>IFERROR(Table1[[#This Row],[Wholes (kg''s)]]/Table1[[#This Row],[Good Kernels (kg''s)]]%,"")</f>
        <v/>
      </c>
      <c r="W189" s="5" t="str">
        <f>IFERROR(Table1[[#This Row],[Pieces (kg''s)]]/Table1[[#This Row],[Good Kernels (kg''s)]]%,"")</f>
        <v/>
      </c>
      <c r="X189" s="5" t="str">
        <f>IFERROR(Table1[[#This Row],[First Pass Uncut (kg''s)]]/Table1[[#This Row],[Input Quantity (Kg''s)]]%,"")</f>
        <v/>
      </c>
      <c r="Y189" s="5" t="str">
        <f>IFERROR(Table1[[#This Row],[Final Uncut (kg''s)]]/Table1[[#This Row],[Input Quantity (Kg''s)]]%,"")</f>
        <v/>
      </c>
      <c r="Z189" s="21" t="str">
        <f>IFERROR(Table1[[#This Row],[Shell]]/Table1[[#This Row],[Input Quantity (Kg''s)]]%,"")</f>
        <v/>
      </c>
      <c r="AA189" s="21" t="str">
        <f>IFERROR(Table1[[#This Row],[Shell Dust]]/Table1[[#This Row],[Input Quantity (Kg''s)]]%,"")</f>
        <v/>
      </c>
    </row>
    <row r="190" spans="2:27" x14ac:dyDescent="0.3">
      <c r="B190" s="1"/>
      <c r="C190" s="15">
        <f>WEEKNUM(Table1[[#This Row],[Date]])</f>
        <v>0</v>
      </c>
      <c r="D190" s="1" t="str">
        <f>TEXT(Table1[[#This Row],[Date]],"mmm-yy")</f>
        <v>Jan-00</v>
      </c>
      <c r="E190" s="1"/>
      <c r="I190" s="3"/>
      <c r="M190" s="3"/>
      <c r="N190" s="3"/>
      <c r="O190" s="3"/>
      <c r="P190" s="3">
        <f>Table1[[#This Row],[Input Quantity (Kg''s)]]-SUM(Table1[[#This Row],[Wholes (kg''s)]:[Black Rejection (Kg''s)]],Table1[[#This Row],[Shell Dust]])</f>
        <v>0</v>
      </c>
      <c r="Q190" s="3">
        <f>SUM(Table1[[#This Row],[Wholes (kg''s)]:[Pieces (kg''s)]])</f>
        <v>0</v>
      </c>
      <c r="R190" s="3">
        <f>SUM(Table1[[#This Row],[Wholes (kg''s)]:[Black Rejection (Kg''s)]])</f>
        <v>0</v>
      </c>
      <c r="S190" s="4" t="str">
        <f>IFERROR(Table1[[#This Row],[Good Kernels (kg''s)]]/Table1[[#This Row],[Input Quantity (Kg''s)]]*176.36,"")</f>
        <v/>
      </c>
      <c r="T190" s="4" t="str">
        <f>IFERROR(Table1[[#This Row],[Good Kernels (kg''s)]]/Table1[[#This Row],[Input Quantity (Kg''s)]]%,"")</f>
        <v/>
      </c>
      <c r="U190" s="5" t="str">
        <f>IFERROR(Table1[[#This Row],[Final Kernels (kg''s)]]/Table1[[#This Row],[Input Quantity (Kg''s)]]%,"")</f>
        <v/>
      </c>
      <c r="V190" s="5" t="str">
        <f>IFERROR(Table1[[#This Row],[Wholes (kg''s)]]/Table1[[#This Row],[Good Kernels (kg''s)]]%,"")</f>
        <v/>
      </c>
      <c r="W190" s="5" t="str">
        <f>IFERROR(Table1[[#This Row],[Pieces (kg''s)]]/Table1[[#This Row],[Good Kernels (kg''s)]]%,"")</f>
        <v/>
      </c>
      <c r="X190" s="5" t="str">
        <f>IFERROR(Table1[[#This Row],[First Pass Uncut (kg''s)]]/Table1[[#This Row],[Input Quantity (Kg''s)]]%,"")</f>
        <v/>
      </c>
      <c r="Y190" s="5" t="str">
        <f>IFERROR(Table1[[#This Row],[Final Uncut (kg''s)]]/Table1[[#This Row],[Input Quantity (Kg''s)]]%,"")</f>
        <v/>
      </c>
      <c r="Z190" s="21" t="str">
        <f>IFERROR(Table1[[#This Row],[Shell]]/Table1[[#This Row],[Input Quantity (Kg''s)]]%,"")</f>
        <v/>
      </c>
      <c r="AA190" s="21" t="str">
        <f>IFERROR(Table1[[#This Row],[Shell Dust]]/Table1[[#This Row],[Input Quantity (Kg''s)]]%,"")</f>
        <v/>
      </c>
    </row>
    <row r="191" spans="2:27" x14ac:dyDescent="0.3">
      <c r="B191" s="1"/>
      <c r="C191" s="15">
        <f>WEEKNUM(Table1[[#This Row],[Date]])</f>
        <v>0</v>
      </c>
      <c r="D191" s="1" t="str">
        <f>TEXT(Table1[[#This Row],[Date]],"mmm-yy")</f>
        <v>Jan-00</v>
      </c>
      <c r="E191" s="1"/>
      <c r="I191" s="3"/>
      <c r="M191" s="3"/>
      <c r="N191" s="3"/>
      <c r="O191" s="3"/>
      <c r="P191" s="3">
        <f>Table1[[#This Row],[Input Quantity (Kg''s)]]-SUM(Table1[[#This Row],[Wholes (kg''s)]:[Black Rejection (Kg''s)]],Table1[[#This Row],[Shell Dust]])</f>
        <v>0</v>
      </c>
      <c r="Q191" s="3">
        <f>SUM(Table1[[#This Row],[Wholes (kg''s)]:[Pieces (kg''s)]])</f>
        <v>0</v>
      </c>
      <c r="R191" s="3">
        <f>SUM(Table1[[#This Row],[Wholes (kg''s)]:[Black Rejection (Kg''s)]])</f>
        <v>0</v>
      </c>
      <c r="S191" s="4" t="str">
        <f>IFERROR(Table1[[#This Row],[Good Kernels (kg''s)]]/Table1[[#This Row],[Input Quantity (Kg''s)]]*176.36,"")</f>
        <v/>
      </c>
      <c r="T191" s="4" t="str">
        <f>IFERROR(Table1[[#This Row],[Good Kernels (kg''s)]]/Table1[[#This Row],[Input Quantity (Kg''s)]]%,"")</f>
        <v/>
      </c>
      <c r="U191" s="5" t="str">
        <f>IFERROR(Table1[[#This Row],[Final Kernels (kg''s)]]/Table1[[#This Row],[Input Quantity (Kg''s)]]%,"")</f>
        <v/>
      </c>
      <c r="V191" s="5" t="str">
        <f>IFERROR(Table1[[#This Row],[Wholes (kg''s)]]/Table1[[#This Row],[Good Kernels (kg''s)]]%,"")</f>
        <v/>
      </c>
      <c r="W191" s="5" t="str">
        <f>IFERROR(Table1[[#This Row],[Pieces (kg''s)]]/Table1[[#This Row],[Good Kernels (kg''s)]]%,"")</f>
        <v/>
      </c>
      <c r="X191" s="5" t="str">
        <f>IFERROR(Table1[[#This Row],[First Pass Uncut (kg''s)]]/Table1[[#This Row],[Input Quantity (Kg''s)]]%,"")</f>
        <v/>
      </c>
      <c r="Y191" s="5" t="str">
        <f>IFERROR(Table1[[#This Row],[Final Uncut (kg''s)]]/Table1[[#This Row],[Input Quantity (Kg''s)]]%,"")</f>
        <v/>
      </c>
      <c r="Z191" s="21" t="str">
        <f>IFERROR(Table1[[#This Row],[Shell]]/Table1[[#This Row],[Input Quantity (Kg''s)]]%,"")</f>
        <v/>
      </c>
      <c r="AA191" s="21" t="str">
        <f>IFERROR(Table1[[#This Row],[Shell Dust]]/Table1[[#This Row],[Input Quantity (Kg''s)]]%,"")</f>
        <v/>
      </c>
    </row>
    <row r="192" spans="2:27" x14ac:dyDescent="0.3">
      <c r="B192" s="1"/>
      <c r="C192" s="15">
        <f>WEEKNUM(Table1[[#This Row],[Date]])</f>
        <v>0</v>
      </c>
      <c r="D192" s="1" t="str">
        <f>TEXT(Table1[[#This Row],[Date]],"mmm-yy")</f>
        <v>Jan-00</v>
      </c>
      <c r="E192" s="1"/>
      <c r="I192" s="3"/>
      <c r="M192" s="3"/>
      <c r="N192" s="3"/>
      <c r="O192" s="3"/>
      <c r="P192" s="3">
        <f>Table1[[#This Row],[Input Quantity (Kg''s)]]-SUM(Table1[[#This Row],[Wholes (kg''s)]:[Black Rejection (Kg''s)]],Table1[[#This Row],[Shell Dust]])</f>
        <v>0</v>
      </c>
      <c r="Q192" s="3">
        <f>SUM(Table1[[#This Row],[Wholes (kg''s)]:[Pieces (kg''s)]])</f>
        <v>0</v>
      </c>
      <c r="R192" s="3">
        <f>SUM(Table1[[#This Row],[Wholes (kg''s)]:[Black Rejection (Kg''s)]])</f>
        <v>0</v>
      </c>
      <c r="S192" s="4" t="str">
        <f>IFERROR(Table1[[#This Row],[Good Kernels (kg''s)]]/Table1[[#This Row],[Input Quantity (Kg''s)]]*176.36,"")</f>
        <v/>
      </c>
      <c r="T192" s="4" t="str">
        <f>IFERROR(Table1[[#This Row],[Good Kernels (kg''s)]]/Table1[[#This Row],[Input Quantity (Kg''s)]]%,"")</f>
        <v/>
      </c>
      <c r="U192" s="5" t="str">
        <f>IFERROR(Table1[[#This Row],[Final Kernels (kg''s)]]/Table1[[#This Row],[Input Quantity (Kg''s)]]%,"")</f>
        <v/>
      </c>
      <c r="V192" s="5" t="str">
        <f>IFERROR(Table1[[#This Row],[Wholes (kg''s)]]/Table1[[#This Row],[Good Kernels (kg''s)]]%,"")</f>
        <v/>
      </c>
      <c r="W192" s="5" t="str">
        <f>IFERROR(Table1[[#This Row],[Pieces (kg''s)]]/Table1[[#This Row],[Good Kernels (kg''s)]]%,"")</f>
        <v/>
      </c>
      <c r="X192" s="5" t="str">
        <f>IFERROR(Table1[[#This Row],[First Pass Uncut (kg''s)]]/Table1[[#This Row],[Input Quantity (Kg''s)]]%,"")</f>
        <v/>
      </c>
      <c r="Y192" s="5" t="str">
        <f>IFERROR(Table1[[#This Row],[Final Uncut (kg''s)]]/Table1[[#This Row],[Input Quantity (Kg''s)]]%,"")</f>
        <v/>
      </c>
      <c r="Z192" s="21" t="str">
        <f>IFERROR(Table1[[#This Row],[Shell]]/Table1[[#This Row],[Input Quantity (Kg''s)]]%,"")</f>
        <v/>
      </c>
      <c r="AA192" s="21" t="str">
        <f>IFERROR(Table1[[#This Row],[Shell Dust]]/Table1[[#This Row],[Input Quantity (Kg''s)]]%,"")</f>
        <v/>
      </c>
    </row>
    <row r="193" spans="2:27" x14ac:dyDescent="0.3">
      <c r="B193" s="1"/>
      <c r="C193" s="15">
        <f>WEEKNUM(Table1[[#This Row],[Date]])</f>
        <v>0</v>
      </c>
      <c r="D193" s="1" t="str">
        <f>TEXT(Table1[[#This Row],[Date]],"mmm-yy")</f>
        <v>Jan-00</v>
      </c>
      <c r="E193" s="1"/>
      <c r="I193" s="3"/>
      <c r="M193" s="3"/>
      <c r="N193" s="3"/>
      <c r="O193" s="3"/>
      <c r="P193" s="3">
        <f>Table1[[#This Row],[Input Quantity (Kg''s)]]-SUM(Table1[[#This Row],[Wholes (kg''s)]:[Black Rejection (Kg''s)]],Table1[[#This Row],[Shell Dust]])</f>
        <v>0</v>
      </c>
      <c r="Q193" s="3">
        <f>SUM(Table1[[#This Row],[Wholes (kg''s)]:[Pieces (kg''s)]])</f>
        <v>0</v>
      </c>
      <c r="R193" s="3">
        <f>SUM(Table1[[#This Row],[Wholes (kg''s)]:[Black Rejection (Kg''s)]])</f>
        <v>0</v>
      </c>
      <c r="S193" s="4" t="str">
        <f>IFERROR(Table1[[#This Row],[Good Kernels (kg''s)]]/Table1[[#This Row],[Input Quantity (Kg''s)]]*176.36,"")</f>
        <v/>
      </c>
      <c r="T193" s="4" t="str">
        <f>IFERROR(Table1[[#This Row],[Good Kernels (kg''s)]]/Table1[[#This Row],[Input Quantity (Kg''s)]]%,"")</f>
        <v/>
      </c>
      <c r="U193" s="5" t="str">
        <f>IFERROR(Table1[[#This Row],[Final Kernels (kg''s)]]/Table1[[#This Row],[Input Quantity (Kg''s)]]%,"")</f>
        <v/>
      </c>
      <c r="V193" s="5" t="str">
        <f>IFERROR(Table1[[#This Row],[Wholes (kg''s)]]/Table1[[#This Row],[Good Kernels (kg''s)]]%,"")</f>
        <v/>
      </c>
      <c r="W193" s="5" t="str">
        <f>IFERROR(Table1[[#This Row],[Pieces (kg''s)]]/Table1[[#This Row],[Good Kernels (kg''s)]]%,"")</f>
        <v/>
      </c>
      <c r="X193" s="5" t="str">
        <f>IFERROR(Table1[[#This Row],[First Pass Uncut (kg''s)]]/Table1[[#This Row],[Input Quantity (Kg''s)]]%,"")</f>
        <v/>
      </c>
      <c r="Y193" s="5" t="str">
        <f>IFERROR(Table1[[#This Row],[Final Uncut (kg''s)]]/Table1[[#This Row],[Input Quantity (Kg''s)]]%,"")</f>
        <v/>
      </c>
      <c r="Z193" s="21" t="str">
        <f>IFERROR(Table1[[#This Row],[Shell]]/Table1[[#This Row],[Input Quantity (Kg''s)]]%,"")</f>
        <v/>
      </c>
      <c r="AA193" s="21" t="str">
        <f>IFERROR(Table1[[#This Row],[Shell Dust]]/Table1[[#This Row],[Input Quantity (Kg''s)]]%,"")</f>
        <v/>
      </c>
    </row>
    <row r="194" spans="2:27" x14ac:dyDescent="0.3">
      <c r="B194" s="1"/>
      <c r="C194" s="15">
        <f>WEEKNUM(Table1[[#This Row],[Date]])</f>
        <v>0</v>
      </c>
      <c r="D194" s="1" t="str">
        <f>TEXT(Table1[[#This Row],[Date]],"mmm-yy")</f>
        <v>Jan-00</v>
      </c>
      <c r="E194" s="1"/>
      <c r="I194" s="3"/>
      <c r="M194" s="3"/>
      <c r="N194" s="3"/>
      <c r="O194" s="3"/>
      <c r="P194" s="3">
        <f>Table1[[#This Row],[Input Quantity (Kg''s)]]-SUM(Table1[[#This Row],[Wholes (kg''s)]:[Black Rejection (Kg''s)]],Table1[[#This Row],[Shell Dust]])</f>
        <v>0</v>
      </c>
      <c r="Q194" s="3">
        <f>SUM(Table1[[#This Row],[Wholes (kg''s)]:[Pieces (kg''s)]])</f>
        <v>0</v>
      </c>
      <c r="R194" s="3">
        <f>SUM(Table1[[#This Row],[Wholes (kg''s)]:[Black Rejection (Kg''s)]])</f>
        <v>0</v>
      </c>
      <c r="S194" s="4" t="str">
        <f>IFERROR(Table1[[#This Row],[Good Kernels (kg''s)]]/Table1[[#This Row],[Input Quantity (Kg''s)]]*176.36,"")</f>
        <v/>
      </c>
      <c r="T194" s="4" t="str">
        <f>IFERROR(Table1[[#This Row],[Good Kernels (kg''s)]]/Table1[[#This Row],[Input Quantity (Kg''s)]]%,"")</f>
        <v/>
      </c>
      <c r="U194" s="5" t="str">
        <f>IFERROR(Table1[[#This Row],[Final Kernels (kg''s)]]/Table1[[#This Row],[Input Quantity (Kg''s)]]%,"")</f>
        <v/>
      </c>
      <c r="V194" s="5" t="str">
        <f>IFERROR(Table1[[#This Row],[Wholes (kg''s)]]/Table1[[#This Row],[Good Kernels (kg''s)]]%,"")</f>
        <v/>
      </c>
      <c r="W194" s="5" t="str">
        <f>IFERROR(Table1[[#This Row],[Pieces (kg''s)]]/Table1[[#This Row],[Good Kernels (kg''s)]]%,"")</f>
        <v/>
      </c>
      <c r="X194" s="5" t="str">
        <f>IFERROR(Table1[[#This Row],[First Pass Uncut (kg''s)]]/Table1[[#This Row],[Input Quantity (Kg''s)]]%,"")</f>
        <v/>
      </c>
      <c r="Y194" s="5" t="str">
        <f>IFERROR(Table1[[#This Row],[Final Uncut (kg''s)]]/Table1[[#This Row],[Input Quantity (Kg''s)]]%,"")</f>
        <v/>
      </c>
      <c r="Z194" s="21" t="str">
        <f>IFERROR(Table1[[#This Row],[Shell]]/Table1[[#This Row],[Input Quantity (Kg''s)]]%,"")</f>
        <v/>
      </c>
      <c r="AA194" s="21" t="str">
        <f>IFERROR(Table1[[#This Row],[Shell Dust]]/Table1[[#This Row],[Input Quantity (Kg''s)]]%,"")</f>
        <v/>
      </c>
    </row>
    <row r="195" spans="2:27" x14ac:dyDescent="0.3">
      <c r="B195" s="1"/>
      <c r="C195" s="15">
        <f>WEEKNUM(Table1[[#This Row],[Date]])</f>
        <v>0</v>
      </c>
      <c r="D195" s="1" t="str">
        <f>TEXT(Table1[[#This Row],[Date]],"mmm-yy")</f>
        <v>Jan-00</v>
      </c>
      <c r="E195" s="1"/>
      <c r="I195" s="3"/>
      <c r="M195" s="3"/>
      <c r="N195" s="3"/>
      <c r="O195" s="3"/>
      <c r="P195" s="3">
        <f>Table1[[#This Row],[Input Quantity (Kg''s)]]-SUM(Table1[[#This Row],[Wholes (kg''s)]:[Black Rejection (Kg''s)]],Table1[[#This Row],[Shell Dust]])</f>
        <v>0</v>
      </c>
      <c r="Q195" s="3">
        <f>SUM(Table1[[#This Row],[Wholes (kg''s)]:[Pieces (kg''s)]])</f>
        <v>0</v>
      </c>
      <c r="R195" s="3">
        <f>SUM(Table1[[#This Row],[Wholes (kg''s)]:[Black Rejection (Kg''s)]])</f>
        <v>0</v>
      </c>
      <c r="S195" s="4" t="str">
        <f>IFERROR(Table1[[#This Row],[Good Kernels (kg''s)]]/Table1[[#This Row],[Input Quantity (Kg''s)]]*176.36,"")</f>
        <v/>
      </c>
      <c r="T195" s="4" t="str">
        <f>IFERROR(Table1[[#This Row],[Good Kernels (kg''s)]]/Table1[[#This Row],[Input Quantity (Kg''s)]]%,"")</f>
        <v/>
      </c>
      <c r="U195" s="5" t="str">
        <f>IFERROR(Table1[[#This Row],[Final Kernels (kg''s)]]/Table1[[#This Row],[Input Quantity (Kg''s)]]%,"")</f>
        <v/>
      </c>
      <c r="V195" s="5" t="str">
        <f>IFERROR(Table1[[#This Row],[Wholes (kg''s)]]/Table1[[#This Row],[Good Kernels (kg''s)]]%,"")</f>
        <v/>
      </c>
      <c r="W195" s="5" t="str">
        <f>IFERROR(Table1[[#This Row],[Pieces (kg''s)]]/Table1[[#This Row],[Good Kernels (kg''s)]]%,"")</f>
        <v/>
      </c>
      <c r="X195" s="5" t="str">
        <f>IFERROR(Table1[[#This Row],[First Pass Uncut (kg''s)]]/Table1[[#This Row],[Input Quantity (Kg''s)]]%,"")</f>
        <v/>
      </c>
      <c r="Y195" s="5" t="str">
        <f>IFERROR(Table1[[#This Row],[Final Uncut (kg''s)]]/Table1[[#This Row],[Input Quantity (Kg''s)]]%,"")</f>
        <v/>
      </c>
      <c r="Z195" s="21" t="str">
        <f>IFERROR(Table1[[#This Row],[Shell]]/Table1[[#This Row],[Input Quantity (Kg''s)]]%,"")</f>
        <v/>
      </c>
      <c r="AA195" s="21" t="str">
        <f>IFERROR(Table1[[#This Row],[Shell Dust]]/Table1[[#This Row],[Input Quantity (Kg''s)]]%,"")</f>
        <v/>
      </c>
    </row>
    <row r="196" spans="2:27" x14ac:dyDescent="0.3">
      <c r="B196" s="1"/>
      <c r="C196" s="15">
        <f>WEEKNUM(Table1[[#This Row],[Date]])</f>
        <v>0</v>
      </c>
      <c r="D196" s="1" t="str">
        <f>TEXT(Table1[[#This Row],[Date]],"mmm-yy")</f>
        <v>Jan-00</v>
      </c>
      <c r="E196" s="1"/>
      <c r="I196" s="3"/>
      <c r="M196" s="3"/>
      <c r="N196" s="3"/>
      <c r="O196" s="3"/>
      <c r="P196" s="3">
        <f>Table1[[#This Row],[Input Quantity (Kg''s)]]-SUM(Table1[[#This Row],[Wholes (kg''s)]:[Black Rejection (Kg''s)]],Table1[[#This Row],[Shell Dust]])</f>
        <v>0</v>
      </c>
      <c r="Q196" s="3">
        <f>SUM(Table1[[#This Row],[Wholes (kg''s)]:[Pieces (kg''s)]])</f>
        <v>0</v>
      </c>
      <c r="R196" s="3">
        <f>SUM(Table1[[#This Row],[Wholes (kg''s)]:[Black Rejection (Kg''s)]])</f>
        <v>0</v>
      </c>
      <c r="S196" s="4" t="str">
        <f>IFERROR(Table1[[#This Row],[Good Kernels (kg''s)]]/Table1[[#This Row],[Input Quantity (Kg''s)]]*176.36,"")</f>
        <v/>
      </c>
      <c r="T196" s="4" t="str">
        <f>IFERROR(Table1[[#This Row],[Good Kernels (kg''s)]]/Table1[[#This Row],[Input Quantity (Kg''s)]]%,"")</f>
        <v/>
      </c>
      <c r="U196" s="5" t="str">
        <f>IFERROR(Table1[[#This Row],[Final Kernels (kg''s)]]/Table1[[#This Row],[Input Quantity (Kg''s)]]%,"")</f>
        <v/>
      </c>
      <c r="V196" s="5" t="str">
        <f>IFERROR(Table1[[#This Row],[Wholes (kg''s)]]/Table1[[#This Row],[Good Kernels (kg''s)]]%,"")</f>
        <v/>
      </c>
      <c r="W196" s="5" t="str">
        <f>IFERROR(Table1[[#This Row],[Pieces (kg''s)]]/Table1[[#This Row],[Good Kernels (kg''s)]]%,"")</f>
        <v/>
      </c>
      <c r="X196" s="5" t="str">
        <f>IFERROR(Table1[[#This Row],[First Pass Uncut (kg''s)]]/Table1[[#This Row],[Input Quantity (Kg''s)]]%,"")</f>
        <v/>
      </c>
      <c r="Y196" s="5" t="str">
        <f>IFERROR(Table1[[#This Row],[Final Uncut (kg''s)]]/Table1[[#This Row],[Input Quantity (Kg''s)]]%,"")</f>
        <v/>
      </c>
      <c r="Z196" s="21" t="str">
        <f>IFERROR(Table1[[#This Row],[Shell]]/Table1[[#This Row],[Input Quantity (Kg''s)]]%,"")</f>
        <v/>
      </c>
      <c r="AA196" s="21" t="str">
        <f>IFERROR(Table1[[#This Row],[Shell Dust]]/Table1[[#This Row],[Input Quantity (Kg''s)]]%,"")</f>
        <v/>
      </c>
    </row>
    <row r="197" spans="2:27" x14ac:dyDescent="0.3">
      <c r="B197" s="1"/>
      <c r="C197" s="15">
        <f>WEEKNUM(Table1[[#This Row],[Date]])</f>
        <v>0</v>
      </c>
      <c r="D197" s="1" t="str">
        <f>TEXT(Table1[[#This Row],[Date]],"mmm-yy")</f>
        <v>Jan-00</v>
      </c>
      <c r="E197" s="1"/>
      <c r="I197" s="3"/>
      <c r="M197" s="3"/>
      <c r="N197" s="3"/>
      <c r="O197" s="3"/>
      <c r="P197" s="3">
        <f>Table1[[#This Row],[Input Quantity (Kg''s)]]-SUM(Table1[[#This Row],[Wholes (kg''s)]:[Black Rejection (Kg''s)]],Table1[[#This Row],[Shell Dust]])</f>
        <v>0</v>
      </c>
      <c r="Q197" s="3">
        <f>SUM(Table1[[#This Row],[Wholes (kg''s)]:[Pieces (kg''s)]])</f>
        <v>0</v>
      </c>
      <c r="R197" s="3">
        <f>SUM(Table1[[#This Row],[Wholes (kg''s)]:[Black Rejection (Kg''s)]])</f>
        <v>0</v>
      </c>
      <c r="S197" s="4" t="str">
        <f>IFERROR(Table1[[#This Row],[Good Kernels (kg''s)]]/Table1[[#This Row],[Input Quantity (Kg''s)]]*176.36,"")</f>
        <v/>
      </c>
      <c r="T197" s="4" t="str">
        <f>IFERROR(Table1[[#This Row],[Good Kernels (kg''s)]]/Table1[[#This Row],[Input Quantity (Kg''s)]]%,"")</f>
        <v/>
      </c>
      <c r="U197" s="5" t="str">
        <f>IFERROR(Table1[[#This Row],[Final Kernels (kg''s)]]/Table1[[#This Row],[Input Quantity (Kg''s)]]%,"")</f>
        <v/>
      </c>
      <c r="V197" s="5" t="str">
        <f>IFERROR(Table1[[#This Row],[Wholes (kg''s)]]/Table1[[#This Row],[Good Kernels (kg''s)]]%,"")</f>
        <v/>
      </c>
      <c r="W197" s="5" t="str">
        <f>IFERROR(Table1[[#This Row],[Pieces (kg''s)]]/Table1[[#This Row],[Good Kernels (kg''s)]]%,"")</f>
        <v/>
      </c>
      <c r="X197" s="5" t="str">
        <f>IFERROR(Table1[[#This Row],[First Pass Uncut (kg''s)]]/Table1[[#This Row],[Input Quantity (Kg''s)]]%,"")</f>
        <v/>
      </c>
      <c r="Y197" s="5" t="str">
        <f>IFERROR(Table1[[#This Row],[Final Uncut (kg''s)]]/Table1[[#This Row],[Input Quantity (Kg''s)]]%,"")</f>
        <v/>
      </c>
      <c r="Z197" s="21" t="str">
        <f>IFERROR(Table1[[#This Row],[Shell]]/Table1[[#This Row],[Input Quantity (Kg''s)]]%,"")</f>
        <v/>
      </c>
      <c r="AA197" s="21" t="str">
        <f>IFERROR(Table1[[#This Row],[Shell Dust]]/Table1[[#This Row],[Input Quantity (Kg''s)]]%,"")</f>
        <v/>
      </c>
    </row>
    <row r="198" spans="2:27" x14ac:dyDescent="0.3">
      <c r="B198" s="1"/>
      <c r="C198" s="15">
        <f>WEEKNUM(Table1[[#This Row],[Date]])</f>
        <v>0</v>
      </c>
      <c r="D198" s="1" t="str">
        <f>TEXT(Table1[[#This Row],[Date]],"mmm-yy")</f>
        <v>Jan-00</v>
      </c>
      <c r="E198" s="1"/>
      <c r="I198" s="3"/>
      <c r="M198" s="3"/>
      <c r="N198" s="3"/>
      <c r="O198" s="3"/>
      <c r="P198" s="3">
        <f>Table1[[#This Row],[Input Quantity (Kg''s)]]-SUM(Table1[[#This Row],[Wholes (kg''s)]:[Black Rejection (Kg''s)]],Table1[[#This Row],[Shell Dust]])</f>
        <v>0</v>
      </c>
      <c r="Q198" s="3">
        <f>SUM(Table1[[#This Row],[Wholes (kg''s)]:[Pieces (kg''s)]])</f>
        <v>0</v>
      </c>
      <c r="R198" s="3">
        <f>SUM(Table1[[#This Row],[Wholes (kg''s)]:[Black Rejection (Kg''s)]])</f>
        <v>0</v>
      </c>
      <c r="S198" s="4" t="str">
        <f>IFERROR(Table1[[#This Row],[Good Kernels (kg''s)]]/Table1[[#This Row],[Input Quantity (Kg''s)]]*176.36,"")</f>
        <v/>
      </c>
      <c r="T198" s="4" t="str">
        <f>IFERROR(Table1[[#This Row],[Good Kernels (kg''s)]]/Table1[[#This Row],[Input Quantity (Kg''s)]]%,"")</f>
        <v/>
      </c>
      <c r="U198" s="5" t="str">
        <f>IFERROR(Table1[[#This Row],[Final Kernels (kg''s)]]/Table1[[#This Row],[Input Quantity (Kg''s)]]%,"")</f>
        <v/>
      </c>
      <c r="V198" s="5" t="str">
        <f>IFERROR(Table1[[#This Row],[Wholes (kg''s)]]/Table1[[#This Row],[Good Kernels (kg''s)]]%,"")</f>
        <v/>
      </c>
      <c r="W198" s="5" t="str">
        <f>IFERROR(Table1[[#This Row],[Pieces (kg''s)]]/Table1[[#This Row],[Good Kernels (kg''s)]]%,"")</f>
        <v/>
      </c>
      <c r="X198" s="5" t="str">
        <f>IFERROR(Table1[[#This Row],[First Pass Uncut (kg''s)]]/Table1[[#This Row],[Input Quantity (Kg''s)]]%,"")</f>
        <v/>
      </c>
      <c r="Y198" s="5" t="str">
        <f>IFERROR(Table1[[#This Row],[Final Uncut (kg''s)]]/Table1[[#This Row],[Input Quantity (Kg''s)]]%,"")</f>
        <v/>
      </c>
      <c r="Z198" s="21" t="str">
        <f>IFERROR(Table1[[#This Row],[Shell]]/Table1[[#This Row],[Input Quantity (Kg''s)]]%,"")</f>
        <v/>
      </c>
      <c r="AA198" s="21" t="str">
        <f>IFERROR(Table1[[#This Row],[Shell Dust]]/Table1[[#This Row],[Input Quantity (Kg''s)]]%,"")</f>
        <v/>
      </c>
    </row>
    <row r="199" spans="2:27" x14ac:dyDescent="0.3">
      <c r="B199" s="1"/>
      <c r="C199" s="15">
        <f>WEEKNUM(Table1[[#This Row],[Date]])</f>
        <v>0</v>
      </c>
      <c r="D199" s="1" t="str">
        <f>TEXT(Table1[[#This Row],[Date]],"mmm-yy")</f>
        <v>Jan-00</v>
      </c>
      <c r="E199" s="1"/>
      <c r="I199" s="3"/>
      <c r="M199" s="3"/>
      <c r="N199" s="3"/>
      <c r="O199" s="3"/>
      <c r="P199" s="3">
        <f>Table1[[#This Row],[Input Quantity (Kg''s)]]-SUM(Table1[[#This Row],[Wholes (kg''s)]:[Black Rejection (Kg''s)]],Table1[[#This Row],[Shell Dust]])</f>
        <v>0</v>
      </c>
      <c r="Q199" s="3">
        <f>SUM(Table1[[#This Row],[Wholes (kg''s)]:[Pieces (kg''s)]])</f>
        <v>0</v>
      </c>
      <c r="R199" s="3">
        <f>SUM(Table1[[#This Row],[Wholes (kg''s)]:[Black Rejection (Kg''s)]])</f>
        <v>0</v>
      </c>
      <c r="S199" s="4" t="str">
        <f>IFERROR(Table1[[#This Row],[Good Kernels (kg''s)]]/Table1[[#This Row],[Input Quantity (Kg''s)]]*176.36,"")</f>
        <v/>
      </c>
      <c r="T199" s="4" t="str">
        <f>IFERROR(Table1[[#This Row],[Good Kernels (kg''s)]]/Table1[[#This Row],[Input Quantity (Kg''s)]]%,"")</f>
        <v/>
      </c>
      <c r="U199" s="5" t="str">
        <f>IFERROR(Table1[[#This Row],[Final Kernels (kg''s)]]/Table1[[#This Row],[Input Quantity (Kg''s)]]%,"")</f>
        <v/>
      </c>
      <c r="V199" s="5" t="str">
        <f>IFERROR(Table1[[#This Row],[Wholes (kg''s)]]/Table1[[#This Row],[Good Kernels (kg''s)]]%,"")</f>
        <v/>
      </c>
      <c r="W199" s="5" t="str">
        <f>IFERROR(Table1[[#This Row],[Pieces (kg''s)]]/Table1[[#This Row],[Good Kernels (kg''s)]]%,"")</f>
        <v/>
      </c>
      <c r="X199" s="5" t="str">
        <f>IFERROR(Table1[[#This Row],[First Pass Uncut (kg''s)]]/Table1[[#This Row],[Input Quantity (Kg''s)]]%,"")</f>
        <v/>
      </c>
      <c r="Y199" s="5" t="str">
        <f>IFERROR(Table1[[#This Row],[Final Uncut (kg''s)]]/Table1[[#This Row],[Input Quantity (Kg''s)]]%,"")</f>
        <v/>
      </c>
      <c r="Z199" s="21" t="str">
        <f>IFERROR(Table1[[#This Row],[Shell]]/Table1[[#This Row],[Input Quantity (Kg''s)]]%,"")</f>
        <v/>
      </c>
      <c r="AA199" s="21" t="str">
        <f>IFERROR(Table1[[#This Row],[Shell Dust]]/Table1[[#This Row],[Input Quantity (Kg''s)]]%,"")</f>
        <v/>
      </c>
    </row>
    <row r="200" spans="2:27" x14ac:dyDescent="0.3">
      <c r="B200" s="1"/>
      <c r="C200" s="15">
        <f>WEEKNUM(Table1[[#This Row],[Date]])</f>
        <v>0</v>
      </c>
      <c r="D200" s="1" t="str">
        <f>TEXT(Table1[[#This Row],[Date]],"mmm-yy")</f>
        <v>Jan-00</v>
      </c>
      <c r="E200" s="1"/>
      <c r="I200" s="3"/>
      <c r="M200" s="3"/>
      <c r="N200" s="3"/>
      <c r="O200" s="3"/>
      <c r="P200" s="3">
        <f>Table1[[#This Row],[Input Quantity (Kg''s)]]-SUM(Table1[[#This Row],[Wholes (kg''s)]:[Black Rejection (Kg''s)]],Table1[[#This Row],[Shell Dust]])</f>
        <v>0</v>
      </c>
      <c r="Q200" s="3">
        <f>SUM(Table1[[#This Row],[Wholes (kg''s)]:[Pieces (kg''s)]])</f>
        <v>0</v>
      </c>
      <c r="R200" s="3">
        <f>SUM(Table1[[#This Row],[Wholes (kg''s)]:[Black Rejection (Kg''s)]])</f>
        <v>0</v>
      </c>
      <c r="S200" s="4" t="str">
        <f>IFERROR(Table1[[#This Row],[Good Kernels (kg''s)]]/Table1[[#This Row],[Input Quantity (Kg''s)]]*176.36,"")</f>
        <v/>
      </c>
      <c r="T200" s="4" t="str">
        <f>IFERROR(Table1[[#This Row],[Good Kernels (kg''s)]]/Table1[[#This Row],[Input Quantity (Kg''s)]]%,"")</f>
        <v/>
      </c>
      <c r="U200" s="5" t="str">
        <f>IFERROR(Table1[[#This Row],[Final Kernels (kg''s)]]/Table1[[#This Row],[Input Quantity (Kg''s)]]%,"")</f>
        <v/>
      </c>
      <c r="V200" s="5" t="str">
        <f>IFERROR(Table1[[#This Row],[Wholes (kg''s)]]/Table1[[#This Row],[Good Kernels (kg''s)]]%,"")</f>
        <v/>
      </c>
      <c r="W200" s="5" t="str">
        <f>IFERROR(Table1[[#This Row],[Pieces (kg''s)]]/Table1[[#This Row],[Good Kernels (kg''s)]]%,"")</f>
        <v/>
      </c>
      <c r="X200" s="5" t="str">
        <f>IFERROR(Table1[[#This Row],[First Pass Uncut (kg''s)]]/Table1[[#This Row],[Input Quantity (Kg''s)]]%,"")</f>
        <v/>
      </c>
      <c r="Y200" s="5" t="str">
        <f>IFERROR(Table1[[#This Row],[Final Uncut (kg''s)]]/Table1[[#This Row],[Input Quantity (Kg''s)]]%,"")</f>
        <v/>
      </c>
      <c r="Z200" s="21" t="str">
        <f>IFERROR(Table1[[#This Row],[Shell]]/Table1[[#This Row],[Input Quantity (Kg''s)]]%,"")</f>
        <v/>
      </c>
      <c r="AA200" s="21" t="str">
        <f>IFERROR(Table1[[#This Row],[Shell Dust]]/Table1[[#This Row],[Input Quantity (Kg''s)]]%,"")</f>
        <v/>
      </c>
    </row>
    <row r="201" spans="2:27" x14ac:dyDescent="0.3">
      <c r="B201" s="1"/>
      <c r="C201" s="15">
        <f>WEEKNUM(Table1[[#This Row],[Date]])</f>
        <v>0</v>
      </c>
      <c r="D201" s="1" t="str">
        <f>TEXT(Table1[[#This Row],[Date]],"mmm-yy")</f>
        <v>Jan-00</v>
      </c>
      <c r="E201" s="1"/>
      <c r="I201" s="3"/>
      <c r="M201" s="3"/>
      <c r="N201" s="3"/>
      <c r="O201" s="3"/>
      <c r="P201" s="3">
        <f>Table1[[#This Row],[Input Quantity (Kg''s)]]-SUM(Table1[[#This Row],[Wholes (kg''s)]:[Black Rejection (Kg''s)]],Table1[[#This Row],[Shell Dust]])</f>
        <v>0</v>
      </c>
      <c r="Q201" s="3">
        <f>SUM(Table1[[#This Row],[Wholes (kg''s)]:[Pieces (kg''s)]])</f>
        <v>0</v>
      </c>
      <c r="R201" s="3">
        <f>SUM(Table1[[#This Row],[Wholes (kg''s)]:[Black Rejection (Kg''s)]])</f>
        <v>0</v>
      </c>
      <c r="S201" s="4" t="str">
        <f>IFERROR(Table1[[#This Row],[Good Kernels (kg''s)]]/Table1[[#This Row],[Input Quantity (Kg''s)]]*176.36,"")</f>
        <v/>
      </c>
      <c r="T201" s="4" t="str">
        <f>IFERROR(Table1[[#This Row],[Good Kernels (kg''s)]]/Table1[[#This Row],[Input Quantity (Kg''s)]]%,"")</f>
        <v/>
      </c>
      <c r="U201" s="5" t="str">
        <f>IFERROR(Table1[[#This Row],[Final Kernels (kg''s)]]/Table1[[#This Row],[Input Quantity (Kg''s)]]%,"")</f>
        <v/>
      </c>
      <c r="V201" s="5" t="str">
        <f>IFERROR(Table1[[#This Row],[Wholes (kg''s)]]/Table1[[#This Row],[Good Kernels (kg''s)]]%,"")</f>
        <v/>
      </c>
      <c r="W201" s="5" t="str">
        <f>IFERROR(Table1[[#This Row],[Pieces (kg''s)]]/Table1[[#This Row],[Good Kernels (kg''s)]]%,"")</f>
        <v/>
      </c>
      <c r="X201" s="5" t="str">
        <f>IFERROR(Table1[[#This Row],[First Pass Uncut (kg''s)]]/Table1[[#This Row],[Input Quantity (Kg''s)]]%,"")</f>
        <v/>
      </c>
      <c r="Y201" s="5" t="str">
        <f>IFERROR(Table1[[#This Row],[Final Uncut (kg''s)]]/Table1[[#This Row],[Input Quantity (Kg''s)]]%,"")</f>
        <v/>
      </c>
      <c r="Z201" s="21" t="str">
        <f>IFERROR(Table1[[#This Row],[Shell]]/Table1[[#This Row],[Input Quantity (Kg''s)]]%,"")</f>
        <v/>
      </c>
      <c r="AA201" s="21" t="str">
        <f>IFERROR(Table1[[#This Row],[Shell Dust]]/Table1[[#This Row],[Input Quantity (Kg''s)]]%,"")</f>
        <v/>
      </c>
    </row>
    <row r="202" spans="2:27" x14ac:dyDescent="0.3">
      <c r="B202" s="1"/>
      <c r="C202" s="15">
        <f>WEEKNUM(Table1[[#This Row],[Date]])</f>
        <v>0</v>
      </c>
      <c r="D202" s="1" t="str">
        <f>TEXT(Table1[[#This Row],[Date]],"mmm-yy")</f>
        <v>Jan-00</v>
      </c>
      <c r="E202" s="1"/>
      <c r="I202" s="3"/>
      <c r="M202" s="3"/>
      <c r="N202" s="3"/>
      <c r="O202" s="3"/>
      <c r="P202" s="3">
        <f>Table1[[#This Row],[Input Quantity (Kg''s)]]-SUM(Table1[[#This Row],[Wholes (kg''s)]:[Black Rejection (Kg''s)]],Table1[[#This Row],[Shell Dust]])</f>
        <v>0</v>
      </c>
      <c r="Q202" s="3">
        <f>SUM(Table1[[#This Row],[Wholes (kg''s)]:[Pieces (kg''s)]])</f>
        <v>0</v>
      </c>
      <c r="R202" s="3">
        <f>SUM(Table1[[#This Row],[Wholes (kg''s)]:[Black Rejection (Kg''s)]])</f>
        <v>0</v>
      </c>
      <c r="S202" s="4" t="str">
        <f>IFERROR(Table1[[#This Row],[Good Kernels (kg''s)]]/Table1[[#This Row],[Input Quantity (Kg''s)]]*176.36,"")</f>
        <v/>
      </c>
      <c r="T202" s="4" t="str">
        <f>IFERROR(Table1[[#This Row],[Good Kernels (kg''s)]]/Table1[[#This Row],[Input Quantity (Kg''s)]]%,"")</f>
        <v/>
      </c>
      <c r="U202" s="5" t="str">
        <f>IFERROR(Table1[[#This Row],[Final Kernels (kg''s)]]/Table1[[#This Row],[Input Quantity (Kg''s)]]%,"")</f>
        <v/>
      </c>
      <c r="V202" s="5" t="str">
        <f>IFERROR(Table1[[#This Row],[Wholes (kg''s)]]/Table1[[#This Row],[Good Kernels (kg''s)]]%,"")</f>
        <v/>
      </c>
      <c r="W202" s="5" t="str">
        <f>IFERROR(Table1[[#This Row],[Pieces (kg''s)]]/Table1[[#This Row],[Good Kernels (kg''s)]]%,"")</f>
        <v/>
      </c>
      <c r="X202" s="5" t="str">
        <f>IFERROR(Table1[[#This Row],[First Pass Uncut (kg''s)]]/Table1[[#This Row],[Input Quantity (Kg''s)]]%,"")</f>
        <v/>
      </c>
      <c r="Y202" s="5" t="str">
        <f>IFERROR(Table1[[#This Row],[Final Uncut (kg''s)]]/Table1[[#This Row],[Input Quantity (Kg''s)]]%,"")</f>
        <v/>
      </c>
      <c r="Z202" s="21" t="str">
        <f>IFERROR(Table1[[#This Row],[Shell]]/Table1[[#This Row],[Input Quantity (Kg''s)]]%,"")</f>
        <v/>
      </c>
      <c r="AA202" s="21" t="str">
        <f>IFERROR(Table1[[#This Row],[Shell Dust]]/Table1[[#This Row],[Input Quantity (Kg''s)]]%,"")</f>
        <v/>
      </c>
    </row>
    <row r="203" spans="2:27" x14ac:dyDescent="0.3">
      <c r="B203" s="1"/>
      <c r="C203" s="15">
        <f>WEEKNUM(Table1[[#This Row],[Date]])</f>
        <v>0</v>
      </c>
      <c r="D203" s="1" t="str">
        <f>TEXT(Table1[[#This Row],[Date]],"mmm-yy")</f>
        <v>Jan-00</v>
      </c>
      <c r="E203" s="1"/>
      <c r="I203" s="3"/>
      <c r="M203" s="3"/>
      <c r="N203" s="3"/>
      <c r="O203" s="3"/>
      <c r="P203" s="3">
        <f>Table1[[#This Row],[Input Quantity (Kg''s)]]-SUM(Table1[[#This Row],[Wholes (kg''s)]:[Black Rejection (Kg''s)]],Table1[[#This Row],[Shell Dust]])</f>
        <v>0</v>
      </c>
      <c r="Q203" s="3">
        <f>SUM(Table1[[#This Row],[Wholes (kg''s)]:[Pieces (kg''s)]])</f>
        <v>0</v>
      </c>
      <c r="R203" s="3">
        <f>SUM(Table1[[#This Row],[Wholes (kg''s)]:[Black Rejection (Kg''s)]])</f>
        <v>0</v>
      </c>
      <c r="S203" s="4" t="str">
        <f>IFERROR(Table1[[#This Row],[Good Kernels (kg''s)]]/Table1[[#This Row],[Input Quantity (Kg''s)]]*176.36,"")</f>
        <v/>
      </c>
      <c r="T203" s="4" t="str">
        <f>IFERROR(Table1[[#This Row],[Good Kernels (kg''s)]]/Table1[[#This Row],[Input Quantity (Kg''s)]]%,"")</f>
        <v/>
      </c>
      <c r="U203" s="5" t="str">
        <f>IFERROR(Table1[[#This Row],[Final Kernels (kg''s)]]/Table1[[#This Row],[Input Quantity (Kg''s)]]%,"")</f>
        <v/>
      </c>
      <c r="V203" s="5" t="str">
        <f>IFERROR(Table1[[#This Row],[Wholes (kg''s)]]/Table1[[#This Row],[Good Kernels (kg''s)]]%,"")</f>
        <v/>
      </c>
      <c r="W203" s="5" t="str">
        <f>IFERROR(Table1[[#This Row],[Pieces (kg''s)]]/Table1[[#This Row],[Good Kernels (kg''s)]]%,"")</f>
        <v/>
      </c>
      <c r="X203" s="5" t="str">
        <f>IFERROR(Table1[[#This Row],[First Pass Uncut (kg''s)]]/Table1[[#This Row],[Input Quantity (Kg''s)]]%,"")</f>
        <v/>
      </c>
      <c r="Y203" s="5" t="str">
        <f>IFERROR(Table1[[#This Row],[Final Uncut (kg''s)]]/Table1[[#This Row],[Input Quantity (Kg''s)]]%,"")</f>
        <v/>
      </c>
      <c r="Z203" s="21" t="str">
        <f>IFERROR(Table1[[#This Row],[Shell]]/Table1[[#This Row],[Input Quantity (Kg''s)]]%,"")</f>
        <v/>
      </c>
      <c r="AA203" s="21" t="str">
        <f>IFERROR(Table1[[#This Row],[Shell Dust]]/Table1[[#This Row],[Input Quantity (Kg''s)]]%,"")</f>
        <v/>
      </c>
    </row>
    <row r="204" spans="2:27" x14ac:dyDescent="0.3">
      <c r="B204" s="1"/>
      <c r="C204" s="15">
        <f>WEEKNUM(Table1[[#This Row],[Date]])</f>
        <v>0</v>
      </c>
      <c r="D204" s="1" t="str">
        <f>TEXT(Table1[[#This Row],[Date]],"mmm-yy")</f>
        <v>Jan-00</v>
      </c>
      <c r="E204" s="1"/>
      <c r="I204" s="3"/>
      <c r="M204" s="3"/>
      <c r="N204" s="3"/>
      <c r="O204" s="3"/>
      <c r="P204" s="3">
        <f>Table1[[#This Row],[Input Quantity (Kg''s)]]-SUM(Table1[[#This Row],[Wholes (kg''s)]:[Black Rejection (Kg''s)]],Table1[[#This Row],[Shell Dust]])</f>
        <v>0</v>
      </c>
      <c r="Q204" s="3">
        <f>SUM(Table1[[#This Row],[Wholes (kg''s)]:[Pieces (kg''s)]])</f>
        <v>0</v>
      </c>
      <c r="R204" s="3">
        <f>SUM(Table1[[#This Row],[Wholes (kg''s)]:[Black Rejection (Kg''s)]])</f>
        <v>0</v>
      </c>
      <c r="S204" s="4" t="str">
        <f>IFERROR(Table1[[#This Row],[Good Kernels (kg''s)]]/Table1[[#This Row],[Input Quantity (Kg''s)]]*176.36,"")</f>
        <v/>
      </c>
      <c r="T204" s="4" t="str">
        <f>IFERROR(Table1[[#This Row],[Good Kernels (kg''s)]]/Table1[[#This Row],[Input Quantity (Kg''s)]]%,"")</f>
        <v/>
      </c>
      <c r="U204" s="5" t="str">
        <f>IFERROR(Table1[[#This Row],[Final Kernels (kg''s)]]/Table1[[#This Row],[Input Quantity (Kg''s)]]%,"")</f>
        <v/>
      </c>
      <c r="V204" s="5" t="str">
        <f>IFERROR(Table1[[#This Row],[Wholes (kg''s)]]/Table1[[#This Row],[Good Kernels (kg''s)]]%,"")</f>
        <v/>
      </c>
      <c r="W204" s="5" t="str">
        <f>IFERROR(Table1[[#This Row],[Pieces (kg''s)]]/Table1[[#This Row],[Good Kernels (kg''s)]]%,"")</f>
        <v/>
      </c>
      <c r="X204" s="5" t="str">
        <f>IFERROR(Table1[[#This Row],[First Pass Uncut (kg''s)]]/Table1[[#This Row],[Input Quantity (Kg''s)]]%,"")</f>
        <v/>
      </c>
      <c r="Y204" s="5" t="str">
        <f>IFERROR(Table1[[#This Row],[Final Uncut (kg''s)]]/Table1[[#This Row],[Input Quantity (Kg''s)]]%,"")</f>
        <v/>
      </c>
      <c r="Z204" s="21" t="str">
        <f>IFERROR(Table1[[#This Row],[Shell]]/Table1[[#This Row],[Input Quantity (Kg''s)]]%,"")</f>
        <v/>
      </c>
      <c r="AA204" s="21" t="str">
        <f>IFERROR(Table1[[#This Row],[Shell Dust]]/Table1[[#This Row],[Input Quantity (Kg''s)]]%,"")</f>
        <v/>
      </c>
    </row>
    <row r="205" spans="2:27" x14ac:dyDescent="0.3">
      <c r="B205" s="1"/>
      <c r="C205" s="15">
        <f>WEEKNUM(Table1[[#This Row],[Date]])</f>
        <v>0</v>
      </c>
      <c r="D205" s="1" t="str">
        <f>TEXT(Table1[[#This Row],[Date]],"mmm-yy")</f>
        <v>Jan-00</v>
      </c>
      <c r="E205" s="1"/>
      <c r="I205" s="3"/>
      <c r="M205" s="3"/>
      <c r="N205" s="3"/>
      <c r="O205" s="3"/>
      <c r="P205" s="3">
        <f>Table1[[#This Row],[Input Quantity (Kg''s)]]-SUM(Table1[[#This Row],[Wholes (kg''s)]:[Black Rejection (Kg''s)]],Table1[[#This Row],[Shell Dust]])</f>
        <v>0</v>
      </c>
      <c r="Q205" s="3">
        <f>SUM(Table1[[#This Row],[Wholes (kg''s)]:[Pieces (kg''s)]])</f>
        <v>0</v>
      </c>
      <c r="R205" s="3">
        <f>SUM(Table1[[#This Row],[Wholes (kg''s)]:[Black Rejection (Kg''s)]])</f>
        <v>0</v>
      </c>
      <c r="S205" s="4" t="str">
        <f>IFERROR(Table1[[#This Row],[Good Kernels (kg''s)]]/Table1[[#This Row],[Input Quantity (Kg''s)]]*176.36,"")</f>
        <v/>
      </c>
      <c r="T205" s="4" t="str">
        <f>IFERROR(Table1[[#This Row],[Good Kernels (kg''s)]]/Table1[[#This Row],[Input Quantity (Kg''s)]]%,"")</f>
        <v/>
      </c>
      <c r="U205" s="5" t="str">
        <f>IFERROR(Table1[[#This Row],[Final Kernels (kg''s)]]/Table1[[#This Row],[Input Quantity (Kg''s)]]%,"")</f>
        <v/>
      </c>
      <c r="V205" s="5" t="str">
        <f>IFERROR(Table1[[#This Row],[Wholes (kg''s)]]/Table1[[#This Row],[Good Kernels (kg''s)]]%,"")</f>
        <v/>
      </c>
      <c r="W205" s="5" t="str">
        <f>IFERROR(Table1[[#This Row],[Pieces (kg''s)]]/Table1[[#This Row],[Good Kernels (kg''s)]]%,"")</f>
        <v/>
      </c>
      <c r="X205" s="5" t="str">
        <f>IFERROR(Table1[[#This Row],[First Pass Uncut (kg''s)]]/Table1[[#This Row],[Input Quantity (Kg''s)]]%,"")</f>
        <v/>
      </c>
      <c r="Y205" s="5" t="str">
        <f>IFERROR(Table1[[#This Row],[Final Uncut (kg''s)]]/Table1[[#This Row],[Input Quantity (Kg''s)]]%,"")</f>
        <v/>
      </c>
      <c r="Z205" s="21" t="str">
        <f>IFERROR(Table1[[#This Row],[Shell]]/Table1[[#This Row],[Input Quantity (Kg''s)]]%,"")</f>
        <v/>
      </c>
      <c r="AA205" s="21" t="str">
        <f>IFERROR(Table1[[#This Row],[Shell Dust]]/Table1[[#This Row],[Input Quantity (Kg''s)]]%,"")</f>
        <v/>
      </c>
    </row>
    <row r="206" spans="2:27" x14ac:dyDescent="0.3">
      <c r="B206" s="1"/>
      <c r="C206" s="15">
        <f>WEEKNUM(Table1[[#This Row],[Date]])</f>
        <v>0</v>
      </c>
      <c r="D206" s="1" t="str">
        <f>TEXT(Table1[[#This Row],[Date]],"mmm-yy")</f>
        <v>Jan-00</v>
      </c>
      <c r="E206" s="1"/>
      <c r="I206" s="3"/>
      <c r="M206" s="3"/>
      <c r="N206" s="3"/>
      <c r="O206" s="3"/>
      <c r="P206" s="3">
        <f>Table1[[#This Row],[Input Quantity (Kg''s)]]-SUM(Table1[[#This Row],[Wholes (kg''s)]:[Black Rejection (Kg''s)]],Table1[[#This Row],[Shell Dust]])</f>
        <v>0</v>
      </c>
      <c r="Q206" s="3">
        <f>SUM(Table1[[#This Row],[Wholes (kg''s)]:[Pieces (kg''s)]])</f>
        <v>0</v>
      </c>
      <c r="R206" s="3">
        <f>SUM(Table1[[#This Row],[Wholes (kg''s)]:[Black Rejection (Kg''s)]])</f>
        <v>0</v>
      </c>
      <c r="S206" s="4" t="str">
        <f>IFERROR(Table1[[#This Row],[Good Kernels (kg''s)]]/Table1[[#This Row],[Input Quantity (Kg''s)]]*176.36,"")</f>
        <v/>
      </c>
      <c r="T206" s="4" t="str">
        <f>IFERROR(Table1[[#This Row],[Good Kernels (kg''s)]]/Table1[[#This Row],[Input Quantity (Kg''s)]]%,"")</f>
        <v/>
      </c>
      <c r="U206" s="5" t="str">
        <f>IFERROR(Table1[[#This Row],[Final Kernels (kg''s)]]/Table1[[#This Row],[Input Quantity (Kg''s)]]%,"")</f>
        <v/>
      </c>
      <c r="V206" s="5" t="str">
        <f>IFERROR(Table1[[#This Row],[Wholes (kg''s)]]/Table1[[#This Row],[Good Kernels (kg''s)]]%,"")</f>
        <v/>
      </c>
      <c r="W206" s="5" t="str">
        <f>IFERROR(Table1[[#This Row],[Pieces (kg''s)]]/Table1[[#This Row],[Good Kernels (kg''s)]]%,"")</f>
        <v/>
      </c>
      <c r="X206" s="5" t="str">
        <f>IFERROR(Table1[[#This Row],[First Pass Uncut (kg''s)]]/Table1[[#This Row],[Input Quantity (Kg''s)]]%,"")</f>
        <v/>
      </c>
      <c r="Y206" s="5" t="str">
        <f>IFERROR(Table1[[#This Row],[Final Uncut (kg''s)]]/Table1[[#This Row],[Input Quantity (Kg''s)]]%,"")</f>
        <v/>
      </c>
      <c r="Z206" s="21" t="str">
        <f>IFERROR(Table1[[#This Row],[Shell]]/Table1[[#This Row],[Input Quantity (Kg''s)]]%,"")</f>
        <v/>
      </c>
      <c r="AA206" s="21" t="str">
        <f>IFERROR(Table1[[#This Row],[Shell Dust]]/Table1[[#This Row],[Input Quantity (Kg''s)]]%,"")</f>
        <v/>
      </c>
    </row>
    <row r="207" spans="2:27" x14ac:dyDescent="0.3">
      <c r="B207" s="1"/>
      <c r="C207" s="15">
        <f>WEEKNUM(Table1[[#This Row],[Date]])</f>
        <v>0</v>
      </c>
      <c r="D207" s="1" t="str">
        <f>TEXT(Table1[[#This Row],[Date]],"mmm-yy")</f>
        <v>Jan-00</v>
      </c>
      <c r="E207" s="1"/>
      <c r="I207" s="3"/>
      <c r="M207" s="3"/>
      <c r="N207" s="3"/>
      <c r="O207" s="3"/>
      <c r="P207" s="3">
        <f>Table1[[#This Row],[Input Quantity (Kg''s)]]-SUM(Table1[[#This Row],[Wholes (kg''s)]:[Black Rejection (Kg''s)]],Table1[[#This Row],[Shell Dust]])</f>
        <v>0</v>
      </c>
      <c r="Q207" s="3">
        <f>SUM(Table1[[#This Row],[Wholes (kg''s)]:[Pieces (kg''s)]])</f>
        <v>0</v>
      </c>
      <c r="R207" s="3">
        <f>SUM(Table1[[#This Row],[Wholes (kg''s)]:[Black Rejection (Kg''s)]])</f>
        <v>0</v>
      </c>
      <c r="S207" s="4" t="str">
        <f>IFERROR(Table1[[#This Row],[Good Kernels (kg''s)]]/Table1[[#This Row],[Input Quantity (Kg''s)]]*176.36,"")</f>
        <v/>
      </c>
      <c r="T207" s="4" t="str">
        <f>IFERROR(Table1[[#This Row],[Good Kernels (kg''s)]]/Table1[[#This Row],[Input Quantity (Kg''s)]]%,"")</f>
        <v/>
      </c>
      <c r="U207" s="5" t="str">
        <f>IFERROR(Table1[[#This Row],[Final Kernels (kg''s)]]/Table1[[#This Row],[Input Quantity (Kg''s)]]%,"")</f>
        <v/>
      </c>
      <c r="V207" s="5" t="str">
        <f>IFERROR(Table1[[#This Row],[Wholes (kg''s)]]/Table1[[#This Row],[Good Kernels (kg''s)]]%,"")</f>
        <v/>
      </c>
      <c r="W207" s="5" t="str">
        <f>IFERROR(Table1[[#This Row],[Pieces (kg''s)]]/Table1[[#This Row],[Good Kernels (kg''s)]]%,"")</f>
        <v/>
      </c>
      <c r="X207" s="5" t="str">
        <f>IFERROR(Table1[[#This Row],[First Pass Uncut (kg''s)]]/Table1[[#This Row],[Input Quantity (Kg''s)]]%,"")</f>
        <v/>
      </c>
      <c r="Y207" s="5" t="str">
        <f>IFERROR(Table1[[#This Row],[Final Uncut (kg''s)]]/Table1[[#This Row],[Input Quantity (Kg''s)]]%,"")</f>
        <v/>
      </c>
      <c r="Z207" s="21" t="str">
        <f>IFERROR(Table1[[#This Row],[Shell]]/Table1[[#This Row],[Input Quantity (Kg''s)]]%,"")</f>
        <v/>
      </c>
      <c r="AA207" s="21" t="str">
        <f>IFERROR(Table1[[#This Row],[Shell Dust]]/Table1[[#This Row],[Input Quantity (Kg''s)]]%,"")</f>
        <v/>
      </c>
    </row>
    <row r="208" spans="2:27" x14ac:dyDescent="0.3">
      <c r="B208" s="1"/>
      <c r="C208" s="15">
        <f>WEEKNUM(Table1[[#This Row],[Date]])</f>
        <v>0</v>
      </c>
      <c r="D208" s="1" t="str">
        <f>TEXT(Table1[[#This Row],[Date]],"mmm-yy")</f>
        <v>Jan-00</v>
      </c>
      <c r="E208" s="1"/>
      <c r="I208" s="3"/>
      <c r="M208" s="3"/>
      <c r="N208" s="3"/>
      <c r="O208" s="3"/>
      <c r="P208" s="3">
        <f>Table1[[#This Row],[Input Quantity (Kg''s)]]-SUM(Table1[[#This Row],[Wholes (kg''s)]:[Black Rejection (Kg''s)]],Table1[[#This Row],[Shell Dust]])</f>
        <v>0</v>
      </c>
      <c r="Q208" s="3">
        <f>SUM(Table1[[#This Row],[Wholes (kg''s)]:[Pieces (kg''s)]])</f>
        <v>0</v>
      </c>
      <c r="R208" s="3">
        <f>SUM(Table1[[#This Row],[Wholes (kg''s)]:[Black Rejection (Kg''s)]])</f>
        <v>0</v>
      </c>
      <c r="S208" s="4" t="str">
        <f>IFERROR(Table1[[#This Row],[Good Kernels (kg''s)]]/Table1[[#This Row],[Input Quantity (Kg''s)]]*176.36,"")</f>
        <v/>
      </c>
      <c r="T208" s="4" t="str">
        <f>IFERROR(Table1[[#This Row],[Good Kernels (kg''s)]]/Table1[[#This Row],[Input Quantity (Kg''s)]]%,"")</f>
        <v/>
      </c>
      <c r="U208" s="5" t="str">
        <f>IFERROR(Table1[[#This Row],[Final Kernels (kg''s)]]/Table1[[#This Row],[Input Quantity (Kg''s)]]%,"")</f>
        <v/>
      </c>
      <c r="V208" s="5" t="str">
        <f>IFERROR(Table1[[#This Row],[Wholes (kg''s)]]/Table1[[#This Row],[Good Kernels (kg''s)]]%,"")</f>
        <v/>
      </c>
      <c r="W208" s="5" t="str">
        <f>IFERROR(Table1[[#This Row],[Pieces (kg''s)]]/Table1[[#This Row],[Good Kernels (kg''s)]]%,"")</f>
        <v/>
      </c>
      <c r="X208" s="5" t="str">
        <f>IFERROR(Table1[[#This Row],[First Pass Uncut (kg''s)]]/Table1[[#This Row],[Input Quantity (Kg''s)]]%,"")</f>
        <v/>
      </c>
      <c r="Y208" s="5" t="str">
        <f>IFERROR(Table1[[#This Row],[Final Uncut (kg''s)]]/Table1[[#This Row],[Input Quantity (Kg''s)]]%,"")</f>
        <v/>
      </c>
      <c r="Z208" s="21" t="str">
        <f>IFERROR(Table1[[#This Row],[Shell]]/Table1[[#This Row],[Input Quantity (Kg''s)]]%,"")</f>
        <v/>
      </c>
      <c r="AA208" s="21" t="str">
        <f>IFERROR(Table1[[#This Row],[Shell Dust]]/Table1[[#This Row],[Input Quantity (Kg''s)]]%,"")</f>
        <v/>
      </c>
    </row>
    <row r="209" spans="2:27" x14ac:dyDescent="0.3">
      <c r="B209" s="1"/>
      <c r="C209" s="15">
        <f>WEEKNUM(Table1[[#This Row],[Date]])</f>
        <v>0</v>
      </c>
      <c r="D209" s="1" t="str">
        <f>TEXT(Table1[[#This Row],[Date]],"mmm-yy")</f>
        <v>Jan-00</v>
      </c>
      <c r="E209" s="1"/>
      <c r="I209" s="3"/>
      <c r="M209" s="3"/>
      <c r="N209" s="3"/>
      <c r="O209" s="3"/>
      <c r="P209" s="3">
        <f>Table1[[#This Row],[Input Quantity (Kg''s)]]-SUM(Table1[[#This Row],[Wholes (kg''s)]:[Black Rejection (Kg''s)]],Table1[[#This Row],[Shell Dust]])</f>
        <v>0</v>
      </c>
      <c r="Q209" s="3">
        <f>SUM(Table1[[#This Row],[Wholes (kg''s)]:[Pieces (kg''s)]])</f>
        <v>0</v>
      </c>
      <c r="R209" s="3">
        <f>SUM(Table1[[#This Row],[Wholes (kg''s)]:[Black Rejection (Kg''s)]])</f>
        <v>0</v>
      </c>
      <c r="S209" s="4" t="str">
        <f>IFERROR(Table1[[#This Row],[Good Kernels (kg''s)]]/Table1[[#This Row],[Input Quantity (Kg''s)]]*176.36,"")</f>
        <v/>
      </c>
      <c r="T209" s="4" t="str">
        <f>IFERROR(Table1[[#This Row],[Good Kernels (kg''s)]]/Table1[[#This Row],[Input Quantity (Kg''s)]]%,"")</f>
        <v/>
      </c>
      <c r="U209" s="5" t="str">
        <f>IFERROR(Table1[[#This Row],[Final Kernels (kg''s)]]/Table1[[#This Row],[Input Quantity (Kg''s)]]%,"")</f>
        <v/>
      </c>
      <c r="V209" s="5" t="str">
        <f>IFERROR(Table1[[#This Row],[Wholes (kg''s)]]/Table1[[#This Row],[Good Kernels (kg''s)]]%,"")</f>
        <v/>
      </c>
      <c r="W209" s="5" t="str">
        <f>IFERROR(Table1[[#This Row],[Pieces (kg''s)]]/Table1[[#This Row],[Good Kernels (kg''s)]]%,"")</f>
        <v/>
      </c>
      <c r="X209" s="5" t="str">
        <f>IFERROR(Table1[[#This Row],[First Pass Uncut (kg''s)]]/Table1[[#This Row],[Input Quantity (Kg''s)]]%,"")</f>
        <v/>
      </c>
      <c r="Y209" s="5" t="str">
        <f>IFERROR(Table1[[#This Row],[Final Uncut (kg''s)]]/Table1[[#This Row],[Input Quantity (Kg''s)]]%,"")</f>
        <v/>
      </c>
      <c r="Z209" s="21" t="str">
        <f>IFERROR(Table1[[#This Row],[Shell]]/Table1[[#This Row],[Input Quantity (Kg''s)]]%,"")</f>
        <v/>
      </c>
      <c r="AA209" s="21" t="str">
        <f>IFERROR(Table1[[#This Row],[Shell Dust]]/Table1[[#This Row],[Input Quantity (Kg''s)]]%,"")</f>
        <v/>
      </c>
    </row>
    <row r="210" spans="2:27" x14ac:dyDescent="0.3">
      <c r="B210" s="1"/>
      <c r="C210" s="15">
        <f>WEEKNUM(Table1[[#This Row],[Date]])</f>
        <v>0</v>
      </c>
      <c r="D210" s="1" t="str">
        <f>TEXT(Table1[[#This Row],[Date]],"mmm-yy")</f>
        <v>Jan-00</v>
      </c>
      <c r="E210" s="1"/>
      <c r="I210" s="3"/>
      <c r="M210" s="3"/>
      <c r="N210" s="3"/>
      <c r="O210" s="3"/>
      <c r="P210" s="3">
        <f>Table1[[#This Row],[Input Quantity (Kg''s)]]-SUM(Table1[[#This Row],[Wholes (kg''s)]:[Black Rejection (Kg''s)]],Table1[[#This Row],[Shell Dust]])</f>
        <v>0</v>
      </c>
      <c r="Q210" s="3">
        <f>SUM(Table1[[#This Row],[Wholes (kg''s)]:[Pieces (kg''s)]])</f>
        <v>0</v>
      </c>
      <c r="R210" s="3">
        <f>SUM(Table1[[#This Row],[Wholes (kg''s)]:[Black Rejection (Kg''s)]])</f>
        <v>0</v>
      </c>
      <c r="S210" s="4" t="str">
        <f>IFERROR(Table1[[#This Row],[Good Kernels (kg''s)]]/Table1[[#This Row],[Input Quantity (Kg''s)]]*176.36,"")</f>
        <v/>
      </c>
      <c r="T210" s="4" t="str">
        <f>IFERROR(Table1[[#This Row],[Good Kernels (kg''s)]]/Table1[[#This Row],[Input Quantity (Kg''s)]]%,"")</f>
        <v/>
      </c>
      <c r="U210" s="5" t="str">
        <f>IFERROR(Table1[[#This Row],[Final Kernels (kg''s)]]/Table1[[#This Row],[Input Quantity (Kg''s)]]%,"")</f>
        <v/>
      </c>
      <c r="V210" s="5" t="str">
        <f>IFERROR(Table1[[#This Row],[Wholes (kg''s)]]/Table1[[#This Row],[Good Kernels (kg''s)]]%,"")</f>
        <v/>
      </c>
      <c r="W210" s="5" t="str">
        <f>IFERROR(Table1[[#This Row],[Pieces (kg''s)]]/Table1[[#This Row],[Good Kernels (kg''s)]]%,"")</f>
        <v/>
      </c>
      <c r="X210" s="5" t="str">
        <f>IFERROR(Table1[[#This Row],[First Pass Uncut (kg''s)]]/Table1[[#This Row],[Input Quantity (Kg''s)]]%,"")</f>
        <v/>
      </c>
      <c r="Y210" s="5" t="str">
        <f>IFERROR(Table1[[#This Row],[Final Uncut (kg''s)]]/Table1[[#This Row],[Input Quantity (Kg''s)]]%,"")</f>
        <v/>
      </c>
      <c r="Z210" s="21" t="str">
        <f>IFERROR(Table1[[#This Row],[Shell]]/Table1[[#This Row],[Input Quantity (Kg''s)]]%,"")</f>
        <v/>
      </c>
      <c r="AA210" s="21" t="str">
        <f>IFERROR(Table1[[#This Row],[Shell Dust]]/Table1[[#This Row],[Input Quantity (Kg''s)]]%,"")</f>
        <v/>
      </c>
    </row>
    <row r="211" spans="2:27" x14ac:dyDescent="0.3">
      <c r="B211" s="1"/>
      <c r="C211" s="15">
        <f>WEEKNUM(Table1[[#This Row],[Date]])</f>
        <v>0</v>
      </c>
      <c r="D211" s="1" t="str">
        <f>TEXT(Table1[[#This Row],[Date]],"mmm-yy")</f>
        <v>Jan-00</v>
      </c>
      <c r="E211" s="1"/>
      <c r="I211" s="3"/>
      <c r="M211" s="3"/>
      <c r="N211" s="3"/>
      <c r="O211" s="3"/>
      <c r="P211" s="3">
        <f>Table1[[#This Row],[Input Quantity (Kg''s)]]-SUM(Table1[[#This Row],[Wholes (kg''s)]:[Black Rejection (Kg''s)]],Table1[[#This Row],[Shell Dust]])</f>
        <v>0</v>
      </c>
      <c r="Q211" s="3">
        <f>SUM(Table1[[#This Row],[Wholes (kg''s)]:[Pieces (kg''s)]])</f>
        <v>0</v>
      </c>
      <c r="R211" s="3">
        <f>SUM(Table1[[#This Row],[Wholes (kg''s)]:[Black Rejection (Kg''s)]])</f>
        <v>0</v>
      </c>
      <c r="S211" s="4" t="str">
        <f>IFERROR(Table1[[#This Row],[Good Kernels (kg''s)]]/Table1[[#This Row],[Input Quantity (Kg''s)]]*176.36,"")</f>
        <v/>
      </c>
      <c r="T211" s="4" t="str">
        <f>IFERROR(Table1[[#This Row],[Good Kernels (kg''s)]]/Table1[[#This Row],[Input Quantity (Kg''s)]]%,"")</f>
        <v/>
      </c>
      <c r="U211" s="5" t="str">
        <f>IFERROR(Table1[[#This Row],[Final Kernels (kg''s)]]/Table1[[#This Row],[Input Quantity (Kg''s)]]%,"")</f>
        <v/>
      </c>
      <c r="V211" s="5" t="str">
        <f>IFERROR(Table1[[#This Row],[Wholes (kg''s)]]/Table1[[#This Row],[Good Kernels (kg''s)]]%,"")</f>
        <v/>
      </c>
      <c r="W211" s="5" t="str">
        <f>IFERROR(Table1[[#This Row],[Pieces (kg''s)]]/Table1[[#This Row],[Good Kernels (kg''s)]]%,"")</f>
        <v/>
      </c>
      <c r="X211" s="5" t="str">
        <f>IFERROR(Table1[[#This Row],[First Pass Uncut (kg''s)]]/Table1[[#This Row],[Input Quantity (Kg''s)]]%,"")</f>
        <v/>
      </c>
      <c r="Y211" s="5" t="str">
        <f>IFERROR(Table1[[#This Row],[Final Uncut (kg''s)]]/Table1[[#This Row],[Input Quantity (Kg''s)]]%,"")</f>
        <v/>
      </c>
      <c r="Z211" s="21" t="str">
        <f>IFERROR(Table1[[#This Row],[Shell]]/Table1[[#This Row],[Input Quantity (Kg''s)]]%,"")</f>
        <v/>
      </c>
      <c r="AA211" s="21" t="str">
        <f>IFERROR(Table1[[#This Row],[Shell Dust]]/Table1[[#This Row],[Input Quantity (Kg''s)]]%,"")</f>
        <v/>
      </c>
    </row>
    <row r="212" spans="2:27" x14ac:dyDescent="0.3">
      <c r="B212" s="1"/>
      <c r="C212" s="15">
        <f>WEEKNUM(Table1[[#This Row],[Date]])</f>
        <v>0</v>
      </c>
      <c r="D212" s="1" t="str">
        <f>TEXT(Table1[[#This Row],[Date]],"mmm-yy")</f>
        <v>Jan-00</v>
      </c>
      <c r="E212" s="1"/>
      <c r="I212" s="3"/>
      <c r="M212" s="3"/>
      <c r="N212" s="3"/>
      <c r="O212" s="3"/>
      <c r="P212" s="3">
        <f>Table1[[#This Row],[Input Quantity (Kg''s)]]-SUM(Table1[[#This Row],[Wholes (kg''s)]:[Black Rejection (Kg''s)]],Table1[[#This Row],[Shell Dust]])</f>
        <v>0</v>
      </c>
      <c r="Q212" s="3">
        <f>SUM(Table1[[#This Row],[Wholes (kg''s)]:[Pieces (kg''s)]])</f>
        <v>0</v>
      </c>
      <c r="R212" s="3">
        <f>SUM(Table1[[#This Row],[Wholes (kg''s)]:[Black Rejection (Kg''s)]])</f>
        <v>0</v>
      </c>
      <c r="S212" s="4" t="str">
        <f>IFERROR(Table1[[#This Row],[Good Kernels (kg''s)]]/Table1[[#This Row],[Input Quantity (Kg''s)]]*176.36,"")</f>
        <v/>
      </c>
      <c r="T212" s="4" t="str">
        <f>IFERROR(Table1[[#This Row],[Good Kernels (kg''s)]]/Table1[[#This Row],[Input Quantity (Kg''s)]]%,"")</f>
        <v/>
      </c>
      <c r="U212" s="5" t="str">
        <f>IFERROR(Table1[[#This Row],[Final Kernels (kg''s)]]/Table1[[#This Row],[Input Quantity (Kg''s)]]%,"")</f>
        <v/>
      </c>
      <c r="V212" s="5" t="str">
        <f>IFERROR(Table1[[#This Row],[Wholes (kg''s)]]/Table1[[#This Row],[Good Kernels (kg''s)]]%,"")</f>
        <v/>
      </c>
      <c r="W212" s="5" t="str">
        <f>IFERROR(Table1[[#This Row],[Pieces (kg''s)]]/Table1[[#This Row],[Good Kernels (kg''s)]]%,"")</f>
        <v/>
      </c>
      <c r="X212" s="5" t="str">
        <f>IFERROR(Table1[[#This Row],[First Pass Uncut (kg''s)]]/Table1[[#This Row],[Input Quantity (Kg''s)]]%,"")</f>
        <v/>
      </c>
      <c r="Y212" s="5" t="str">
        <f>IFERROR(Table1[[#This Row],[Final Uncut (kg''s)]]/Table1[[#This Row],[Input Quantity (Kg''s)]]%,"")</f>
        <v/>
      </c>
      <c r="Z212" s="21" t="str">
        <f>IFERROR(Table1[[#This Row],[Shell]]/Table1[[#This Row],[Input Quantity (Kg''s)]]%,"")</f>
        <v/>
      </c>
      <c r="AA212" s="21" t="str">
        <f>IFERROR(Table1[[#This Row],[Shell Dust]]/Table1[[#This Row],[Input Quantity (Kg''s)]]%,"")</f>
        <v/>
      </c>
    </row>
    <row r="213" spans="2:27" x14ac:dyDescent="0.3">
      <c r="B213" s="1"/>
      <c r="C213" s="15">
        <f>WEEKNUM(Table1[[#This Row],[Date]])</f>
        <v>0</v>
      </c>
      <c r="D213" s="1" t="str">
        <f>TEXT(Table1[[#This Row],[Date]],"mmm-yy")</f>
        <v>Jan-00</v>
      </c>
      <c r="E213" s="1"/>
      <c r="I213" s="3"/>
      <c r="M213" s="3"/>
      <c r="N213" s="3"/>
      <c r="O213" s="3"/>
      <c r="P213" s="3">
        <f>Table1[[#This Row],[Input Quantity (Kg''s)]]-SUM(Table1[[#This Row],[Wholes (kg''s)]:[Black Rejection (Kg''s)]],Table1[[#This Row],[Shell Dust]])</f>
        <v>0</v>
      </c>
      <c r="Q213" s="3">
        <f>SUM(Table1[[#This Row],[Wholes (kg''s)]:[Pieces (kg''s)]])</f>
        <v>0</v>
      </c>
      <c r="R213" s="3">
        <f>SUM(Table1[[#This Row],[Wholes (kg''s)]:[Black Rejection (Kg''s)]])</f>
        <v>0</v>
      </c>
      <c r="S213" s="4" t="str">
        <f>IFERROR(Table1[[#This Row],[Good Kernels (kg''s)]]/Table1[[#This Row],[Input Quantity (Kg''s)]]*176.36,"")</f>
        <v/>
      </c>
      <c r="T213" s="4" t="str">
        <f>IFERROR(Table1[[#This Row],[Good Kernels (kg''s)]]/Table1[[#This Row],[Input Quantity (Kg''s)]]%,"")</f>
        <v/>
      </c>
      <c r="U213" s="5" t="str">
        <f>IFERROR(Table1[[#This Row],[Final Kernels (kg''s)]]/Table1[[#This Row],[Input Quantity (Kg''s)]]%,"")</f>
        <v/>
      </c>
      <c r="V213" s="5" t="str">
        <f>IFERROR(Table1[[#This Row],[Wholes (kg''s)]]/Table1[[#This Row],[Good Kernels (kg''s)]]%,"")</f>
        <v/>
      </c>
      <c r="W213" s="5" t="str">
        <f>IFERROR(Table1[[#This Row],[Pieces (kg''s)]]/Table1[[#This Row],[Good Kernels (kg''s)]]%,"")</f>
        <v/>
      </c>
      <c r="X213" s="5" t="str">
        <f>IFERROR(Table1[[#This Row],[First Pass Uncut (kg''s)]]/Table1[[#This Row],[Input Quantity (Kg''s)]]%,"")</f>
        <v/>
      </c>
      <c r="Y213" s="5" t="str">
        <f>IFERROR(Table1[[#This Row],[Final Uncut (kg''s)]]/Table1[[#This Row],[Input Quantity (Kg''s)]]%,"")</f>
        <v/>
      </c>
      <c r="Z213" s="21" t="str">
        <f>IFERROR(Table1[[#This Row],[Shell]]/Table1[[#This Row],[Input Quantity (Kg''s)]]%,"")</f>
        <v/>
      </c>
      <c r="AA213" s="21" t="str">
        <f>IFERROR(Table1[[#This Row],[Shell Dust]]/Table1[[#This Row],[Input Quantity (Kg''s)]]%,"")</f>
        <v/>
      </c>
    </row>
    <row r="214" spans="2:27" x14ac:dyDescent="0.3">
      <c r="B214" s="1"/>
      <c r="C214" s="15">
        <f>WEEKNUM(Table1[[#This Row],[Date]])</f>
        <v>0</v>
      </c>
      <c r="D214" s="1" t="str">
        <f>TEXT(Table1[[#This Row],[Date]],"mmm-yy")</f>
        <v>Jan-00</v>
      </c>
      <c r="E214" s="1"/>
      <c r="I214" s="3"/>
      <c r="M214" s="3"/>
      <c r="N214" s="3"/>
      <c r="O214" s="3"/>
      <c r="P214" s="3">
        <f>Table1[[#This Row],[Input Quantity (Kg''s)]]-SUM(Table1[[#This Row],[Wholes (kg''s)]:[Black Rejection (Kg''s)]],Table1[[#This Row],[Shell Dust]])</f>
        <v>0</v>
      </c>
      <c r="Q214" s="3">
        <f>SUM(Table1[[#This Row],[Wholes (kg''s)]:[Pieces (kg''s)]])</f>
        <v>0</v>
      </c>
      <c r="R214" s="3">
        <f>SUM(Table1[[#This Row],[Wholes (kg''s)]:[Black Rejection (Kg''s)]])</f>
        <v>0</v>
      </c>
      <c r="S214" s="4" t="str">
        <f>IFERROR(Table1[[#This Row],[Good Kernels (kg''s)]]/Table1[[#This Row],[Input Quantity (Kg''s)]]*176.36,"")</f>
        <v/>
      </c>
      <c r="T214" s="4" t="str">
        <f>IFERROR(Table1[[#This Row],[Good Kernels (kg''s)]]/Table1[[#This Row],[Input Quantity (Kg''s)]]%,"")</f>
        <v/>
      </c>
      <c r="U214" s="5" t="str">
        <f>IFERROR(Table1[[#This Row],[Final Kernels (kg''s)]]/Table1[[#This Row],[Input Quantity (Kg''s)]]%,"")</f>
        <v/>
      </c>
      <c r="V214" s="5" t="str">
        <f>IFERROR(Table1[[#This Row],[Wholes (kg''s)]]/Table1[[#This Row],[Good Kernels (kg''s)]]%,"")</f>
        <v/>
      </c>
      <c r="W214" s="5" t="str">
        <f>IFERROR(Table1[[#This Row],[Pieces (kg''s)]]/Table1[[#This Row],[Good Kernels (kg''s)]]%,"")</f>
        <v/>
      </c>
      <c r="X214" s="5" t="str">
        <f>IFERROR(Table1[[#This Row],[First Pass Uncut (kg''s)]]/Table1[[#This Row],[Input Quantity (Kg''s)]]%,"")</f>
        <v/>
      </c>
      <c r="Y214" s="5" t="str">
        <f>IFERROR(Table1[[#This Row],[Final Uncut (kg''s)]]/Table1[[#This Row],[Input Quantity (Kg''s)]]%,"")</f>
        <v/>
      </c>
      <c r="Z214" s="21" t="str">
        <f>IFERROR(Table1[[#This Row],[Shell]]/Table1[[#This Row],[Input Quantity (Kg''s)]]%,"")</f>
        <v/>
      </c>
      <c r="AA214" s="21" t="str">
        <f>IFERROR(Table1[[#This Row],[Shell Dust]]/Table1[[#This Row],[Input Quantity (Kg''s)]]%,"")</f>
        <v/>
      </c>
    </row>
    <row r="215" spans="2:27" x14ac:dyDescent="0.3">
      <c r="B215" s="1"/>
      <c r="C215" s="15">
        <f>WEEKNUM(Table1[[#This Row],[Date]])</f>
        <v>0</v>
      </c>
      <c r="D215" s="1" t="str">
        <f>TEXT(Table1[[#This Row],[Date]],"mmm-yy")</f>
        <v>Jan-00</v>
      </c>
      <c r="E215" s="1"/>
      <c r="I215" s="3"/>
      <c r="M215" s="3"/>
      <c r="N215" s="3"/>
      <c r="O215" s="3"/>
      <c r="P215" s="3">
        <f>Table1[[#This Row],[Input Quantity (Kg''s)]]-SUM(Table1[[#This Row],[Wholes (kg''s)]:[Black Rejection (Kg''s)]],Table1[[#This Row],[Shell Dust]])</f>
        <v>0</v>
      </c>
      <c r="Q215" s="3">
        <f>SUM(Table1[[#This Row],[Wholes (kg''s)]:[Pieces (kg''s)]])</f>
        <v>0</v>
      </c>
      <c r="R215" s="3">
        <f>SUM(Table1[[#This Row],[Wholes (kg''s)]:[Black Rejection (Kg''s)]])</f>
        <v>0</v>
      </c>
      <c r="S215" s="4" t="str">
        <f>IFERROR(Table1[[#This Row],[Good Kernels (kg''s)]]/Table1[[#This Row],[Input Quantity (Kg''s)]]*176.36,"")</f>
        <v/>
      </c>
      <c r="T215" s="4" t="str">
        <f>IFERROR(Table1[[#This Row],[Good Kernels (kg''s)]]/Table1[[#This Row],[Input Quantity (Kg''s)]]%,"")</f>
        <v/>
      </c>
      <c r="U215" s="5" t="str">
        <f>IFERROR(Table1[[#This Row],[Final Kernels (kg''s)]]/Table1[[#This Row],[Input Quantity (Kg''s)]]%,"")</f>
        <v/>
      </c>
      <c r="V215" s="5" t="str">
        <f>IFERROR(Table1[[#This Row],[Wholes (kg''s)]]/Table1[[#This Row],[Good Kernels (kg''s)]]%,"")</f>
        <v/>
      </c>
      <c r="W215" s="5" t="str">
        <f>IFERROR(Table1[[#This Row],[Pieces (kg''s)]]/Table1[[#This Row],[Good Kernels (kg''s)]]%,"")</f>
        <v/>
      </c>
      <c r="X215" s="5" t="str">
        <f>IFERROR(Table1[[#This Row],[First Pass Uncut (kg''s)]]/Table1[[#This Row],[Input Quantity (Kg''s)]]%,"")</f>
        <v/>
      </c>
      <c r="Y215" s="5" t="str">
        <f>IFERROR(Table1[[#This Row],[Final Uncut (kg''s)]]/Table1[[#This Row],[Input Quantity (Kg''s)]]%,"")</f>
        <v/>
      </c>
      <c r="Z215" s="21" t="str">
        <f>IFERROR(Table1[[#This Row],[Shell]]/Table1[[#This Row],[Input Quantity (Kg''s)]]%,"")</f>
        <v/>
      </c>
      <c r="AA215" s="21" t="str">
        <f>IFERROR(Table1[[#This Row],[Shell Dust]]/Table1[[#This Row],[Input Quantity (Kg''s)]]%,"")</f>
        <v/>
      </c>
    </row>
    <row r="216" spans="2:27" x14ac:dyDescent="0.3">
      <c r="B216" s="1"/>
      <c r="C216" s="15">
        <f>WEEKNUM(Table1[[#This Row],[Date]])</f>
        <v>0</v>
      </c>
      <c r="D216" s="1" t="str">
        <f>TEXT(Table1[[#This Row],[Date]],"mmm-yy")</f>
        <v>Jan-00</v>
      </c>
      <c r="E216" s="1"/>
      <c r="I216" s="3"/>
      <c r="M216" s="3"/>
      <c r="N216" s="3"/>
      <c r="O216" s="3"/>
      <c r="P216" s="3">
        <f>Table1[[#This Row],[Input Quantity (Kg''s)]]-SUM(Table1[[#This Row],[Wholes (kg''s)]:[Black Rejection (Kg''s)]],Table1[[#This Row],[Shell Dust]])</f>
        <v>0</v>
      </c>
      <c r="Q216" s="3">
        <f>SUM(Table1[[#This Row],[Wholes (kg''s)]:[Pieces (kg''s)]])</f>
        <v>0</v>
      </c>
      <c r="R216" s="3">
        <f>SUM(Table1[[#This Row],[Wholes (kg''s)]:[Black Rejection (Kg''s)]])</f>
        <v>0</v>
      </c>
      <c r="S216" s="4" t="str">
        <f>IFERROR(Table1[[#This Row],[Good Kernels (kg''s)]]/Table1[[#This Row],[Input Quantity (Kg''s)]]*176.36,"")</f>
        <v/>
      </c>
      <c r="T216" s="4" t="str">
        <f>IFERROR(Table1[[#This Row],[Good Kernels (kg''s)]]/Table1[[#This Row],[Input Quantity (Kg''s)]]%,"")</f>
        <v/>
      </c>
      <c r="U216" s="5" t="str">
        <f>IFERROR(Table1[[#This Row],[Final Kernels (kg''s)]]/Table1[[#This Row],[Input Quantity (Kg''s)]]%,"")</f>
        <v/>
      </c>
      <c r="V216" s="5" t="str">
        <f>IFERROR(Table1[[#This Row],[Wholes (kg''s)]]/Table1[[#This Row],[Good Kernels (kg''s)]]%,"")</f>
        <v/>
      </c>
      <c r="W216" s="5" t="str">
        <f>IFERROR(Table1[[#This Row],[Pieces (kg''s)]]/Table1[[#This Row],[Good Kernels (kg''s)]]%,"")</f>
        <v/>
      </c>
      <c r="X216" s="5" t="str">
        <f>IFERROR(Table1[[#This Row],[First Pass Uncut (kg''s)]]/Table1[[#This Row],[Input Quantity (Kg''s)]]%,"")</f>
        <v/>
      </c>
      <c r="Y216" s="5" t="str">
        <f>IFERROR(Table1[[#This Row],[Final Uncut (kg''s)]]/Table1[[#This Row],[Input Quantity (Kg''s)]]%,"")</f>
        <v/>
      </c>
      <c r="Z216" s="21" t="str">
        <f>IFERROR(Table1[[#This Row],[Shell]]/Table1[[#This Row],[Input Quantity (Kg''s)]]%,"")</f>
        <v/>
      </c>
      <c r="AA216" s="21" t="str">
        <f>IFERROR(Table1[[#This Row],[Shell Dust]]/Table1[[#This Row],[Input Quantity (Kg''s)]]%,"")</f>
        <v/>
      </c>
    </row>
    <row r="217" spans="2:27" x14ac:dyDescent="0.3">
      <c r="B217" s="1"/>
      <c r="C217" s="15">
        <f>WEEKNUM(Table1[[#This Row],[Date]])</f>
        <v>0</v>
      </c>
      <c r="D217" s="1" t="str">
        <f>TEXT(Table1[[#This Row],[Date]],"mmm-yy")</f>
        <v>Jan-00</v>
      </c>
      <c r="E217" s="1"/>
      <c r="I217" s="3"/>
      <c r="M217" s="3"/>
      <c r="N217" s="3"/>
      <c r="O217" s="3"/>
      <c r="P217" s="3">
        <f>Table1[[#This Row],[Input Quantity (Kg''s)]]-SUM(Table1[[#This Row],[Wholes (kg''s)]:[Black Rejection (Kg''s)]],Table1[[#This Row],[Shell Dust]])</f>
        <v>0</v>
      </c>
      <c r="Q217" s="3">
        <f>SUM(Table1[[#This Row],[Wholes (kg''s)]:[Pieces (kg''s)]])</f>
        <v>0</v>
      </c>
      <c r="R217" s="3">
        <f>SUM(Table1[[#This Row],[Wholes (kg''s)]:[Black Rejection (Kg''s)]])</f>
        <v>0</v>
      </c>
      <c r="S217" s="4" t="str">
        <f>IFERROR(Table1[[#This Row],[Good Kernels (kg''s)]]/Table1[[#This Row],[Input Quantity (Kg''s)]]*176.36,"")</f>
        <v/>
      </c>
      <c r="T217" s="4" t="str">
        <f>IFERROR(Table1[[#This Row],[Good Kernels (kg''s)]]/Table1[[#This Row],[Input Quantity (Kg''s)]]%,"")</f>
        <v/>
      </c>
      <c r="U217" s="5" t="str">
        <f>IFERROR(Table1[[#This Row],[Final Kernels (kg''s)]]/Table1[[#This Row],[Input Quantity (Kg''s)]]%,"")</f>
        <v/>
      </c>
      <c r="V217" s="5" t="str">
        <f>IFERROR(Table1[[#This Row],[Wholes (kg''s)]]/Table1[[#This Row],[Good Kernels (kg''s)]]%,"")</f>
        <v/>
      </c>
      <c r="W217" s="5" t="str">
        <f>IFERROR(Table1[[#This Row],[Pieces (kg''s)]]/Table1[[#This Row],[Good Kernels (kg''s)]]%,"")</f>
        <v/>
      </c>
      <c r="X217" s="5" t="str">
        <f>IFERROR(Table1[[#This Row],[First Pass Uncut (kg''s)]]/Table1[[#This Row],[Input Quantity (Kg''s)]]%,"")</f>
        <v/>
      </c>
      <c r="Y217" s="5" t="str">
        <f>IFERROR(Table1[[#This Row],[Final Uncut (kg''s)]]/Table1[[#This Row],[Input Quantity (Kg''s)]]%,"")</f>
        <v/>
      </c>
      <c r="Z217" s="21" t="str">
        <f>IFERROR(Table1[[#This Row],[Shell]]/Table1[[#This Row],[Input Quantity (Kg''s)]]%,"")</f>
        <v/>
      </c>
      <c r="AA217" s="21" t="str">
        <f>IFERROR(Table1[[#This Row],[Shell Dust]]/Table1[[#This Row],[Input Quantity (Kg''s)]]%,"")</f>
        <v/>
      </c>
    </row>
    <row r="218" spans="2:27" x14ac:dyDescent="0.3">
      <c r="B218" s="1"/>
      <c r="C218" s="15">
        <f>WEEKNUM(Table1[[#This Row],[Date]])</f>
        <v>0</v>
      </c>
      <c r="D218" s="1" t="str">
        <f>TEXT(Table1[[#This Row],[Date]],"mmm-yy")</f>
        <v>Jan-00</v>
      </c>
      <c r="E218" s="1"/>
      <c r="I218" s="3"/>
      <c r="M218" s="3"/>
      <c r="N218" s="3"/>
      <c r="O218" s="3"/>
      <c r="P218" s="3">
        <f>Table1[[#This Row],[Input Quantity (Kg''s)]]-SUM(Table1[[#This Row],[Wholes (kg''s)]:[Black Rejection (Kg''s)]],Table1[[#This Row],[Shell Dust]])</f>
        <v>0</v>
      </c>
      <c r="Q218" s="3">
        <f>SUM(Table1[[#This Row],[Wholes (kg''s)]:[Pieces (kg''s)]])</f>
        <v>0</v>
      </c>
      <c r="R218" s="3">
        <f>SUM(Table1[[#This Row],[Wholes (kg''s)]:[Black Rejection (Kg''s)]])</f>
        <v>0</v>
      </c>
      <c r="S218" s="4" t="str">
        <f>IFERROR(Table1[[#This Row],[Good Kernels (kg''s)]]/Table1[[#This Row],[Input Quantity (Kg''s)]]*176.36,"")</f>
        <v/>
      </c>
      <c r="T218" s="4" t="str">
        <f>IFERROR(Table1[[#This Row],[Good Kernels (kg''s)]]/Table1[[#This Row],[Input Quantity (Kg''s)]]%,"")</f>
        <v/>
      </c>
      <c r="U218" s="5" t="str">
        <f>IFERROR(Table1[[#This Row],[Final Kernels (kg''s)]]/Table1[[#This Row],[Input Quantity (Kg''s)]]%,"")</f>
        <v/>
      </c>
      <c r="V218" s="5" t="str">
        <f>IFERROR(Table1[[#This Row],[Wholes (kg''s)]]/Table1[[#This Row],[Good Kernels (kg''s)]]%,"")</f>
        <v/>
      </c>
      <c r="W218" s="5" t="str">
        <f>IFERROR(Table1[[#This Row],[Pieces (kg''s)]]/Table1[[#This Row],[Good Kernels (kg''s)]]%,"")</f>
        <v/>
      </c>
      <c r="X218" s="5" t="str">
        <f>IFERROR(Table1[[#This Row],[First Pass Uncut (kg''s)]]/Table1[[#This Row],[Input Quantity (Kg''s)]]%,"")</f>
        <v/>
      </c>
      <c r="Y218" s="5" t="str">
        <f>IFERROR(Table1[[#This Row],[Final Uncut (kg''s)]]/Table1[[#This Row],[Input Quantity (Kg''s)]]%,"")</f>
        <v/>
      </c>
      <c r="Z218" s="21" t="str">
        <f>IFERROR(Table1[[#This Row],[Shell]]/Table1[[#This Row],[Input Quantity (Kg''s)]]%,"")</f>
        <v/>
      </c>
      <c r="AA218" s="21" t="str">
        <f>IFERROR(Table1[[#This Row],[Shell Dust]]/Table1[[#This Row],[Input Quantity (Kg''s)]]%,"")</f>
        <v/>
      </c>
    </row>
    <row r="219" spans="2:27" x14ac:dyDescent="0.3">
      <c r="B219" s="1"/>
      <c r="C219" s="15">
        <f>WEEKNUM(Table1[[#This Row],[Date]])</f>
        <v>0</v>
      </c>
      <c r="D219" s="1" t="str">
        <f>TEXT(Table1[[#This Row],[Date]],"mmm-yy")</f>
        <v>Jan-00</v>
      </c>
      <c r="E219" s="1"/>
      <c r="I219" s="3"/>
      <c r="M219" s="3"/>
      <c r="N219" s="3"/>
      <c r="O219" s="3"/>
      <c r="P219" s="3">
        <f>Table1[[#This Row],[Input Quantity (Kg''s)]]-SUM(Table1[[#This Row],[Wholes (kg''s)]:[Black Rejection (Kg''s)]],Table1[[#This Row],[Shell Dust]])</f>
        <v>0</v>
      </c>
      <c r="Q219" s="3">
        <f>SUM(Table1[[#This Row],[Wholes (kg''s)]:[Pieces (kg''s)]])</f>
        <v>0</v>
      </c>
      <c r="R219" s="3">
        <f>SUM(Table1[[#This Row],[Wholes (kg''s)]:[Black Rejection (Kg''s)]])</f>
        <v>0</v>
      </c>
      <c r="S219" s="4" t="str">
        <f>IFERROR(Table1[[#This Row],[Good Kernels (kg''s)]]/Table1[[#This Row],[Input Quantity (Kg''s)]]*176.36,"")</f>
        <v/>
      </c>
      <c r="T219" s="4" t="str">
        <f>IFERROR(Table1[[#This Row],[Good Kernels (kg''s)]]/Table1[[#This Row],[Input Quantity (Kg''s)]]%,"")</f>
        <v/>
      </c>
      <c r="U219" s="5" t="str">
        <f>IFERROR(Table1[[#This Row],[Final Kernels (kg''s)]]/Table1[[#This Row],[Input Quantity (Kg''s)]]%,"")</f>
        <v/>
      </c>
      <c r="V219" s="5" t="str">
        <f>IFERROR(Table1[[#This Row],[Wholes (kg''s)]]/Table1[[#This Row],[Good Kernels (kg''s)]]%,"")</f>
        <v/>
      </c>
      <c r="W219" s="5" t="str">
        <f>IFERROR(Table1[[#This Row],[Pieces (kg''s)]]/Table1[[#This Row],[Good Kernels (kg''s)]]%,"")</f>
        <v/>
      </c>
      <c r="X219" s="5" t="str">
        <f>IFERROR(Table1[[#This Row],[First Pass Uncut (kg''s)]]/Table1[[#This Row],[Input Quantity (Kg''s)]]%,"")</f>
        <v/>
      </c>
      <c r="Y219" s="5" t="str">
        <f>IFERROR(Table1[[#This Row],[Final Uncut (kg''s)]]/Table1[[#This Row],[Input Quantity (Kg''s)]]%,"")</f>
        <v/>
      </c>
      <c r="Z219" s="21" t="str">
        <f>IFERROR(Table1[[#This Row],[Shell]]/Table1[[#This Row],[Input Quantity (Kg''s)]]%,"")</f>
        <v/>
      </c>
      <c r="AA219" s="21" t="str">
        <f>IFERROR(Table1[[#This Row],[Shell Dust]]/Table1[[#This Row],[Input Quantity (Kg''s)]]%,"")</f>
        <v/>
      </c>
    </row>
    <row r="220" spans="2:27" x14ac:dyDescent="0.3">
      <c r="B220" s="1"/>
      <c r="C220" s="15">
        <f>WEEKNUM(Table1[[#This Row],[Date]])</f>
        <v>0</v>
      </c>
      <c r="D220" s="1" t="str">
        <f>TEXT(Table1[[#This Row],[Date]],"mmm-yy")</f>
        <v>Jan-00</v>
      </c>
      <c r="E220" s="1"/>
      <c r="I220" s="3"/>
      <c r="M220" s="3"/>
      <c r="N220" s="3"/>
      <c r="O220" s="3"/>
      <c r="P220" s="3">
        <f>Table1[[#This Row],[Input Quantity (Kg''s)]]-SUM(Table1[[#This Row],[Wholes (kg''s)]:[Black Rejection (Kg''s)]],Table1[[#This Row],[Shell Dust]])</f>
        <v>0</v>
      </c>
      <c r="Q220" s="3">
        <f>SUM(Table1[[#This Row],[Wholes (kg''s)]:[Pieces (kg''s)]])</f>
        <v>0</v>
      </c>
      <c r="R220" s="3">
        <f>SUM(Table1[[#This Row],[Wholes (kg''s)]:[Black Rejection (Kg''s)]])</f>
        <v>0</v>
      </c>
      <c r="S220" s="4" t="str">
        <f>IFERROR(Table1[[#This Row],[Good Kernels (kg''s)]]/Table1[[#This Row],[Input Quantity (Kg''s)]]*176.36,"")</f>
        <v/>
      </c>
      <c r="T220" s="4" t="str">
        <f>IFERROR(Table1[[#This Row],[Good Kernels (kg''s)]]/Table1[[#This Row],[Input Quantity (Kg''s)]]%,"")</f>
        <v/>
      </c>
      <c r="U220" s="5" t="str">
        <f>IFERROR(Table1[[#This Row],[Final Kernels (kg''s)]]/Table1[[#This Row],[Input Quantity (Kg''s)]]%,"")</f>
        <v/>
      </c>
      <c r="V220" s="5" t="str">
        <f>IFERROR(Table1[[#This Row],[Wholes (kg''s)]]/Table1[[#This Row],[Good Kernels (kg''s)]]%,"")</f>
        <v/>
      </c>
      <c r="W220" s="5" t="str">
        <f>IFERROR(Table1[[#This Row],[Pieces (kg''s)]]/Table1[[#This Row],[Good Kernels (kg''s)]]%,"")</f>
        <v/>
      </c>
      <c r="X220" s="5" t="str">
        <f>IFERROR(Table1[[#This Row],[First Pass Uncut (kg''s)]]/Table1[[#This Row],[Input Quantity (Kg''s)]]%,"")</f>
        <v/>
      </c>
      <c r="Y220" s="5" t="str">
        <f>IFERROR(Table1[[#This Row],[Final Uncut (kg''s)]]/Table1[[#This Row],[Input Quantity (Kg''s)]]%,"")</f>
        <v/>
      </c>
      <c r="Z220" s="21" t="str">
        <f>IFERROR(Table1[[#This Row],[Shell]]/Table1[[#This Row],[Input Quantity (Kg''s)]]%,"")</f>
        <v/>
      </c>
      <c r="AA220" s="21" t="str">
        <f>IFERROR(Table1[[#This Row],[Shell Dust]]/Table1[[#This Row],[Input Quantity (Kg''s)]]%,"")</f>
        <v/>
      </c>
    </row>
    <row r="221" spans="2:27" x14ac:dyDescent="0.3">
      <c r="B221" s="1"/>
      <c r="C221" s="15">
        <f>WEEKNUM(Table1[[#This Row],[Date]])</f>
        <v>0</v>
      </c>
      <c r="D221" s="1" t="str">
        <f>TEXT(Table1[[#This Row],[Date]],"mmm-yy")</f>
        <v>Jan-00</v>
      </c>
      <c r="E221" s="1"/>
      <c r="I221" s="3"/>
      <c r="M221" s="3"/>
      <c r="N221" s="3"/>
      <c r="O221" s="3"/>
      <c r="P221" s="3">
        <f>Table1[[#This Row],[Input Quantity (Kg''s)]]-SUM(Table1[[#This Row],[Wholes (kg''s)]:[Black Rejection (Kg''s)]],Table1[[#This Row],[Shell Dust]])</f>
        <v>0</v>
      </c>
      <c r="Q221" s="3">
        <f>SUM(Table1[[#This Row],[Wholes (kg''s)]:[Pieces (kg''s)]])</f>
        <v>0</v>
      </c>
      <c r="R221" s="3">
        <f>SUM(Table1[[#This Row],[Wholes (kg''s)]:[Black Rejection (Kg''s)]])</f>
        <v>0</v>
      </c>
      <c r="S221" s="4" t="str">
        <f>IFERROR(Table1[[#This Row],[Good Kernels (kg''s)]]/Table1[[#This Row],[Input Quantity (Kg''s)]]*176.36,"")</f>
        <v/>
      </c>
      <c r="T221" s="4" t="str">
        <f>IFERROR(Table1[[#This Row],[Good Kernels (kg''s)]]/Table1[[#This Row],[Input Quantity (Kg''s)]]%,"")</f>
        <v/>
      </c>
      <c r="U221" s="5" t="str">
        <f>IFERROR(Table1[[#This Row],[Final Kernels (kg''s)]]/Table1[[#This Row],[Input Quantity (Kg''s)]]%,"")</f>
        <v/>
      </c>
      <c r="V221" s="5" t="str">
        <f>IFERROR(Table1[[#This Row],[Wholes (kg''s)]]/Table1[[#This Row],[Good Kernels (kg''s)]]%,"")</f>
        <v/>
      </c>
      <c r="W221" s="5" t="str">
        <f>IFERROR(Table1[[#This Row],[Pieces (kg''s)]]/Table1[[#This Row],[Good Kernels (kg''s)]]%,"")</f>
        <v/>
      </c>
      <c r="X221" s="5" t="str">
        <f>IFERROR(Table1[[#This Row],[First Pass Uncut (kg''s)]]/Table1[[#This Row],[Input Quantity (Kg''s)]]%,"")</f>
        <v/>
      </c>
      <c r="Y221" s="5" t="str">
        <f>IFERROR(Table1[[#This Row],[Final Uncut (kg''s)]]/Table1[[#This Row],[Input Quantity (Kg''s)]]%,"")</f>
        <v/>
      </c>
      <c r="Z221" s="21" t="str">
        <f>IFERROR(Table1[[#This Row],[Shell]]/Table1[[#This Row],[Input Quantity (Kg''s)]]%,"")</f>
        <v/>
      </c>
      <c r="AA221" s="21" t="str">
        <f>IFERROR(Table1[[#This Row],[Shell Dust]]/Table1[[#This Row],[Input Quantity (Kg''s)]]%,"")</f>
        <v/>
      </c>
    </row>
    <row r="222" spans="2:27" x14ac:dyDescent="0.3">
      <c r="B222" s="1"/>
      <c r="C222" s="15">
        <f>WEEKNUM(Table1[[#This Row],[Date]])</f>
        <v>0</v>
      </c>
      <c r="D222" s="1" t="str">
        <f>TEXT(Table1[[#This Row],[Date]],"mmm-yy")</f>
        <v>Jan-00</v>
      </c>
      <c r="E222" s="1"/>
      <c r="I222" s="3"/>
      <c r="M222" s="3"/>
      <c r="N222" s="3"/>
      <c r="O222" s="3"/>
      <c r="P222" s="3">
        <f>Table1[[#This Row],[Input Quantity (Kg''s)]]-SUM(Table1[[#This Row],[Wholes (kg''s)]:[Black Rejection (Kg''s)]],Table1[[#This Row],[Shell Dust]])</f>
        <v>0</v>
      </c>
      <c r="Q222" s="3">
        <f>SUM(Table1[[#This Row],[Wholes (kg''s)]:[Pieces (kg''s)]])</f>
        <v>0</v>
      </c>
      <c r="R222" s="3">
        <f>SUM(Table1[[#This Row],[Wholes (kg''s)]:[Black Rejection (Kg''s)]])</f>
        <v>0</v>
      </c>
      <c r="S222" s="4" t="str">
        <f>IFERROR(Table1[[#This Row],[Good Kernels (kg''s)]]/Table1[[#This Row],[Input Quantity (Kg''s)]]*176.36,"")</f>
        <v/>
      </c>
      <c r="T222" s="4" t="str">
        <f>IFERROR(Table1[[#This Row],[Good Kernels (kg''s)]]/Table1[[#This Row],[Input Quantity (Kg''s)]]%,"")</f>
        <v/>
      </c>
      <c r="U222" s="5" t="str">
        <f>IFERROR(Table1[[#This Row],[Final Kernels (kg''s)]]/Table1[[#This Row],[Input Quantity (Kg''s)]]%,"")</f>
        <v/>
      </c>
      <c r="V222" s="5" t="str">
        <f>IFERROR(Table1[[#This Row],[Wholes (kg''s)]]/Table1[[#This Row],[Good Kernels (kg''s)]]%,"")</f>
        <v/>
      </c>
      <c r="W222" s="5" t="str">
        <f>IFERROR(Table1[[#This Row],[Pieces (kg''s)]]/Table1[[#This Row],[Good Kernels (kg''s)]]%,"")</f>
        <v/>
      </c>
      <c r="X222" s="5" t="str">
        <f>IFERROR(Table1[[#This Row],[First Pass Uncut (kg''s)]]/Table1[[#This Row],[Input Quantity (Kg''s)]]%,"")</f>
        <v/>
      </c>
      <c r="Y222" s="5" t="str">
        <f>IFERROR(Table1[[#This Row],[Final Uncut (kg''s)]]/Table1[[#This Row],[Input Quantity (Kg''s)]]%,"")</f>
        <v/>
      </c>
      <c r="Z222" s="21" t="str">
        <f>IFERROR(Table1[[#This Row],[Shell]]/Table1[[#This Row],[Input Quantity (Kg''s)]]%,"")</f>
        <v/>
      </c>
      <c r="AA222" s="21" t="str">
        <f>IFERROR(Table1[[#This Row],[Shell Dust]]/Table1[[#This Row],[Input Quantity (Kg''s)]]%,"")</f>
        <v/>
      </c>
    </row>
    <row r="223" spans="2:27" x14ac:dyDescent="0.3">
      <c r="B223" s="1"/>
      <c r="C223" s="15">
        <f>WEEKNUM(Table1[[#This Row],[Date]])</f>
        <v>0</v>
      </c>
      <c r="D223" s="1" t="str">
        <f>TEXT(Table1[[#This Row],[Date]],"mmm-yy")</f>
        <v>Jan-00</v>
      </c>
      <c r="E223" s="1"/>
      <c r="I223" s="3"/>
      <c r="M223" s="3"/>
      <c r="N223" s="3"/>
      <c r="O223" s="3"/>
      <c r="P223" s="3">
        <f>Table1[[#This Row],[Input Quantity (Kg''s)]]-SUM(Table1[[#This Row],[Wholes (kg''s)]:[Black Rejection (Kg''s)]],Table1[[#This Row],[Shell Dust]])</f>
        <v>0</v>
      </c>
      <c r="Q223" s="3">
        <f>SUM(Table1[[#This Row],[Wholes (kg''s)]:[Pieces (kg''s)]])</f>
        <v>0</v>
      </c>
      <c r="R223" s="3">
        <f>SUM(Table1[[#This Row],[Wholes (kg''s)]:[Black Rejection (Kg''s)]])</f>
        <v>0</v>
      </c>
      <c r="S223" s="4" t="str">
        <f>IFERROR(Table1[[#This Row],[Good Kernels (kg''s)]]/Table1[[#This Row],[Input Quantity (Kg''s)]]*176.36,"")</f>
        <v/>
      </c>
      <c r="T223" s="4" t="str">
        <f>IFERROR(Table1[[#This Row],[Good Kernels (kg''s)]]/Table1[[#This Row],[Input Quantity (Kg''s)]]%,"")</f>
        <v/>
      </c>
      <c r="U223" s="5" t="str">
        <f>IFERROR(Table1[[#This Row],[Final Kernels (kg''s)]]/Table1[[#This Row],[Input Quantity (Kg''s)]]%,"")</f>
        <v/>
      </c>
      <c r="V223" s="5" t="str">
        <f>IFERROR(Table1[[#This Row],[Wholes (kg''s)]]/Table1[[#This Row],[Good Kernels (kg''s)]]%,"")</f>
        <v/>
      </c>
      <c r="W223" s="5" t="str">
        <f>IFERROR(Table1[[#This Row],[Pieces (kg''s)]]/Table1[[#This Row],[Good Kernels (kg''s)]]%,"")</f>
        <v/>
      </c>
      <c r="X223" s="5" t="str">
        <f>IFERROR(Table1[[#This Row],[First Pass Uncut (kg''s)]]/Table1[[#This Row],[Input Quantity (Kg''s)]]%,"")</f>
        <v/>
      </c>
      <c r="Y223" s="5" t="str">
        <f>IFERROR(Table1[[#This Row],[Final Uncut (kg''s)]]/Table1[[#This Row],[Input Quantity (Kg''s)]]%,"")</f>
        <v/>
      </c>
      <c r="Z223" s="21" t="str">
        <f>IFERROR(Table1[[#This Row],[Shell]]/Table1[[#This Row],[Input Quantity (Kg''s)]]%,"")</f>
        <v/>
      </c>
      <c r="AA223" s="21" t="str">
        <f>IFERROR(Table1[[#This Row],[Shell Dust]]/Table1[[#This Row],[Input Quantity (Kg''s)]]%,"")</f>
        <v/>
      </c>
    </row>
    <row r="224" spans="2:27" x14ac:dyDescent="0.3">
      <c r="B224" s="1"/>
      <c r="C224" s="15">
        <f>WEEKNUM(Table1[[#This Row],[Date]])</f>
        <v>0</v>
      </c>
      <c r="D224" s="1" t="str">
        <f>TEXT(Table1[[#This Row],[Date]],"mmm-yy")</f>
        <v>Jan-00</v>
      </c>
      <c r="E224" s="1"/>
      <c r="I224" s="3"/>
      <c r="M224" s="3"/>
      <c r="N224" s="3"/>
      <c r="O224" s="3"/>
      <c r="P224" s="3">
        <f>Table1[[#This Row],[Input Quantity (Kg''s)]]-SUM(Table1[[#This Row],[Wholes (kg''s)]:[Black Rejection (Kg''s)]],Table1[[#This Row],[Shell Dust]])</f>
        <v>0</v>
      </c>
      <c r="Q224" s="3">
        <f>SUM(Table1[[#This Row],[Wholes (kg''s)]:[Pieces (kg''s)]])</f>
        <v>0</v>
      </c>
      <c r="R224" s="3">
        <f>SUM(Table1[[#This Row],[Wholes (kg''s)]:[Black Rejection (Kg''s)]])</f>
        <v>0</v>
      </c>
      <c r="S224" s="4" t="str">
        <f>IFERROR(Table1[[#This Row],[Good Kernels (kg''s)]]/Table1[[#This Row],[Input Quantity (Kg''s)]]*176.36,"")</f>
        <v/>
      </c>
      <c r="T224" s="4" t="str">
        <f>IFERROR(Table1[[#This Row],[Good Kernels (kg''s)]]/Table1[[#This Row],[Input Quantity (Kg''s)]]%,"")</f>
        <v/>
      </c>
      <c r="U224" s="5" t="str">
        <f>IFERROR(Table1[[#This Row],[Final Kernels (kg''s)]]/Table1[[#This Row],[Input Quantity (Kg''s)]]%,"")</f>
        <v/>
      </c>
      <c r="V224" s="5" t="str">
        <f>IFERROR(Table1[[#This Row],[Wholes (kg''s)]]/Table1[[#This Row],[Good Kernels (kg''s)]]%,"")</f>
        <v/>
      </c>
      <c r="W224" s="5" t="str">
        <f>IFERROR(Table1[[#This Row],[Pieces (kg''s)]]/Table1[[#This Row],[Good Kernels (kg''s)]]%,"")</f>
        <v/>
      </c>
      <c r="X224" s="5" t="str">
        <f>IFERROR(Table1[[#This Row],[First Pass Uncut (kg''s)]]/Table1[[#This Row],[Input Quantity (Kg''s)]]%,"")</f>
        <v/>
      </c>
      <c r="Y224" s="5" t="str">
        <f>IFERROR(Table1[[#This Row],[Final Uncut (kg''s)]]/Table1[[#This Row],[Input Quantity (Kg''s)]]%,"")</f>
        <v/>
      </c>
      <c r="Z224" s="21" t="str">
        <f>IFERROR(Table1[[#This Row],[Shell]]/Table1[[#This Row],[Input Quantity (Kg''s)]]%,"")</f>
        <v/>
      </c>
      <c r="AA224" s="21" t="str">
        <f>IFERROR(Table1[[#This Row],[Shell Dust]]/Table1[[#This Row],[Input Quantity (Kg''s)]]%,"")</f>
        <v/>
      </c>
    </row>
    <row r="225" spans="2:27" x14ac:dyDescent="0.3">
      <c r="B225" s="1"/>
      <c r="C225" s="15">
        <f>WEEKNUM(Table1[[#This Row],[Date]])</f>
        <v>0</v>
      </c>
      <c r="D225" s="1" t="str">
        <f>TEXT(Table1[[#This Row],[Date]],"mmm-yy")</f>
        <v>Jan-00</v>
      </c>
      <c r="E225" s="1"/>
      <c r="I225" s="3"/>
      <c r="M225" s="3"/>
      <c r="N225" s="3"/>
      <c r="O225" s="3"/>
      <c r="P225" s="3">
        <f>Table1[[#This Row],[Input Quantity (Kg''s)]]-SUM(Table1[[#This Row],[Wholes (kg''s)]:[Black Rejection (Kg''s)]],Table1[[#This Row],[Shell Dust]])</f>
        <v>0</v>
      </c>
      <c r="Q225" s="3">
        <f>SUM(Table1[[#This Row],[Wholes (kg''s)]:[Pieces (kg''s)]])</f>
        <v>0</v>
      </c>
      <c r="R225" s="3">
        <f>SUM(Table1[[#This Row],[Wholes (kg''s)]:[Black Rejection (Kg''s)]])</f>
        <v>0</v>
      </c>
      <c r="S225" s="4" t="str">
        <f>IFERROR(Table1[[#This Row],[Good Kernels (kg''s)]]/Table1[[#This Row],[Input Quantity (Kg''s)]]*176.36,"")</f>
        <v/>
      </c>
      <c r="T225" s="4" t="str">
        <f>IFERROR(Table1[[#This Row],[Good Kernels (kg''s)]]/Table1[[#This Row],[Input Quantity (Kg''s)]]%,"")</f>
        <v/>
      </c>
      <c r="U225" s="5" t="str">
        <f>IFERROR(Table1[[#This Row],[Final Kernels (kg''s)]]/Table1[[#This Row],[Input Quantity (Kg''s)]]%,"")</f>
        <v/>
      </c>
      <c r="V225" s="5" t="str">
        <f>IFERROR(Table1[[#This Row],[Wholes (kg''s)]]/Table1[[#This Row],[Good Kernels (kg''s)]]%,"")</f>
        <v/>
      </c>
      <c r="W225" s="5" t="str">
        <f>IFERROR(Table1[[#This Row],[Pieces (kg''s)]]/Table1[[#This Row],[Good Kernels (kg''s)]]%,"")</f>
        <v/>
      </c>
      <c r="X225" s="5" t="str">
        <f>IFERROR(Table1[[#This Row],[First Pass Uncut (kg''s)]]/Table1[[#This Row],[Input Quantity (Kg''s)]]%,"")</f>
        <v/>
      </c>
      <c r="Y225" s="5" t="str">
        <f>IFERROR(Table1[[#This Row],[Final Uncut (kg''s)]]/Table1[[#This Row],[Input Quantity (Kg''s)]]%,"")</f>
        <v/>
      </c>
      <c r="Z225" s="21" t="str">
        <f>IFERROR(Table1[[#This Row],[Shell]]/Table1[[#This Row],[Input Quantity (Kg''s)]]%,"")</f>
        <v/>
      </c>
      <c r="AA225" s="21" t="str">
        <f>IFERROR(Table1[[#This Row],[Shell Dust]]/Table1[[#This Row],[Input Quantity (Kg''s)]]%,"")</f>
        <v/>
      </c>
    </row>
    <row r="226" spans="2:27" x14ac:dyDescent="0.3">
      <c r="B226" s="1"/>
      <c r="C226" s="15">
        <f>WEEKNUM(Table1[[#This Row],[Date]])</f>
        <v>0</v>
      </c>
      <c r="D226" s="1" t="str">
        <f>TEXT(Table1[[#This Row],[Date]],"mmm-yy")</f>
        <v>Jan-00</v>
      </c>
      <c r="E226" s="1"/>
      <c r="I226" s="3"/>
      <c r="M226" s="3"/>
      <c r="N226" s="3"/>
      <c r="O226" s="3"/>
      <c r="P226" s="3">
        <f>Table1[[#This Row],[Input Quantity (Kg''s)]]-SUM(Table1[[#This Row],[Wholes (kg''s)]:[Black Rejection (Kg''s)]],Table1[[#This Row],[Shell Dust]])</f>
        <v>0</v>
      </c>
      <c r="Q226" s="3">
        <f>SUM(Table1[[#This Row],[Wholes (kg''s)]:[Pieces (kg''s)]])</f>
        <v>0</v>
      </c>
      <c r="R226" s="3">
        <f>SUM(Table1[[#This Row],[Wholes (kg''s)]:[Black Rejection (Kg''s)]])</f>
        <v>0</v>
      </c>
      <c r="S226" s="4" t="str">
        <f>IFERROR(Table1[[#This Row],[Good Kernels (kg''s)]]/Table1[[#This Row],[Input Quantity (Kg''s)]]*176.36,"")</f>
        <v/>
      </c>
      <c r="T226" s="4" t="str">
        <f>IFERROR(Table1[[#This Row],[Good Kernels (kg''s)]]/Table1[[#This Row],[Input Quantity (Kg''s)]]%,"")</f>
        <v/>
      </c>
      <c r="U226" s="5" t="str">
        <f>IFERROR(Table1[[#This Row],[Final Kernels (kg''s)]]/Table1[[#This Row],[Input Quantity (Kg''s)]]%,"")</f>
        <v/>
      </c>
      <c r="V226" s="5" t="str">
        <f>IFERROR(Table1[[#This Row],[Wholes (kg''s)]]/Table1[[#This Row],[Good Kernels (kg''s)]]%,"")</f>
        <v/>
      </c>
      <c r="W226" s="5" t="str">
        <f>IFERROR(Table1[[#This Row],[Pieces (kg''s)]]/Table1[[#This Row],[Good Kernels (kg''s)]]%,"")</f>
        <v/>
      </c>
      <c r="X226" s="5" t="str">
        <f>IFERROR(Table1[[#This Row],[First Pass Uncut (kg''s)]]/Table1[[#This Row],[Input Quantity (Kg''s)]]%,"")</f>
        <v/>
      </c>
      <c r="Y226" s="5" t="str">
        <f>IFERROR(Table1[[#This Row],[Final Uncut (kg''s)]]/Table1[[#This Row],[Input Quantity (Kg''s)]]%,"")</f>
        <v/>
      </c>
      <c r="Z226" s="21" t="str">
        <f>IFERROR(Table1[[#This Row],[Shell]]/Table1[[#This Row],[Input Quantity (Kg''s)]]%,"")</f>
        <v/>
      </c>
      <c r="AA226" s="21" t="str">
        <f>IFERROR(Table1[[#This Row],[Shell Dust]]/Table1[[#This Row],[Input Quantity (Kg''s)]]%,"")</f>
        <v/>
      </c>
    </row>
    <row r="227" spans="2:27" x14ac:dyDescent="0.3">
      <c r="B227" s="1"/>
      <c r="C227" s="15">
        <f>WEEKNUM(Table1[[#This Row],[Date]])</f>
        <v>0</v>
      </c>
      <c r="D227" s="1" t="str">
        <f>TEXT(Table1[[#This Row],[Date]],"mmm-yy")</f>
        <v>Jan-00</v>
      </c>
      <c r="E227" s="1"/>
      <c r="I227" s="3"/>
      <c r="M227" s="3"/>
      <c r="N227" s="3"/>
      <c r="O227" s="3"/>
      <c r="P227" s="3">
        <f>Table1[[#This Row],[Input Quantity (Kg''s)]]-SUM(Table1[[#This Row],[Wholes (kg''s)]:[Black Rejection (Kg''s)]],Table1[[#This Row],[Shell Dust]])</f>
        <v>0</v>
      </c>
      <c r="Q227" s="3">
        <f>SUM(Table1[[#This Row],[Wholes (kg''s)]:[Pieces (kg''s)]])</f>
        <v>0</v>
      </c>
      <c r="R227" s="3">
        <f>SUM(Table1[[#This Row],[Wholes (kg''s)]:[Black Rejection (Kg''s)]])</f>
        <v>0</v>
      </c>
      <c r="S227" s="4" t="str">
        <f>IFERROR(Table1[[#This Row],[Good Kernels (kg''s)]]/Table1[[#This Row],[Input Quantity (Kg''s)]]*176.36,"")</f>
        <v/>
      </c>
      <c r="T227" s="4" t="str">
        <f>IFERROR(Table1[[#This Row],[Good Kernels (kg''s)]]/Table1[[#This Row],[Input Quantity (Kg''s)]]%,"")</f>
        <v/>
      </c>
      <c r="U227" s="5" t="str">
        <f>IFERROR(Table1[[#This Row],[Final Kernels (kg''s)]]/Table1[[#This Row],[Input Quantity (Kg''s)]]%,"")</f>
        <v/>
      </c>
      <c r="V227" s="5" t="str">
        <f>IFERROR(Table1[[#This Row],[Wholes (kg''s)]]/Table1[[#This Row],[Good Kernels (kg''s)]]%,"")</f>
        <v/>
      </c>
      <c r="W227" s="5" t="str">
        <f>IFERROR(Table1[[#This Row],[Pieces (kg''s)]]/Table1[[#This Row],[Good Kernels (kg''s)]]%,"")</f>
        <v/>
      </c>
      <c r="X227" s="5" t="str">
        <f>IFERROR(Table1[[#This Row],[First Pass Uncut (kg''s)]]/Table1[[#This Row],[Input Quantity (Kg''s)]]%,"")</f>
        <v/>
      </c>
      <c r="Y227" s="5" t="str">
        <f>IFERROR(Table1[[#This Row],[Final Uncut (kg''s)]]/Table1[[#This Row],[Input Quantity (Kg''s)]]%,"")</f>
        <v/>
      </c>
      <c r="Z227" s="21" t="str">
        <f>IFERROR(Table1[[#This Row],[Shell]]/Table1[[#This Row],[Input Quantity (Kg''s)]]%,"")</f>
        <v/>
      </c>
      <c r="AA227" s="21" t="str">
        <f>IFERROR(Table1[[#This Row],[Shell Dust]]/Table1[[#This Row],[Input Quantity (Kg''s)]]%,"")</f>
        <v/>
      </c>
    </row>
    <row r="228" spans="2:27" x14ac:dyDescent="0.3">
      <c r="B228" s="1"/>
      <c r="C228" s="15">
        <f>WEEKNUM(Table1[[#This Row],[Date]])</f>
        <v>0</v>
      </c>
      <c r="D228" s="1" t="str">
        <f>TEXT(Table1[[#This Row],[Date]],"mmm-yy")</f>
        <v>Jan-00</v>
      </c>
      <c r="E228" s="1"/>
      <c r="I228" s="3"/>
      <c r="M228" s="3"/>
      <c r="N228" s="3"/>
      <c r="O228" s="3"/>
      <c r="P228" s="3">
        <f>Table1[[#This Row],[Input Quantity (Kg''s)]]-SUM(Table1[[#This Row],[Wholes (kg''s)]:[Black Rejection (Kg''s)]],Table1[[#This Row],[Shell Dust]])</f>
        <v>0</v>
      </c>
      <c r="Q228" s="3">
        <f>SUM(Table1[[#This Row],[Wholes (kg''s)]:[Pieces (kg''s)]])</f>
        <v>0</v>
      </c>
      <c r="R228" s="3">
        <f>SUM(Table1[[#This Row],[Wholes (kg''s)]:[Black Rejection (Kg''s)]])</f>
        <v>0</v>
      </c>
      <c r="S228" s="4" t="str">
        <f>IFERROR(Table1[[#This Row],[Good Kernels (kg''s)]]/Table1[[#This Row],[Input Quantity (Kg''s)]]*176.36,"")</f>
        <v/>
      </c>
      <c r="T228" s="4" t="str">
        <f>IFERROR(Table1[[#This Row],[Good Kernels (kg''s)]]/Table1[[#This Row],[Input Quantity (Kg''s)]]%,"")</f>
        <v/>
      </c>
      <c r="U228" s="5" t="str">
        <f>IFERROR(Table1[[#This Row],[Final Kernels (kg''s)]]/Table1[[#This Row],[Input Quantity (Kg''s)]]%,"")</f>
        <v/>
      </c>
      <c r="V228" s="5" t="str">
        <f>IFERROR(Table1[[#This Row],[Wholes (kg''s)]]/Table1[[#This Row],[Good Kernels (kg''s)]]%,"")</f>
        <v/>
      </c>
      <c r="W228" s="5" t="str">
        <f>IFERROR(Table1[[#This Row],[Pieces (kg''s)]]/Table1[[#This Row],[Good Kernels (kg''s)]]%,"")</f>
        <v/>
      </c>
      <c r="X228" s="5" t="str">
        <f>IFERROR(Table1[[#This Row],[First Pass Uncut (kg''s)]]/Table1[[#This Row],[Input Quantity (Kg''s)]]%,"")</f>
        <v/>
      </c>
      <c r="Y228" s="5" t="str">
        <f>IFERROR(Table1[[#This Row],[Final Uncut (kg''s)]]/Table1[[#This Row],[Input Quantity (Kg''s)]]%,"")</f>
        <v/>
      </c>
      <c r="Z228" s="21" t="str">
        <f>IFERROR(Table1[[#This Row],[Shell]]/Table1[[#This Row],[Input Quantity (Kg''s)]]%,"")</f>
        <v/>
      </c>
      <c r="AA228" s="21" t="str">
        <f>IFERROR(Table1[[#This Row],[Shell Dust]]/Table1[[#This Row],[Input Quantity (Kg''s)]]%,"")</f>
        <v/>
      </c>
    </row>
    <row r="229" spans="2:27" x14ac:dyDescent="0.3">
      <c r="B229" s="1"/>
      <c r="C229" s="15">
        <f>WEEKNUM(Table1[[#This Row],[Date]])</f>
        <v>0</v>
      </c>
      <c r="D229" s="1" t="str">
        <f>TEXT(Table1[[#This Row],[Date]],"mmm-yy")</f>
        <v>Jan-00</v>
      </c>
      <c r="E229" s="1"/>
      <c r="I229" s="3"/>
      <c r="M229" s="3"/>
      <c r="N229" s="3"/>
      <c r="O229" s="3"/>
      <c r="P229" s="3">
        <f>Table1[[#This Row],[Input Quantity (Kg''s)]]-SUM(Table1[[#This Row],[Wholes (kg''s)]:[Black Rejection (Kg''s)]],Table1[[#This Row],[Shell Dust]])</f>
        <v>0</v>
      </c>
      <c r="Q229" s="3">
        <f>SUM(Table1[[#This Row],[Wholes (kg''s)]:[Pieces (kg''s)]])</f>
        <v>0</v>
      </c>
      <c r="R229" s="3">
        <f>SUM(Table1[[#This Row],[Wholes (kg''s)]:[Black Rejection (Kg''s)]])</f>
        <v>0</v>
      </c>
      <c r="S229" s="4" t="str">
        <f>IFERROR(Table1[[#This Row],[Good Kernels (kg''s)]]/Table1[[#This Row],[Input Quantity (Kg''s)]]*176.36,"")</f>
        <v/>
      </c>
      <c r="T229" s="4" t="str">
        <f>IFERROR(Table1[[#This Row],[Good Kernels (kg''s)]]/Table1[[#This Row],[Input Quantity (Kg''s)]]%,"")</f>
        <v/>
      </c>
      <c r="U229" s="5" t="str">
        <f>IFERROR(Table1[[#This Row],[Final Kernels (kg''s)]]/Table1[[#This Row],[Input Quantity (Kg''s)]]%,"")</f>
        <v/>
      </c>
      <c r="V229" s="5" t="str">
        <f>IFERROR(Table1[[#This Row],[Wholes (kg''s)]]/Table1[[#This Row],[Good Kernels (kg''s)]]%,"")</f>
        <v/>
      </c>
      <c r="W229" s="5" t="str">
        <f>IFERROR(Table1[[#This Row],[Pieces (kg''s)]]/Table1[[#This Row],[Good Kernels (kg''s)]]%,"")</f>
        <v/>
      </c>
      <c r="X229" s="5" t="str">
        <f>IFERROR(Table1[[#This Row],[First Pass Uncut (kg''s)]]/Table1[[#This Row],[Input Quantity (Kg''s)]]%,"")</f>
        <v/>
      </c>
      <c r="Y229" s="5" t="str">
        <f>IFERROR(Table1[[#This Row],[Final Uncut (kg''s)]]/Table1[[#This Row],[Input Quantity (Kg''s)]]%,"")</f>
        <v/>
      </c>
      <c r="Z229" s="21" t="str">
        <f>IFERROR(Table1[[#This Row],[Shell]]/Table1[[#This Row],[Input Quantity (Kg''s)]]%,"")</f>
        <v/>
      </c>
      <c r="AA229" s="21" t="str">
        <f>IFERROR(Table1[[#This Row],[Shell Dust]]/Table1[[#This Row],[Input Quantity (Kg''s)]]%,"")</f>
        <v/>
      </c>
    </row>
    <row r="230" spans="2:27" x14ac:dyDescent="0.3">
      <c r="B230" s="1"/>
      <c r="C230" s="15">
        <f>WEEKNUM(Table1[[#This Row],[Date]])</f>
        <v>0</v>
      </c>
      <c r="D230" s="1" t="str">
        <f>TEXT(Table1[[#This Row],[Date]],"mmm-yy")</f>
        <v>Jan-00</v>
      </c>
      <c r="E230" s="1"/>
      <c r="I230" s="3"/>
      <c r="M230" s="3"/>
      <c r="N230" s="3"/>
      <c r="O230" s="3"/>
      <c r="P230" s="3">
        <f>Table1[[#This Row],[Input Quantity (Kg''s)]]-SUM(Table1[[#This Row],[Wholes (kg''s)]:[Black Rejection (Kg''s)]],Table1[[#This Row],[Shell Dust]])</f>
        <v>0</v>
      </c>
      <c r="Q230" s="3">
        <f>SUM(Table1[[#This Row],[Wholes (kg''s)]:[Pieces (kg''s)]])</f>
        <v>0</v>
      </c>
      <c r="R230" s="3">
        <f>SUM(Table1[[#This Row],[Wholes (kg''s)]:[Black Rejection (Kg''s)]])</f>
        <v>0</v>
      </c>
      <c r="S230" s="4" t="str">
        <f>IFERROR(Table1[[#This Row],[Good Kernels (kg''s)]]/Table1[[#This Row],[Input Quantity (Kg''s)]]*176.36,"")</f>
        <v/>
      </c>
      <c r="T230" s="4" t="str">
        <f>IFERROR(Table1[[#This Row],[Good Kernels (kg''s)]]/Table1[[#This Row],[Input Quantity (Kg''s)]]%,"")</f>
        <v/>
      </c>
      <c r="U230" s="5" t="str">
        <f>IFERROR(Table1[[#This Row],[Final Kernels (kg''s)]]/Table1[[#This Row],[Input Quantity (Kg''s)]]%,"")</f>
        <v/>
      </c>
      <c r="V230" s="5" t="str">
        <f>IFERROR(Table1[[#This Row],[Wholes (kg''s)]]/Table1[[#This Row],[Good Kernels (kg''s)]]%,"")</f>
        <v/>
      </c>
      <c r="W230" s="5" t="str">
        <f>IFERROR(Table1[[#This Row],[Pieces (kg''s)]]/Table1[[#This Row],[Good Kernels (kg''s)]]%,"")</f>
        <v/>
      </c>
      <c r="X230" s="5" t="str">
        <f>IFERROR(Table1[[#This Row],[First Pass Uncut (kg''s)]]/Table1[[#This Row],[Input Quantity (Kg''s)]]%,"")</f>
        <v/>
      </c>
      <c r="Y230" s="5" t="str">
        <f>IFERROR(Table1[[#This Row],[Final Uncut (kg''s)]]/Table1[[#This Row],[Input Quantity (Kg''s)]]%,"")</f>
        <v/>
      </c>
      <c r="Z230" s="21" t="str">
        <f>IFERROR(Table1[[#This Row],[Shell]]/Table1[[#This Row],[Input Quantity (Kg''s)]]%,"")</f>
        <v/>
      </c>
      <c r="AA230" s="21" t="str">
        <f>IFERROR(Table1[[#This Row],[Shell Dust]]/Table1[[#This Row],[Input Quantity (Kg''s)]]%,"")</f>
        <v/>
      </c>
    </row>
    <row r="231" spans="2:27" x14ac:dyDescent="0.3">
      <c r="B231" s="1"/>
      <c r="C231" s="15">
        <f>WEEKNUM(Table1[[#This Row],[Date]])</f>
        <v>0</v>
      </c>
      <c r="D231" s="1" t="str">
        <f>TEXT(Table1[[#This Row],[Date]],"mmm-yy")</f>
        <v>Jan-00</v>
      </c>
      <c r="E231" s="1"/>
      <c r="I231" s="3"/>
      <c r="M231" s="3"/>
      <c r="N231" s="3"/>
      <c r="O231" s="3"/>
      <c r="P231" s="3">
        <f>Table1[[#This Row],[Input Quantity (Kg''s)]]-SUM(Table1[[#This Row],[Wholes (kg''s)]:[Black Rejection (Kg''s)]],Table1[[#This Row],[Shell Dust]])</f>
        <v>0</v>
      </c>
      <c r="Q231" s="3">
        <f>SUM(Table1[[#This Row],[Wholes (kg''s)]:[Pieces (kg''s)]])</f>
        <v>0</v>
      </c>
      <c r="R231" s="3">
        <f>SUM(Table1[[#This Row],[Wholes (kg''s)]:[Black Rejection (Kg''s)]])</f>
        <v>0</v>
      </c>
      <c r="S231" s="4" t="str">
        <f>IFERROR(Table1[[#This Row],[Good Kernels (kg''s)]]/Table1[[#This Row],[Input Quantity (Kg''s)]]*176.36,"")</f>
        <v/>
      </c>
      <c r="T231" s="4" t="str">
        <f>IFERROR(Table1[[#This Row],[Good Kernels (kg''s)]]/Table1[[#This Row],[Input Quantity (Kg''s)]]%,"")</f>
        <v/>
      </c>
      <c r="U231" s="5" t="str">
        <f>IFERROR(Table1[[#This Row],[Final Kernels (kg''s)]]/Table1[[#This Row],[Input Quantity (Kg''s)]]%,"")</f>
        <v/>
      </c>
      <c r="V231" s="5" t="str">
        <f>IFERROR(Table1[[#This Row],[Wholes (kg''s)]]/Table1[[#This Row],[Good Kernels (kg''s)]]%,"")</f>
        <v/>
      </c>
      <c r="W231" s="5" t="str">
        <f>IFERROR(Table1[[#This Row],[Pieces (kg''s)]]/Table1[[#This Row],[Good Kernels (kg''s)]]%,"")</f>
        <v/>
      </c>
      <c r="X231" s="5" t="str">
        <f>IFERROR(Table1[[#This Row],[First Pass Uncut (kg''s)]]/Table1[[#This Row],[Input Quantity (Kg''s)]]%,"")</f>
        <v/>
      </c>
      <c r="Y231" s="5" t="str">
        <f>IFERROR(Table1[[#This Row],[Final Uncut (kg''s)]]/Table1[[#This Row],[Input Quantity (Kg''s)]]%,"")</f>
        <v/>
      </c>
      <c r="Z231" s="21" t="str">
        <f>IFERROR(Table1[[#This Row],[Shell]]/Table1[[#This Row],[Input Quantity (Kg''s)]]%,"")</f>
        <v/>
      </c>
      <c r="AA231" s="21" t="str">
        <f>IFERROR(Table1[[#This Row],[Shell Dust]]/Table1[[#This Row],[Input Quantity (Kg''s)]]%,"")</f>
        <v/>
      </c>
    </row>
    <row r="232" spans="2:27" x14ac:dyDescent="0.3">
      <c r="B232" s="1"/>
      <c r="C232" s="15">
        <f>WEEKNUM(Table1[[#This Row],[Date]])</f>
        <v>0</v>
      </c>
      <c r="D232" s="1" t="str">
        <f>TEXT(Table1[[#This Row],[Date]],"mmm-yy")</f>
        <v>Jan-00</v>
      </c>
      <c r="E232" s="1"/>
      <c r="I232" s="3"/>
      <c r="M232" s="3"/>
      <c r="N232" s="3"/>
      <c r="O232" s="3"/>
      <c r="P232" s="3">
        <f>Table1[[#This Row],[Input Quantity (Kg''s)]]-SUM(Table1[[#This Row],[Wholes (kg''s)]:[Black Rejection (Kg''s)]],Table1[[#This Row],[Shell Dust]])</f>
        <v>0</v>
      </c>
      <c r="Q232" s="3">
        <f>SUM(Table1[[#This Row],[Wholes (kg''s)]:[Pieces (kg''s)]])</f>
        <v>0</v>
      </c>
      <c r="R232" s="3">
        <f>SUM(Table1[[#This Row],[Wholes (kg''s)]:[Black Rejection (Kg''s)]])</f>
        <v>0</v>
      </c>
      <c r="S232" s="4" t="str">
        <f>IFERROR(Table1[[#This Row],[Good Kernels (kg''s)]]/Table1[[#This Row],[Input Quantity (Kg''s)]]*176.36,"")</f>
        <v/>
      </c>
      <c r="T232" s="4" t="str">
        <f>IFERROR(Table1[[#This Row],[Good Kernels (kg''s)]]/Table1[[#This Row],[Input Quantity (Kg''s)]]%,"")</f>
        <v/>
      </c>
      <c r="U232" s="5" t="str">
        <f>IFERROR(Table1[[#This Row],[Final Kernels (kg''s)]]/Table1[[#This Row],[Input Quantity (Kg''s)]]%,"")</f>
        <v/>
      </c>
      <c r="V232" s="5" t="str">
        <f>IFERROR(Table1[[#This Row],[Wholes (kg''s)]]/Table1[[#This Row],[Good Kernels (kg''s)]]%,"")</f>
        <v/>
      </c>
      <c r="W232" s="5" t="str">
        <f>IFERROR(Table1[[#This Row],[Pieces (kg''s)]]/Table1[[#This Row],[Good Kernels (kg''s)]]%,"")</f>
        <v/>
      </c>
      <c r="X232" s="5" t="str">
        <f>IFERROR(Table1[[#This Row],[First Pass Uncut (kg''s)]]/Table1[[#This Row],[Input Quantity (Kg''s)]]%,"")</f>
        <v/>
      </c>
      <c r="Y232" s="5" t="str">
        <f>IFERROR(Table1[[#This Row],[Final Uncut (kg''s)]]/Table1[[#This Row],[Input Quantity (Kg''s)]]%,"")</f>
        <v/>
      </c>
      <c r="Z232" s="21" t="str">
        <f>IFERROR(Table1[[#This Row],[Shell]]/Table1[[#This Row],[Input Quantity (Kg''s)]]%,"")</f>
        <v/>
      </c>
      <c r="AA232" s="21" t="str">
        <f>IFERROR(Table1[[#This Row],[Shell Dust]]/Table1[[#This Row],[Input Quantity (Kg''s)]]%,"")</f>
        <v/>
      </c>
    </row>
    <row r="233" spans="2:27" x14ac:dyDescent="0.3">
      <c r="B233" s="1"/>
      <c r="C233" s="15">
        <f>WEEKNUM(Table1[[#This Row],[Date]])</f>
        <v>0</v>
      </c>
      <c r="D233" s="1" t="str">
        <f>TEXT(Table1[[#This Row],[Date]],"mmm-yy")</f>
        <v>Jan-00</v>
      </c>
      <c r="E233" s="1"/>
      <c r="I233" s="3"/>
      <c r="M233" s="3"/>
      <c r="N233" s="3"/>
      <c r="O233" s="3"/>
      <c r="P233" s="3">
        <f>Table1[[#This Row],[Input Quantity (Kg''s)]]-SUM(Table1[[#This Row],[Wholes (kg''s)]:[Black Rejection (Kg''s)]],Table1[[#This Row],[Shell Dust]])</f>
        <v>0</v>
      </c>
      <c r="Q233" s="3">
        <f>SUM(Table1[[#This Row],[Wholes (kg''s)]:[Pieces (kg''s)]])</f>
        <v>0</v>
      </c>
      <c r="R233" s="3">
        <f>SUM(Table1[[#This Row],[Wholes (kg''s)]:[Black Rejection (Kg''s)]])</f>
        <v>0</v>
      </c>
      <c r="S233" s="4" t="str">
        <f>IFERROR(Table1[[#This Row],[Good Kernels (kg''s)]]/Table1[[#This Row],[Input Quantity (Kg''s)]]*176.36,"")</f>
        <v/>
      </c>
      <c r="T233" s="4" t="str">
        <f>IFERROR(Table1[[#This Row],[Good Kernels (kg''s)]]/Table1[[#This Row],[Input Quantity (Kg''s)]]%,"")</f>
        <v/>
      </c>
      <c r="U233" s="5" t="str">
        <f>IFERROR(Table1[[#This Row],[Final Kernels (kg''s)]]/Table1[[#This Row],[Input Quantity (Kg''s)]]%,"")</f>
        <v/>
      </c>
      <c r="V233" s="5" t="str">
        <f>IFERROR(Table1[[#This Row],[Wholes (kg''s)]]/Table1[[#This Row],[Good Kernels (kg''s)]]%,"")</f>
        <v/>
      </c>
      <c r="W233" s="5" t="str">
        <f>IFERROR(Table1[[#This Row],[Pieces (kg''s)]]/Table1[[#This Row],[Good Kernels (kg''s)]]%,"")</f>
        <v/>
      </c>
      <c r="X233" s="5" t="str">
        <f>IFERROR(Table1[[#This Row],[First Pass Uncut (kg''s)]]/Table1[[#This Row],[Input Quantity (Kg''s)]]%,"")</f>
        <v/>
      </c>
      <c r="Y233" s="5" t="str">
        <f>IFERROR(Table1[[#This Row],[Final Uncut (kg''s)]]/Table1[[#This Row],[Input Quantity (Kg''s)]]%,"")</f>
        <v/>
      </c>
      <c r="Z233" s="21" t="str">
        <f>IFERROR(Table1[[#This Row],[Shell]]/Table1[[#This Row],[Input Quantity (Kg''s)]]%,"")</f>
        <v/>
      </c>
      <c r="AA233" s="21" t="str">
        <f>IFERROR(Table1[[#This Row],[Shell Dust]]/Table1[[#This Row],[Input Quantity (Kg''s)]]%,"")</f>
        <v/>
      </c>
    </row>
    <row r="234" spans="2:27" x14ac:dyDescent="0.3">
      <c r="B234" s="1"/>
      <c r="C234" s="15">
        <f>WEEKNUM(Table1[[#This Row],[Date]])</f>
        <v>0</v>
      </c>
      <c r="D234" s="1" t="str">
        <f>TEXT(Table1[[#This Row],[Date]],"mmm-yy")</f>
        <v>Jan-00</v>
      </c>
      <c r="E234" s="1"/>
      <c r="I234" s="3"/>
      <c r="M234" s="3"/>
      <c r="N234" s="3"/>
      <c r="O234" s="3"/>
      <c r="P234" s="3">
        <f>Table1[[#This Row],[Input Quantity (Kg''s)]]-SUM(Table1[[#This Row],[Wholes (kg''s)]:[Black Rejection (Kg''s)]],Table1[[#This Row],[Shell Dust]])</f>
        <v>0</v>
      </c>
      <c r="Q234" s="3">
        <f>SUM(Table1[[#This Row],[Wholes (kg''s)]:[Pieces (kg''s)]])</f>
        <v>0</v>
      </c>
      <c r="R234" s="3">
        <f>SUM(Table1[[#This Row],[Wholes (kg''s)]:[Black Rejection (Kg''s)]])</f>
        <v>0</v>
      </c>
      <c r="S234" s="4" t="str">
        <f>IFERROR(Table1[[#This Row],[Good Kernels (kg''s)]]/Table1[[#This Row],[Input Quantity (Kg''s)]]*176.36,"")</f>
        <v/>
      </c>
      <c r="T234" s="4" t="str">
        <f>IFERROR(Table1[[#This Row],[Good Kernels (kg''s)]]/Table1[[#This Row],[Input Quantity (Kg''s)]]%,"")</f>
        <v/>
      </c>
      <c r="U234" s="5" t="str">
        <f>IFERROR(Table1[[#This Row],[Final Kernels (kg''s)]]/Table1[[#This Row],[Input Quantity (Kg''s)]]%,"")</f>
        <v/>
      </c>
      <c r="V234" s="5" t="str">
        <f>IFERROR(Table1[[#This Row],[Wholes (kg''s)]]/Table1[[#This Row],[Good Kernels (kg''s)]]%,"")</f>
        <v/>
      </c>
      <c r="W234" s="5" t="str">
        <f>IFERROR(Table1[[#This Row],[Pieces (kg''s)]]/Table1[[#This Row],[Good Kernels (kg''s)]]%,"")</f>
        <v/>
      </c>
      <c r="X234" s="5" t="str">
        <f>IFERROR(Table1[[#This Row],[First Pass Uncut (kg''s)]]/Table1[[#This Row],[Input Quantity (Kg''s)]]%,"")</f>
        <v/>
      </c>
      <c r="Y234" s="5" t="str">
        <f>IFERROR(Table1[[#This Row],[Final Uncut (kg''s)]]/Table1[[#This Row],[Input Quantity (Kg''s)]]%,"")</f>
        <v/>
      </c>
      <c r="Z234" s="21" t="str">
        <f>IFERROR(Table1[[#This Row],[Shell]]/Table1[[#This Row],[Input Quantity (Kg''s)]]%,"")</f>
        <v/>
      </c>
      <c r="AA234" s="21" t="str">
        <f>IFERROR(Table1[[#This Row],[Shell Dust]]/Table1[[#This Row],[Input Quantity (Kg''s)]]%,"")</f>
        <v/>
      </c>
    </row>
    <row r="235" spans="2:27" x14ac:dyDescent="0.3">
      <c r="B235" s="1"/>
      <c r="C235" s="15">
        <f>WEEKNUM(Table1[[#This Row],[Date]])</f>
        <v>0</v>
      </c>
      <c r="D235" s="1" t="str">
        <f>TEXT(Table1[[#This Row],[Date]],"mmm-yy")</f>
        <v>Jan-00</v>
      </c>
      <c r="E235" s="1"/>
      <c r="I235" s="3"/>
      <c r="M235" s="3"/>
      <c r="N235" s="3"/>
      <c r="O235" s="3"/>
      <c r="P235" s="3">
        <f>Table1[[#This Row],[Input Quantity (Kg''s)]]-SUM(Table1[[#This Row],[Wholes (kg''s)]:[Black Rejection (Kg''s)]],Table1[[#This Row],[Shell Dust]])</f>
        <v>0</v>
      </c>
      <c r="Q235" s="3">
        <f>SUM(Table1[[#This Row],[Wholes (kg''s)]:[Pieces (kg''s)]])</f>
        <v>0</v>
      </c>
      <c r="R235" s="3">
        <f>SUM(Table1[[#This Row],[Wholes (kg''s)]:[Black Rejection (Kg''s)]])</f>
        <v>0</v>
      </c>
      <c r="S235" s="4" t="str">
        <f>IFERROR(Table1[[#This Row],[Good Kernels (kg''s)]]/Table1[[#This Row],[Input Quantity (Kg''s)]]*176.36,"")</f>
        <v/>
      </c>
      <c r="T235" s="4" t="str">
        <f>IFERROR(Table1[[#This Row],[Good Kernels (kg''s)]]/Table1[[#This Row],[Input Quantity (Kg''s)]]%,"")</f>
        <v/>
      </c>
      <c r="U235" s="5" t="str">
        <f>IFERROR(Table1[[#This Row],[Final Kernels (kg''s)]]/Table1[[#This Row],[Input Quantity (Kg''s)]]%,"")</f>
        <v/>
      </c>
      <c r="V235" s="5" t="str">
        <f>IFERROR(Table1[[#This Row],[Wholes (kg''s)]]/Table1[[#This Row],[Good Kernels (kg''s)]]%,"")</f>
        <v/>
      </c>
      <c r="W235" s="5" t="str">
        <f>IFERROR(Table1[[#This Row],[Pieces (kg''s)]]/Table1[[#This Row],[Good Kernels (kg''s)]]%,"")</f>
        <v/>
      </c>
      <c r="X235" s="5" t="str">
        <f>IFERROR(Table1[[#This Row],[First Pass Uncut (kg''s)]]/Table1[[#This Row],[Input Quantity (Kg''s)]]%,"")</f>
        <v/>
      </c>
      <c r="Y235" s="5" t="str">
        <f>IFERROR(Table1[[#This Row],[Final Uncut (kg''s)]]/Table1[[#This Row],[Input Quantity (Kg''s)]]%,"")</f>
        <v/>
      </c>
      <c r="Z235" s="21" t="str">
        <f>IFERROR(Table1[[#This Row],[Shell]]/Table1[[#This Row],[Input Quantity (Kg''s)]]%,"")</f>
        <v/>
      </c>
      <c r="AA235" s="21" t="str">
        <f>IFERROR(Table1[[#This Row],[Shell Dust]]/Table1[[#This Row],[Input Quantity (Kg''s)]]%,"")</f>
        <v/>
      </c>
    </row>
    <row r="236" spans="2:27" x14ac:dyDescent="0.3">
      <c r="B236" s="1"/>
      <c r="C236" s="15">
        <f>WEEKNUM(Table1[[#This Row],[Date]])</f>
        <v>0</v>
      </c>
      <c r="D236" s="1" t="str">
        <f>TEXT(Table1[[#This Row],[Date]],"mmm-yy")</f>
        <v>Jan-00</v>
      </c>
      <c r="E236" s="1"/>
      <c r="I236" s="3"/>
      <c r="M236" s="3"/>
      <c r="N236" s="3"/>
      <c r="O236" s="3"/>
      <c r="P236" s="3">
        <f>Table1[[#This Row],[Input Quantity (Kg''s)]]-SUM(Table1[[#This Row],[Wholes (kg''s)]:[Black Rejection (Kg''s)]],Table1[[#This Row],[Shell Dust]])</f>
        <v>0</v>
      </c>
      <c r="Q236" s="3">
        <f>SUM(Table1[[#This Row],[Wholes (kg''s)]:[Pieces (kg''s)]])</f>
        <v>0</v>
      </c>
      <c r="R236" s="3">
        <f>SUM(Table1[[#This Row],[Wholes (kg''s)]:[Black Rejection (Kg''s)]])</f>
        <v>0</v>
      </c>
      <c r="S236" s="4" t="str">
        <f>IFERROR(Table1[[#This Row],[Good Kernels (kg''s)]]/Table1[[#This Row],[Input Quantity (Kg''s)]]*176.36,"")</f>
        <v/>
      </c>
      <c r="T236" s="4" t="str">
        <f>IFERROR(Table1[[#This Row],[Good Kernels (kg''s)]]/Table1[[#This Row],[Input Quantity (Kg''s)]]%,"")</f>
        <v/>
      </c>
      <c r="U236" s="5" t="str">
        <f>IFERROR(Table1[[#This Row],[Final Kernels (kg''s)]]/Table1[[#This Row],[Input Quantity (Kg''s)]]%,"")</f>
        <v/>
      </c>
      <c r="V236" s="5" t="str">
        <f>IFERROR(Table1[[#This Row],[Wholes (kg''s)]]/Table1[[#This Row],[Good Kernels (kg''s)]]%,"")</f>
        <v/>
      </c>
      <c r="W236" s="5" t="str">
        <f>IFERROR(Table1[[#This Row],[Pieces (kg''s)]]/Table1[[#This Row],[Good Kernels (kg''s)]]%,"")</f>
        <v/>
      </c>
      <c r="X236" s="5" t="str">
        <f>IFERROR(Table1[[#This Row],[First Pass Uncut (kg''s)]]/Table1[[#This Row],[Input Quantity (Kg''s)]]%,"")</f>
        <v/>
      </c>
      <c r="Y236" s="5" t="str">
        <f>IFERROR(Table1[[#This Row],[Final Uncut (kg''s)]]/Table1[[#This Row],[Input Quantity (Kg''s)]]%,"")</f>
        <v/>
      </c>
      <c r="Z236" s="21" t="str">
        <f>IFERROR(Table1[[#This Row],[Shell]]/Table1[[#This Row],[Input Quantity (Kg''s)]]%,"")</f>
        <v/>
      </c>
      <c r="AA236" s="21" t="str">
        <f>IFERROR(Table1[[#This Row],[Shell Dust]]/Table1[[#This Row],[Input Quantity (Kg''s)]]%,"")</f>
        <v/>
      </c>
    </row>
    <row r="237" spans="2:27" x14ac:dyDescent="0.3">
      <c r="B237" s="1"/>
      <c r="C237" s="15">
        <f>WEEKNUM(Table1[[#This Row],[Date]])</f>
        <v>0</v>
      </c>
      <c r="D237" s="1" t="str">
        <f>TEXT(Table1[[#This Row],[Date]],"mmm-yy")</f>
        <v>Jan-00</v>
      </c>
      <c r="E237" s="1"/>
      <c r="I237" s="3"/>
      <c r="M237" s="3"/>
      <c r="N237" s="3"/>
      <c r="O237" s="3"/>
      <c r="P237" s="3">
        <f>Table1[[#This Row],[Input Quantity (Kg''s)]]-SUM(Table1[[#This Row],[Wholes (kg''s)]:[Black Rejection (Kg''s)]],Table1[[#This Row],[Shell Dust]])</f>
        <v>0</v>
      </c>
      <c r="Q237" s="3">
        <f>SUM(Table1[[#This Row],[Wholes (kg''s)]:[Pieces (kg''s)]])</f>
        <v>0</v>
      </c>
      <c r="R237" s="3">
        <f>SUM(Table1[[#This Row],[Wholes (kg''s)]:[Black Rejection (Kg''s)]])</f>
        <v>0</v>
      </c>
      <c r="S237" s="4" t="str">
        <f>IFERROR(Table1[[#This Row],[Good Kernels (kg''s)]]/Table1[[#This Row],[Input Quantity (Kg''s)]]*176.36,"")</f>
        <v/>
      </c>
      <c r="T237" s="4" t="str">
        <f>IFERROR(Table1[[#This Row],[Good Kernels (kg''s)]]/Table1[[#This Row],[Input Quantity (Kg''s)]]%,"")</f>
        <v/>
      </c>
      <c r="U237" s="5" t="str">
        <f>IFERROR(Table1[[#This Row],[Final Kernels (kg''s)]]/Table1[[#This Row],[Input Quantity (Kg''s)]]%,"")</f>
        <v/>
      </c>
      <c r="V237" s="5" t="str">
        <f>IFERROR(Table1[[#This Row],[Wholes (kg''s)]]/Table1[[#This Row],[Good Kernels (kg''s)]]%,"")</f>
        <v/>
      </c>
      <c r="W237" s="5" t="str">
        <f>IFERROR(Table1[[#This Row],[Pieces (kg''s)]]/Table1[[#This Row],[Good Kernels (kg''s)]]%,"")</f>
        <v/>
      </c>
      <c r="X237" s="5" t="str">
        <f>IFERROR(Table1[[#This Row],[First Pass Uncut (kg''s)]]/Table1[[#This Row],[Input Quantity (Kg''s)]]%,"")</f>
        <v/>
      </c>
      <c r="Y237" s="5" t="str">
        <f>IFERROR(Table1[[#This Row],[Final Uncut (kg''s)]]/Table1[[#This Row],[Input Quantity (Kg''s)]]%,"")</f>
        <v/>
      </c>
      <c r="Z237" s="21" t="str">
        <f>IFERROR(Table1[[#This Row],[Shell]]/Table1[[#This Row],[Input Quantity (Kg''s)]]%,"")</f>
        <v/>
      </c>
      <c r="AA237" s="21" t="str">
        <f>IFERROR(Table1[[#This Row],[Shell Dust]]/Table1[[#This Row],[Input Quantity (Kg''s)]]%,"")</f>
        <v/>
      </c>
    </row>
    <row r="238" spans="2:27" x14ac:dyDescent="0.3">
      <c r="B238" s="1"/>
      <c r="C238" s="15">
        <f>WEEKNUM(Table1[[#This Row],[Date]])</f>
        <v>0</v>
      </c>
      <c r="D238" s="1" t="str">
        <f>TEXT(Table1[[#This Row],[Date]],"mmm-yy")</f>
        <v>Jan-00</v>
      </c>
      <c r="E238" s="1"/>
      <c r="I238" s="3"/>
      <c r="M238" s="3"/>
      <c r="N238" s="3"/>
      <c r="O238" s="3"/>
      <c r="P238" s="3">
        <f>Table1[[#This Row],[Input Quantity (Kg''s)]]-SUM(Table1[[#This Row],[Wholes (kg''s)]:[Black Rejection (Kg''s)]],Table1[[#This Row],[Shell Dust]])</f>
        <v>0</v>
      </c>
      <c r="Q238" s="3">
        <f>SUM(Table1[[#This Row],[Wholes (kg''s)]:[Pieces (kg''s)]])</f>
        <v>0</v>
      </c>
      <c r="R238" s="3">
        <f>SUM(Table1[[#This Row],[Wholes (kg''s)]:[Black Rejection (Kg''s)]])</f>
        <v>0</v>
      </c>
      <c r="S238" s="4" t="str">
        <f>IFERROR(Table1[[#This Row],[Good Kernels (kg''s)]]/Table1[[#This Row],[Input Quantity (Kg''s)]]*176.36,"")</f>
        <v/>
      </c>
      <c r="T238" s="4" t="str">
        <f>IFERROR(Table1[[#This Row],[Good Kernels (kg''s)]]/Table1[[#This Row],[Input Quantity (Kg''s)]]%,"")</f>
        <v/>
      </c>
      <c r="U238" s="5" t="str">
        <f>IFERROR(Table1[[#This Row],[Final Kernels (kg''s)]]/Table1[[#This Row],[Input Quantity (Kg''s)]]%,"")</f>
        <v/>
      </c>
      <c r="V238" s="5" t="str">
        <f>IFERROR(Table1[[#This Row],[Wholes (kg''s)]]/Table1[[#This Row],[Good Kernels (kg''s)]]%,"")</f>
        <v/>
      </c>
      <c r="W238" s="5" t="str">
        <f>IFERROR(Table1[[#This Row],[Pieces (kg''s)]]/Table1[[#This Row],[Good Kernels (kg''s)]]%,"")</f>
        <v/>
      </c>
      <c r="X238" s="5" t="str">
        <f>IFERROR(Table1[[#This Row],[First Pass Uncut (kg''s)]]/Table1[[#This Row],[Input Quantity (Kg''s)]]%,"")</f>
        <v/>
      </c>
      <c r="Y238" s="5" t="str">
        <f>IFERROR(Table1[[#This Row],[Final Uncut (kg''s)]]/Table1[[#This Row],[Input Quantity (Kg''s)]]%,"")</f>
        <v/>
      </c>
      <c r="Z238" s="21" t="str">
        <f>IFERROR(Table1[[#This Row],[Shell]]/Table1[[#This Row],[Input Quantity (Kg''s)]]%,"")</f>
        <v/>
      </c>
      <c r="AA238" s="21" t="str">
        <f>IFERROR(Table1[[#This Row],[Shell Dust]]/Table1[[#This Row],[Input Quantity (Kg''s)]]%,"")</f>
        <v/>
      </c>
    </row>
    <row r="239" spans="2:27" x14ac:dyDescent="0.3">
      <c r="B239" s="1"/>
      <c r="C239" s="15">
        <f>WEEKNUM(Table1[[#This Row],[Date]])</f>
        <v>0</v>
      </c>
      <c r="D239" s="1" t="str">
        <f>TEXT(Table1[[#This Row],[Date]],"mmm-yy")</f>
        <v>Jan-00</v>
      </c>
      <c r="E239" s="1"/>
      <c r="I239" s="3"/>
      <c r="M239" s="3"/>
      <c r="N239" s="3"/>
      <c r="O239" s="3"/>
      <c r="P239" s="3">
        <f>Table1[[#This Row],[Input Quantity (Kg''s)]]-SUM(Table1[[#This Row],[Wholes (kg''s)]:[Black Rejection (Kg''s)]],Table1[[#This Row],[Shell Dust]])</f>
        <v>0</v>
      </c>
      <c r="Q239" s="3">
        <f>SUM(Table1[[#This Row],[Wholes (kg''s)]:[Pieces (kg''s)]])</f>
        <v>0</v>
      </c>
      <c r="R239" s="3">
        <f>SUM(Table1[[#This Row],[Wholes (kg''s)]:[Black Rejection (Kg''s)]])</f>
        <v>0</v>
      </c>
      <c r="S239" s="4" t="str">
        <f>IFERROR(Table1[[#This Row],[Good Kernels (kg''s)]]/Table1[[#This Row],[Input Quantity (Kg''s)]]*176.36,"")</f>
        <v/>
      </c>
      <c r="T239" s="4" t="str">
        <f>IFERROR(Table1[[#This Row],[Good Kernels (kg''s)]]/Table1[[#This Row],[Input Quantity (Kg''s)]]%,"")</f>
        <v/>
      </c>
      <c r="U239" s="5" t="str">
        <f>IFERROR(Table1[[#This Row],[Final Kernels (kg''s)]]/Table1[[#This Row],[Input Quantity (Kg''s)]]%,"")</f>
        <v/>
      </c>
      <c r="V239" s="5" t="str">
        <f>IFERROR(Table1[[#This Row],[Wholes (kg''s)]]/Table1[[#This Row],[Good Kernels (kg''s)]]%,"")</f>
        <v/>
      </c>
      <c r="W239" s="5" t="str">
        <f>IFERROR(Table1[[#This Row],[Pieces (kg''s)]]/Table1[[#This Row],[Good Kernels (kg''s)]]%,"")</f>
        <v/>
      </c>
      <c r="X239" s="5" t="str">
        <f>IFERROR(Table1[[#This Row],[First Pass Uncut (kg''s)]]/Table1[[#This Row],[Input Quantity (Kg''s)]]%,"")</f>
        <v/>
      </c>
      <c r="Y239" s="5" t="str">
        <f>IFERROR(Table1[[#This Row],[Final Uncut (kg''s)]]/Table1[[#This Row],[Input Quantity (Kg''s)]]%,"")</f>
        <v/>
      </c>
      <c r="Z239" s="21" t="str">
        <f>IFERROR(Table1[[#This Row],[Shell]]/Table1[[#This Row],[Input Quantity (Kg''s)]]%,"")</f>
        <v/>
      </c>
      <c r="AA239" s="21" t="str">
        <f>IFERROR(Table1[[#This Row],[Shell Dust]]/Table1[[#This Row],[Input Quantity (Kg''s)]]%,"")</f>
        <v/>
      </c>
    </row>
    <row r="240" spans="2:27" x14ac:dyDescent="0.3">
      <c r="B240" s="1"/>
      <c r="C240" s="15">
        <f>WEEKNUM(Table1[[#This Row],[Date]])</f>
        <v>0</v>
      </c>
      <c r="D240" s="1" t="str">
        <f>TEXT(Table1[[#This Row],[Date]],"mmm-yy")</f>
        <v>Jan-00</v>
      </c>
      <c r="E240" s="1"/>
      <c r="I240" s="3"/>
      <c r="M240" s="3"/>
      <c r="N240" s="3"/>
      <c r="O240" s="3"/>
      <c r="P240" s="3">
        <f>Table1[[#This Row],[Input Quantity (Kg''s)]]-SUM(Table1[[#This Row],[Wholes (kg''s)]:[Black Rejection (Kg''s)]],Table1[[#This Row],[Shell Dust]])</f>
        <v>0</v>
      </c>
      <c r="Q240" s="3">
        <f>SUM(Table1[[#This Row],[Wholes (kg''s)]:[Pieces (kg''s)]])</f>
        <v>0</v>
      </c>
      <c r="R240" s="3">
        <f>SUM(Table1[[#This Row],[Wholes (kg''s)]:[Black Rejection (Kg''s)]])</f>
        <v>0</v>
      </c>
      <c r="S240" s="4" t="str">
        <f>IFERROR(Table1[[#This Row],[Good Kernels (kg''s)]]/Table1[[#This Row],[Input Quantity (Kg''s)]]*176.36,"")</f>
        <v/>
      </c>
      <c r="T240" s="4" t="str">
        <f>IFERROR(Table1[[#This Row],[Good Kernels (kg''s)]]/Table1[[#This Row],[Input Quantity (Kg''s)]]%,"")</f>
        <v/>
      </c>
      <c r="U240" s="5" t="str">
        <f>IFERROR(Table1[[#This Row],[Final Kernels (kg''s)]]/Table1[[#This Row],[Input Quantity (Kg''s)]]%,"")</f>
        <v/>
      </c>
      <c r="V240" s="5" t="str">
        <f>IFERROR(Table1[[#This Row],[Wholes (kg''s)]]/Table1[[#This Row],[Good Kernels (kg''s)]]%,"")</f>
        <v/>
      </c>
      <c r="W240" s="5" t="str">
        <f>IFERROR(Table1[[#This Row],[Pieces (kg''s)]]/Table1[[#This Row],[Good Kernels (kg''s)]]%,"")</f>
        <v/>
      </c>
      <c r="X240" s="5" t="str">
        <f>IFERROR(Table1[[#This Row],[First Pass Uncut (kg''s)]]/Table1[[#This Row],[Input Quantity (Kg''s)]]%,"")</f>
        <v/>
      </c>
      <c r="Y240" s="5" t="str">
        <f>IFERROR(Table1[[#This Row],[Final Uncut (kg''s)]]/Table1[[#This Row],[Input Quantity (Kg''s)]]%,"")</f>
        <v/>
      </c>
      <c r="Z240" s="21" t="str">
        <f>IFERROR(Table1[[#This Row],[Shell]]/Table1[[#This Row],[Input Quantity (Kg''s)]]%,"")</f>
        <v/>
      </c>
      <c r="AA240" s="21" t="str">
        <f>IFERROR(Table1[[#This Row],[Shell Dust]]/Table1[[#This Row],[Input Quantity (Kg''s)]]%,"")</f>
        <v/>
      </c>
    </row>
    <row r="241" spans="2:27" x14ac:dyDescent="0.3">
      <c r="B241" s="1"/>
      <c r="C241" s="15">
        <f>WEEKNUM(Table1[[#This Row],[Date]])</f>
        <v>0</v>
      </c>
      <c r="D241" s="1" t="str">
        <f>TEXT(Table1[[#This Row],[Date]],"mmm-yy")</f>
        <v>Jan-00</v>
      </c>
      <c r="E241" s="1"/>
      <c r="I241" s="3"/>
      <c r="M241" s="3"/>
      <c r="N241" s="3"/>
      <c r="O241" s="3"/>
      <c r="P241" s="3">
        <f>Table1[[#This Row],[Input Quantity (Kg''s)]]-SUM(Table1[[#This Row],[Wholes (kg''s)]:[Black Rejection (Kg''s)]],Table1[[#This Row],[Shell Dust]])</f>
        <v>0</v>
      </c>
      <c r="Q241" s="3">
        <f>SUM(Table1[[#This Row],[Wholes (kg''s)]:[Pieces (kg''s)]])</f>
        <v>0</v>
      </c>
      <c r="R241" s="3">
        <f>SUM(Table1[[#This Row],[Wholes (kg''s)]:[Black Rejection (Kg''s)]])</f>
        <v>0</v>
      </c>
      <c r="S241" s="4" t="str">
        <f>IFERROR(Table1[[#This Row],[Good Kernels (kg''s)]]/Table1[[#This Row],[Input Quantity (Kg''s)]]*176.36,"")</f>
        <v/>
      </c>
      <c r="T241" s="4" t="str">
        <f>IFERROR(Table1[[#This Row],[Good Kernels (kg''s)]]/Table1[[#This Row],[Input Quantity (Kg''s)]]%,"")</f>
        <v/>
      </c>
      <c r="U241" s="5" t="str">
        <f>IFERROR(Table1[[#This Row],[Final Kernels (kg''s)]]/Table1[[#This Row],[Input Quantity (Kg''s)]]%,"")</f>
        <v/>
      </c>
      <c r="V241" s="5" t="str">
        <f>IFERROR(Table1[[#This Row],[Wholes (kg''s)]]/Table1[[#This Row],[Good Kernels (kg''s)]]%,"")</f>
        <v/>
      </c>
      <c r="W241" s="5" t="str">
        <f>IFERROR(Table1[[#This Row],[Pieces (kg''s)]]/Table1[[#This Row],[Good Kernels (kg''s)]]%,"")</f>
        <v/>
      </c>
      <c r="X241" s="5" t="str">
        <f>IFERROR(Table1[[#This Row],[First Pass Uncut (kg''s)]]/Table1[[#This Row],[Input Quantity (Kg''s)]]%,"")</f>
        <v/>
      </c>
      <c r="Y241" s="5" t="str">
        <f>IFERROR(Table1[[#This Row],[Final Uncut (kg''s)]]/Table1[[#This Row],[Input Quantity (Kg''s)]]%,"")</f>
        <v/>
      </c>
      <c r="Z241" s="21" t="str">
        <f>IFERROR(Table1[[#This Row],[Shell]]/Table1[[#This Row],[Input Quantity (Kg''s)]]%,"")</f>
        <v/>
      </c>
      <c r="AA241" s="21" t="str">
        <f>IFERROR(Table1[[#This Row],[Shell Dust]]/Table1[[#This Row],[Input Quantity (Kg''s)]]%,"")</f>
        <v/>
      </c>
    </row>
    <row r="242" spans="2:27" x14ac:dyDescent="0.3">
      <c r="B242" s="1"/>
      <c r="C242" s="15">
        <f>WEEKNUM(Table1[[#This Row],[Date]])</f>
        <v>0</v>
      </c>
      <c r="D242" s="1" t="str">
        <f>TEXT(Table1[[#This Row],[Date]],"mmm-yy")</f>
        <v>Jan-00</v>
      </c>
      <c r="E242" s="1"/>
      <c r="I242" s="3"/>
      <c r="M242" s="3"/>
      <c r="N242" s="3"/>
      <c r="O242" s="3"/>
      <c r="P242" s="3">
        <f>Table1[[#This Row],[Input Quantity (Kg''s)]]-SUM(Table1[[#This Row],[Wholes (kg''s)]:[Black Rejection (Kg''s)]],Table1[[#This Row],[Shell Dust]])</f>
        <v>0</v>
      </c>
      <c r="Q242" s="3">
        <f>SUM(Table1[[#This Row],[Wholes (kg''s)]:[Pieces (kg''s)]])</f>
        <v>0</v>
      </c>
      <c r="R242" s="3">
        <f>SUM(Table1[[#This Row],[Wholes (kg''s)]:[Black Rejection (Kg''s)]])</f>
        <v>0</v>
      </c>
      <c r="S242" s="4" t="str">
        <f>IFERROR(Table1[[#This Row],[Good Kernels (kg''s)]]/Table1[[#This Row],[Input Quantity (Kg''s)]]*176.36,"")</f>
        <v/>
      </c>
      <c r="T242" s="4" t="str">
        <f>IFERROR(Table1[[#This Row],[Good Kernels (kg''s)]]/Table1[[#This Row],[Input Quantity (Kg''s)]]%,"")</f>
        <v/>
      </c>
      <c r="U242" s="5" t="str">
        <f>IFERROR(Table1[[#This Row],[Final Kernels (kg''s)]]/Table1[[#This Row],[Input Quantity (Kg''s)]]%,"")</f>
        <v/>
      </c>
      <c r="V242" s="5" t="str">
        <f>IFERROR(Table1[[#This Row],[Wholes (kg''s)]]/Table1[[#This Row],[Good Kernels (kg''s)]]%,"")</f>
        <v/>
      </c>
      <c r="W242" s="5" t="str">
        <f>IFERROR(Table1[[#This Row],[Pieces (kg''s)]]/Table1[[#This Row],[Good Kernels (kg''s)]]%,"")</f>
        <v/>
      </c>
      <c r="X242" s="5" t="str">
        <f>IFERROR(Table1[[#This Row],[First Pass Uncut (kg''s)]]/Table1[[#This Row],[Input Quantity (Kg''s)]]%,"")</f>
        <v/>
      </c>
      <c r="Y242" s="5" t="str">
        <f>IFERROR(Table1[[#This Row],[Final Uncut (kg''s)]]/Table1[[#This Row],[Input Quantity (Kg''s)]]%,"")</f>
        <v/>
      </c>
      <c r="Z242" s="21" t="str">
        <f>IFERROR(Table1[[#This Row],[Shell]]/Table1[[#This Row],[Input Quantity (Kg''s)]]%,"")</f>
        <v/>
      </c>
      <c r="AA242" s="21" t="str">
        <f>IFERROR(Table1[[#This Row],[Shell Dust]]/Table1[[#This Row],[Input Quantity (Kg''s)]]%,"")</f>
        <v/>
      </c>
    </row>
    <row r="243" spans="2:27" x14ac:dyDescent="0.3">
      <c r="B243" s="1"/>
      <c r="C243" s="15">
        <f>WEEKNUM(Table1[[#This Row],[Date]])</f>
        <v>0</v>
      </c>
      <c r="D243" s="1" t="str">
        <f>TEXT(Table1[[#This Row],[Date]],"mmm-yy")</f>
        <v>Jan-00</v>
      </c>
      <c r="E243" s="1"/>
      <c r="I243" s="3"/>
      <c r="M243" s="3"/>
      <c r="N243" s="3"/>
      <c r="O243" s="3"/>
      <c r="P243" s="3">
        <f>Table1[[#This Row],[Input Quantity (Kg''s)]]-SUM(Table1[[#This Row],[Wholes (kg''s)]:[Black Rejection (Kg''s)]],Table1[[#This Row],[Shell Dust]])</f>
        <v>0</v>
      </c>
      <c r="Q243" s="3">
        <f>SUM(Table1[[#This Row],[Wholes (kg''s)]:[Pieces (kg''s)]])</f>
        <v>0</v>
      </c>
      <c r="R243" s="3">
        <f>SUM(Table1[[#This Row],[Wholes (kg''s)]:[Black Rejection (Kg''s)]])</f>
        <v>0</v>
      </c>
      <c r="S243" s="4" t="str">
        <f>IFERROR(Table1[[#This Row],[Good Kernels (kg''s)]]/Table1[[#This Row],[Input Quantity (Kg''s)]]*176.36,"")</f>
        <v/>
      </c>
      <c r="T243" s="4" t="str">
        <f>IFERROR(Table1[[#This Row],[Good Kernels (kg''s)]]/Table1[[#This Row],[Input Quantity (Kg''s)]]%,"")</f>
        <v/>
      </c>
      <c r="U243" s="5" t="str">
        <f>IFERROR(Table1[[#This Row],[Final Kernels (kg''s)]]/Table1[[#This Row],[Input Quantity (Kg''s)]]%,"")</f>
        <v/>
      </c>
      <c r="V243" s="5" t="str">
        <f>IFERROR(Table1[[#This Row],[Wholes (kg''s)]]/Table1[[#This Row],[Good Kernels (kg''s)]]%,"")</f>
        <v/>
      </c>
      <c r="W243" s="5" t="str">
        <f>IFERROR(Table1[[#This Row],[Pieces (kg''s)]]/Table1[[#This Row],[Good Kernels (kg''s)]]%,"")</f>
        <v/>
      </c>
      <c r="X243" s="5" t="str">
        <f>IFERROR(Table1[[#This Row],[First Pass Uncut (kg''s)]]/Table1[[#This Row],[Input Quantity (Kg''s)]]%,"")</f>
        <v/>
      </c>
      <c r="Y243" s="5" t="str">
        <f>IFERROR(Table1[[#This Row],[Final Uncut (kg''s)]]/Table1[[#This Row],[Input Quantity (Kg''s)]]%,"")</f>
        <v/>
      </c>
      <c r="Z243" s="21" t="str">
        <f>IFERROR(Table1[[#This Row],[Shell]]/Table1[[#This Row],[Input Quantity (Kg''s)]]%,"")</f>
        <v/>
      </c>
      <c r="AA243" s="21" t="str">
        <f>IFERROR(Table1[[#This Row],[Shell Dust]]/Table1[[#This Row],[Input Quantity (Kg''s)]]%,"")</f>
        <v/>
      </c>
    </row>
    <row r="244" spans="2:27" x14ac:dyDescent="0.3">
      <c r="B244" s="1"/>
      <c r="C244" s="15">
        <f>WEEKNUM(Table1[[#This Row],[Date]])</f>
        <v>0</v>
      </c>
      <c r="D244" s="1" t="str">
        <f>TEXT(Table1[[#This Row],[Date]],"mmm-yy")</f>
        <v>Jan-00</v>
      </c>
      <c r="E244" s="1"/>
      <c r="I244" s="3"/>
      <c r="M244" s="3"/>
      <c r="N244" s="3"/>
      <c r="O244" s="3"/>
      <c r="P244" s="3">
        <f>Table1[[#This Row],[Input Quantity (Kg''s)]]-SUM(Table1[[#This Row],[Wholes (kg''s)]:[Black Rejection (Kg''s)]],Table1[[#This Row],[Shell Dust]])</f>
        <v>0</v>
      </c>
      <c r="Q244" s="3">
        <f>SUM(Table1[[#This Row],[Wholes (kg''s)]:[Pieces (kg''s)]])</f>
        <v>0</v>
      </c>
      <c r="R244" s="3">
        <f>SUM(Table1[[#This Row],[Wholes (kg''s)]:[Black Rejection (Kg''s)]])</f>
        <v>0</v>
      </c>
      <c r="S244" s="4" t="str">
        <f>IFERROR(Table1[[#This Row],[Good Kernels (kg''s)]]/Table1[[#This Row],[Input Quantity (Kg''s)]]*176.36,"")</f>
        <v/>
      </c>
      <c r="T244" s="4" t="str">
        <f>IFERROR(Table1[[#This Row],[Good Kernels (kg''s)]]/Table1[[#This Row],[Input Quantity (Kg''s)]]%,"")</f>
        <v/>
      </c>
      <c r="U244" s="5" t="str">
        <f>IFERROR(Table1[[#This Row],[Final Kernels (kg''s)]]/Table1[[#This Row],[Input Quantity (Kg''s)]]%,"")</f>
        <v/>
      </c>
      <c r="V244" s="5" t="str">
        <f>IFERROR(Table1[[#This Row],[Wholes (kg''s)]]/Table1[[#This Row],[Good Kernels (kg''s)]]%,"")</f>
        <v/>
      </c>
      <c r="W244" s="5" t="str">
        <f>IFERROR(Table1[[#This Row],[Pieces (kg''s)]]/Table1[[#This Row],[Good Kernels (kg''s)]]%,"")</f>
        <v/>
      </c>
      <c r="X244" s="5" t="str">
        <f>IFERROR(Table1[[#This Row],[First Pass Uncut (kg''s)]]/Table1[[#This Row],[Input Quantity (Kg''s)]]%,"")</f>
        <v/>
      </c>
      <c r="Y244" s="5" t="str">
        <f>IFERROR(Table1[[#This Row],[Final Uncut (kg''s)]]/Table1[[#This Row],[Input Quantity (Kg''s)]]%,"")</f>
        <v/>
      </c>
      <c r="Z244" s="21" t="str">
        <f>IFERROR(Table1[[#This Row],[Shell]]/Table1[[#This Row],[Input Quantity (Kg''s)]]%,"")</f>
        <v/>
      </c>
      <c r="AA244" s="21" t="str">
        <f>IFERROR(Table1[[#This Row],[Shell Dust]]/Table1[[#This Row],[Input Quantity (Kg''s)]]%,"")</f>
        <v/>
      </c>
    </row>
    <row r="245" spans="2:27" x14ac:dyDescent="0.3">
      <c r="B245" s="1"/>
      <c r="C245" s="15">
        <f>WEEKNUM(Table1[[#This Row],[Date]])</f>
        <v>0</v>
      </c>
      <c r="D245" s="1" t="str">
        <f>TEXT(Table1[[#This Row],[Date]],"mmm-yy")</f>
        <v>Jan-00</v>
      </c>
      <c r="E245" s="1"/>
      <c r="I245" s="3"/>
      <c r="M245" s="3"/>
      <c r="N245" s="3"/>
      <c r="O245" s="3"/>
      <c r="P245" s="3">
        <f>Table1[[#This Row],[Input Quantity (Kg''s)]]-SUM(Table1[[#This Row],[Wholes (kg''s)]:[Black Rejection (Kg''s)]],Table1[[#This Row],[Shell Dust]])</f>
        <v>0</v>
      </c>
      <c r="Q245" s="3">
        <f>SUM(Table1[[#This Row],[Wholes (kg''s)]:[Pieces (kg''s)]])</f>
        <v>0</v>
      </c>
      <c r="R245" s="3">
        <f>SUM(Table1[[#This Row],[Wholes (kg''s)]:[Black Rejection (Kg''s)]])</f>
        <v>0</v>
      </c>
      <c r="S245" s="4" t="str">
        <f>IFERROR(Table1[[#This Row],[Good Kernels (kg''s)]]/Table1[[#This Row],[Input Quantity (Kg''s)]]*176.36,"")</f>
        <v/>
      </c>
      <c r="T245" s="4" t="str">
        <f>IFERROR(Table1[[#This Row],[Good Kernels (kg''s)]]/Table1[[#This Row],[Input Quantity (Kg''s)]]%,"")</f>
        <v/>
      </c>
      <c r="U245" s="5" t="str">
        <f>IFERROR(Table1[[#This Row],[Final Kernels (kg''s)]]/Table1[[#This Row],[Input Quantity (Kg''s)]]%,"")</f>
        <v/>
      </c>
      <c r="V245" s="5" t="str">
        <f>IFERROR(Table1[[#This Row],[Wholes (kg''s)]]/Table1[[#This Row],[Good Kernels (kg''s)]]%,"")</f>
        <v/>
      </c>
      <c r="W245" s="5" t="str">
        <f>IFERROR(Table1[[#This Row],[Pieces (kg''s)]]/Table1[[#This Row],[Good Kernels (kg''s)]]%,"")</f>
        <v/>
      </c>
      <c r="X245" s="5" t="str">
        <f>IFERROR(Table1[[#This Row],[First Pass Uncut (kg''s)]]/Table1[[#This Row],[Input Quantity (Kg''s)]]%,"")</f>
        <v/>
      </c>
      <c r="Y245" s="5" t="str">
        <f>IFERROR(Table1[[#This Row],[Final Uncut (kg''s)]]/Table1[[#This Row],[Input Quantity (Kg''s)]]%,"")</f>
        <v/>
      </c>
      <c r="Z245" s="21" t="str">
        <f>IFERROR(Table1[[#This Row],[Shell]]/Table1[[#This Row],[Input Quantity (Kg''s)]]%,"")</f>
        <v/>
      </c>
      <c r="AA245" s="21" t="str">
        <f>IFERROR(Table1[[#This Row],[Shell Dust]]/Table1[[#This Row],[Input Quantity (Kg''s)]]%,"")</f>
        <v/>
      </c>
    </row>
    <row r="246" spans="2:27" x14ac:dyDescent="0.3">
      <c r="B246" s="1"/>
      <c r="C246" s="15">
        <f>WEEKNUM(Table1[[#This Row],[Date]])</f>
        <v>0</v>
      </c>
      <c r="D246" s="1" t="str">
        <f>TEXT(Table1[[#This Row],[Date]],"mmm-yy")</f>
        <v>Jan-00</v>
      </c>
      <c r="E246" s="1"/>
      <c r="I246" s="3"/>
      <c r="M246" s="3"/>
      <c r="N246" s="3"/>
      <c r="O246" s="3"/>
      <c r="P246" s="3">
        <f>Table1[[#This Row],[Input Quantity (Kg''s)]]-SUM(Table1[[#This Row],[Wholes (kg''s)]:[Black Rejection (Kg''s)]],Table1[[#This Row],[Shell Dust]])</f>
        <v>0</v>
      </c>
      <c r="Q246" s="3">
        <f>SUM(Table1[[#This Row],[Wholes (kg''s)]:[Pieces (kg''s)]])</f>
        <v>0</v>
      </c>
      <c r="R246" s="3">
        <f>SUM(Table1[[#This Row],[Wholes (kg''s)]:[Black Rejection (Kg''s)]])</f>
        <v>0</v>
      </c>
      <c r="S246" s="4" t="str">
        <f>IFERROR(Table1[[#This Row],[Good Kernels (kg''s)]]/Table1[[#This Row],[Input Quantity (Kg''s)]]*176.36,"")</f>
        <v/>
      </c>
      <c r="T246" s="4" t="str">
        <f>IFERROR(Table1[[#This Row],[Good Kernels (kg''s)]]/Table1[[#This Row],[Input Quantity (Kg''s)]]%,"")</f>
        <v/>
      </c>
      <c r="U246" s="5" t="str">
        <f>IFERROR(Table1[[#This Row],[Final Kernels (kg''s)]]/Table1[[#This Row],[Input Quantity (Kg''s)]]%,"")</f>
        <v/>
      </c>
      <c r="V246" s="5" t="str">
        <f>IFERROR(Table1[[#This Row],[Wholes (kg''s)]]/Table1[[#This Row],[Good Kernels (kg''s)]]%,"")</f>
        <v/>
      </c>
      <c r="W246" s="5" t="str">
        <f>IFERROR(Table1[[#This Row],[Pieces (kg''s)]]/Table1[[#This Row],[Good Kernels (kg''s)]]%,"")</f>
        <v/>
      </c>
      <c r="X246" s="5" t="str">
        <f>IFERROR(Table1[[#This Row],[First Pass Uncut (kg''s)]]/Table1[[#This Row],[Input Quantity (Kg''s)]]%,"")</f>
        <v/>
      </c>
      <c r="Y246" s="5" t="str">
        <f>IFERROR(Table1[[#This Row],[Final Uncut (kg''s)]]/Table1[[#This Row],[Input Quantity (Kg''s)]]%,"")</f>
        <v/>
      </c>
      <c r="Z246" s="21" t="str">
        <f>IFERROR(Table1[[#This Row],[Shell]]/Table1[[#This Row],[Input Quantity (Kg''s)]]%,"")</f>
        <v/>
      </c>
      <c r="AA246" s="21" t="str">
        <f>IFERROR(Table1[[#This Row],[Shell Dust]]/Table1[[#This Row],[Input Quantity (Kg''s)]]%,"")</f>
        <v/>
      </c>
    </row>
    <row r="247" spans="2:27" x14ac:dyDescent="0.3">
      <c r="B247" s="1"/>
      <c r="C247" s="15">
        <f>WEEKNUM(Table1[[#This Row],[Date]])</f>
        <v>0</v>
      </c>
      <c r="D247" s="1" t="str">
        <f>TEXT(Table1[[#This Row],[Date]],"mmm-yy")</f>
        <v>Jan-00</v>
      </c>
      <c r="E247" s="1"/>
      <c r="I247" s="3"/>
      <c r="M247" s="3"/>
      <c r="N247" s="3"/>
      <c r="O247" s="3"/>
      <c r="P247" s="3">
        <f>Table1[[#This Row],[Input Quantity (Kg''s)]]-SUM(Table1[[#This Row],[Wholes (kg''s)]:[Black Rejection (Kg''s)]],Table1[[#This Row],[Shell Dust]])</f>
        <v>0</v>
      </c>
      <c r="Q247" s="3">
        <f>SUM(Table1[[#This Row],[Wholes (kg''s)]:[Pieces (kg''s)]])</f>
        <v>0</v>
      </c>
      <c r="R247" s="3">
        <f>SUM(Table1[[#This Row],[Wholes (kg''s)]:[Black Rejection (Kg''s)]])</f>
        <v>0</v>
      </c>
      <c r="S247" s="4" t="str">
        <f>IFERROR(Table1[[#This Row],[Good Kernels (kg''s)]]/Table1[[#This Row],[Input Quantity (Kg''s)]]*176.36,"")</f>
        <v/>
      </c>
      <c r="T247" s="4" t="str">
        <f>IFERROR(Table1[[#This Row],[Good Kernels (kg''s)]]/Table1[[#This Row],[Input Quantity (Kg''s)]]%,"")</f>
        <v/>
      </c>
      <c r="U247" s="5" t="str">
        <f>IFERROR(Table1[[#This Row],[Final Kernels (kg''s)]]/Table1[[#This Row],[Input Quantity (Kg''s)]]%,"")</f>
        <v/>
      </c>
      <c r="V247" s="5" t="str">
        <f>IFERROR(Table1[[#This Row],[Wholes (kg''s)]]/Table1[[#This Row],[Good Kernels (kg''s)]]%,"")</f>
        <v/>
      </c>
      <c r="W247" s="5" t="str">
        <f>IFERROR(Table1[[#This Row],[Pieces (kg''s)]]/Table1[[#This Row],[Good Kernels (kg''s)]]%,"")</f>
        <v/>
      </c>
      <c r="X247" s="5" t="str">
        <f>IFERROR(Table1[[#This Row],[First Pass Uncut (kg''s)]]/Table1[[#This Row],[Input Quantity (Kg''s)]]%,"")</f>
        <v/>
      </c>
      <c r="Y247" s="5" t="str">
        <f>IFERROR(Table1[[#This Row],[Final Uncut (kg''s)]]/Table1[[#This Row],[Input Quantity (Kg''s)]]%,"")</f>
        <v/>
      </c>
      <c r="Z247" s="21" t="str">
        <f>IFERROR(Table1[[#This Row],[Shell]]/Table1[[#This Row],[Input Quantity (Kg''s)]]%,"")</f>
        <v/>
      </c>
      <c r="AA247" s="21" t="str">
        <f>IFERROR(Table1[[#This Row],[Shell Dust]]/Table1[[#This Row],[Input Quantity (Kg''s)]]%,"")</f>
        <v/>
      </c>
    </row>
    <row r="248" spans="2:27" x14ac:dyDescent="0.3">
      <c r="B248" s="1"/>
      <c r="C248" s="15">
        <f>WEEKNUM(Table1[[#This Row],[Date]])</f>
        <v>0</v>
      </c>
      <c r="D248" s="1" t="str">
        <f>TEXT(Table1[[#This Row],[Date]],"mmm-yy")</f>
        <v>Jan-00</v>
      </c>
      <c r="E248" s="1"/>
      <c r="I248" s="3"/>
      <c r="M248" s="3"/>
      <c r="N248" s="3"/>
      <c r="O248" s="3"/>
      <c r="P248" s="3">
        <f>Table1[[#This Row],[Input Quantity (Kg''s)]]-SUM(Table1[[#This Row],[Wholes (kg''s)]:[Black Rejection (Kg''s)]],Table1[[#This Row],[Shell Dust]])</f>
        <v>0</v>
      </c>
      <c r="Q248" s="3">
        <f>SUM(Table1[[#This Row],[Wholes (kg''s)]:[Pieces (kg''s)]])</f>
        <v>0</v>
      </c>
      <c r="R248" s="3">
        <f>SUM(Table1[[#This Row],[Wholes (kg''s)]:[Black Rejection (Kg''s)]])</f>
        <v>0</v>
      </c>
      <c r="S248" s="4" t="str">
        <f>IFERROR(Table1[[#This Row],[Good Kernels (kg''s)]]/Table1[[#This Row],[Input Quantity (Kg''s)]]*176.36,"")</f>
        <v/>
      </c>
      <c r="T248" s="4" t="str">
        <f>IFERROR(Table1[[#This Row],[Good Kernels (kg''s)]]/Table1[[#This Row],[Input Quantity (Kg''s)]]%,"")</f>
        <v/>
      </c>
      <c r="U248" s="5" t="str">
        <f>IFERROR(Table1[[#This Row],[Final Kernels (kg''s)]]/Table1[[#This Row],[Input Quantity (Kg''s)]]%,"")</f>
        <v/>
      </c>
      <c r="V248" s="5" t="str">
        <f>IFERROR(Table1[[#This Row],[Wholes (kg''s)]]/Table1[[#This Row],[Good Kernels (kg''s)]]%,"")</f>
        <v/>
      </c>
      <c r="W248" s="5" t="str">
        <f>IFERROR(Table1[[#This Row],[Pieces (kg''s)]]/Table1[[#This Row],[Good Kernels (kg''s)]]%,"")</f>
        <v/>
      </c>
      <c r="X248" s="5" t="str">
        <f>IFERROR(Table1[[#This Row],[First Pass Uncut (kg''s)]]/Table1[[#This Row],[Input Quantity (Kg''s)]]%,"")</f>
        <v/>
      </c>
      <c r="Y248" s="5" t="str">
        <f>IFERROR(Table1[[#This Row],[Final Uncut (kg''s)]]/Table1[[#This Row],[Input Quantity (Kg''s)]]%,"")</f>
        <v/>
      </c>
      <c r="Z248" s="21" t="str">
        <f>IFERROR(Table1[[#This Row],[Shell]]/Table1[[#This Row],[Input Quantity (Kg''s)]]%,"")</f>
        <v/>
      </c>
      <c r="AA248" s="21" t="str">
        <f>IFERROR(Table1[[#This Row],[Shell Dust]]/Table1[[#This Row],[Input Quantity (Kg''s)]]%,"")</f>
        <v/>
      </c>
    </row>
    <row r="249" spans="2:27" x14ac:dyDescent="0.3">
      <c r="B249" s="1"/>
      <c r="C249" s="15">
        <f>WEEKNUM(Table1[[#This Row],[Date]])</f>
        <v>0</v>
      </c>
      <c r="D249" s="1" t="str">
        <f>TEXT(Table1[[#This Row],[Date]],"mmm-yy")</f>
        <v>Jan-00</v>
      </c>
      <c r="E249" s="1"/>
      <c r="I249" s="3"/>
      <c r="M249" s="3"/>
      <c r="N249" s="3"/>
      <c r="O249" s="3"/>
      <c r="P249" s="3">
        <f>Table1[[#This Row],[Input Quantity (Kg''s)]]-SUM(Table1[[#This Row],[Wholes (kg''s)]:[Black Rejection (Kg''s)]],Table1[[#This Row],[Shell Dust]])</f>
        <v>0</v>
      </c>
      <c r="Q249" s="3">
        <f>SUM(Table1[[#This Row],[Wholes (kg''s)]:[Pieces (kg''s)]])</f>
        <v>0</v>
      </c>
      <c r="R249" s="3">
        <f>SUM(Table1[[#This Row],[Wholes (kg''s)]:[Black Rejection (Kg''s)]])</f>
        <v>0</v>
      </c>
      <c r="S249" s="4" t="str">
        <f>IFERROR(Table1[[#This Row],[Good Kernels (kg''s)]]/Table1[[#This Row],[Input Quantity (Kg''s)]]*176.36,"")</f>
        <v/>
      </c>
      <c r="T249" s="4" t="str">
        <f>IFERROR(Table1[[#This Row],[Good Kernels (kg''s)]]/Table1[[#This Row],[Input Quantity (Kg''s)]]%,"")</f>
        <v/>
      </c>
      <c r="U249" s="5" t="str">
        <f>IFERROR(Table1[[#This Row],[Final Kernels (kg''s)]]/Table1[[#This Row],[Input Quantity (Kg''s)]]%,"")</f>
        <v/>
      </c>
      <c r="V249" s="5" t="str">
        <f>IFERROR(Table1[[#This Row],[Wholes (kg''s)]]/Table1[[#This Row],[Good Kernels (kg''s)]]%,"")</f>
        <v/>
      </c>
      <c r="W249" s="5" t="str">
        <f>IFERROR(Table1[[#This Row],[Pieces (kg''s)]]/Table1[[#This Row],[Good Kernels (kg''s)]]%,"")</f>
        <v/>
      </c>
      <c r="X249" s="5" t="str">
        <f>IFERROR(Table1[[#This Row],[First Pass Uncut (kg''s)]]/Table1[[#This Row],[Input Quantity (Kg''s)]]%,"")</f>
        <v/>
      </c>
      <c r="Y249" s="5" t="str">
        <f>IFERROR(Table1[[#This Row],[Final Uncut (kg''s)]]/Table1[[#This Row],[Input Quantity (Kg''s)]]%,"")</f>
        <v/>
      </c>
      <c r="Z249" s="21" t="str">
        <f>IFERROR(Table1[[#This Row],[Shell]]/Table1[[#This Row],[Input Quantity (Kg''s)]]%,"")</f>
        <v/>
      </c>
      <c r="AA249" s="21" t="str">
        <f>IFERROR(Table1[[#This Row],[Shell Dust]]/Table1[[#This Row],[Input Quantity (Kg''s)]]%,"")</f>
        <v/>
      </c>
    </row>
    <row r="250" spans="2:27" x14ac:dyDescent="0.3">
      <c r="B250" s="1"/>
      <c r="C250" s="15">
        <f>WEEKNUM(Table1[[#This Row],[Date]])</f>
        <v>0</v>
      </c>
      <c r="D250" s="1" t="str">
        <f>TEXT(Table1[[#This Row],[Date]],"mmm-yy")</f>
        <v>Jan-00</v>
      </c>
      <c r="E250" s="1"/>
      <c r="I250" s="3"/>
      <c r="M250" s="3"/>
      <c r="N250" s="3"/>
      <c r="O250" s="3"/>
      <c r="P250" s="3">
        <f>Table1[[#This Row],[Input Quantity (Kg''s)]]-SUM(Table1[[#This Row],[Wholes (kg''s)]:[Black Rejection (Kg''s)]],Table1[[#This Row],[Shell Dust]])</f>
        <v>0</v>
      </c>
      <c r="Q250" s="3">
        <f>SUM(Table1[[#This Row],[Wholes (kg''s)]:[Pieces (kg''s)]])</f>
        <v>0</v>
      </c>
      <c r="R250" s="3">
        <f>SUM(Table1[[#This Row],[Wholes (kg''s)]:[Black Rejection (Kg''s)]])</f>
        <v>0</v>
      </c>
      <c r="S250" s="4" t="str">
        <f>IFERROR(Table1[[#This Row],[Good Kernels (kg''s)]]/Table1[[#This Row],[Input Quantity (Kg''s)]]*176.36,"")</f>
        <v/>
      </c>
      <c r="T250" s="4" t="str">
        <f>IFERROR(Table1[[#This Row],[Good Kernels (kg''s)]]/Table1[[#This Row],[Input Quantity (Kg''s)]]%,"")</f>
        <v/>
      </c>
      <c r="U250" s="5" t="str">
        <f>IFERROR(Table1[[#This Row],[Final Kernels (kg''s)]]/Table1[[#This Row],[Input Quantity (Kg''s)]]%,"")</f>
        <v/>
      </c>
      <c r="V250" s="5" t="str">
        <f>IFERROR(Table1[[#This Row],[Wholes (kg''s)]]/Table1[[#This Row],[Good Kernels (kg''s)]]%,"")</f>
        <v/>
      </c>
      <c r="W250" s="5" t="str">
        <f>IFERROR(Table1[[#This Row],[Pieces (kg''s)]]/Table1[[#This Row],[Good Kernels (kg''s)]]%,"")</f>
        <v/>
      </c>
      <c r="X250" s="5" t="str">
        <f>IFERROR(Table1[[#This Row],[First Pass Uncut (kg''s)]]/Table1[[#This Row],[Input Quantity (Kg''s)]]%,"")</f>
        <v/>
      </c>
      <c r="Y250" s="5" t="str">
        <f>IFERROR(Table1[[#This Row],[Final Uncut (kg''s)]]/Table1[[#This Row],[Input Quantity (Kg''s)]]%,"")</f>
        <v/>
      </c>
      <c r="Z250" s="21" t="str">
        <f>IFERROR(Table1[[#This Row],[Shell]]/Table1[[#This Row],[Input Quantity (Kg''s)]]%,"")</f>
        <v/>
      </c>
      <c r="AA250" s="21" t="str">
        <f>IFERROR(Table1[[#This Row],[Shell Dust]]/Table1[[#This Row],[Input Quantity (Kg''s)]]%,"")</f>
        <v/>
      </c>
    </row>
    <row r="251" spans="2:27" x14ac:dyDescent="0.3">
      <c r="B251" s="1"/>
      <c r="C251" s="15">
        <f>WEEKNUM(Table1[[#This Row],[Date]])</f>
        <v>0</v>
      </c>
      <c r="D251" s="1" t="str">
        <f>TEXT(Table1[[#This Row],[Date]],"mmm-yy")</f>
        <v>Jan-00</v>
      </c>
      <c r="E251" s="1"/>
      <c r="I251" s="3"/>
      <c r="M251" s="3"/>
      <c r="N251" s="3"/>
      <c r="O251" s="3"/>
      <c r="P251" s="3">
        <f>Table1[[#This Row],[Input Quantity (Kg''s)]]-SUM(Table1[[#This Row],[Wholes (kg''s)]:[Black Rejection (Kg''s)]],Table1[[#This Row],[Shell Dust]])</f>
        <v>0</v>
      </c>
      <c r="Q251" s="3">
        <f>SUM(Table1[[#This Row],[Wholes (kg''s)]:[Pieces (kg''s)]])</f>
        <v>0</v>
      </c>
      <c r="R251" s="3">
        <f>SUM(Table1[[#This Row],[Wholes (kg''s)]:[Black Rejection (Kg''s)]])</f>
        <v>0</v>
      </c>
      <c r="S251" s="4" t="str">
        <f>IFERROR(Table1[[#This Row],[Good Kernels (kg''s)]]/Table1[[#This Row],[Input Quantity (Kg''s)]]*176.36,"")</f>
        <v/>
      </c>
      <c r="T251" s="4" t="str">
        <f>IFERROR(Table1[[#This Row],[Good Kernels (kg''s)]]/Table1[[#This Row],[Input Quantity (Kg''s)]]%,"")</f>
        <v/>
      </c>
      <c r="U251" s="5" t="str">
        <f>IFERROR(Table1[[#This Row],[Final Kernels (kg''s)]]/Table1[[#This Row],[Input Quantity (Kg''s)]]%,"")</f>
        <v/>
      </c>
      <c r="V251" s="5" t="str">
        <f>IFERROR(Table1[[#This Row],[Wholes (kg''s)]]/Table1[[#This Row],[Good Kernels (kg''s)]]%,"")</f>
        <v/>
      </c>
      <c r="W251" s="5" t="str">
        <f>IFERROR(Table1[[#This Row],[Pieces (kg''s)]]/Table1[[#This Row],[Good Kernels (kg''s)]]%,"")</f>
        <v/>
      </c>
      <c r="X251" s="5" t="str">
        <f>IFERROR(Table1[[#This Row],[First Pass Uncut (kg''s)]]/Table1[[#This Row],[Input Quantity (Kg''s)]]%,"")</f>
        <v/>
      </c>
      <c r="Y251" s="5" t="str">
        <f>IFERROR(Table1[[#This Row],[Final Uncut (kg''s)]]/Table1[[#This Row],[Input Quantity (Kg''s)]]%,"")</f>
        <v/>
      </c>
      <c r="Z251" s="21" t="str">
        <f>IFERROR(Table1[[#This Row],[Shell]]/Table1[[#This Row],[Input Quantity (Kg''s)]]%,"")</f>
        <v/>
      </c>
      <c r="AA251" s="21" t="str">
        <f>IFERROR(Table1[[#This Row],[Shell Dust]]/Table1[[#This Row],[Input Quantity (Kg''s)]]%,"")</f>
        <v/>
      </c>
    </row>
    <row r="252" spans="2:27" x14ac:dyDescent="0.3">
      <c r="B252" s="1"/>
      <c r="C252" s="15">
        <f>WEEKNUM(Table1[[#This Row],[Date]])</f>
        <v>0</v>
      </c>
      <c r="D252" s="1" t="str">
        <f>TEXT(Table1[[#This Row],[Date]],"mmm-yy")</f>
        <v>Jan-00</v>
      </c>
      <c r="E252" s="1"/>
      <c r="I252" s="3"/>
      <c r="M252" s="3"/>
      <c r="N252" s="3"/>
      <c r="O252" s="3"/>
      <c r="P252" s="3">
        <f>Table1[[#This Row],[Input Quantity (Kg''s)]]-SUM(Table1[[#This Row],[Wholes (kg''s)]:[Black Rejection (Kg''s)]],Table1[[#This Row],[Shell Dust]])</f>
        <v>0</v>
      </c>
      <c r="Q252" s="3">
        <f>SUM(Table1[[#This Row],[Wholes (kg''s)]:[Pieces (kg''s)]])</f>
        <v>0</v>
      </c>
      <c r="R252" s="3">
        <f>SUM(Table1[[#This Row],[Wholes (kg''s)]:[Black Rejection (Kg''s)]])</f>
        <v>0</v>
      </c>
      <c r="S252" s="4" t="str">
        <f>IFERROR(Table1[[#This Row],[Good Kernels (kg''s)]]/Table1[[#This Row],[Input Quantity (Kg''s)]]*176.36,"")</f>
        <v/>
      </c>
      <c r="T252" s="4" t="str">
        <f>IFERROR(Table1[[#This Row],[Good Kernels (kg''s)]]/Table1[[#This Row],[Input Quantity (Kg''s)]]%,"")</f>
        <v/>
      </c>
      <c r="U252" s="5" t="str">
        <f>IFERROR(Table1[[#This Row],[Final Kernels (kg''s)]]/Table1[[#This Row],[Input Quantity (Kg''s)]]%,"")</f>
        <v/>
      </c>
      <c r="V252" s="5" t="str">
        <f>IFERROR(Table1[[#This Row],[Wholes (kg''s)]]/Table1[[#This Row],[Good Kernels (kg''s)]]%,"")</f>
        <v/>
      </c>
      <c r="W252" s="5" t="str">
        <f>IFERROR(Table1[[#This Row],[Pieces (kg''s)]]/Table1[[#This Row],[Good Kernels (kg''s)]]%,"")</f>
        <v/>
      </c>
      <c r="X252" s="5" t="str">
        <f>IFERROR(Table1[[#This Row],[First Pass Uncut (kg''s)]]/Table1[[#This Row],[Input Quantity (Kg''s)]]%,"")</f>
        <v/>
      </c>
      <c r="Y252" s="5" t="str">
        <f>IFERROR(Table1[[#This Row],[Final Uncut (kg''s)]]/Table1[[#This Row],[Input Quantity (Kg''s)]]%,"")</f>
        <v/>
      </c>
      <c r="Z252" s="21" t="str">
        <f>IFERROR(Table1[[#This Row],[Shell]]/Table1[[#This Row],[Input Quantity (Kg''s)]]%,"")</f>
        <v/>
      </c>
      <c r="AA252" s="21" t="str">
        <f>IFERROR(Table1[[#This Row],[Shell Dust]]/Table1[[#This Row],[Input Quantity (Kg''s)]]%,"")</f>
        <v/>
      </c>
    </row>
    <row r="253" spans="2:27" x14ac:dyDescent="0.3">
      <c r="B253" s="1"/>
      <c r="C253" s="15">
        <f>WEEKNUM(Table1[[#This Row],[Date]])</f>
        <v>0</v>
      </c>
      <c r="D253" s="1" t="str">
        <f>TEXT(Table1[[#This Row],[Date]],"mmm-yy")</f>
        <v>Jan-00</v>
      </c>
      <c r="E253" s="1"/>
      <c r="I253" s="3"/>
      <c r="M253" s="3"/>
      <c r="N253" s="3"/>
      <c r="O253" s="3"/>
      <c r="P253" s="3">
        <f>Table1[[#This Row],[Input Quantity (Kg''s)]]-SUM(Table1[[#This Row],[Wholes (kg''s)]:[Black Rejection (Kg''s)]],Table1[[#This Row],[Shell Dust]])</f>
        <v>0</v>
      </c>
      <c r="Q253" s="3">
        <f>SUM(Table1[[#This Row],[Wholes (kg''s)]:[Pieces (kg''s)]])</f>
        <v>0</v>
      </c>
      <c r="R253" s="3">
        <f>SUM(Table1[[#This Row],[Wholes (kg''s)]:[Black Rejection (Kg''s)]])</f>
        <v>0</v>
      </c>
      <c r="S253" s="4" t="str">
        <f>IFERROR(Table1[[#This Row],[Good Kernels (kg''s)]]/Table1[[#This Row],[Input Quantity (Kg''s)]]*176.36,"")</f>
        <v/>
      </c>
      <c r="T253" s="4" t="str">
        <f>IFERROR(Table1[[#This Row],[Good Kernels (kg''s)]]/Table1[[#This Row],[Input Quantity (Kg''s)]]%,"")</f>
        <v/>
      </c>
      <c r="U253" s="5" t="str">
        <f>IFERROR(Table1[[#This Row],[Final Kernels (kg''s)]]/Table1[[#This Row],[Input Quantity (Kg''s)]]%,"")</f>
        <v/>
      </c>
      <c r="V253" s="5" t="str">
        <f>IFERROR(Table1[[#This Row],[Wholes (kg''s)]]/Table1[[#This Row],[Good Kernels (kg''s)]]%,"")</f>
        <v/>
      </c>
      <c r="W253" s="5" t="str">
        <f>IFERROR(Table1[[#This Row],[Pieces (kg''s)]]/Table1[[#This Row],[Good Kernels (kg''s)]]%,"")</f>
        <v/>
      </c>
      <c r="X253" s="5" t="str">
        <f>IFERROR(Table1[[#This Row],[First Pass Uncut (kg''s)]]/Table1[[#This Row],[Input Quantity (Kg''s)]]%,"")</f>
        <v/>
      </c>
      <c r="Y253" s="5" t="str">
        <f>IFERROR(Table1[[#This Row],[Final Uncut (kg''s)]]/Table1[[#This Row],[Input Quantity (Kg''s)]]%,"")</f>
        <v/>
      </c>
      <c r="Z253" s="21" t="str">
        <f>IFERROR(Table1[[#This Row],[Shell]]/Table1[[#This Row],[Input Quantity (Kg''s)]]%,"")</f>
        <v/>
      </c>
      <c r="AA253" s="21" t="str">
        <f>IFERROR(Table1[[#This Row],[Shell Dust]]/Table1[[#This Row],[Input Quantity (Kg''s)]]%,"")</f>
        <v/>
      </c>
    </row>
    <row r="254" spans="2:27" x14ac:dyDescent="0.3">
      <c r="B254" s="1"/>
      <c r="C254" s="15">
        <f>WEEKNUM(Table1[[#This Row],[Date]])</f>
        <v>0</v>
      </c>
      <c r="D254" s="1" t="str">
        <f>TEXT(Table1[[#This Row],[Date]],"mmm-yy")</f>
        <v>Jan-00</v>
      </c>
      <c r="E254" s="1"/>
      <c r="I254" s="3"/>
      <c r="M254" s="3"/>
      <c r="N254" s="3"/>
      <c r="O254" s="3"/>
      <c r="P254" s="3">
        <f>Table1[[#This Row],[Input Quantity (Kg''s)]]-SUM(Table1[[#This Row],[Wholes (kg''s)]:[Black Rejection (Kg''s)]],Table1[[#This Row],[Shell Dust]])</f>
        <v>0</v>
      </c>
      <c r="Q254" s="3">
        <f>SUM(Table1[[#This Row],[Wholes (kg''s)]:[Pieces (kg''s)]])</f>
        <v>0</v>
      </c>
      <c r="R254" s="3">
        <f>SUM(Table1[[#This Row],[Wholes (kg''s)]:[Black Rejection (Kg''s)]])</f>
        <v>0</v>
      </c>
      <c r="S254" s="4" t="str">
        <f>IFERROR(Table1[[#This Row],[Good Kernels (kg''s)]]/Table1[[#This Row],[Input Quantity (Kg''s)]]*176.36,"")</f>
        <v/>
      </c>
      <c r="T254" s="4" t="str">
        <f>IFERROR(Table1[[#This Row],[Good Kernels (kg''s)]]/Table1[[#This Row],[Input Quantity (Kg''s)]]%,"")</f>
        <v/>
      </c>
      <c r="U254" s="5" t="str">
        <f>IFERROR(Table1[[#This Row],[Final Kernels (kg''s)]]/Table1[[#This Row],[Input Quantity (Kg''s)]]%,"")</f>
        <v/>
      </c>
      <c r="V254" s="5" t="str">
        <f>IFERROR(Table1[[#This Row],[Wholes (kg''s)]]/Table1[[#This Row],[Good Kernels (kg''s)]]%,"")</f>
        <v/>
      </c>
      <c r="W254" s="5" t="str">
        <f>IFERROR(Table1[[#This Row],[Pieces (kg''s)]]/Table1[[#This Row],[Good Kernels (kg''s)]]%,"")</f>
        <v/>
      </c>
      <c r="X254" s="5" t="str">
        <f>IFERROR(Table1[[#This Row],[First Pass Uncut (kg''s)]]/Table1[[#This Row],[Input Quantity (Kg''s)]]%,"")</f>
        <v/>
      </c>
      <c r="Y254" s="5" t="str">
        <f>IFERROR(Table1[[#This Row],[Final Uncut (kg''s)]]/Table1[[#This Row],[Input Quantity (Kg''s)]]%,"")</f>
        <v/>
      </c>
      <c r="Z254" s="21" t="str">
        <f>IFERROR(Table1[[#This Row],[Shell]]/Table1[[#This Row],[Input Quantity (Kg''s)]]%,"")</f>
        <v/>
      </c>
      <c r="AA254" s="21" t="str">
        <f>IFERROR(Table1[[#This Row],[Shell Dust]]/Table1[[#This Row],[Input Quantity (Kg''s)]]%,"")</f>
        <v/>
      </c>
    </row>
    <row r="255" spans="2:27" x14ac:dyDescent="0.3">
      <c r="B255" s="1"/>
      <c r="C255" s="15">
        <f>WEEKNUM(Table1[[#This Row],[Date]])</f>
        <v>0</v>
      </c>
      <c r="D255" s="1" t="str">
        <f>TEXT(Table1[[#This Row],[Date]],"mmm-yy")</f>
        <v>Jan-00</v>
      </c>
      <c r="E255" s="1"/>
      <c r="I255" s="3"/>
      <c r="M255" s="3"/>
      <c r="N255" s="3"/>
      <c r="O255" s="3"/>
      <c r="P255" s="3">
        <f>Table1[[#This Row],[Input Quantity (Kg''s)]]-SUM(Table1[[#This Row],[Wholes (kg''s)]:[Black Rejection (Kg''s)]],Table1[[#This Row],[Shell Dust]])</f>
        <v>0</v>
      </c>
      <c r="Q255" s="3">
        <f>SUM(Table1[[#This Row],[Wholes (kg''s)]:[Pieces (kg''s)]])</f>
        <v>0</v>
      </c>
      <c r="R255" s="3">
        <f>SUM(Table1[[#This Row],[Wholes (kg''s)]:[Black Rejection (Kg''s)]])</f>
        <v>0</v>
      </c>
      <c r="S255" s="4" t="str">
        <f>IFERROR(Table1[[#This Row],[Good Kernels (kg''s)]]/Table1[[#This Row],[Input Quantity (Kg''s)]]*176.36,"")</f>
        <v/>
      </c>
      <c r="T255" s="4" t="str">
        <f>IFERROR(Table1[[#This Row],[Good Kernels (kg''s)]]/Table1[[#This Row],[Input Quantity (Kg''s)]]%,"")</f>
        <v/>
      </c>
      <c r="U255" s="5" t="str">
        <f>IFERROR(Table1[[#This Row],[Final Kernels (kg''s)]]/Table1[[#This Row],[Input Quantity (Kg''s)]]%,"")</f>
        <v/>
      </c>
      <c r="V255" s="5" t="str">
        <f>IFERROR(Table1[[#This Row],[Wholes (kg''s)]]/Table1[[#This Row],[Good Kernels (kg''s)]]%,"")</f>
        <v/>
      </c>
      <c r="W255" s="5" t="str">
        <f>IFERROR(Table1[[#This Row],[Pieces (kg''s)]]/Table1[[#This Row],[Good Kernels (kg''s)]]%,"")</f>
        <v/>
      </c>
      <c r="X255" s="5" t="str">
        <f>IFERROR(Table1[[#This Row],[First Pass Uncut (kg''s)]]/Table1[[#This Row],[Input Quantity (Kg''s)]]%,"")</f>
        <v/>
      </c>
      <c r="Y255" s="5" t="str">
        <f>IFERROR(Table1[[#This Row],[Final Uncut (kg''s)]]/Table1[[#This Row],[Input Quantity (Kg''s)]]%,"")</f>
        <v/>
      </c>
      <c r="Z255" s="21" t="str">
        <f>IFERROR(Table1[[#This Row],[Shell]]/Table1[[#This Row],[Input Quantity (Kg''s)]]%,"")</f>
        <v/>
      </c>
      <c r="AA255" s="21" t="str">
        <f>IFERROR(Table1[[#This Row],[Shell Dust]]/Table1[[#This Row],[Input Quantity (Kg''s)]]%,"")</f>
        <v/>
      </c>
    </row>
    <row r="256" spans="2:27" x14ac:dyDescent="0.3">
      <c r="B256" s="1"/>
      <c r="C256" s="15">
        <f>WEEKNUM(Table1[[#This Row],[Date]])</f>
        <v>0</v>
      </c>
      <c r="D256" s="1" t="str">
        <f>TEXT(Table1[[#This Row],[Date]],"mmm-yy")</f>
        <v>Jan-00</v>
      </c>
      <c r="E256" s="1"/>
      <c r="I256" s="3"/>
      <c r="M256" s="3"/>
      <c r="N256" s="3"/>
      <c r="O256" s="3"/>
      <c r="P256" s="3">
        <f>Table1[[#This Row],[Input Quantity (Kg''s)]]-SUM(Table1[[#This Row],[Wholes (kg''s)]:[Black Rejection (Kg''s)]],Table1[[#This Row],[Shell Dust]])</f>
        <v>0</v>
      </c>
      <c r="Q256" s="3">
        <f>SUM(Table1[[#This Row],[Wholes (kg''s)]:[Pieces (kg''s)]])</f>
        <v>0</v>
      </c>
      <c r="R256" s="3">
        <f>SUM(Table1[[#This Row],[Wholes (kg''s)]:[Black Rejection (Kg''s)]])</f>
        <v>0</v>
      </c>
      <c r="S256" s="4" t="str">
        <f>IFERROR(Table1[[#This Row],[Good Kernels (kg''s)]]/Table1[[#This Row],[Input Quantity (Kg''s)]]*176.36,"")</f>
        <v/>
      </c>
      <c r="T256" s="4" t="str">
        <f>IFERROR(Table1[[#This Row],[Good Kernels (kg''s)]]/Table1[[#This Row],[Input Quantity (Kg''s)]]%,"")</f>
        <v/>
      </c>
      <c r="U256" s="5" t="str">
        <f>IFERROR(Table1[[#This Row],[Final Kernels (kg''s)]]/Table1[[#This Row],[Input Quantity (Kg''s)]]%,"")</f>
        <v/>
      </c>
      <c r="V256" s="5" t="str">
        <f>IFERROR(Table1[[#This Row],[Wholes (kg''s)]]/Table1[[#This Row],[Good Kernels (kg''s)]]%,"")</f>
        <v/>
      </c>
      <c r="W256" s="5" t="str">
        <f>IFERROR(Table1[[#This Row],[Pieces (kg''s)]]/Table1[[#This Row],[Good Kernels (kg''s)]]%,"")</f>
        <v/>
      </c>
      <c r="X256" s="5" t="str">
        <f>IFERROR(Table1[[#This Row],[First Pass Uncut (kg''s)]]/Table1[[#This Row],[Input Quantity (Kg''s)]]%,"")</f>
        <v/>
      </c>
      <c r="Y256" s="5" t="str">
        <f>IFERROR(Table1[[#This Row],[Final Uncut (kg''s)]]/Table1[[#This Row],[Input Quantity (Kg''s)]]%,"")</f>
        <v/>
      </c>
      <c r="Z256" s="21" t="str">
        <f>IFERROR(Table1[[#This Row],[Shell]]/Table1[[#This Row],[Input Quantity (Kg''s)]]%,"")</f>
        <v/>
      </c>
      <c r="AA256" s="21" t="str">
        <f>IFERROR(Table1[[#This Row],[Shell Dust]]/Table1[[#This Row],[Input Quantity (Kg''s)]]%,"")</f>
        <v/>
      </c>
    </row>
    <row r="257" spans="2:27" x14ac:dyDescent="0.3">
      <c r="B257" s="1"/>
      <c r="C257" s="15">
        <f>WEEKNUM(Table1[[#This Row],[Date]])</f>
        <v>0</v>
      </c>
      <c r="D257" s="1" t="str">
        <f>TEXT(Table1[[#This Row],[Date]],"mmm-yy")</f>
        <v>Jan-00</v>
      </c>
      <c r="E257" s="1"/>
      <c r="I257" s="3"/>
      <c r="M257" s="3"/>
      <c r="N257" s="3"/>
      <c r="O257" s="3"/>
      <c r="P257" s="3">
        <f>Table1[[#This Row],[Input Quantity (Kg''s)]]-SUM(Table1[[#This Row],[Wholes (kg''s)]:[Black Rejection (Kg''s)]],Table1[[#This Row],[Shell Dust]])</f>
        <v>0</v>
      </c>
      <c r="Q257" s="3">
        <f>SUM(Table1[[#This Row],[Wholes (kg''s)]:[Pieces (kg''s)]])</f>
        <v>0</v>
      </c>
      <c r="R257" s="3">
        <f>SUM(Table1[[#This Row],[Wholes (kg''s)]:[Black Rejection (Kg''s)]])</f>
        <v>0</v>
      </c>
      <c r="S257" s="4" t="str">
        <f>IFERROR(Table1[[#This Row],[Good Kernels (kg''s)]]/Table1[[#This Row],[Input Quantity (Kg''s)]]*176.36,"")</f>
        <v/>
      </c>
      <c r="T257" s="4" t="str">
        <f>IFERROR(Table1[[#This Row],[Good Kernels (kg''s)]]/Table1[[#This Row],[Input Quantity (Kg''s)]]%,"")</f>
        <v/>
      </c>
      <c r="U257" s="5" t="str">
        <f>IFERROR(Table1[[#This Row],[Final Kernels (kg''s)]]/Table1[[#This Row],[Input Quantity (Kg''s)]]%,"")</f>
        <v/>
      </c>
      <c r="V257" s="5" t="str">
        <f>IFERROR(Table1[[#This Row],[Wholes (kg''s)]]/Table1[[#This Row],[Good Kernels (kg''s)]]%,"")</f>
        <v/>
      </c>
      <c r="W257" s="5" t="str">
        <f>IFERROR(Table1[[#This Row],[Pieces (kg''s)]]/Table1[[#This Row],[Good Kernels (kg''s)]]%,"")</f>
        <v/>
      </c>
      <c r="X257" s="5" t="str">
        <f>IFERROR(Table1[[#This Row],[First Pass Uncut (kg''s)]]/Table1[[#This Row],[Input Quantity (Kg''s)]]%,"")</f>
        <v/>
      </c>
      <c r="Y257" s="5" t="str">
        <f>IFERROR(Table1[[#This Row],[Final Uncut (kg''s)]]/Table1[[#This Row],[Input Quantity (Kg''s)]]%,"")</f>
        <v/>
      </c>
      <c r="Z257" s="21" t="str">
        <f>IFERROR(Table1[[#This Row],[Shell]]/Table1[[#This Row],[Input Quantity (Kg''s)]]%,"")</f>
        <v/>
      </c>
      <c r="AA257" s="21" t="str">
        <f>IFERROR(Table1[[#This Row],[Shell Dust]]/Table1[[#This Row],[Input Quantity (Kg''s)]]%,"")</f>
        <v/>
      </c>
    </row>
    <row r="258" spans="2:27" x14ac:dyDescent="0.3">
      <c r="B258" s="1"/>
      <c r="C258" s="15">
        <f>WEEKNUM(Table1[[#This Row],[Date]])</f>
        <v>0</v>
      </c>
      <c r="D258" s="1" t="str">
        <f>TEXT(Table1[[#This Row],[Date]],"mmm-yy")</f>
        <v>Jan-00</v>
      </c>
      <c r="E258" s="1"/>
      <c r="I258" s="3"/>
      <c r="M258" s="3"/>
      <c r="N258" s="3"/>
      <c r="O258" s="3"/>
      <c r="P258" s="3">
        <f>Table1[[#This Row],[Input Quantity (Kg''s)]]-SUM(Table1[[#This Row],[Wholes (kg''s)]:[Black Rejection (Kg''s)]],Table1[[#This Row],[Shell Dust]])</f>
        <v>0</v>
      </c>
      <c r="Q258" s="3">
        <f>SUM(Table1[[#This Row],[Wholes (kg''s)]:[Pieces (kg''s)]])</f>
        <v>0</v>
      </c>
      <c r="R258" s="3">
        <f>SUM(Table1[[#This Row],[Wholes (kg''s)]:[Black Rejection (Kg''s)]])</f>
        <v>0</v>
      </c>
      <c r="S258" s="4" t="str">
        <f>IFERROR(Table1[[#This Row],[Good Kernels (kg''s)]]/Table1[[#This Row],[Input Quantity (Kg''s)]]*176.36,"")</f>
        <v/>
      </c>
      <c r="T258" s="4" t="str">
        <f>IFERROR(Table1[[#This Row],[Good Kernels (kg''s)]]/Table1[[#This Row],[Input Quantity (Kg''s)]]%,"")</f>
        <v/>
      </c>
      <c r="U258" s="5" t="str">
        <f>IFERROR(Table1[[#This Row],[Final Kernels (kg''s)]]/Table1[[#This Row],[Input Quantity (Kg''s)]]%,"")</f>
        <v/>
      </c>
      <c r="V258" s="5" t="str">
        <f>IFERROR(Table1[[#This Row],[Wholes (kg''s)]]/Table1[[#This Row],[Good Kernels (kg''s)]]%,"")</f>
        <v/>
      </c>
      <c r="W258" s="5" t="str">
        <f>IFERROR(Table1[[#This Row],[Pieces (kg''s)]]/Table1[[#This Row],[Good Kernels (kg''s)]]%,"")</f>
        <v/>
      </c>
      <c r="X258" s="5" t="str">
        <f>IFERROR(Table1[[#This Row],[First Pass Uncut (kg''s)]]/Table1[[#This Row],[Input Quantity (Kg''s)]]%,"")</f>
        <v/>
      </c>
      <c r="Y258" s="5" t="str">
        <f>IFERROR(Table1[[#This Row],[Final Uncut (kg''s)]]/Table1[[#This Row],[Input Quantity (Kg''s)]]%,"")</f>
        <v/>
      </c>
      <c r="Z258" s="21" t="str">
        <f>IFERROR(Table1[[#This Row],[Shell]]/Table1[[#This Row],[Input Quantity (Kg''s)]]%,"")</f>
        <v/>
      </c>
      <c r="AA258" s="21" t="str">
        <f>IFERROR(Table1[[#This Row],[Shell Dust]]/Table1[[#This Row],[Input Quantity (Kg''s)]]%,"")</f>
        <v/>
      </c>
    </row>
    <row r="259" spans="2:27" x14ac:dyDescent="0.3">
      <c r="B259" s="1"/>
      <c r="C259" s="15">
        <f>WEEKNUM(Table1[[#This Row],[Date]])</f>
        <v>0</v>
      </c>
      <c r="D259" s="1" t="str">
        <f>TEXT(Table1[[#This Row],[Date]],"mmm-yy")</f>
        <v>Jan-00</v>
      </c>
      <c r="E259" s="1"/>
      <c r="I259" s="3"/>
      <c r="M259" s="3"/>
      <c r="N259" s="3"/>
      <c r="O259" s="3"/>
      <c r="P259" s="3">
        <f>Table1[[#This Row],[Input Quantity (Kg''s)]]-SUM(Table1[[#This Row],[Wholes (kg''s)]:[Black Rejection (Kg''s)]],Table1[[#This Row],[Shell Dust]])</f>
        <v>0</v>
      </c>
      <c r="Q259" s="3">
        <f>SUM(Table1[[#This Row],[Wholes (kg''s)]:[Pieces (kg''s)]])</f>
        <v>0</v>
      </c>
      <c r="R259" s="3">
        <f>SUM(Table1[[#This Row],[Wholes (kg''s)]:[Black Rejection (Kg''s)]])</f>
        <v>0</v>
      </c>
      <c r="S259" s="4" t="str">
        <f>IFERROR(Table1[[#This Row],[Good Kernels (kg''s)]]/Table1[[#This Row],[Input Quantity (Kg''s)]]*176.36,"")</f>
        <v/>
      </c>
      <c r="T259" s="4" t="str">
        <f>IFERROR(Table1[[#This Row],[Good Kernels (kg''s)]]/Table1[[#This Row],[Input Quantity (Kg''s)]]%,"")</f>
        <v/>
      </c>
      <c r="U259" s="5" t="str">
        <f>IFERROR(Table1[[#This Row],[Final Kernels (kg''s)]]/Table1[[#This Row],[Input Quantity (Kg''s)]]%,"")</f>
        <v/>
      </c>
      <c r="V259" s="5" t="str">
        <f>IFERROR(Table1[[#This Row],[Wholes (kg''s)]]/Table1[[#This Row],[Good Kernels (kg''s)]]%,"")</f>
        <v/>
      </c>
      <c r="W259" s="5" t="str">
        <f>IFERROR(Table1[[#This Row],[Pieces (kg''s)]]/Table1[[#This Row],[Good Kernels (kg''s)]]%,"")</f>
        <v/>
      </c>
      <c r="X259" s="5" t="str">
        <f>IFERROR(Table1[[#This Row],[First Pass Uncut (kg''s)]]/Table1[[#This Row],[Input Quantity (Kg''s)]]%,"")</f>
        <v/>
      </c>
      <c r="Y259" s="5" t="str">
        <f>IFERROR(Table1[[#This Row],[Final Uncut (kg''s)]]/Table1[[#This Row],[Input Quantity (Kg''s)]]%,"")</f>
        <v/>
      </c>
      <c r="Z259" s="21" t="str">
        <f>IFERROR(Table1[[#This Row],[Shell]]/Table1[[#This Row],[Input Quantity (Kg''s)]]%,"")</f>
        <v/>
      </c>
      <c r="AA259" s="21" t="str">
        <f>IFERROR(Table1[[#This Row],[Shell Dust]]/Table1[[#This Row],[Input Quantity (Kg''s)]]%,"")</f>
        <v/>
      </c>
    </row>
    <row r="260" spans="2:27" x14ac:dyDescent="0.3">
      <c r="B260" s="1"/>
      <c r="C260" s="15">
        <f>WEEKNUM(Table1[[#This Row],[Date]])</f>
        <v>0</v>
      </c>
      <c r="D260" s="1" t="str">
        <f>TEXT(Table1[[#This Row],[Date]],"mmm-yy")</f>
        <v>Jan-00</v>
      </c>
      <c r="E260" s="1"/>
      <c r="I260" s="3"/>
      <c r="M260" s="3"/>
      <c r="N260" s="3"/>
      <c r="O260" s="3"/>
      <c r="P260" s="3">
        <f>Table1[[#This Row],[Input Quantity (Kg''s)]]-SUM(Table1[[#This Row],[Wholes (kg''s)]:[Black Rejection (Kg''s)]],Table1[[#This Row],[Shell Dust]])</f>
        <v>0</v>
      </c>
      <c r="Q260" s="3">
        <f>SUM(Table1[[#This Row],[Wholes (kg''s)]:[Pieces (kg''s)]])</f>
        <v>0</v>
      </c>
      <c r="R260" s="3">
        <f>SUM(Table1[[#This Row],[Wholes (kg''s)]:[Black Rejection (Kg''s)]])</f>
        <v>0</v>
      </c>
      <c r="S260" s="4" t="str">
        <f>IFERROR(Table1[[#This Row],[Good Kernels (kg''s)]]/Table1[[#This Row],[Input Quantity (Kg''s)]]*176.36,"")</f>
        <v/>
      </c>
      <c r="T260" s="4" t="str">
        <f>IFERROR(Table1[[#This Row],[Good Kernels (kg''s)]]/Table1[[#This Row],[Input Quantity (Kg''s)]]%,"")</f>
        <v/>
      </c>
      <c r="U260" s="5" t="str">
        <f>IFERROR(Table1[[#This Row],[Final Kernels (kg''s)]]/Table1[[#This Row],[Input Quantity (Kg''s)]]%,"")</f>
        <v/>
      </c>
      <c r="V260" s="5" t="str">
        <f>IFERROR(Table1[[#This Row],[Wholes (kg''s)]]/Table1[[#This Row],[Good Kernels (kg''s)]]%,"")</f>
        <v/>
      </c>
      <c r="W260" s="5" t="str">
        <f>IFERROR(Table1[[#This Row],[Pieces (kg''s)]]/Table1[[#This Row],[Good Kernels (kg''s)]]%,"")</f>
        <v/>
      </c>
      <c r="X260" s="5" t="str">
        <f>IFERROR(Table1[[#This Row],[First Pass Uncut (kg''s)]]/Table1[[#This Row],[Input Quantity (Kg''s)]]%,"")</f>
        <v/>
      </c>
      <c r="Y260" s="5" t="str">
        <f>IFERROR(Table1[[#This Row],[Final Uncut (kg''s)]]/Table1[[#This Row],[Input Quantity (Kg''s)]]%,"")</f>
        <v/>
      </c>
      <c r="Z260" s="21" t="str">
        <f>IFERROR(Table1[[#This Row],[Shell]]/Table1[[#This Row],[Input Quantity (Kg''s)]]%,"")</f>
        <v/>
      </c>
      <c r="AA260" s="21" t="str">
        <f>IFERROR(Table1[[#This Row],[Shell Dust]]/Table1[[#This Row],[Input Quantity (Kg''s)]]%,"")</f>
        <v/>
      </c>
    </row>
    <row r="261" spans="2:27" x14ac:dyDescent="0.3">
      <c r="B261" s="1"/>
      <c r="C261" s="15">
        <f>WEEKNUM(Table1[[#This Row],[Date]])</f>
        <v>0</v>
      </c>
      <c r="D261" s="1" t="str">
        <f>TEXT(Table1[[#This Row],[Date]],"mmm-yy")</f>
        <v>Jan-00</v>
      </c>
      <c r="E261" s="1"/>
      <c r="I261" s="3"/>
      <c r="M261" s="3"/>
      <c r="N261" s="3"/>
      <c r="O261" s="3"/>
      <c r="P261" s="3">
        <f>Table1[[#This Row],[Input Quantity (Kg''s)]]-SUM(Table1[[#This Row],[Wholes (kg''s)]:[Black Rejection (Kg''s)]],Table1[[#This Row],[Shell Dust]])</f>
        <v>0</v>
      </c>
      <c r="Q261" s="3">
        <f>SUM(Table1[[#This Row],[Wholes (kg''s)]:[Pieces (kg''s)]])</f>
        <v>0</v>
      </c>
      <c r="R261" s="3">
        <f>SUM(Table1[[#This Row],[Wholes (kg''s)]:[Black Rejection (Kg''s)]])</f>
        <v>0</v>
      </c>
      <c r="S261" s="4" t="str">
        <f>IFERROR(Table1[[#This Row],[Good Kernels (kg''s)]]/Table1[[#This Row],[Input Quantity (Kg''s)]]*176.36,"")</f>
        <v/>
      </c>
      <c r="T261" s="4" t="str">
        <f>IFERROR(Table1[[#This Row],[Good Kernels (kg''s)]]/Table1[[#This Row],[Input Quantity (Kg''s)]]%,"")</f>
        <v/>
      </c>
      <c r="U261" s="5" t="str">
        <f>IFERROR(Table1[[#This Row],[Final Kernels (kg''s)]]/Table1[[#This Row],[Input Quantity (Kg''s)]]%,"")</f>
        <v/>
      </c>
      <c r="V261" s="5" t="str">
        <f>IFERROR(Table1[[#This Row],[Wholes (kg''s)]]/Table1[[#This Row],[Good Kernels (kg''s)]]%,"")</f>
        <v/>
      </c>
      <c r="W261" s="5" t="str">
        <f>IFERROR(Table1[[#This Row],[Pieces (kg''s)]]/Table1[[#This Row],[Good Kernels (kg''s)]]%,"")</f>
        <v/>
      </c>
      <c r="X261" s="5" t="str">
        <f>IFERROR(Table1[[#This Row],[First Pass Uncut (kg''s)]]/Table1[[#This Row],[Input Quantity (Kg''s)]]%,"")</f>
        <v/>
      </c>
      <c r="Y261" s="5" t="str">
        <f>IFERROR(Table1[[#This Row],[Final Uncut (kg''s)]]/Table1[[#This Row],[Input Quantity (Kg''s)]]%,"")</f>
        <v/>
      </c>
      <c r="Z261" s="21" t="str">
        <f>IFERROR(Table1[[#This Row],[Shell]]/Table1[[#This Row],[Input Quantity (Kg''s)]]%,"")</f>
        <v/>
      </c>
      <c r="AA261" s="21" t="str">
        <f>IFERROR(Table1[[#This Row],[Shell Dust]]/Table1[[#This Row],[Input Quantity (Kg''s)]]%,"")</f>
        <v/>
      </c>
    </row>
    <row r="262" spans="2:27" x14ac:dyDescent="0.3">
      <c r="B262" s="1"/>
      <c r="C262" s="15">
        <f>WEEKNUM(Table1[[#This Row],[Date]])</f>
        <v>0</v>
      </c>
      <c r="D262" s="1" t="str">
        <f>TEXT(Table1[[#This Row],[Date]],"mmm-yy")</f>
        <v>Jan-00</v>
      </c>
      <c r="E262" s="1"/>
      <c r="I262" s="3"/>
      <c r="M262" s="3"/>
      <c r="N262" s="3"/>
      <c r="O262" s="3"/>
      <c r="P262" s="3">
        <f>Table1[[#This Row],[Input Quantity (Kg''s)]]-SUM(Table1[[#This Row],[Wholes (kg''s)]:[Black Rejection (Kg''s)]],Table1[[#This Row],[Shell Dust]])</f>
        <v>0</v>
      </c>
      <c r="Q262" s="3">
        <f>SUM(Table1[[#This Row],[Wholes (kg''s)]:[Pieces (kg''s)]])</f>
        <v>0</v>
      </c>
      <c r="R262" s="3">
        <f>SUM(Table1[[#This Row],[Wholes (kg''s)]:[Black Rejection (Kg''s)]])</f>
        <v>0</v>
      </c>
      <c r="S262" s="4" t="str">
        <f>IFERROR(Table1[[#This Row],[Good Kernels (kg''s)]]/Table1[[#This Row],[Input Quantity (Kg''s)]]*176.36,"")</f>
        <v/>
      </c>
      <c r="T262" s="4" t="str">
        <f>IFERROR(Table1[[#This Row],[Good Kernels (kg''s)]]/Table1[[#This Row],[Input Quantity (Kg''s)]]%,"")</f>
        <v/>
      </c>
      <c r="U262" s="5" t="str">
        <f>IFERROR(Table1[[#This Row],[Final Kernels (kg''s)]]/Table1[[#This Row],[Input Quantity (Kg''s)]]%,"")</f>
        <v/>
      </c>
      <c r="V262" s="5" t="str">
        <f>IFERROR(Table1[[#This Row],[Wholes (kg''s)]]/Table1[[#This Row],[Good Kernels (kg''s)]]%,"")</f>
        <v/>
      </c>
      <c r="W262" s="5" t="str">
        <f>IFERROR(Table1[[#This Row],[Pieces (kg''s)]]/Table1[[#This Row],[Good Kernels (kg''s)]]%,"")</f>
        <v/>
      </c>
      <c r="X262" s="5" t="str">
        <f>IFERROR(Table1[[#This Row],[First Pass Uncut (kg''s)]]/Table1[[#This Row],[Input Quantity (Kg''s)]]%,"")</f>
        <v/>
      </c>
      <c r="Y262" s="5" t="str">
        <f>IFERROR(Table1[[#This Row],[Final Uncut (kg''s)]]/Table1[[#This Row],[Input Quantity (Kg''s)]]%,"")</f>
        <v/>
      </c>
      <c r="Z262" s="21" t="str">
        <f>IFERROR(Table1[[#This Row],[Shell]]/Table1[[#This Row],[Input Quantity (Kg''s)]]%,"")</f>
        <v/>
      </c>
      <c r="AA262" s="21" t="str">
        <f>IFERROR(Table1[[#This Row],[Shell Dust]]/Table1[[#This Row],[Input Quantity (Kg''s)]]%,"")</f>
        <v/>
      </c>
    </row>
    <row r="263" spans="2:27" x14ac:dyDescent="0.3">
      <c r="B263" s="1"/>
      <c r="C263" s="15">
        <f>WEEKNUM(Table1[[#This Row],[Date]])</f>
        <v>0</v>
      </c>
      <c r="D263" s="1" t="str">
        <f>TEXT(Table1[[#This Row],[Date]],"mmm-yy")</f>
        <v>Jan-00</v>
      </c>
      <c r="E263" s="1"/>
      <c r="I263" s="3"/>
      <c r="M263" s="3"/>
      <c r="N263" s="3"/>
      <c r="O263" s="3"/>
      <c r="P263" s="3">
        <f>Table1[[#This Row],[Input Quantity (Kg''s)]]-SUM(Table1[[#This Row],[Wholes (kg''s)]:[Black Rejection (Kg''s)]],Table1[[#This Row],[Shell Dust]])</f>
        <v>0</v>
      </c>
      <c r="Q263" s="3">
        <f>SUM(Table1[[#This Row],[Wholes (kg''s)]:[Pieces (kg''s)]])</f>
        <v>0</v>
      </c>
      <c r="R263" s="3">
        <f>SUM(Table1[[#This Row],[Wholes (kg''s)]:[Black Rejection (Kg''s)]])</f>
        <v>0</v>
      </c>
      <c r="S263" s="4" t="str">
        <f>IFERROR(Table1[[#This Row],[Good Kernels (kg''s)]]/Table1[[#This Row],[Input Quantity (Kg''s)]]*176.36,"")</f>
        <v/>
      </c>
      <c r="T263" s="4" t="str">
        <f>IFERROR(Table1[[#This Row],[Good Kernels (kg''s)]]/Table1[[#This Row],[Input Quantity (Kg''s)]]%,"")</f>
        <v/>
      </c>
      <c r="U263" s="5" t="str">
        <f>IFERROR(Table1[[#This Row],[Final Kernels (kg''s)]]/Table1[[#This Row],[Input Quantity (Kg''s)]]%,"")</f>
        <v/>
      </c>
      <c r="V263" s="5" t="str">
        <f>IFERROR(Table1[[#This Row],[Wholes (kg''s)]]/Table1[[#This Row],[Good Kernels (kg''s)]]%,"")</f>
        <v/>
      </c>
      <c r="W263" s="5" t="str">
        <f>IFERROR(Table1[[#This Row],[Pieces (kg''s)]]/Table1[[#This Row],[Good Kernels (kg''s)]]%,"")</f>
        <v/>
      </c>
      <c r="X263" s="5" t="str">
        <f>IFERROR(Table1[[#This Row],[First Pass Uncut (kg''s)]]/Table1[[#This Row],[Input Quantity (Kg''s)]]%,"")</f>
        <v/>
      </c>
      <c r="Y263" s="5" t="str">
        <f>IFERROR(Table1[[#This Row],[Final Uncut (kg''s)]]/Table1[[#This Row],[Input Quantity (Kg''s)]]%,"")</f>
        <v/>
      </c>
      <c r="Z263" s="21" t="str">
        <f>IFERROR(Table1[[#This Row],[Shell]]/Table1[[#This Row],[Input Quantity (Kg''s)]]%,"")</f>
        <v/>
      </c>
      <c r="AA263" s="21" t="str">
        <f>IFERROR(Table1[[#This Row],[Shell Dust]]/Table1[[#This Row],[Input Quantity (Kg''s)]]%,"")</f>
        <v/>
      </c>
    </row>
    <row r="264" spans="2:27" x14ac:dyDescent="0.3">
      <c r="B264" s="1"/>
      <c r="C264" s="15">
        <f>WEEKNUM(Table1[[#This Row],[Date]])</f>
        <v>0</v>
      </c>
      <c r="D264" s="1" t="str">
        <f>TEXT(Table1[[#This Row],[Date]],"mmm-yy")</f>
        <v>Jan-00</v>
      </c>
      <c r="E264" s="1"/>
      <c r="I264" s="3"/>
      <c r="M264" s="3"/>
      <c r="N264" s="3"/>
      <c r="O264" s="3"/>
      <c r="P264" s="3">
        <f>Table1[[#This Row],[Input Quantity (Kg''s)]]-SUM(Table1[[#This Row],[Wholes (kg''s)]:[Black Rejection (Kg''s)]],Table1[[#This Row],[Shell Dust]])</f>
        <v>0</v>
      </c>
      <c r="Q264" s="3">
        <f>SUM(Table1[[#This Row],[Wholes (kg''s)]:[Pieces (kg''s)]])</f>
        <v>0</v>
      </c>
      <c r="R264" s="3">
        <f>SUM(Table1[[#This Row],[Wholes (kg''s)]:[Black Rejection (Kg''s)]])</f>
        <v>0</v>
      </c>
      <c r="S264" s="4" t="str">
        <f>IFERROR(Table1[[#This Row],[Good Kernels (kg''s)]]/Table1[[#This Row],[Input Quantity (Kg''s)]]*176.36,"")</f>
        <v/>
      </c>
      <c r="T264" s="4" t="str">
        <f>IFERROR(Table1[[#This Row],[Good Kernels (kg''s)]]/Table1[[#This Row],[Input Quantity (Kg''s)]]%,"")</f>
        <v/>
      </c>
      <c r="U264" s="5" t="str">
        <f>IFERROR(Table1[[#This Row],[Final Kernels (kg''s)]]/Table1[[#This Row],[Input Quantity (Kg''s)]]%,"")</f>
        <v/>
      </c>
      <c r="V264" s="5" t="str">
        <f>IFERROR(Table1[[#This Row],[Wholes (kg''s)]]/Table1[[#This Row],[Good Kernels (kg''s)]]%,"")</f>
        <v/>
      </c>
      <c r="W264" s="5" t="str">
        <f>IFERROR(Table1[[#This Row],[Pieces (kg''s)]]/Table1[[#This Row],[Good Kernels (kg''s)]]%,"")</f>
        <v/>
      </c>
      <c r="X264" s="5" t="str">
        <f>IFERROR(Table1[[#This Row],[First Pass Uncut (kg''s)]]/Table1[[#This Row],[Input Quantity (Kg''s)]]%,"")</f>
        <v/>
      </c>
      <c r="Y264" s="5" t="str">
        <f>IFERROR(Table1[[#This Row],[Final Uncut (kg''s)]]/Table1[[#This Row],[Input Quantity (Kg''s)]]%,"")</f>
        <v/>
      </c>
      <c r="Z264" s="21" t="str">
        <f>IFERROR(Table1[[#This Row],[Shell]]/Table1[[#This Row],[Input Quantity (Kg''s)]]%,"")</f>
        <v/>
      </c>
      <c r="AA264" s="21" t="str">
        <f>IFERROR(Table1[[#This Row],[Shell Dust]]/Table1[[#This Row],[Input Quantity (Kg''s)]]%,"")</f>
        <v/>
      </c>
    </row>
    <row r="265" spans="2:27" x14ac:dyDescent="0.3">
      <c r="B265" s="1"/>
      <c r="C265" s="15">
        <f>WEEKNUM(Table1[[#This Row],[Date]])</f>
        <v>0</v>
      </c>
      <c r="D265" s="1" t="str">
        <f>TEXT(Table1[[#This Row],[Date]],"mmm-yy")</f>
        <v>Jan-00</v>
      </c>
      <c r="E265" s="1"/>
      <c r="I265" s="3"/>
      <c r="M265" s="3"/>
      <c r="N265" s="3"/>
      <c r="O265" s="3"/>
      <c r="P265" s="3">
        <f>Table1[[#This Row],[Input Quantity (Kg''s)]]-SUM(Table1[[#This Row],[Wholes (kg''s)]:[Black Rejection (Kg''s)]],Table1[[#This Row],[Shell Dust]])</f>
        <v>0</v>
      </c>
      <c r="Q265" s="3">
        <f>SUM(Table1[[#This Row],[Wholes (kg''s)]:[Pieces (kg''s)]])</f>
        <v>0</v>
      </c>
      <c r="R265" s="3">
        <f>SUM(Table1[[#This Row],[Wholes (kg''s)]:[Black Rejection (Kg''s)]])</f>
        <v>0</v>
      </c>
      <c r="S265" s="4" t="str">
        <f>IFERROR(Table1[[#This Row],[Good Kernels (kg''s)]]/Table1[[#This Row],[Input Quantity (Kg''s)]]*176.36,"")</f>
        <v/>
      </c>
      <c r="T265" s="4" t="str">
        <f>IFERROR(Table1[[#This Row],[Good Kernels (kg''s)]]/Table1[[#This Row],[Input Quantity (Kg''s)]]%,"")</f>
        <v/>
      </c>
      <c r="U265" s="5" t="str">
        <f>IFERROR(Table1[[#This Row],[Final Kernels (kg''s)]]/Table1[[#This Row],[Input Quantity (Kg''s)]]%,"")</f>
        <v/>
      </c>
      <c r="V265" s="5" t="str">
        <f>IFERROR(Table1[[#This Row],[Wholes (kg''s)]]/Table1[[#This Row],[Good Kernels (kg''s)]]%,"")</f>
        <v/>
      </c>
      <c r="W265" s="5" t="str">
        <f>IFERROR(Table1[[#This Row],[Pieces (kg''s)]]/Table1[[#This Row],[Good Kernels (kg''s)]]%,"")</f>
        <v/>
      </c>
      <c r="X265" s="5" t="str">
        <f>IFERROR(Table1[[#This Row],[First Pass Uncut (kg''s)]]/Table1[[#This Row],[Input Quantity (Kg''s)]]%,"")</f>
        <v/>
      </c>
      <c r="Y265" s="5" t="str">
        <f>IFERROR(Table1[[#This Row],[Final Uncut (kg''s)]]/Table1[[#This Row],[Input Quantity (Kg''s)]]%,"")</f>
        <v/>
      </c>
      <c r="Z265" s="21" t="str">
        <f>IFERROR(Table1[[#This Row],[Shell]]/Table1[[#This Row],[Input Quantity (Kg''s)]]%,"")</f>
        <v/>
      </c>
      <c r="AA265" s="21" t="str">
        <f>IFERROR(Table1[[#This Row],[Shell Dust]]/Table1[[#This Row],[Input Quantity (Kg''s)]]%,"")</f>
        <v/>
      </c>
    </row>
    <row r="266" spans="2:27" x14ac:dyDescent="0.3">
      <c r="B266" s="1"/>
      <c r="C266" s="15">
        <f>WEEKNUM(Table1[[#This Row],[Date]])</f>
        <v>0</v>
      </c>
      <c r="D266" s="1" t="str">
        <f>TEXT(Table1[[#This Row],[Date]],"mmm-yy")</f>
        <v>Jan-00</v>
      </c>
      <c r="E266" s="1"/>
      <c r="I266" s="3"/>
      <c r="M266" s="3"/>
      <c r="N266" s="3"/>
      <c r="O266" s="3"/>
      <c r="P266" s="3">
        <f>Table1[[#This Row],[Input Quantity (Kg''s)]]-SUM(Table1[[#This Row],[Wholes (kg''s)]:[Black Rejection (Kg''s)]],Table1[[#This Row],[Shell Dust]])</f>
        <v>0</v>
      </c>
      <c r="Q266" s="3">
        <f>SUM(Table1[[#This Row],[Wholes (kg''s)]:[Pieces (kg''s)]])</f>
        <v>0</v>
      </c>
      <c r="R266" s="3">
        <f>SUM(Table1[[#This Row],[Wholes (kg''s)]:[Black Rejection (Kg''s)]])</f>
        <v>0</v>
      </c>
      <c r="S266" s="4" t="str">
        <f>IFERROR(Table1[[#This Row],[Good Kernels (kg''s)]]/Table1[[#This Row],[Input Quantity (Kg''s)]]*176.36,"")</f>
        <v/>
      </c>
      <c r="T266" s="4" t="str">
        <f>IFERROR(Table1[[#This Row],[Good Kernels (kg''s)]]/Table1[[#This Row],[Input Quantity (Kg''s)]]%,"")</f>
        <v/>
      </c>
      <c r="U266" s="5" t="str">
        <f>IFERROR(Table1[[#This Row],[Final Kernels (kg''s)]]/Table1[[#This Row],[Input Quantity (Kg''s)]]%,"")</f>
        <v/>
      </c>
      <c r="V266" s="5" t="str">
        <f>IFERROR(Table1[[#This Row],[Wholes (kg''s)]]/Table1[[#This Row],[Good Kernels (kg''s)]]%,"")</f>
        <v/>
      </c>
      <c r="W266" s="5" t="str">
        <f>IFERROR(Table1[[#This Row],[Pieces (kg''s)]]/Table1[[#This Row],[Good Kernels (kg''s)]]%,"")</f>
        <v/>
      </c>
      <c r="X266" s="5" t="str">
        <f>IFERROR(Table1[[#This Row],[First Pass Uncut (kg''s)]]/Table1[[#This Row],[Input Quantity (Kg''s)]]%,"")</f>
        <v/>
      </c>
      <c r="Y266" s="5" t="str">
        <f>IFERROR(Table1[[#This Row],[Final Uncut (kg''s)]]/Table1[[#This Row],[Input Quantity (Kg''s)]]%,"")</f>
        <v/>
      </c>
      <c r="Z266" s="21" t="str">
        <f>IFERROR(Table1[[#This Row],[Shell]]/Table1[[#This Row],[Input Quantity (Kg''s)]]%,"")</f>
        <v/>
      </c>
      <c r="AA266" s="21" t="str">
        <f>IFERROR(Table1[[#This Row],[Shell Dust]]/Table1[[#This Row],[Input Quantity (Kg''s)]]%,"")</f>
        <v/>
      </c>
    </row>
    <row r="267" spans="2:27" x14ac:dyDescent="0.3">
      <c r="B267" s="1"/>
      <c r="C267" s="15">
        <f>WEEKNUM(Table1[[#This Row],[Date]])</f>
        <v>0</v>
      </c>
      <c r="D267" s="1" t="str">
        <f>TEXT(Table1[[#This Row],[Date]],"mmm-yy")</f>
        <v>Jan-00</v>
      </c>
      <c r="E267" s="1"/>
      <c r="I267" s="3"/>
      <c r="M267" s="3"/>
      <c r="N267" s="3"/>
      <c r="O267" s="3"/>
      <c r="P267" s="3">
        <f>Table1[[#This Row],[Input Quantity (Kg''s)]]-SUM(Table1[[#This Row],[Wholes (kg''s)]:[Black Rejection (Kg''s)]],Table1[[#This Row],[Shell Dust]])</f>
        <v>0</v>
      </c>
      <c r="Q267" s="3">
        <f>SUM(Table1[[#This Row],[Wholes (kg''s)]:[Pieces (kg''s)]])</f>
        <v>0</v>
      </c>
      <c r="R267" s="3">
        <f>SUM(Table1[[#This Row],[Wholes (kg''s)]:[Black Rejection (Kg''s)]])</f>
        <v>0</v>
      </c>
      <c r="S267" s="4" t="str">
        <f>IFERROR(Table1[[#This Row],[Good Kernels (kg''s)]]/Table1[[#This Row],[Input Quantity (Kg''s)]]*176.36,"")</f>
        <v/>
      </c>
      <c r="T267" s="4" t="str">
        <f>IFERROR(Table1[[#This Row],[Good Kernels (kg''s)]]/Table1[[#This Row],[Input Quantity (Kg''s)]]%,"")</f>
        <v/>
      </c>
      <c r="U267" s="5" t="str">
        <f>IFERROR(Table1[[#This Row],[Final Kernels (kg''s)]]/Table1[[#This Row],[Input Quantity (Kg''s)]]%,"")</f>
        <v/>
      </c>
      <c r="V267" s="5" t="str">
        <f>IFERROR(Table1[[#This Row],[Wholes (kg''s)]]/Table1[[#This Row],[Good Kernels (kg''s)]]%,"")</f>
        <v/>
      </c>
      <c r="W267" s="5" t="str">
        <f>IFERROR(Table1[[#This Row],[Pieces (kg''s)]]/Table1[[#This Row],[Good Kernels (kg''s)]]%,"")</f>
        <v/>
      </c>
      <c r="X267" s="5" t="str">
        <f>IFERROR(Table1[[#This Row],[First Pass Uncut (kg''s)]]/Table1[[#This Row],[Input Quantity (Kg''s)]]%,"")</f>
        <v/>
      </c>
      <c r="Y267" s="5" t="str">
        <f>IFERROR(Table1[[#This Row],[Final Uncut (kg''s)]]/Table1[[#This Row],[Input Quantity (Kg''s)]]%,"")</f>
        <v/>
      </c>
      <c r="Z267" s="21" t="str">
        <f>IFERROR(Table1[[#This Row],[Shell]]/Table1[[#This Row],[Input Quantity (Kg''s)]]%,"")</f>
        <v/>
      </c>
      <c r="AA267" s="21" t="str">
        <f>IFERROR(Table1[[#This Row],[Shell Dust]]/Table1[[#This Row],[Input Quantity (Kg''s)]]%,"")</f>
        <v/>
      </c>
    </row>
    <row r="268" spans="2:27" x14ac:dyDescent="0.3">
      <c r="B268" s="1"/>
      <c r="C268" s="15">
        <f>WEEKNUM(Table1[[#This Row],[Date]])</f>
        <v>0</v>
      </c>
      <c r="D268" s="1" t="str">
        <f>TEXT(Table1[[#This Row],[Date]],"mmm-yy")</f>
        <v>Jan-00</v>
      </c>
      <c r="E268" s="1"/>
      <c r="I268" s="3"/>
      <c r="M268" s="3"/>
      <c r="N268" s="3"/>
      <c r="O268" s="3"/>
      <c r="P268" s="3">
        <f>Table1[[#This Row],[Input Quantity (Kg''s)]]-SUM(Table1[[#This Row],[Wholes (kg''s)]:[Black Rejection (Kg''s)]],Table1[[#This Row],[Shell Dust]])</f>
        <v>0</v>
      </c>
      <c r="Q268" s="3">
        <f>SUM(Table1[[#This Row],[Wholes (kg''s)]:[Pieces (kg''s)]])</f>
        <v>0</v>
      </c>
      <c r="R268" s="3">
        <f>SUM(Table1[[#This Row],[Wholes (kg''s)]:[Black Rejection (Kg''s)]])</f>
        <v>0</v>
      </c>
      <c r="S268" s="4" t="str">
        <f>IFERROR(Table1[[#This Row],[Good Kernels (kg''s)]]/Table1[[#This Row],[Input Quantity (Kg''s)]]*176.36,"")</f>
        <v/>
      </c>
      <c r="T268" s="4" t="str">
        <f>IFERROR(Table1[[#This Row],[Good Kernels (kg''s)]]/Table1[[#This Row],[Input Quantity (Kg''s)]]%,"")</f>
        <v/>
      </c>
      <c r="U268" s="5" t="str">
        <f>IFERROR(Table1[[#This Row],[Final Kernels (kg''s)]]/Table1[[#This Row],[Input Quantity (Kg''s)]]%,"")</f>
        <v/>
      </c>
      <c r="V268" s="5" t="str">
        <f>IFERROR(Table1[[#This Row],[Wholes (kg''s)]]/Table1[[#This Row],[Good Kernels (kg''s)]]%,"")</f>
        <v/>
      </c>
      <c r="W268" s="5" t="str">
        <f>IFERROR(Table1[[#This Row],[Pieces (kg''s)]]/Table1[[#This Row],[Good Kernels (kg''s)]]%,"")</f>
        <v/>
      </c>
      <c r="X268" s="5" t="str">
        <f>IFERROR(Table1[[#This Row],[First Pass Uncut (kg''s)]]/Table1[[#This Row],[Input Quantity (Kg''s)]]%,"")</f>
        <v/>
      </c>
      <c r="Y268" s="5" t="str">
        <f>IFERROR(Table1[[#This Row],[Final Uncut (kg''s)]]/Table1[[#This Row],[Input Quantity (Kg''s)]]%,"")</f>
        <v/>
      </c>
      <c r="Z268" s="21" t="str">
        <f>IFERROR(Table1[[#This Row],[Shell]]/Table1[[#This Row],[Input Quantity (Kg''s)]]%,"")</f>
        <v/>
      </c>
      <c r="AA268" s="21" t="str">
        <f>IFERROR(Table1[[#This Row],[Shell Dust]]/Table1[[#This Row],[Input Quantity (Kg''s)]]%,"")</f>
        <v/>
      </c>
    </row>
    <row r="269" spans="2:27" x14ac:dyDescent="0.3">
      <c r="B269" s="1"/>
      <c r="C269" s="15">
        <f>WEEKNUM(Table1[[#This Row],[Date]])</f>
        <v>0</v>
      </c>
      <c r="D269" s="1" t="str">
        <f>TEXT(Table1[[#This Row],[Date]],"mmm-yy")</f>
        <v>Jan-00</v>
      </c>
      <c r="E269" s="1"/>
      <c r="I269" s="3"/>
      <c r="M269" s="3"/>
      <c r="N269" s="3"/>
      <c r="O269" s="3"/>
      <c r="P269" s="3">
        <f>Table1[[#This Row],[Input Quantity (Kg''s)]]-SUM(Table1[[#This Row],[Wholes (kg''s)]:[Black Rejection (Kg''s)]],Table1[[#This Row],[Shell Dust]])</f>
        <v>0</v>
      </c>
      <c r="Q269" s="3">
        <f>SUM(Table1[[#This Row],[Wholes (kg''s)]:[Pieces (kg''s)]])</f>
        <v>0</v>
      </c>
      <c r="R269" s="3">
        <f>SUM(Table1[[#This Row],[Wholes (kg''s)]:[Black Rejection (Kg''s)]])</f>
        <v>0</v>
      </c>
      <c r="S269" s="4" t="str">
        <f>IFERROR(Table1[[#This Row],[Good Kernels (kg''s)]]/Table1[[#This Row],[Input Quantity (Kg''s)]]*176.36,"")</f>
        <v/>
      </c>
      <c r="T269" s="4" t="str">
        <f>IFERROR(Table1[[#This Row],[Good Kernels (kg''s)]]/Table1[[#This Row],[Input Quantity (Kg''s)]]%,"")</f>
        <v/>
      </c>
      <c r="U269" s="5" t="str">
        <f>IFERROR(Table1[[#This Row],[Final Kernels (kg''s)]]/Table1[[#This Row],[Input Quantity (Kg''s)]]%,"")</f>
        <v/>
      </c>
      <c r="V269" s="5" t="str">
        <f>IFERROR(Table1[[#This Row],[Wholes (kg''s)]]/Table1[[#This Row],[Good Kernels (kg''s)]]%,"")</f>
        <v/>
      </c>
      <c r="W269" s="5" t="str">
        <f>IFERROR(Table1[[#This Row],[Pieces (kg''s)]]/Table1[[#This Row],[Good Kernels (kg''s)]]%,"")</f>
        <v/>
      </c>
      <c r="X269" s="5" t="str">
        <f>IFERROR(Table1[[#This Row],[First Pass Uncut (kg''s)]]/Table1[[#This Row],[Input Quantity (Kg''s)]]%,"")</f>
        <v/>
      </c>
      <c r="Y269" s="5" t="str">
        <f>IFERROR(Table1[[#This Row],[Final Uncut (kg''s)]]/Table1[[#This Row],[Input Quantity (Kg''s)]]%,"")</f>
        <v/>
      </c>
      <c r="Z269" s="21" t="str">
        <f>IFERROR(Table1[[#This Row],[Shell]]/Table1[[#This Row],[Input Quantity (Kg''s)]]%,"")</f>
        <v/>
      </c>
      <c r="AA269" s="21" t="str">
        <f>IFERROR(Table1[[#This Row],[Shell Dust]]/Table1[[#This Row],[Input Quantity (Kg''s)]]%,"")</f>
        <v/>
      </c>
    </row>
    <row r="270" spans="2:27" x14ac:dyDescent="0.3">
      <c r="B270" s="1"/>
      <c r="C270" s="15">
        <f>WEEKNUM(Table1[[#This Row],[Date]])</f>
        <v>0</v>
      </c>
      <c r="D270" s="1" t="str">
        <f>TEXT(Table1[[#This Row],[Date]],"mmm-yy")</f>
        <v>Jan-00</v>
      </c>
      <c r="E270" s="1"/>
      <c r="I270" s="3"/>
      <c r="M270" s="3"/>
      <c r="N270" s="3"/>
      <c r="O270" s="3"/>
      <c r="P270" s="3">
        <f>Table1[[#This Row],[Input Quantity (Kg''s)]]-SUM(Table1[[#This Row],[Wholes (kg''s)]:[Black Rejection (Kg''s)]],Table1[[#This Row],[Shell Dust]])</f>
        <v>0</v>
      </c>
      <c r="Q270" s="3">
        <f>SUM(Table1[[#This Row],[Wholes (kg''s)]:[Pieces (kg''s)]])</f>
        <v>0</v>
      </c>
      <c r="R270" s="3">
        <f>SUM(Table1[[#This Row],[Wholes (kg''s)]:[Black Rejection (Kg''s)]])</f>
        <v>0</v>
      </c>
      <c r="S270" s="4" t="str">
        <f>IFERROR(Table1[[#This Row],[Good Kernels (kg''s)]]/Table1[[#This Row],[Input Quantity (Kg''s)]]*176.36,"")</f>
        <v/>
      </c>
      <c r="T270" s="4" t="str">
        <f>IFERROR(Table1[[#This Row],[Good Kernels (kg''s)]]/Table1[[#This Row],[Input Quantity (Kg''s)]]%,"")</f>
        <v/>
      </c>
      <c r="U270" s="5" t="str">
        <f>IFERROR(Table1[[#This Row],[Final Kernels (kg''s)]]/Table1[[#This Row],[Input Quantity (Kg''s)]]%,"")</f>
        <v/>
      </c>
      <c r="V270" s="5" t="str">
        <f>IFERROR(Table1[[#This Row],[Wholes (kg''s)]]/Table1[[#This Row],[Good Kernels (kg''s)]]%,"")</f>
        <v/>
      </c>
      <c r="W270" s="5" t="str">
        <f>IFERROR(Table1[[#This Row],[Pieces (kg''s)]]/Table1[[#This Row],[Good Kernels (kg''s)]]%,"")</f>
        <v/>
      </c>
      <c r="X270" s="5" t="str">
        <f>IFERROR(Table1[[#This Row],[First Pass Uncut (kg''s)]]/Table1[[#This Row],[Input Quantity (Kg''s)]]%,"")</f>
        <v/>
      </c>
      <c r="Y270" s="5" t="str">
        <f>IFERROR(Table1[[#This Row],[Final Uncut (kg''s)]]/Table1[[#This Row],[Input Quantity (Kg''s)]]%,"")</f>
        <v/>
      </c>
      <c r="Z270" s="21" t="str">
        <f>IFERROR(Table1[[#This Row],[Shell]]/Table1[[#This Row],[Input Quantity (Kg''s)]]%,"")</f>
        <v/>
      </c>
      <c r="AA270" s="21" t="str">
        <f>IFERROR(Table1[[#This Row],[Shell Dust]]/Table1[[#This Row],[Input Quantity (Kg''s)]]%,"")</f>
        <v/>
      </c>
    </row>
    <row r="271" spans="2:27" x14ac:dyDescent="0.3">
      <c r="B271" s="1"/>
      <c r="C271" s="15">
        <f>WEEKNUM(Table1[[#This Row],[Date]])</f>
        <v>0</v>
      </c>
      <c r="D271" s="1" t="str">
        <f>TEXT(Table1[[#This Row],[Date]],"mmm-yy")</f>
        <v>Jan-00</v>
      </c>
      <c r="E271" s="1"/>
      <c r="I271" s="3"/>
      <c r="M271" s="3"/>
      <c r="N271" s="3"/>
      <c r="O271" s="3"/>
      <c r="P271" s="3">
        <f>Table1[[#This Row],[Input Quantity (Kg''s)]]-SUM(Table1[[#This Row],[Wholes (kg''s)]:[Black Rejection (Kg''s)]],Table1[[#This Row],[Shell Dust]])</f>
        <v>0</v>
      </c>
      <c r="Q271" s="3">
        <f>SUM(Table1[[#This Row],[Wholes (kg''s)]:[Pieces (kg''s)]])</f>
        <v>0</v>
      </c>
      <c r="R271" s="3">
        <f>SUM(Table1[[#This Row],[Wholes (kg''s)]:[Black Rejection (Kg''s)]])</f>
        <v>0</v>
      </c>
      <c r="S271" s="4" t="str">
        <f>IFERROR(Table1[[#This Row],[Good Kernels (kg''s)]]/Table1[[#This Row],[Input Quantity (Kg''s)]]*176.36,"")</f>
        <v/>
      </c>
      <c r="T271" s="4" t="str">
        <f>IFERROR(Table1[[#This Row],[Good Kernels (kg''s)]]/Table1[[#This Row],[Input Quantity (Kg''s)]]%,"")</f>
        <v/>
      </c>
      <c r="U271" s="5" t="str">
        <f>IFERROR(Table1[[#This Row],[Final Kernels (kg''s)]]/Table1[[#This Row],[Input Quantity (Kg''s)]]%,"")</f>
        <v/>
      </c>
      <c r="V271" s="5" t="str">
        <f>IFERROR(Table1[[#This Row],[Wholes (kg''s)]]/Table1[[#This Row],[Good Kernels (kg''s)]]%,"")</f>
        <v/>
      </c>
      <c r="W271" s="5" t="str">
        <f>IFERROR(Table1[[#This Row],[Pieces (kg''s)]]/Table1[[#This Row],[Good Kernels (kg''s)]]%,"")</f>
        <v/>
      </c>
      <c r="X271" s="5" t="str">
        <f>IFERROR(Table1[[#This Row],[First Pass Uncut (kg''s)]]/Table1[[#This Row],[Input Quantity (Kg''s)]]%,"")</f>
        <v/>
      </c>
      <c r="Y271" s="5" t="str">
        <f>IFERROR(Table1[[#This Row],[Final Uncut (kg''s)]]/Table1[[#This Row],[Input Quantity (Kg''s)]]%,"")</f>
        <v/>
      </c>
      <c r="Z271" s="21" t="str">
        <f>IFERROR(Table1[[#This Row],[Shell]]/Table1[[#This Row],[Input Quantity (Kg''s)]]%,"")</f>
        <v/>
      </c>
      <c r="AA271" s="21" t="str">
        <f>IFERROR(Table1[[#This Row],[Shell Dust]]/Table1[[#This Row],[Input Quantity (Kg''s)]]%,"")</f>
        <v/>
      </c>
    </row>
    <row r="272" spans="2:27" x14ac:dyDescent="0.3">
      <c r="B272" s="1"/>
      <c r="C272" s="15">
        <f>WEEKNUM(Table1[[#This Row],[Date]])</f>
        <v>0</v>
      </c>
      <c r="D272" s="1" t="str">
        <f>TEXT(Table1[[#This Row],[Date]],"mmm-yy")</f>
        <v>Jan-00</v>
      </c>
      <c r="E272" s="1"/>
      <c r="I272" s="3"/>
      <c r="M272" s="3"/>
      <c r="N272" s="3"/>
      <c r="O272" s="3"/>
      <c r="P272" s="3">
        <f>Table1[[#This Row],[Input Quantity (Kg''s)]]-SUM(Table1[[#This Row],[Wholes (kg''s)]:[Black Rejection (Kg''s)]],Table1[[#This Row],[Shell Dust]])</f>
        <v>0</v>
      </c>
      <c r="Q272" s="3">
        <f>SUM(Table1[[#This Row],[Wholes (kg''s)]:[Pieces (kg''s)]])</f>
        <v>0</v>
      </c>
      <c r="R272" s="3">
        <f>SUM(Table1[[#This Row],[Wholes (kg''s)]:[Black Rejection (Kg''s)]])</f>
        <v>0</v>
      </c>
      <c r="S272" s="4" t="str">
        <f>IFERROR(Table1[[#This Row],[Good Kernels (kg''s)]]/Table1[[#This Row],[Input Quantity (Kg''s)]]*176.36,"")</f>
        <v/>
      </c>
      <c r="T272" s="4" t="str">
        <f>IFERROR(Table1[[#This Row],[Good Kernels (kg''s)]]/Table1[[#This Row],[Input Quantity (Kg''s)]]%,"")</f>
        <v/>
      </c>
      <c r="U272" s="5" t="str">
        <f>IFERROR(Table1[[#This Row],[Final Kernels (kg''s)]]/Table1[[#This Row],[Input Quantity (Kg''s)]]%,"")</f>
        <v/>
      </c>
      <c r="V272" s="5" t="str">
        <f>IFERROR(Table1[[#This Row],[Wholes (kg''s)]]/Table1[[#This Row],[Good Kernels (kg''s)]]%,"")</f>
        <v/>
      </c>
      <c r="W272" s="5" t="str">
        <f>IFERROR(Table1[[#This Row],[Pieces (kg''s)]]/Table1[[#This Row],[Good Kernels (kg''s)]]%,"")</f>
        <v/>
      </c>
      <c r="X272" s="5" t="str">
        <f>IFERROR(Table1[[#This Row],[First Pass Uncut (kg''s)]]/Table1[[#This Row],[Input Quantity (Kg''s)]]%,"")</f>
        <v/>
      </c>
      <c r="Y272" s="5" t="str">
        <f>IFERROR(Table1[[#This Row],[Final Uncut (kg''s)]]/Table1[[#This Row],[Input Quantity (Kg''s)]]%,"")</f>
        <v/>
      </c>
      <c r="Z272" s="21" t="str">
        <f>IFERROR(Table1[[#This Row],[Shell]]/Table1[[#This Row],[Input Quantity (Kg''s)]]%,"")</f>
        <v/>
      </c>
      <c r="AA272" s="21" t="str">
        <f>IFERROR(Table1[[#This Row],[Shell Dust]]/Table1[[#This Row],[Input Quantity (Kg''s)]]%,"")</f>
        <v/>
      </c>
    </row>
    <row r="273" spans="2:27" x14ac:dyDescent="0.3">
      <c r="B273" s="1"/>
      <c r="C273" s="15">
        <f>WEEKNUM(Table1[[#This Row],[Date]])</f>
        <v>0</v>
      </c>
      <c r="D273" s="1" t="str">
        <f>TEXT(Table1[[#This Row],[Date]],"mmm-yy")</f>
        <v>Jan-00</v>
      </c>
      <c r="E273" s="1"/>
      <c r="I273" s="3"/>
      <c r="M273" s="3"/>
      <c r="N273" s="3"/>
      <c r="O273" s="3"/>
      <c r="P273" s="3">
        <f>Table1[[#This Row],[Input Quantity (Kg''s)]]-SUM(Table1[[#This Row],[Wholes (kg''s)]:[Black Rejection (Kg''s)]],Table1[[#This Row],[Shell Dust]])</f>
        <v>0</v>
      </c>
      <c r="Q273" s="3">
        <f>SUM(Table1[[#This Row],[Wholes (kg''s)]:[Pieces (kg''s)]])</f>
        <v>0</v>
      </c>
      <c r="R273" s="3">
        <f>SUM(Table1[[#This Row],[Wholes (kg''s)]:[Black Rejection (Kg''s)]])</f>
        <v>0</v>
      </c>
      <c r="S273" s="4" t="str">
        <f>IFERROR(Table1[[#This Row],[Good Kernels (kg''s)]]/Table1[[#This Row],[Input Quantity (Kg''s)]]*176.36,"")</f>
        <v/>
      </c>
      <c r="T273" s="4" t="str">
        <f>IFERROR(Table1[[#This Row],[Good Kernels (kg''s)]]/Table1[[#This Row],[Input Quantity (Kg''s)]]%,"")</f>
        <v/>
      </c>
      <c r="U273" s="5" t="str">
        <f>IFERROR(Table1[[#This Row],[Final Kernels (kg''s)]]/Table1[[#This Row],[Input Quantity (Kg''s)]]%,"")</f>
        <v/>
      </c>
      <c r="V273" s="5" t="str">
        <f>IFERROR(Table1[[#This Row],[Wholes (kg''s)]]/Table1[[#This Row],[Good Kernels (kg''s)]]%,"")</f>
        <v/>
      </c>
      <c r="W273" s="5" t="str">
        <f>IFERROR(Table1[[#This Row],[Pieces (kg''s)]]/Table1[[#This Row],[Good Kernels (kg''s)]]%,"")</f>
        <v/>
      </c>
      <c r="X273" s="5" t="str">
        <f>IFERROR(Table1[[#This Row],[First Pass Uncut (kg''s)]]/Table1[[#This Row],[Input Quantity (Kg''s)]]%,"")</f>
        <v/>
      </c>
      <c r="Y273" s="5" t="str">
        <f>IFERROR(Table1[[#This Row],[Final Uncut (kg''s)]]/Table1[[#This Row],[Input Quantity (Kg''s)]]%,"")</f>
        <v/>
      </c>
      <c r="Z273" s="21" t="str">
        <f>IFERROR(Table1[[#This Row],[Shell]]/Table1[[#This Row],[Input Quantity (Kg''s)]]%,"")</f>
        <v/>
      </c>
      <c r="AA273" s="21" t="str">
        <f>IFERROR(Table1[[#This Row],[Shell Dust]]/Table1[[#This Row],[Input Quantity (Kg''s)]]%,"")</f>
        <v/>
      </c>
    </row>
    <row r="274" spans="2:27" x14ac:dyDescent="0.3">
      <c r="B274" s="1"/>
      <c r="C274" s="15">
        <f>WEEKNUM(Table1[[#This Row],[Date]])</f>
        <v>0</v>
      </c>
      <c r="D274" s="1" t="str">
        <f>TEXT(Table1[[#This Row],[Date]],"mmm-yy")</f>
        <v>Jan-00</v>
      </c>
      <c r="E274" s="1"/>
      <c r="I274" s="3"/>
      <c r="M274" s="3"/>
      <c r="N274" s="3"/>
      <c r="O274" s="3"/>
      <c r="P274" s="3">
        <f>Table1[[#This Row],[Input Quantity (Kg''s)]]-SUM(Table1[[#This Row],[Wholes (kg''s)]:[Black Rejection (Kg''s)]],Table1[[#This Row],[Shell Dust]])</f>
        <v>0</v>
      </c>
      <c r="Q274" s="3">
        <f>SUM(Table1[[#This Row],[Wholes (kg''s)]:[Pieces (kg''s)]])</f>
        <v>0</v>
      </c>
      <c r="R274" s="3">
        <f>SUM(Table1[[#This Row],[Wholes (kg''s)]:[Black Rejection (Kg''s)]])</f>
        <v>0</v>
      </c>
      <c r="S274" s="4" t="str">
        <f>IFERROR(Table1[[#This Row],[Good Kernels (kg''s)]]/Table1[[#This Row],[Input Quantity (Kg''s)]]*176.36,"")</f>
        <v/>
      </c>
      <c r="T274" s="4" t="str">
        <f>IFERROR(Table1[[#This Row],[Good Kernels (kg''s)]]/Table1[[#This Row],[Input Quantity (Kg''s)]]%,"")</f>
        <v/>
      </c>
      <c r="U274" s="5" t="str">
        <f>IFERROR(Table1[[#This Row],[Final Kernels (kg''s)]]/Table1[[#This Row],[Input Quantity (Kg''s)]]%,"")</f>
        <v/>
      </c>
      <c r="V274" s="5" t="str">
        <f>IFERROR(Table1[[#This Row],[Wholes (kg''s)]]/Table1[[#This Row],[Good Kernels (kg''s)]]%,"")</f>
        <v/>
      </c>
      <c r="W274" s="5" t="str">
        <f>IFERROR(Table1[[#This Row],[Pieces (kg''s)]]/Table1[[#This Row],[Good Kernels (kg''s)]]%,"")</f>
        <v/>
      </c>
      <c r="X274" s="5" t="str">
        <f>IFERROR(Table1[[#This Row],[First Pass Uncut (kg''s)]]/Table1[[#This Row],[Input Quantity (Kg''s)]]%,"")</f>
        <v/>
      </c>
      <c r="Y274" s="5" t="str">
        <f>IFERROR(Table1[[#This Row],[Final Uncut (kg''s)]]/Table1[[#This Row],[Input Quantity (Kg''s)]]%,"")</f>
        <v/>
      </c>
      <c r="Z274" s="21" t="str">
        <f>IFERROR(Table1[[#This Row],[Shell]]/Table1[[#This Row],[Input Quantity (Kg''s)]]%,"")</f>
        <v/>
      </c>
      <c r="AA274" s="21" t="str">
        <f>IFERROR(Table1[[#This Row],[Shell Dust]]/Table1[[#This Row],[Input Quantity (Kg''s)]]%,"")</f>
        <v/>
      </c>
    </row>
    <row r="275" spans="2:27" x14ac:dyDescent="0.3">
      <c r="B275" s="1"/>
      <c r="C275" s="15">
        <f>WEEKNUM(Table1[[#This Row],[Date]])</f>
        <v>0</v>
      </c>
      <c r="D275" s="1" t="str">
        <f>TEXT(Table1[[#This Row],[Date]],"mmm-yy")</f>
        <v>Jan-00</v>
      </c>
      <c r="E275" s="1"/>
      <c r="I275" s="3"/>
      <c r="M275" s="3"/>
      <c r="N275" s="3"/>
      <c r="O275" s="3"/>
      <c r="P275" s="3">
        <f>Table1[[#This Row],[Input Quantity (Kg''s)]]-SUM(Table1[[#This Row],[Wholes (kg''s)]:[Black Rejection (Kg''s)]],Table1[[#This Row],[Shell Dust]])</f>
        <v>0</v>
      </c>
      <c r="Q275" s="3">
        <f>SUM(Table1[[#This Row],[Wholes (kg''s)]:[Pieces (kg''s)]])</f>
        <v>0</v>
      </c>
      <c r="R275" s="3">
        <f>SUM(Table1[[#This Row],[Wholes (kg''s)]:[Black Rejection (Kg''s)]])</f>
        <v>0</v>
      </c>
      <c r="S275" s="4" t="str">
        <f>IFERROR(Table1[[#This Row],[Good Kernels (kg''s)]]/Table1[[#This Row],[Input Quantity (Kg''s)]]*176.36,"")</f>
        <v/>
      </c>
      <c r="T275" s="4" t="str">
        <f>IFERROR(Table1[[#This Row],[Good Kernels (kg''s)]]/Table1[[#This Row],[Input Quantity (Kg''s)]]%,"")</f>
        <v/>
      </c>
      <c r="U275" s="5" t="str">
        <f>IFERROR(Table1[[#This Row],[Final Kernels (kg''s)]]/Table1[[#This Row],[Input Quantity (Kg''s)]]%,"")</f>
        <v/>
      </c>
      <c r="V275" s="5" t="str">
        <f>IFERROR(Table1[[#This Row],[Wholes (kg''s)]]/Table1[[#This Row],[Good Kernels (kg''s)]]%,"")</f>
        <v/>
      </c>
      <c r="W275" s="5" t="str">
        <f>IFERROR(Table1[[#This Row],[Pieces (kg''s)]]/Table1[[#This Row],[Good Kernels (kg''s)]]%,"")</f>
        <v/>
      </c>
      <c r="X275" s="5" t="str">
        <f>IFERROR(Table1[[#This Row],[First Pass Uncut (kg''s)]]/Table1[[#This Row],[Input Quantity (Kg''s)]]%,"")</f>
        <v/>
      </c>
      <c r="Y275" s="5" t="str">
        <f>IFERROR(Table1[[#This Row],[Final Uncut (kg''s)]]/Table1[[#This Row],[Input Quantity (Kg''s)]]%,"")</f>
        <v/>
      </c>
      <c r="Z275" s="21" t="str">
        <f>IFERROR(Table1[[#This Row],[Shell]]/Table1[[#This Row],[Input Quantity (Kg''s)]]%,"")</f>
        <v/>
      </c>
      <c r="AA275" s="21" t="str">
        <f>IFERROR(Table1[[#This Row],[Shell Dust]]/Table1[[#This Row],[Input Quantity (Kg''s)]]%,"")</f>
        <v/>
      </c>
    </row>
    <row r="276" spans="2:27" x14ac:dyDescent="0.3">
      <c r="B276" s="1"/>
      <c r="C276" s="15">
        <f>WEEKNUM(Table1[[#This Row],[Date]])</f>
        <v>0</v>
      </c>
      <c r="D276" s="1" t="str">
        <f>TEXT(Table1[[#This Row],[Date]],"mmm-yy")</f>
        <v>Jan-00</v>
      </c>
      <c r="E276" s="1"/>
      <c r="I276" s="3"/>
      <c r="M276" s="3"/>
      <c r="N276" s="3"/>
      <c r="O276" s="3"/>
      <c r="P276" s="3">
        <f>Table1[[#This Row],[Input Quantity (Kg''s)]]-SUM(Table1[[#This Row],[Wholes (kg''s)]:[Black Rejection (Kg''s)]],Table1[[#This Row],[Shell Dust]])</f>
        <v>0</v>
      </c>
      <c r="Q276" s="3">
        <f>SUM(Table1[[#This Row],[Wholes (kg''s)]:[Pieces (kg''s)]])</f>
        <v>0</v>
      </c>
      <c r="R276" s="3">
        <f>SUM(Table1[[#This Row],[Wholes (kg''s)]:[Black Rejection (Kg''s)]])</f>
        <v>0</v>
      </c>
      <c r="S276" s="4" t="str">
        <f>IFERROR(Table1[[#This Row],[Good Kernels (kg''s)]]/Table1[[#This Row],[Input Quantity (Kg''s)]]*176.36,"")</f>
        <v/>
      </c>
      <c r="T276" s="4" t="str">
        <f>IFERROR(Table1[[#This Row],[Good Kernels (kg''s)]]/Table1[[#This Row],[Input Quantity (Kg''s)]]%,"")</f>
        <v/>
      </c>
      <c r="U276" s="5" t="str">
        <f>IFERROR(Table1[[#This Row],[Final Kernels (kg''s)]]/Table1[[#This Row],[Input Quantity (Kg''s)]]%,"")</f>
        <v/>
      </c>
      <c r="V276" s="5" t="str">
        <f>IFERROR(Table1[[#This Row],[Wholes (kg''s)]]/Table1[[#This Row],[Good Kernels (kg''s)]]%,"")</f>
        <v/>
      </c>
      <c r="W276" s="5" t="str">
        <f>IFERROR(Table1[[#This Row],[Pieces (kg''s)]]/Table1[[#This Row],[Good Kernels (kg''s)]]%,"")</f>
        <v/>
      </c>
      <c r="X276" s="5" t="str">
        <f>IFERROR(Table1[[#This Row],[First Pass Uncut (kg''s)]]/Table1[[#This Row],[Input Quantity (Kg''s)]]%,"")</f>
        <v/>
      </c>
      <c r="Y276" s="5" t="str">
        <f>IFERROR(Table1[[#This Row],[Final Uncut (kg''s)]]/Table1[[#This Row],[Input Quantity (Kg''s)]]%,"")</f>
        <v/>
      </c>
      <c r="Z276" s="21" t="str">
        <f>IFERROR(Table1[[#This Row],[Shell]]/Table1[[#This Row],[Input Quantity (Kg''s)]]%,"")</f>
        <v/>
      </c>
      <c r="AA276" s="21" t="str">
        <f>IFERROR(Table1[[#This Row],[Shell Dust]]/Table1[[#This Row],[Input Quantity (Kg''s)]]%,"")</f>
        <v/>
      </c>
    </row>
    <row r="277" spans="2:27" x14ac:dyDescent="0.3">
      <c r="B277" s="1"/>
      <c r="C277" s="15">
        <f>WEEKNUM(Table1[[#This Row],[Date]])</f>
        <v>0</v>
      </c>
      <c r="D277" s="1" t="str">
        <f>TEXT(Table1[[#This Row],[Date]],"mmm-yy")</f>
        <v>Jan-00</v>
      </c>
      <c r="E277" s="1"/>
      <c r="I277" s="3"/>
      <c r="M277" s="3"/>
      <c r="N277" s="3"/>
      <c r="O277" s="3"/>
      <c r="P277" s="3">
        <f>Table1[[#This Row],[Input Quantity (Kg''s)]]-SUM(Table1[[#This Row],[Wholes (kg''s)]:[Black Rejection (Kg''s)]],Table1[[#This Row],[Shell Dust]])</f>
        <v>0</v>
      </c>
      <c r="Q277" s="3">
        <f>SUM(Table1[[#This Row],[Wholes (kg''s)]:[Pieces (kg''s)]])</f>
        <v>0</v>
      </c>
      <c r="R277" s="3">
        <f>SUM(Table1[[#This Row],[Wholes (kg''s)]:[Black Rejection (Kg''s)]])</f>
        <v>0</v>
      </c>
      <c r="S277" s="4" t="str">
        <f>IFERROR(Table1[[#This Row],[Good Kernels (kg''s)]]/Table1[[#This Row],[Input Quantity (Kg''s)]]*176.36,"")</f>
        <v/>
      </c>
      <c r="T277" s="4" t="str">
        <f>IFERROR(Table1[[#This Row],[Good Kernels (kg''s)]]/Table1[[#This Row],[Input Quantity (Kg''s)]]%,"")</f>
        <v/>
      </c>
      <c r="U277" s="5" t="str">
        <f>IFERROR(Table1[[#This Row],[Final Kernels (kg''s)]]/Table1[[#This Row],[Input Quantity (Kg''s)]]%,"")</f>
        <v/>
      </c>
      <c r="V277" s="5" t="str">
        <f>IFERROR(Table1[[#This Row],[Wholes (kg''s)]]/Table1[[#This Row],[Good Kernels (kg''s)]]%,"")</f>
        <v/>
      </c>
      <c r="W277" s="5" t="str">
        <f>IFERROR(Table1[[#This Row],[Pieces (kg''s)]]/Table1[[#This Row],[Good Kernels (kg''s)]]%,"")</f>
        <v/>
      </c>
      <c r="X277" s="5" t="str">
        <f>IFERROR(Table1[[#This Row],[First Pass Uncut (kg''s)]]/Table1[[#This Row],[Input Quantity (Kg''s)]]%,"")</f>
        <v/>
      </c>
      <c r="Y277" s="5" t="str">
        <f>IFERROR(Table1[[#This Row],[Final Uncut (kg''s)]]/Table1[[#This Row],[Input Quantity (Kg''s)]]%,"")</f>
        <v/>
      </c>
      <c r="Z277" s="21" t="str">
        <f>IFERROR(Table1[[#This Row],[Shell]]/Table1[[#This Row],[Input Quantity (Kg''s)]]%,"")</f>
        <v/>
      </c>
      <c r="AA277" s="21" t="str">
        <f>IFERROR(Table1[[#This Row],[Shell Dust]]/Table1[[#This Row],[Input Quantity (Kg''s)]]%,"")</f>
        <v/>
      </c>
    </row>
    <row r="278" spans="2:27" x14ac:dyDescent="0.3">
      <c r="B278" s="1"/>
      <c r="C278" s="15">
        <f>WEEKNUM(Table1[[#This Row],[Date]])</f>
        <v>0</v>
      </c>
      <c r="D278" s="1" t="str">
        <f>TEXT(Table1[[#This Row],[Date]],"mmm-yy")</f>
        <v>Jan-00</v>
      </c>
      <c r="E278" s="1"/>
      <c r="I278" s="3"/>
      <c r="M278" s="3"/>
      <c r="N278" s="3"/>
      <c r="O278" s="3"/>
      <c r="P278" s="3">
        <f>Table1[[#This Row],[Input Quantity (Kg''s)]]-SUM(Table1[[#This Row],[Wholes (kg''s)]:[Black Rejection (Kg''s)]],Table1[[#This Row],[Shell Dust]])</f>
        <v>0</v>
      </c>
      <c r="Q278" s="3">
        <f>SUM(Table1[[#This Row],[Wholes (kg''s)]:[Pieces (kg''s)]])</f>
        <v>0</v>
      </c>
      <c r="R278" s="3">
        <f>SUM(Table1[[#This Row],[Wholes (kg''s)]:[Black Rejection (Kg''s)]])</f>
        <v>0</v>
      </c>
      <c r="S278" s="4" t="str">
        <f>IFERROR(Table1[[#This Row],[Good Kernels (kg''s)]]/Table1[[#This Row],[Input Quantity (Kg''s)]]*176.36,"")</f>
        <v/>
      </c>
      <c r="T278" s="4" t="str">
        <f>IFERROR(Table1[[#This Row],[Good Kernels (kg''s)]]/Table1[[#This Row],[Input Quantity (Kg''s)]]%,"")</f>
        <v/>
      </c>
      <c r="U278" s="5" t="str">
        <f>IFERROR(Table1[[#This Row],[Final Kernels (kg''s)]]/Table1[[#This Row],[Input Quantity (Kg''s)]]%,"")</f>
        <v/>
      </c>
      <c r="V278" s="5" t="str">
        <f>IFERROR(Table1[[#This Row],[Wholes (kg''s)]]/Table1[[#This Row],[Good Kernels (kg''s)]]%,"")</f>
        <v/>
      </c>
      <c r="W278" s="5" t="str">
        <f>IFERROR(Table1[[#This Row],[Pieces (kg''s)]]/Table1[[#This Row],[Good Kernels (kg''s)]]%,"")</f>
        <v/>
      </c>
      <c r="X278" s="5" t="str">
        <f>IFERROR(Table1[[#This Row],[First Pass Uncut (kg''s)]]/Table1[[#This Row],[Input Quantity (Kg''s)]]%,"")</f>
        <v/>
      </c>
      <c r="Y278" s="5" t="str">
        <f>IFERROR(Table1[[#This Row],[Final Uncut (kg''s)]]/Table1[[#This Row],[Input Quantity (Kg''s)]]%,"")</f>
        <v/>
      </c>
      <c r="Z278" s="21" t="str">
        <f>IFERROR(Table1[[#This Row],[Shell]]/Table1[[#This Row],[Input Quantity (Kg''s)]]%,"")</f>
        <v/>
      </c>
      <c r="AA278" s="21" t="str">
        <f>IFERROR(Table1[[#This Row],[Shell Dust]]/Table1[[#This Row],[Input Quantity (Kg''s)]]%,"")</f>
        <v/>
      </c>
    </row>
    <row r="279" spans="2:27" x14ac:dyDescent="0.3">
      <c r="B279" s="1"/>
      <c r="C279" s="15">
        <f>WEEKNUM(Table1[[#This Row],[Date]])</f>
        <v>0</v>
      </c>
      <c r="D279" s="1" t="str">
        <f>TEXT(Table1[[#This Row],[Date]],"mmm-yy")</f>
        <v>Jan-00</v>
      </c>
      <c r="E279" s="1"/>
      <c r="I279" s="3"/>
      <c r="M279" s="3"/>
      <c r="N279" s="3"/>
      <c r="O279" s="3"/>
      <c r="P279" s="3">
        <f>Table1[[#This Row],[Input Quantity (Kg''s)]]-SUM(Table1[[#This Row],[Wholes (kg''s)]:[Black Rejection (Kg''s)]],Table1[[#This Row],[Shell Dust]])</f>
        <v>0</v>
      </c>
      <c r="Q279" s="3">
        <f>SUM(Table1[[#This Row],[Wholes (kg''s)]:[Pieces (kg''s)]])</f>
        <v>0</v>
      </c>
      <c r="R279" s="3">
        <f>SUM(Table1[[#This Row],[Wholes (kg''s)]:[Black Rejection (Kg''s)]])</f>
        <v>0</v>
      </c>
      <c r="S279" s="4" t="str">
        <f>IFERROR(Table1[[#This Row],[Good Kernels (kg''s)]]/Table1[[#This Row],[Input Quantity (Kg''s)]]*176.36,"")</f>
        <v/>
      </c>
      <c r="T279" s="4" t="str">
        <f>IFERROR(Table1[[#This Row],[Good Kernels (kg''s)]]/Table1[[#This Row],[Input Quantity (Kg''s)]]%,"")</f>
        <v/>
      </c>
      <c r="U279" s="5" t="str">
        <f>IFERROR(Table1[[#This Row],[Final Kernels (kg''s)]]/Table1[[#This Row],[Input Quantity (Kg''s)]]%,"")</f>
        <v/>
      </c>
      <c r="V279" s="5" t="str">
        <f>IFERROR(Table1[[#This Row],[Wholes (kg''s)]]/Table1[[#This Row],[Good Kernels (kg''s)]]%,"")</f>
        <v/>
      </c>
      <c r="W279" s="5" t="str">
        <f>IFERROR(Table1[[#This Row],[Pieces (kg''s)]]/Table1[[#This Row],[Good Kernels (kg''s)]]%,"")</f>
        <v/>
      </c>
      <c r="X279" s="5" t="str">
        <f>IFERROR(Table1[[#This Row],[First Pass Uncut (kg''s)]]/Table1[[#This Row],[Input Quantity (Kg''s)]]%,"")</f>
        <v/>
      </c>
      <c r="Y279" s="5" t="str">
        <f>IFERROR(Table1[[#This Row],[Final Uncut (kg''s)]]/Table1[[#This Row],[Input Quantity (Kg''s)]]%,"")</f>
        <v/>
      </c>
      <c r="Z279" s="21" t="str">
        <f>IFERROR(Table1[[#This Row],[Shell]]/Table1[[#This Row],[Input Quantity (Kg''s)]]%,"")</f>
        <v/>
      </c>
      <c r="AA279" s="21" t="str">
        <f>IFERROR(Table1[[#This Row],[Shell Dust]]/Table1[[#This Row],[Input Quantity (Kg''s)]]%,"")</f>
        <v/>
      </c>
    </row>
    <row r="280" spans="2:27" x14ac:dyDescent="0.3">
      <c r="B280" s="1"/>
      <c r="C280" s="15">
        <f>WEEKNUM(Table1[[#This Row],[Date]])</f>
        <v>0</v>
      </c>
      <c r="D280" s="1" t="str">
        <f>TEXT(Table1[[#This Row],[Date]],"mmm-yy")</f>
        <v>Jan-00</v>
      </c>
      <c r="E280" s="1"/>
      <c r="I280" s="3"/>
      <c r="M280" s="3"/>
      <c r="N280" s="3"/>
      <c r="O280" s="3"/>
      <c r="P280" s="3">
        <f>Table1[[#This Row],[Input Quantity (Kg''s)]]-SUM(Table1[[#This Row],[Wholes (kg''s)]:[Black Rejection (Kg''s)]],Table1[[#This Row],[Shell Dust]])</f>
        <v>0</v>
      </c>
      <c r="Q280" s="3">
        <f>SUM(Table1[[#This Row],[Wholes (kg''s)]:[Pieces (kg''s)]])</f>
        <v>0</v>
      </c>
      <c r="R280" s="3">
        <f>SUM(Table1[[#This Row],[Wholes (kg''s)]:[Black Rejection (Kg''s)]])</f>
        <v>0</v>
      </c>
      <c r="S280" s="4" t="str">
        <f>IFERROR(Table1[[#This Row],[Good Kernels (kg''s)]]/Table1[[#This Row],[Input Quantity (Kg''s)]]*176.36,"")</f>
        <v/>
      </c>
      <c r="T280" s="4" t="str">
        <f>IFERROR(Table1[[#This Row],[Good Kernels (kg''s)]]/Table1[[#This Row],[Input Quantity (Kg''s)]]%,"")</f>
        <v/>
      </c>
      <c r="U280" s="5" t="str">
        <f>IFERROR(Table1[[#This Row],[Final Kernels (kg''s)]]/Table1[[#This Row],[Input Quantity (Kg''s)]]%,"")</f>
        <v/>
      </c>
      <c r="V280" s="5" t="str">
        <f>IFERROR(Table1[[#This Row],[Wholes (kg''s)]]/Table1[[#This Row],[Good Kernels (kg''s)]]%,"")</f>
        <v/>
      </c>
      <c r="W280" s="5" t="str">
        <f>IFERROR(Table1[[#This Row],[Pieces (kg''s)]]/Table1[[#This Row],[Good Kernels (kg''s)]]%,"")</f>
        <v/>
      </c>
      <c r="X280" s="5" t="str">
        <f>IFERROR(Table1[[#This Row],[First Pass Uncut (kg''s)]]/Table1[[#This Row],[Input Quantity (Kg''s)]]%,"")</f>
        <v/>
      </c>
      <c r="Y280" s="5" t="str">
        <f>IFERROR(Table1[[#This Row],[Final Uncut (kg''s)]]/Table1[[#This Row],[Input Quantity (Kg''s)]]%,"")</f>
        <v/>
      </c>
      <c r="Z280" s="21" t="str">
        <f>IFERROR(Table1[[#This Row],[Shell]]/Table1[[#This Row],[Input Quantity (Kg''s)]]%,"")</f>
        <v/>
      </c>
      <c r="AA280" s="21" t="str">
        <f>IFERROR(Table1[[#This Row],[Shell Dust]]/Table1[[#This Row],[Input Quantity (Kg''s)]]%,"")</f>
        <v/>
      </c>
    </row>
    <row r="281" spans="2:27" x14ac:dyDescent="0.3">
      <c r="B281" s="1"/>
      <c r="C281" s="15">
        <f>WEEKNUM(Table1[[#This Row],[Date]])</f>
        <v>0</v>
      </c>
      <c r="D281" s="1" t="str">
        <f>TEXT(Table1[[#This Row],[Date]],"mmm-yy")</f>
        <v>Jan-00</v>
      </c>
      <c r="E281" s="1"/>
      <c r="I281" s="3"/>
      <c r="M281" s="3"/>
      <c r="N281" s="3"/>
      <c r="O281" s="3"/>
      <c r="P281" s="3">
        <f>Table1[[#This Row],[Input Quantity (Kg''s)]]-SUM(Table1[[#This Row],[Wholes (kg''s)]:[Black Rejection (Kg''s)]],Table1[[#This Row],[Shell Dust]])</f>
        <v>0</v>
      </c>
      <c r="Q281" s="3">
        <f>SUM(Table1[[#This Row],[Wholes (kg''s)]:[Pieces (kg''s)]])</f>
        <v>0</v>
      </c>
      <c r="R281" s="3">
        <f>SUM(Table1[[#This Row],[Wholes (kg''s)]:[Black Rejection (Kg''s)]])</f>
        <v>0</v>
      </c>
      <c r="S281" s="4" t="str">
        <f>IFERROR(Table1[[#This Row],[Good Kernels (kg''s)]]/Table1[[#This Row],[Input Quantity (Kg''s)]]*176.36,"")</f>
        <v/>
      </c>
      <c r="T281" s="4" t="str">
        <f>IFERROR(Table1[[#This Row],[Good Kernels (kg''s)]]/Table1[[#This Row],[Input Quantity (Kg''s)]]%,"")</f>
        <v/>
      </c>
      <c r="U281" s="5" t="str">
        <f>IFERROR(Table1[[#This Row],[Final Kernels (kg''s)]]/Table1[[#This Row],[Input Quantity (Kg''s)]]%,"")</f>
        <v/>
      </c>
      <c r="V281" s="5" t="str">
        <f>IFERROR(Table1[[#This Row],[Wholes (kg''s)]]/Table1[[#This Row],[Good Kernels (kg''s)]]%,"")</f>
        <v/>
      </c>
      <c r="W281" s="5" t="str">
        <f>IFERROR(Table1[[#This Row],[Pieces (kg''s)]]/Table1[[#This Row],[Good Kernels (kg''s)]]%,"")</f>
        <v/>
      </c>
      <c r="X281" s="5" t="str">
        <f>IFERROR(Table1[[#This Row],[First Pass Uncut (kg''s)]]/Table1[[#This Row],[Input Quantity (Kg''s)]]%,"")</f>
        <v/>
      </c>
      <c r="Y281" s="5" t="str">
        <f>IFERROR(Table1[[#This Row],[Final Uncut (kg''s)]]/Table1[[#This Row],[Input Quantity (Kg''s)]]%,"")</f>
        <v/>
      </c>
      <c r="Z281" s="21" t="str">
        <f>IFERROR(Table1[[#This Row],[Shell]]/Table1[[#This Row],[Input Quantity (Kg''s)]]%,"")</f>
        <v/>
      </c>
      <c r="AA281" s="21" t="str">
        <f>IFERROR(Table1[[#This Row],[Shell Dust]]/Table1[[#This Row],[Input Quantity (Kg''s)]]%,"")</f>
        <v/>
      </c>
    </row>
    <row r="282" spans="2:27" x14ac:dyDescent="0.3">
      <c r="B282" s="1"/>
      <c r="C282" s="15">
        <f>WEEKNUM(Table1[[#This Row],[Date]])</f>
        <v>0</v>
      </c>
      <c r="D282" s="1" t="str">
        <f>TEXT(Table1[[#This Row],[Date]],"mmm-yy")</f>
        <v>Jan-00</v>
      </c>
      <c r="E282" s="1"/>
      <c r="I282" s="3"/>
      <c r="M282" s="3"/>
      <c r="N282" s="3"/>
      <c r="O282" s="3"/>
      <c r="P282" s="3">
        <f>Table1[[#This Row],[Input Quantity (Kg''s)]]-SUM(Table1[[#This Row],[Wholes (kg''s)]:[Black Rejection (Kg''s)]],Table1[[#This Row],[Shell Dust]])</f>
        <v>0</v>
      </c>
      <c r="Q282" s="3">
        <f>SUM(Table1[[#This Row],[Wholes (kg''s)]:[Pieces (kg''s)]])</f>
        <v>0</v>
      </c>
      <c r="R282" s="3">
        <f>SUM(Table1[[#This Row],[Wholes (kg''s)]:[Black Rejection (Kg''s)]])</f>
        <v>0</v>
      </c>
      <c r="S282" s="4" t="str">
        <f>IFERROR(Table1[[#This Row],[Good Kernels (kg''s)]]/Table1[[#This Row],[Input Quantity (Kg''s)]]*176.36,"")</f>
        <v/>
      </c>
      <c r="T282" s="4" t="str">
        <f>IFERROR(Table1[[#This Row],[Good Kernels (kg''s)]]/Table1[[#This Row],[Input Quantity (Kg''s)]]%,"")</f>
        <v/>
      </c>
      <c r="U282" s="5" t="str">
        <f>IFERROR(Table1[[#This Row],[Final Kernels (kg''s)]]/Table1[[#This Row],[Input Quantity (Kg''s)]]%,"")</f>
        <v/>
      </c>
      <c r="V282" s="5" t="str">
        <f>IFERROR(Table1[[#This Row],[Wholes (kg''s)]]/Table1[[#This Row],[Good Kernels (kg''s)]]%,"")</f>
        <v/>
      </c>
      <c r="W282" s="5" t="str">
        <f>IFERROR(Table1[[#This Row],[Pieces (kg''s)]]/Table1[[#This Row],[Good Kernels (kg''s)]]%,"")</f>
        <v/>
      </c>
      <c r="X282" s="5" t="str">
        <f>IFERROR(Table1[[#This Row],[First Pass Uncut (kg''s)]]/Table1[[#This Row],[Input Quantity (Kg''s)]]%,"")</f>
        <v/>
      </c>
      <c r="Y282" s="5" t="str">
        <f>IFERROR(Table1[[#This Row],[Final Uncut (kg''s)]]/Table1[[#This Row],[Input Quantity (Kg''s)]]%,"")</f>
        <v/>
      </c>
      <c r="Z282" s="21" t="str">
        <f>IFERROR(Table1[[#This Row],[Shell]]/Table1[[#This Row],[Input Quantity (Kg''s)]]%,"")</f>
        <v/>
      </c>
      <c r="AA282" s="21" t="str">
        <f>IFERROR(Table1[[#This Row],[Shell Dust]]/Table1[[#This Row],[Input Quantity (Kg''s)]]%,"")</f>
        <v/>
      </c>
    </row>
    <row r="283" spans="2:27" x14ac:dyDescent="0.3">
      <c r="B283" s="1"/>
      <c r="C283" s="15">
        <f>WEEKNUM(Table1[[#This Row],[Date]])</f>
        <v>0</v>
      </c>
      <c r="D283" s="1" t="str">
        <f>TEXT(Table1[[#This Row],[Date]],"mmm-yy")</f>
        <v>Jan-00</v>
      </c>
      <c r="E283" s="1"/>
      <c r="I283" s="3"/>
      <c r="M283" s="3"/>
      <c r="N283" s="3"/>
      <c r="O283" s="3"/>
      <c r="P283" s="3">
        <f>Table1[[#This Row],[Input Quantity (Kg''s)]]-SUM(Table1[[#This Row],[Wholes (kg''s)]:[Black Rejection (Kg''s)]],Table1[[#This Row],[Shell Dust]])</f>
        <v>0</v>
      </c>
      <c r="Q283" s="3">
        <f>SUM(Table1[[#This Row],[Wholes (kg''s)]:[Pieces (kg''s)]])</f>
        <v>0</v>
      </c>
      <c r="R283" s="3">
        <f>SUM(Table1[[#This Row],[Wholes (kg''s)]:[Black Rejection (Kg''s)]])</f>
        <v>0</v>
      </c>
      <c r="S283" s="4" t="str">
        <f>IFERROR(Table1[[#This Row],[Good Kernels (kg''s)]]/Table1[[#This Row],[Input Quantity (Kg''s)]]*176.36,"")</f>
        <v/>
      </c>
      <c r="T283" s="4" t="str">
        <f>IFERROR(Table1[[#This Row],[Good Kernels (kg''s)]]/Table1[[#This Row],[Input Quantity (Kg''s)]]%,"")</f>
        <v/>
      </c>
      <c r="U283" s="5" t="str">
        <f>IFERROR(Table1[[#This Row],[Final Kernels (kg''s)]]/Table1[[#This Row],[Input Quantity (Kg''s)]]%,"")</f>
        <v/>
      </c>
      <c r="V283" s="5" t="str">
        <f>IFERROR(Table1[[#This Row],[Wholes (kg''s)]]/Table1[[#This Row],[Good Kernels (kg''s)]]%,"")</f>
        <v/>
      </c>
      <c r="W283" s="5" t="str">
        <f>IFERROR(Table1[[#This Row],[Pieces (kg''s)]]/Table1[[#This Row],[Good Kernels (kg''s)]]%,"")</f>
        <v/>
      </c>
      <c r="X283" s="5" t="str">
        <f>IFERROR(Table1[[#This Row],[First Pass Uncut (kg''s)]]/Table1[[#This Row],[Input Quantity (Kg''s)]]%,"")</f>
        <v/>
      </c>
      <c r="Y283" s="5" t="str">
        <f>IFERROR(Table1[[#This Row],[Final Uncut (kg''s)]]/Table1[[#This Row],[Input Quantity (Kg''s)]]%,"")</f>
        <v/>
      </c>
      <c r="Z283" s="21" t="str">
        <f>IFERROR(Table1[[#This Row],[Shell]]/Table1[[#This Row],[Input Quantity (Kg''s)]]%,"")</f>
        <v/>
      </c>
      <c r="AA283" s="21" t="str">
        <f>IFERROR(Table1[[#This Row],[Shell Dust]]/Table1[[#This Row],[Input Quantity (Kg''s)]]%,"")</f>
        <v/>
      </c>
    </row>
    <row r="284" spans="2:27" x14ac:dyDescent="0.3">
      <c r="B284" s="1"/>
      <c r="C284" s="15">
        <f>WEEKNUM(Table1[[#This Row],[Date]])</f>
        <v>0</v>
      </c>
      <c r="D284" s="1" t="str">
        <f>TEXT(Table1[[#This Row],[Date]],"mmm-yy")</f>
        <v>Jan-00</v>
      </c>
      <c r="E284" s="1"/>
      <c r="I284" s="3"/>
      <c r="M284" s="3"/>
      <c r="N284" s="3"/>
      <c r="O284" s="3"/>
      <c r="P284" s="3">
        <f>Table1[[#This Row],[Input Quantity (Kg''s)]]-SUM(Table1[[#This Row],[Wholes (kg''s)]:[Black Rejection (Kg''s)]],Table1[[#This Row],[Shell Dust]])</f>
        <v>0</v>
      </c>
      <c r="Q284" s="3">
        <f>SUM(Table1[[#This Row],[Wholes (kg''s)]:[Pieces (kg''s)]])</f>
        <v>0</v>
      </c>
      <c r="R284" s="3">
        <f>SUM(Table1[[#This Row],[Wholes (kg''s)]:[Black Rejection (Kg''s)]])</f>
        <v>0</v>
      </c>
      <c r="S284" s="4" t="str">
        <f>IFERROR(Table1[[#This Row],[Good Kernels (kg''s)]]/Table1[[#This Row],[Input Quantity (Kg''s)]]*176.36,"")</f>
        <v/>
      </c>
      <c r="T284" s="4" t="str">
        <f>IFERROR(Table1[[#This Row],[Good Kernels (kg''s)]]/Table1[[#This Row],[Input Quantity (Kg''s)]]%,"")</f>
        <v/>
      </c>
      <c r="U284" s="5" t="str">
        <f>IFERROR(Table1[[#This Row],[Final Kernels (kg''s)]]/Table1[[#This Row],[Input Quantity (Kg''s)]]%,"")</f>
        <v/>
      </c>
      <c r="V284" s="5" t="str">
        <f>IFERROR(Table1[[#This Row],[Wholes (kg''s)]]/Table1[[#This Row],[Good Kernels (kg''s)]]%,"")</f>
        <v/>
      </c>
      <c r="W284" s="5" t="str">
        <f>IFERROR(Table1[[#This Row],[Pieces (kg''s)]]/Table1[[#This Row],[Good Kernels (kg''s)]]%,"")</f>
        <v/>
      </c>
      <c r="X284" s="5" t="str">
        <f>IFERROR(Table1[[#This Row],[First Pass Uncut (kg''s)]]/Table1[[#This Row],[Input Quantity (Kg''s)]]%,"")</f>
        <v/>
      </c>
      <c r="Y284" s="5" t="str">
        <f>IFERROR(Table1[[#This Row],[Final Uncut (kg''s)]]/Table1[[#This Row],[Input Quantity (Kg''s)]]%,"")</f>
        <v/>
      </c>
      <c r="Z284" s="21" t="str">
        <f>IFERROR(Table1[[#This Row],[Shell]]/Table1[[#This Row],[Input Quantity (Kg''s)]]%,"")</f>
        <v/>
      </c>
      <c r="AA284" s="21" t="str">
        <f>IFERROR(Table1[[#This Row],[Shell Dust]]/Table1[[#This Row],[Input Quantity (Kg''s)]]%,"")</f>
        <v/>
      </c>
    </row>
    <row r="285" spans="2:27" x14ac:dyDescent="0.3">
      <c r="B285" s="1"/>
      <c r="C285" s="15">
        <f>WEEKNUM(Table1[[#This Row],[Date]])</f>
        <v>0</v>
      </c>
      <c r="D285" s="1" t="str">
        <f>TEXT(Table1[[#This Row],[Date]],"mmm-yy")</f>
        <v>Jan-00</v>
      </c>
      <c r="E285" s="1"/>
      <c r="I285" s="3"/>
      <c r="M285" s="3"/>
      <c r="N285" s="3"/>
      <c r="O285" s="3"/>
      <c r="P285" s="3">
        <f>Table1[[#This Row],[Input Quantity (Kg''s)]]-SUM(Table1[[#This Row],[Wholes (kg''s)]:[Black Rejection (Kg''s)]],Table1[[#This Row],[Shell Dust]])</f>
        <v>0</v>
      </c>
      <c r="Q285" s="3">
        <f>SUM(Table1[[#This Row],[Wholes (kg''s)]:[Pieces (kg''s)]])</f>
        <v>0</v>
      </c>
      <c r="R285" s="3">
        <f>SUM(Table1[[#This Row],[Wholes (kg''s)]:[Black Rejection (Kg''s)]])</f>
        <v>0</v>
      </c>
      <c r="S285" s="4" t="str">
        <f>IFERROR(Table1[[#This Row],[Good Kernels (kg''s)]]/Table1[[#This Row],[Input Quantity (Kg''s)]]*176.36,"")</f>
        <v/>
      </c>
      <c r="T285" s="4" t="str">
        <f>IFERROR(Table1[[#This Row],[Good Kernels (kg''s)]]/Table1[[#This Row],[Input Quantity (Kg''s)]]%,"")</f>
        <v/>
      </c>
      <c r="U285" s="5" t="str">
        <f>IFERROR(Table1[[#This Row],[Final Kernels (kg''s)]]/Table1[[#This Row],[Input Quantity (Kg''s)]]%,"")</f>
        <v/>
      </c>
      <c r="V285" s="5" t="str">
        <f>IFERROR(Table1[[#This Row],[Wholes (kg''s)]]/Table1[[#This Row],[Good Kernels (kg''s)]]%,"")</f>
        <v/>
      </c>
      <c r="W285" s="5" t="str">
        <f>IFERROR(Table1[[#This Row],[Pieces (kg''s)]]/Table1[[#This Row],[Good Kernels (kg''s)]]%,"")</f>
        <v/>
      </c>
      <c r="X285" s="5" t="str">
        <f>IFERROR(Table1[[#This Row],[First Pass Uncut (kg''s)]]/Table1[[#This Row],[Input Quantity (Kg''s)]]%,"")</f>
        <v/>
      </c>
      <c r="Y285" s="5" t="str">
        <f>IFERROR(Table1[[#This Row],[Final Uncut (kg''s)]]/Table1[[#This Row],[Input Quantity (Kg''s)]]%,"")</f>
        <v/>
      </c>
      <c r="Z285" s="21" t="str">
        <f>IFERROR(Table1[[#This Row],[Shell]]/Table1[[#This Row],[Input Quantity (Kg''s)]]%,"")</f>
        <v/>
      </c>
      <c r="AA285" s="21" t="str">
        <f>IFERROR(Table1[[#This Row],[Shell Dust]]/Table1[[#This Row],[Input Quantity (Kg''s)]]%,"")</f>
        <v/>
      </c>
    </row>
    <row r="286" spans="2:27" x14ac:dyDescent="0.3">
      <c r="B286" s="1"/>
      <c r="C286" s="15">
        <f>WEEKNUM(Table1[[#This Row],[Date]])</f>
        <v>0</v>
      </c>
      <c r="D286" s="1" t="str">
        <f>TEXT(Table1[[#This Row],[Date]],"mmm-yy")</f>
        <v>Jan-00</v>
      </c>
      <c r="E286" s="1"/>
      <c r="I286" s="3"/>
      <c r="M286" s="3"/>
      <c r="N286" s="3"/>
      <c r="O286" s="3"/>
      <c r="P286" s="3">
        <f>Table1[[#This Row],[Input Quantity (Kg''s)]]-SUM(Table1[[#This Row],[Wholes (kg''s)]:[Black Rejection (Kg''s)]],Table1[[#This Row],[Shell Dust]])</f>
        <v>0</v>
      </c>
      <c r="Q286" s="3">
        <f>SUM(Table1[[#This Row],[Wholes (kg''s)]:[Pieces (kg''s)]])</f>
        <v>0</v>
      </c>
      <c r="R286" s="3">
        <f>SUM(Table1[[#This Row],[Wholes (kg''s)]:[Black Rejection (Kg''s)]])</f>
        <v>0</v>
      </c>
      <c r="S286" s="4" t="str">
        <f>IFERROR(Table1[[#This Row],[Good Kernels (kg''s)]]/Table1[[#This Row],[Input Quantity (Kg''s)]]*176.36,"")</f>
        <v/>
      </c>
      <c r="T286" s="4" t="str">
        <f>IFERROR(Table1[[#This Row],[Good Kernels (kg''s)]]/Table1[[#This Row],[Input Quantity (Kg''s)]]%,"")</f>
        <v/>
      </c>
      <c r="U286" s="5" t="str">
        <f>IFERROR(Table1[[#This Row],[Final Kernels (kg''s)]]/Table1[[#This Row],[Input Quantity (Kg''s)]]%,"")</f>
        <v/>
      </c>
      <c r="V286" s="5" t="str">
        <f>IFERROR(Table1[[#This Row],[Wholes (kg''s)]]/Table1[[#This Row],[Good Kernels (kg''s)]]%,"")</f>
        <v/>
      </c>
      <c r="W286" s="5" t="str">
        <f>IFERROR(Table1[[#This Row],[Pieces (kg''s)]]/Table1[[#This Row],[Good Kernels (kg''s)]]%,"")</f>
        <v/>
      </c>
      <c r="X286" s="5" t="str">
        <f>IFERROR(Table1[[#This Row],[First Pass Uncut (kg''s)]]/Table1[[#This Row],[Input Quantity (Kg''s)]]%,"")</f>
        <v/>
      </c>
      <c r="Y286" s="5" t="str">
        <f>IFERROR(Table1[[#This Row],[Final Uncut (kg''s)]]/Table1[[#This Row],[Input Quantity (Kg''s)]]%,"")</f>
        <v/>
      </c>
      <c r="Z286" s="21" t="str">
        <f>IFERROR(Table1[[#This Row],[Shell]]/Table1[[#This Row],[Input Quantity (Kg''s)]]%,"")</f>
        <v/>
      </c>
      <c r="AA286" s="21" t="str">
        <f>IFERROR(Table1[[#This Row],[Shell Dust]]/Table1[[#This Row],[Input Quantity (Kg''s)]]%,"")</f>
        <v/>
      </c>
    </row>
    <row r="287" spans="2:27" x14ac:dyDescent="0.3">
      <c r="B287" s="1"/>
      <c r="C287" s="15">
        <f>WEEKNUM(Table1[[#This Row],[Date]])</f>
        <v>0</v>
      </c>
      <c r="D287" s="1" t="str">
        <f>TEXT(Table1[[#This Row],[Date]],"mmm-yy")</f>
        <v>Jan-00</v>
      </c>
      <c r="E287" s="1"/>
      <c r="I287" s="3"/>
      <c r="M287" s="3"/>
      <c r="N287" s="3"/>
      <c r="O287" s="3"/>
      <c r="P287" s="3">
        <f>Table1[[#This Row],[Input Quantity (Kg''s)]]-SUM(Table1[[#This Row],[Wholes (kg''s)]:[Black Rejection (Kg''s)]],Table1[[#This Row],[Shell Dust]])</f>
        <v>0</v>
      </c>
      <c r="Q287" s="3">
        <f>SUM(Table1[[#This Row],[Wholes (kg''s)]:[Pieces (kg''s)]])</f>
        <v>0</v>
      </c>
      <c r="R287" s="3">
        <f>SUM(Table1[[#This Row],[Wholes (kg''s)]:[Black Rejection (Kg''s)]])</f>
        <v>0</v>
      </c>
      <c r="S287" s="4" t="str">
        <f>IFERROR(Table1[[#This Row],[Good Kernels (kg''s)]]/Table1[[#This Row],[Input Quantity (Kg''s)]]*176.36,"")</f>
        <v/>
      </c>
      <c r="T287" s="4" t="str">
        <f>IFERROR(Table1[[#This Row],[Good Kernels (kg''s)]]/Table1[[#This Row],[Input Quantity (Kg''s)]]%,"")</f>
        <v/>
      </c>
      <c r="U287" s="5" t="str">
        <f>IFERROR(Table1[[#This Row],[Final Kernels (kg''s)]]/Table1[[#This Row],[Input Quantity (Kg''s)]]%,"")</f>
        <v/>
      </c>
      <c r="V287" s="5" t="str">
        <f>IFERROR(Table1[[#This Row],[Wholes (kg''s)]]/Table1[[#This Row],[Good Kernels (kg''s)]]%,"")</f>
        <v/>
      </c>
      <c r="W287" s="5" t="str">
        <f>IFERROR(Table1[[#This Row],[Pieces (kg''s)]]/Table1[[#This Row],[Good Kernels (kg''s)]]%,"")</f>
        <v/>
      </c>
      <c r="X287" s="5" t="str">
        <f>IFERROR(Table1[[#This Row],[First Pass Uncut (kg''s)]]/Table1[[#This Row],[Input Quantity (Kg''s)]]%,"")</f>
        <v/>
      </c>
      <c r="Y287" s="5" t="str">
        <f>IFERROR(Table1[[#This Row],[Final Uncut (kg''s)]]/Table1[[#This Row],[Input Quantity (Kg''s)]]%,"")</f>
        <v/>
      </c>
      <c r="Z287" s="21" t="str">
        <f>IFERROR(Table1[[#This Row],[Shell]]/Table1[[#This Row],[Input Quantity (Kg''s)]]%,"")</f>
        <v/>
      </c>
      <c r="AA287" s="21" t="str">
        <f>IFERROR(Table1[[#This Row],[Shell Dust]]/Table1[[#This Row],[Input Quantity (Kg''s)]]%,"")</f>
        <v/>
      </c>
    </row>
    <row r="288" spans="2:27" x14ac:dyDescent="0.3">
      <c r="B288" s="1"/>
      <c r="C288" s="15">
        <f>WEEKNUM(Table1[[#This Row],[Date]])</f>
        <v>0</v>
      </c>
      <c r="D288" s="1" t="str">
        <f>TEXT(Table1[[#This Row],[Date]],"mmm-yy")</f>
        <v>Jan-00</v>
      </c>
      <c r="E288" s="1"/>
      <c r="I288" s="3"/>
      <c r="M288" s="3"/>
      <c r="N288" s="3"/>
      <c r="O288" s="3"/>
      <c r="P288" s="3">
        <f>Table1[[#This Row],[Input Quantity (Kg''s)]]-SUM(Table1[[#This Row],[Wholes (kg''s)]:[Black Rejection (Kg''s)]],Table1[[#This Row],[Shell Dust]])</f>
        <v>0</v>
      </c>
      <c r="Q288" s="3">
        <f>SUM(Table1[[#This Row],[Wholes (kg''s)]:[Pieces (kg''s)]])</f>
        <v>0</v>
      </c>
      <c r="R288" s="3">
        <f>SUM(Table1[[#This Row],[Wholes (kg''s)]:[Black Rejection (Kg''s)]])</f>
        <v>0</v>
      </c>
      <c r="S288" s="4" t="str">
        <f>IFERROR(Table1[[#This Row],[Good Kernels (kg''s)]]/Table1[[#This Row],[Input Quantity (Kg''s)]]*176.36,"")</f>
        <v/>
      </c>
      <c r="T288" s="4" t="str">
        <f>IFERROR(Table1[[#This Row],[Good Kernels (kg''s)]]/Table1[[#This Row],[Input Quantity (Kg''s)]]%,"")</f>
        <v/>
      </c>
      <c r="U288" s="5" t="str">
        <f>IFERROR(Table1[[#This Row],[Final Kernels (kg''s)]]/Table1[[#This Row],[Input Quantity (Kg''s)]]%,"")</f>
        <v/>
      </c>
      <c r="V288" s="5" t="str">
        <f>IFERROR(Table1[[#This Row],[Wholes (kg''s)]]/Table1[[#This Row],[Good Kernels (kg''s)]]%,"")</f>
        <v/>
      </c>
      <c r="W288" s="5" t="str">
        <f>IFERROR(Table1[[#This Row],[Pieces (kg''s)]]/Table1[[#This Row],[Good Kernels (kg''s)]]%,"")</f>
        <v/>
      </c>
      <c r="X288" s="5" t="str">
        <f>IFERROR(Table1[[#This Row],[First Pass Uncut (kg''s)]]/Table1[[#This Row],[Input Quantity (Kg''s)]]%,"")</f>
        <v/>
      </c>
      <c r="Y288" s="5" t="str">
        <f>IFERROR(Table1[[#This Row],[Final Uncut (kg''s)]]/Table1[[#This Row],[Input Quantity (Kg''s)]]%,"")</f>
        <v/>
      </c>
      <c r="Z288" s="21" t="str">
        <f>IFERROR(Table1[[#This Row],[Shell]]/Table1[[#This Row],[Input Quantity (Kg''s)]]%,"")</f>
        <v/>
      </c>
      <c r="AA288" s="21" t="str">
        <f>IFERROR(Table1[[#This Row],[Shell Dust]]/Table1[[#This Row],[Input Quantity (Kg''s)]]%,"")</f>
        <v/>
      </c>
    </row>
    <row r="289" spans="2:27" x14ac:dyDescent="0.3">
      <c r="B289" s="1"/>
      <c r="C289" s="15">
        <f>WEEKNUM(Table1[[#This Row],[Date]])</f>
        <v>0</v>
      </c>
      <c r="D289" s="1" t="str">
        <f>TEXT(Table1[[#This Row],[Date]],"mmm-yy")</f>
        <v>Jan-00</v>
      </c>
      <c r="E289" s="1"/>
      <c r="I289" s="3"/>
      <c r="M289" s="3"/>
      <c r="N289" s="3"/>
      <c r="O289" s="3"/>
      <c r="P289" s="3">
        <f>Table1[[#This Row],[Input Quantity (Kg''s)]]-SUM(Table1[[#This Row],[Wholes (kg''s)]:[Black Rejection (Kg''s)]],Table1[[#This Row],[Shell Dust]])</f>
        <v>0</v>
      </c>
      <c r="Q289" s="3">
        <f>SUM(Table1[[#This Row],[Wholes (kg''s)]:[Pieces (kg''s)]])</f>
        <v>0</v>
      </c>
      <c r="R289" s="3">
        <f>SUM(Table1[[#This Row],[Wholes (kg''s)]:[Black Rejection (Kg''s)]])</f>
        <v>0</v>
      </c>
      <c r="S289" s="4" t="str">
        <f>IFERROR(Table1[[#This Row],[Good Kernels (kg''s)]]/Table1[[#This Row],[Input Quantity (Kg''s)]]*176.36,"")</f>
        <v/>
      </c>
      <c r="T289" s="4" t="str">
        <f>IFERROR(Table1[[#This Row],[Good Kernels (kg''s)]]/Table1[[#This Row],[Input Quantity (Kg''s)]]%,"")</f>
        <v/>
      </c>
      <c r="U289" s="5" t="str">
        <f>IFERROR(Table1[[#This Row],[Final Kernels (kg''s)]]/Table1[[#This Row],[Input Quantity (Kg''s)]]%,"")</f>
        <v/>
      </c>
      <c r="V289" s="5" t="str">
        <f>IFERROR(Table1[[#This Row],[Wholes (kg''s)]]/Table1[[#This Row],[Good Kernels (kg''s)]]%,"")</f>
        <v/>
      </c>
      <c r="W289" s="5" t="str">
        <f>IFERROR(Table1[[#This Row],[Pieces (kg''s)]]/Table1[[#This Row],[Good Kernels (kg''s)]]%,"")</f>
        <v/>
      </c>
      <c r="X289" s="5" t="str">
        <f>IFERROR(Table1[[#This Row],[First Pass Uncut (kg''s)]]/Table1[[#This Row],[Input Quantity (Kg''s)]]%,"")</f>
        <v/>
      </c>
      <c r="Y289" s="5" t="str">
        <f>IFERROR(Table1[[#This Row],[Final Uncut (kg''s)]]/Table1[[#This Row],[Input Quantity (Kg''s)]]%,"")</f>
        <v/>
      </c>
      <c r="Z289" s="21" t="str">
        <f>IFERROR(Table1[[#This Row],[Shell]]/Table1[[#This Row],[Input Quantity (Kg''s)]]%,"")</f>
        <v/>
      </c>
      <c r="AA289" s="21" t="str">
        <f>IFERROR(Table1[[#This Row],[Shell Dust]]/Table1[[#This Row],[Input Quantity (Kg''s)]]%,"")</f>
        <v/>
      </c>
    </row>
    <row r="290" spans="2:27" x14ac:dyDescent="0.3">
      <c r="B290" s="1"/>
      <c r="C290" s="15">
        <f>WEEKNUM(Table1[[#This Row],[Date]])</f>
        <v>0</v>
      </c>
      <c r="D290" s="1" t="str">
        <f>TEXT(Table1[[#This Row],[Date]],"mmm-yy")</f>
        <v>Jan-00</v>
      </c>
      <c r="E290" s="1"/>
      <c r="I290" s="3"/>
      <c r="M290" s="3"/>
      <c r="N290" s="3"/>
      <c r="O290" s="3"/>
      <c r="P290" s="3">
        <f>Table1[[#This Row],[Input Quantity (Kg''s)]]-SUM(Table1[[#This Row],[Wholes (kg''s)]:[Black Rejection (Kg''s)]],Table1[[#This Row],[Shell Dust]])</f>
        <v>0</v>
      </c>
      <c r="Q290" s="3">
        <f>SUM(Table1[[#This Row],[Wholes (kg''s)]:[Pieces (kg''s)]])</f>
        <v>0</v>
      </c>
      <c r="R290" s="3">
        <f>SUM(Table1[[#This Row],[Wholes (kg''s)]:[Black Rejection (Kg''s)]])</f>
        <v>0</v>
      </c>
      <c r="S290" s="4" t="str">
        <f>IFERROR(Table1[[#This Row],[Good Kernels (kg''s)]]/Table1[[#This Row],[Input Quantity (Kg''s)]]*176.36,"")</f>
        <v/>
      </c>
      <c r="T290" s="4" t="str">
        <f>IFERROR(Table1[[#This Row],[Good Kernels (kg''s)]]/Table1[[#This Row],[Input Quantity (Kg''s)]]%,"")</f>
        <v/>
      </c>
      <c r="U290" s="5" t="str">
        <f>IFERROR(Table1[[#This Row],[Final Kernels (kg''s)]]/Table1[[#This Row],[Input Quantity (Kg''s)]]%,"")</f>
        <v/>
      </c>
      <c r="V290" s="5" t="str">
        <f>IFERROR(Table1[[#This Row],[Wholes (kg''s)]]/Table1[[#This Row],[Good Kernels (kg''s)]]%,"")</f>
        <v/>
      </c>
      <c r="W290" s="5" t="str">
        <f>IFERROR(Table1[[#This Row],[Pieces (kg''s)]]/Table1[[#This Row],[Good Kernels (kg''s)]]%,"")</f>
        <v/>
      </c>
      <c r="X290" s="5" t="str">
        <f>IFERROR(Table1[[#This Row],[First Pass Uncut (kg''s)]]/Table1[[#This Row],[Input Quantity (Kg''s)]]%,"")</f>
        <v/>
      </c>
      <c r="Y290" s="5" t="str">
        <f>IFERROR(Table1[[#This Row],[Final Uncut (kg''s)]]/Table1[[#This Row],[Input Quantity (Kg''s)]]%,"")</f>
        <v/>
      </c>
      <c r="Z290" s="21" t="str">
        <f>IFERROR(Table1[[#This Row],[Shell]]/Table1[[#This Row],[Input Quantity (Kg''s)]]%,"")</f>
        <v/>
      </c>
      <c r="AA290" s="21" t="str">
        <f>IFERROR(Table1[[#This Row],[Shell Dust]]/Table1[[#This Row],[Input Quantity (Kg''s)]]%,"")</f>
        <v/>
      </c>
    </row>
    <row r="291" spans="2:27" x14ac:dyDescent="0.3">
      <c r="B291" s="1"/>
      <c r="C291" s="15">
        <f>WEEKNUM(Table1[[#This Row],[Date]])</f>
        <v>0</v>
      </c>
      <c r="D291" s="1" t="str">
        <f>TEXT(Table1[[#This Row],[Date]],"mmm-yy")</f>
        <v>Jan-00</v>
      </c>
      <c r="E291" s="1"/>
      <c r="I291" s="3"/>
      <c r="M291" s="3"/>
      <c r="N291" s="3"/>
      <c r="O291" s="3"/>
      <c r="P291" s="3">
        <f>Table1[[#This Row],[Input Quantity (Kg''s)]]-SUM(Table1[[#This Row],[Wholes (kg''s)]:[Black Rejection (Kg''s)]],Table1[[#This Row],[Shell Dust]])</f>
        <v>0</v>
      </c>
      <c r="Q291" s="3">
        <f>SUM(Table1[[#This Row],[Wholes (kg''s)]:[Pieces (kg''s)]])</f>
        <v>0</v>
      </c>
      <c r="R291" s="3">
        <f>SUM(Table1[[#This Row],[Wholes (kg''s)]:[Black Rejection (Kg''s)]])</f>
        <v>0</v>
      </c>
      <c r="S291" s="4" t="str">
        <f>IFERROR(Table1[[#This Row],[Good Kernels (kg''s)]]/Table1[[#This Row],[Input Quantity (Kg''s)]]*176.36,"")</f>
        <v/>
      </c>
      <c r="T291" s="4" t="str">
        <f>IFERROR(Table1[[#This Row],[Good Kernels (kg''s)]]/Table1[[#This Row],[Input Quantity (Kg''s)]]%,"")</f>
        <v/>
      </c>
      <c r="U291" s="5" t="str">
        <f>IFERROR(Table1[[#This Row],[Final Kernels (kg''s)]]/Table1[[#This Row],[Input Quantity (Kg''s)]]%,"")</f>
        <v/>
      </c>
      <c r="V291" s="5" t="str">
        <f>IFERROR(Table1[[#This Row],[Wholes (kg''s)]]/Table1[[#This Row],[Good Kernels (kg''s)]]%,"")</f>
        <v/>
      </c>
      <c r="W291" s="5" t="str">
        <f>IFERROR(Table1[[#This Row],[Pieces (kg''s)]]/Table1[[#This Row],[Good Kernels (kg''s)]]%,"")</f>
        <v/>
      </c>
      <c r="X291" s="5" t="str">
        <f>IFERROR(Table1[[#This Row],[First Pass Uncut (kg''s)]]/Table1[[#This Row],[Input Quantity (Kg''s)]]%,"")</f>
        <v/>
      </c>
      <c r="Y291" s="5" t="str">
        <f>IFERROR(Table1[[#This Row],[Final Uncut (kg''s)]]/Table1[[#This Row],[Input Quantity (Kg''s)]]%,"")</f>
        <v/>
      </c>
      <c r="Z291" s="21" t="str">
        <f>IFERROR(Table1[[#This Row],[Shell]]/Table1[[#This Row],[Input Quantity (Kg''s)]]%,"")</f>
        <v/>
      </c>
      <c r="AA291" s="21" t="str">
        <f>IFERROR(Table1[[#This Row],[Shell Dust]]/Table1[[#This Row],[Input Quantity (Kg''s)]]%,"")</f>
        <v/>
      </c>
    </row>
    <row r="292" spans="2:27" x14ac:dyDescent="0.3">
      <c r="B292" s="1"/>
      <c r="C292" s="15">
        <f>WEEKNUM(Table1[[#This Row],[Date]])</f>
        <v>0</v>
      </c>
      <c r="D292" s="1" t="str">
        <f>TEXT(Table1[[#This Row],[Date]],"mmm-yy")</f>
        <v>Jan-00</v>
      </c>
      <c r="E292" s="1"/>
      <c r="I292" s="3"/>
      <c r="M292" s="3"/>
      <c r="N292" s="3"/>
      <c r="O292" s="3"/>
      <c r="P292" s="3">
        <f>Table1[[#This Row],[Input Quantity (Kg''s)]]-SUM(Table1[[#This Row],[Wholes (kg''s)]:[Black Rejection (Kg''s)]],Table1[[#This Row],[Shell Dust]])</f>
        <v>0</v>
      </c>
      <c r="Q292" s="3">
        <f>SUM(Table1[[#This Row],[Wholes (kg''s)]:[Pieces (kg''s)]])</f>
        <v>0</v>
      </c>
      <c r="R292" s="3">
        <f>SUM(Table1[[#This Row],[Wholes (kg''s)]:[Black Rejection (Kg''s)]])</f>
        <v>0</v>
      </c>
      <c r="S292" s="4" t="str">
        <f>IFERROR(Table1[[#This Row],[Good Kernels (kg''s)]]/Table1[[#This Row],[Input Quantity (Kg''s)]]*176.36,"")</f>
        <v/>
      </c>
      <c r="T292" s="4" t="str">
        <f>IFERROR(Table1[[#This Row],[Good Kernels (kg''s)]]/Table1[[#This Row],[Input Quantity (Kg''s)]]%,"")</f>
        <v/>
      </c>
      <c r="U292" s="5" t="str">
        <f>IFERROR(Table1[[#This Row],[Final Kernels (kg''s)]]/Table1[[#This Row],[Input Quantity (Kg''s)]]%,"")</f>
        <v/>
      </c>
      <c r="V292" s="5" t="str">
        <f>IFERROR(Table1[[#This Row],[Wholes (kg''s)]]/Table1[[#This Row],[Good Kernels (kg''s)]]%,"")</f>
        <v/>
      </c>
      <c r="W292" s="5" t="str">
        <f>IFERROR(Table1[[#This Row],[Pieces (kg''s)]]/Table1[[#This Row],[Good Kernels (kg''s)]]%,"")</f>
        <v/>
      </c>
      <c r="X292" s="5" t="str">
        <f>IFERROR(Table1[[#This Row],[First Pass Uncut (kg''s)]]/Table1[[#This Row],[Input Quantity (Kg''s)]]%,"")</f>
        <v/>
      </c>
      <c r="Y292" s="5" t="str">
        <f>IFERROR(Table1[[#This Row],[Final Uncut (kg''s)]]/Table1[[#This Row],[Input Quantity (Kg''s)]]%,"")</f>
        <v/>
      </c>
      <c r="Z292" s="21" t="str">
        <f>IFERROR(Table1[[#This Row],[Shell]]/Table1[[#This Row],[Input Quantity (Kg''s)]]%,"")</f>
        <v/>
      </c>
      <c r="AA292" s="21" t="str">
        <f>IFERROR(Table1[[#This Row],[Shell Dust]]/Table1[[#This Row],[Input Quantity (Kg''s)]]%,"")</f>
        <v/>
      </c>
    </row>
    <row r="293" spans="2:27" x14ac:dyDescent="0.3">
      <c r="B293" s="1"/>
      <c r="C293" s="15">
        <f>WEEKNUM(Table1[[#This Row],[Date]])</f>
        <v>0</v>
      </c>
      <c r="D293" s="1" t="str">
        <f>TEXT(Table1[[#This Row],[Date]],"mmm-yy")</f>
        <v>Jan-00</v>
      </c>
      <c r="E293" s="1"/>
      <c r="I293" s="3"/>
      <c r="M293" s="3"/>
      <c r="N293" s="3"/>
      <c r="O293" s="3"/>
      <c r="P293" s="3">
        <f>Table1[[#This Row],[Input Quantity (Kg''s)]]-SUM(Table1[[#This Row],[Wholes (kg''s)]:[Black Rejection (Kg''s)]],Table1[[#This Row],[Shell Dust]])</f>
        <v>0</v>
      </c>
      <c r="Q293" s="3">
        <f>SUM(Table1[[#This Row],[Wholes (kg''s)]:[Pieces (kg''s)]])</f>
        <v>0</v>
      </c>
      <c r="R293" s="3">
        <f>SUM(Table1[[#This Row],[Wholes (kg''s)]:[Black Rejection (Kg''s)]])</f>
        <v>0</v>
      </c>
      <c r="S293" s="4" t="str">
        <f>IFERROR(Table1[[#This Row],[Good Kernels (kg''s)]]/Table1[[#This Row],[Input Quantity (Kg''s)]]*176.36,"")</f>
        <v/>
      </c>
      <c r="T293" s="4" t="str">
        <f>IFERROR(Table1[[#This Row],[Good Kernels (kg''s)]]/Table1[[#This Row],[Input Quantity (Kg''s)]]%,"")</f>
        <v/>
      </c>
      <c r="U293" s="5" t="str">
        <f>IFERROR(Table1[[#This Row],[Final Kernels (kg''s)]]/Table1[[#This Row],[Input Quantity (Kg''s)]]%,"")</f>
        <v/>
      </c>
      <c r="V293" s="5" t="str">
        <f>IFERROR(Table1[[#This Row],[Wholes (kg''s)]]/Table1[[#This Row],[Good Kernels (kg''s)]]%,"")</f>
        <v/>
      </c>
      <c r="W293" s="5" t="str">
        <f>IFERROR(Table1[[#This Row],[Pieces (kg''s)]]/Table1[[#This Row],[Good Kernels (kg''s)]]%,"")</f>
        <v/>
      </c>
      <c r="X293" s="5" t="str">
        <f>IFERROR(Table1[[#This Row],[First Pass Uncut (kg''s)]]/Table1[[#This Row],[Input Quantity (Kg''s)]]%,"")</f>
        <v/>
      </c>
      <c r="Y293" s="5" t="str">
        <f>IFERROR(Table1[[#This Row],[Final Uncut (kg''s)]]/Table1[[#This Row],[Input Quantity (Kg''s)]]%,"")</f>
        <v/>
      </c>
      <c r="Z293" s="21" t="str">
        <f>IFERROR(Table1[[#This Row],[Shell]]/Table1[[#This Row],[Input Quantity (Kg''s)]]%,"")</f>
        <v/>
      </c>
      <c r="AA293" s="21" t="str">
        <f>IFERROR(Table1[[#This Row],[Shell Dust]]/Table1[[#This Row],[Input Quantity (Kg''s)]]%,"")</f>
        <v/>
      </c>
    </row>
    <row r="294" spans="2:27" x14ac:dyDescent="0.3">
      <c r="B294" s="1"/>
      <c r="C294" s="15">
        <f>WEEKNUM(Table1[[#This Row],[Date]])</f>
        <v>0</v>
      </c>
      <c r="D294" s="1" t="str">
        <f>TEXT(Table1[[#This Row],[Date]],"mmm-yy")</f>
        <v>Jan-00</v>
      </c>
      <c r="E294" s="1"/>
      <c r="I294" s="3"/>
      <c r="M294" s="3"/>
      <c r="N294" s="3"/>
      <c r="O294" s="3"/>
      <c r="P294" s="3">
        <f>Table1[[#This Row],[Input Quantity (Kg''s)]]-SUM(Table1[[#This Row],[Wholes (kg''s)]:[Black Rejection (Kg''s)]],Table1[[#This Row],[Shell Dust]])</f>
        <v>0</v>
      </c>
      <c r="Q294" s="3">
        <f>SUM(Table1[[#This Row],[Wholes (kg''s)]:[Pieces (kg''s)]])</f>
        <v>0</v>
      </c>
      <c r="R294" s="3">
        <f>SUM(Table1[[#This Row],[Wholes (kg''s)]:[Black Rejection (Kg''s)]])</f>
        <v>0</v>
      </c>
      <c r="S294" s="4" t="str">
        <f>IFERROR(Table1[[#This Row],[Good Kernels (kg''s)]]/Table1[[#This Row],[Input Quantity (Kg''s)]]*176.36,"")</f>
        <v/>
      </c>
      <c r="T294" s="4" t="str">
        <f>IFERROR(Table1[[#This Row],[Good Kernels (kg''s)]]/Table1[[#This Row],[Input Quantity (Kg''s)]]%,"")</f>
        <v/>
      </c>
      <c r="U294" s="5" t="str">
        <f>IFERROR(Table1[[#This Row],[Final Kernels (kg''s)]]/Table1[[#This Row],[Input Quantity (Kg''s)]]%,"")</f>
        <v/>
      </c>
      <c r="V294" s="5" t="str">
        <f>IFERROR(Table1[[#This Row],[Wholes (kg''s)]]/Table1[[#This Row],[Good Kernels (kg''s)]]%,"")</f>
        <v/>
      </c>
      <c r="W294" s="5" t="str">
        <f>IFERROR(Table1[[#This Row],[Pieces (kg''s)]]/Table1[[#This Row],[Good Kernels (kg''s)]]%,"")</f>
        <v/>
      </c>
      <c r="X294" s="5" t="str">
        <f>IFERROR(Table1[[#This Row],[First Pass Uncut (kg''s)]]/Table1[[#This Row],[Input Quantity (Kg''s)]]%,"")</f>
        <v/>
      </c>
      <c r="Y294" s="5" t="str">
        <f>IFERROR(Table1[[#This Row],[Final Uncut (kg''s)]]/Table1[[#This Row],[Input Quantity (Kg''s)]]%,"")</f>
        <v/>
      </c>
      <c r="Z294" s="21" t="str">
        <f>IFERROR(Table1[[#This Row],[Shell]]/Table1[[#This Row],[Input Quantity (Kg''s)]]%,"")</f>
        <v/>
      </c>
      <c r="AA294" s="21" t="str">
        <f>IFERROR(Table1[[#This Row],[Shell Dust]]/Table1[[#This Row],[Input Quantity (Kg''s)]]%,"")</f>
        <v/>
      </c>
    </row>
    <row r="295" spans="2:27" x14ac:dyDescent="0.3">
      <c r="B295" s="1"/>
      <c r="C295" s="15">
        <f>WEEKNUM(Table1[[#This Row],[Date]])</f>
        <v>0</v>
      </c>
      <c r="D295" s="1" t="str">
        <f>TEXT(Table1[[#This Row],[Date]],"mmm-yy")</f>
        <v>Jan-00</v>
      </c>
      <c r="E295" s="1"/>
      <c r="I295" s="3"/>
      <c r="M295" s="3"/>
      <c r="N295" s="3"/>
      <c r="O295" s="3"/>
      <c r="P295" s="3">
        <f>Table1[[#This Row],[Input Quantity (Kg''s)]]-SUM(Table1[[#This Row],[Wholes (kg''s)]:[Black Rejection (Kg''s)]],Table1[[#This Row],[Shell Dust]])</f>
        <v>0</v>
      </c>
      <c r="Q295" s="3">
        <f>SUM(Table1[[#This Row],[Wholes (kg''s)]:[Pieces (kg''s)]])</f>
        <v>0</v>
      </c>
      <c r="R295" s="3">
        <f>SUM(Table1[[#This Row],[Wholes (kg''s)]:[Black Rejection (Kg''s)]])</f>
        <v>0</v>
      </c>
      <c r="S295" s="4" t="str">
        <f>IFERROR(Table1[[#This Row],[Good Kernels (kg''s)]]/Table1[[#This Row],[Input Quantity (Kg''s)]]*176.36,"")</f>
        <v/>
      </c>
      <c r="T295" s="4" t="str">
        <f>IFERROR(Table1[[#This Row],[Good Kernels (kg''s)]]/Table1[[#This Row],[Input Quantity (Kg''s)]]%,"")</f>
        <v/>
      </c>
      <c r="U295" s="5" t="str">
        <f>IFERROR(Table1[[#This Row],[Final Kernels (kg''s)]]/Table1[[#This Row],[Input Quantity (Kg''s)]]%,"")</f>
        <v/>
      </c>
      <c r="V295" s="5" t="str">
        <f>IFERROR(Table1[[#This Row],[Wholes (kg''s)]]/Table1[[#This Row],[Good Kernels (kg''s)]]%,"")</f>
        <v/>
      </c>
      <c r="W295" s="5" t="str">
        <f>IFERROR(Table1[[#This Row],[Pieces (kg''s)]]/Table1[[#This Row],[Good Kernels (kg''s)]]%,"")</f>
        <v/>
      </c>
      <c r="X295" s="5" t="str">
        <f>IFERROR(Table1[[#This Row],[First Pass Uncut (kg''s)]]/Table1[[#This Row],[Input Quantity (Kg''s)]]%,"")</f>
        <v/>
      </c>
      <c r="Y295" s="5" t="str">
        <f>IFERROR(Table1[[#This Row],[Final Uncut (kg''s)]]/Table1[[#This Row],[Input Quantity (Kg''s)]]%,"")</f>
        <v/>
      </c>
      <c r="Z295" s="21" t="str">
        <f>IFERROR(Table1[[#This Row],[Shell]]/Table1[[#This Row],[Input Quantity (Kg''s)]]%,"")</f>
        <v/>
      </c>
      <c r="AA295" s="21" t="str">
        <f>IFERROR(Table1[[#This Row],[Shell Dust]]/Table1[[#This Row],[Input Quantity (Kg''s)]]%,"")</f>
        <v/>
      </c>
    </row>
    <row r="296" spans="2:27" x14ac:dyDescent="0.3">
      <c r="B296" s="1"/>
      <c r="C296" s="15">
        <f>WEEKNUM(Table1[[#This Row],[Date]])</f>
        <v>0</v>
      </c>
      <c r="D296" s="1" t="str">
        <f>TEXT(Table1[[#This Row],[Date]],"mmm-yy")</f>
        <v>Jan-00</v>
      </c>
      <c r="E296" s="1"/>
      <c r="I296" s="3"/>
      <c r="M296" s="3"/>
      <c r="N296" s="3"/>
      <c r="O296" s="3"/>
      <c r="P296" s="3">
        <f>Table1[[#This Row],[Input Quantity (Kg''s)]]-SUM(Table1[[#This Row],[Wholes (kg''s)]:[Black Rejection (Kg''s)]],Table1[[#This Row],[Shell Dust]])</f>
        <v>0</v>
      </c>
      <c r="Q296" s="3">
        <f>SUM(Table1[[#This Row],[Wholes (kg''s)]:[Pieces (kg''s)]])</f>
        <v>0</v>
      </c>
      <c r="R296" s="3">
        <f>SUM(Table1[[#This Row],[Wholes (kg''s)]:[Black Rejection (Kg''s)]])</f>
        <v>0</v>
      </c>
      <c r="S296" s="4" t="str">
        <f>IFERROR(Table1[[#This Row],[Good Kernels (kg''s)]]/Table1[[#This Row],[Input Quantity (Kg''s)]]*176.36,"")</f>
        <v/>
      </c>
      <c r="T296" s="4" t="str">
        <f>IFERROR(Table1[[#This Row],[Good Kernels (kg''s)]]/Table1[[#This Row],[Input Quantity (Kg''s)]]%,"")</f>
        <v/>
      </c>
      <c r="U296" s="5" t="str">
        <f>IFERROR(Table1[[#This Row],[Final Kernels (kg''s)]]/Table1[[#This Row],[Input Quantity (Kg''s)]]%,"")</f>
        <v/>
      </c>
      <c r="V296" s="5" t="str">
        <f>IFERROR(Table1[[#This Row],[Wholes (kg''s)]]/Table1[[#This Row],[Good Kernels (kg''s)]]%,"")</f>
        <v/>
      </c>
      <c r="W296" s="5" t="str">
        <f>IFERROR(Table1[[#This Row],[Pieces (kg''s)]]/Table1[[#This Row],[Good Kernels (kg''s)]]%,"")</f>
        <v/>
      </c>
      <c r="X296" s="5" t="str">
        <f>IFERROR(Table1[[#This Row],[First Pass Uncut (kg''s)]]/Table1[[#This Row],[Input Quantity (Kg''s)]]%,"")</f>
        <v/>
      </c>
      <c r="Y296" s="5" t="str">
        <f>IFERROR(Table1[[#This Row],[Final Uncut (kg''s)]]/Table1[[#This Row],[Input Quantity (Kg''s)]]%,"")</f>
        <v/>
      </c>
      <c r="Z296" s="21" t="str">
        <f>IFERROR(Table1[[#This Row],[Shell]]/Table1[[#This Row],[Input Quantity (Kg''s)]]%,"")</f>
        <v/>
      </c>
      <c r="AA296" s="21" t="str">
        <f>IFERROR(Table1[[#This Row],[Shell Dust]]/Table1[[#This Row],[Input Quantity (Kg''s)]]%,"")</f>
        <v/>
      </c>
    </row>
    <row r="297" spans="2:27" x14ac:dyDescent="0.3">
      <c r="B297" s="1"/>
      <c r="C297" s="15">
        <f>WEEKNUM(Table1[[#This Row],[Date]])</f>
        <v>0</v>
      </c>
      <c r="D297" s="1" t="str">
        <f>TEXT(Table1[[#This Row],[Date]],"mmm-yy")</f>
        <v>Jan-00</v>
      </c>
      <c r="E297" s="1"/>
      <c r="I297" s="3"/>
      <c r="M297" s="3"/>
      <c r="N297" s="3"/>
      <c r="O297" s="3"/>
      <c r="P297" s="3">
        <f>Table1[[#This Row],[Input Quantity (Kg''s)]]-SUM(Table1[[#This Row],[Wholes (kg''s)]:[Black Rejection (Kg''s)]],Table1[[#This Row],[Shell Dust]])</f>
        <v>0</v>
      </c>
      <c r="Q297" s="3">
        <f>SUM(Table1[[#This Row],[Wholes (kg''s)]:[Pieces (kg''s)]])</f>
        <v>0</v>
      </c>
      <c r="R297" s="3">
        <f>SUM(Table1[[#This Row],[Wholes (kg''s)]:[Black Rejection (Kg''s)]])</f>
        <v>0</v>
      </c>
      <c r="S297" s="4" t="str">
        <f>IFERROR(Table1[[#This Row],[Good Kernels (kg''s)]]/Table1[[#This Row],[Input Quantity (Kg''s)]]*176.36,"")</f>
        <v/>
      </c>
      <c r="T297" s="4" t="str">
        <f>IFERROR(Table1[[#This Row],[Good Kernels (kg''s)]]/Table1[[#This Row],[Input Quantity (Kg''s)]]%,"")</f>
        <v/>
      </c>
      <c r="U297" s="5" t="str">
        <f>IFERROR(Table1[[#This Row],[Final Kernels (kg''s)]]/Table1[[#This Row],[Input Quantity (Kg''s)]]%,"")</f>
        <v/>
      </c>
      <c r="V297" s="5" t="str">
        <f>IFERROR(Table1[[#This Row],[Wholes (kg''s)]]/Table1[[#This Row],[Good Kernels (kg''s)]]%,"")</f>
        <v/>
      </c>
      <c r="W297" s="5" t="str">
        <f>IFERROR(Table1[[#This Row],[Pieces (kg''s)]]/Table1[[#This Row],[Good Kernels (kg''s)]]%,"")</f>
        <v/>
      </c>
      <c r="X297" s="5" t="str">
        <f>IFERROR(Table1[[#This Row],[First Pass Uncut (kg''s)]]/Table1[[#This Row],[Input Quantity (Kg''s)]]%,"")</f>
        <v/>
      </c>
      <c r="Y297" s="5" t="str">
        <f>IFERROR(Table1[[#This Row],[Final Uncut (kg''s)]]/Table1[[#This Row],[Input Quantity (Kg''s)]]%,"")</f>
        <v/>
      </c>
      <c r="Z297" s="21" t="str">
        <f>IFERROR(Table1[[#This Row],[Shell]]/Table1[[#This Row],[Input Quantity (Kg''s)]]%,"")</f>
        <v/>
      </c>
      <c r="AA297" s="21" t="str">
        <f>IFERROR(Table1[[#This Row],[Shell Dust]]/Table1[[#This Row],[Input Quantity (Kg''s)]]%,"")</f>
        <v/>
      </c>
    </row>
    <row r="298" spans="2:27" x14ac:dyDescent="0.3">
      <c r="B298" s="1"/>
      <c r="C298" s="15">
        <f>WEEKNUM(Table1[[#This Row],[Date]])</f>
        <v>0</v>
      </c>
      <c r="D298" s="1" t="str">
        <f>TEXT(Table1[[#This Row],[Date]],"mmm-yy")</f>
        <v>Jan-00</v>
      </c>
      <c r="E298" s="1"/>
      <c r="I298" s="3"/>
      <c r="M298" s="3"/>
      <c r="N298" s="3"/>
      <c r="O298" s="3"/>
      <c r="P298" s="3">
        <f>Table1[[#This Row],[Input Quantity (Kg''s)]]-SUM(Table1[[#This Row],[Wholes (kg''s)]:[Black Rejection (Kg''s)]],Table1[[#This Row],[Shell Dust]])</f>
        <v>0</v>
      </c>
      <c r="Q298" s="3">
        <f>SUM(Table1[[#This Row],[Wholes (kg''s)]:[Pieces (kg''s)]])</f>
        <v>0</v>
      </c>
      <c r="R298" s="3">
        <f>SUM(Table1[[#This Row],[Wholes (kg''s)]:[Black Rejection (Kg''s)]])</f>
        <v>0</v>
      </c>
      <c r="S298" s="4" t="str">
        <f>IFERROR(Table1[[#This Row],[Good Kernels (kg''s)]]/Table1[[#This Row],[Input Quantity (Kg''s)]]*176.36,"")</f>
        <v/>
      </c>
      <c r="T298" s="4" t="str">
        <f>IFERROR(Table1[[#This Row],[Good Kernels (kg''s)]]/Table1[[#This Row],[Input Quantity (Kg''s)]]%,"")</f>
        <v/>
      </c>
      <c r="U298" s="5" t="str">
        <f>IFERROR(Table1[[#This Row],[Final Kernels (kg''s)]]/Table1[[#This Row],[Input Quantity (Kg''s)]]%,"")</f>
        <v/>
      </c>
      <c r="V298" s="5" t="str">
        <f>IFERROR(Table1[[#This Row],[Wholes (kg''s)]]/Table1[[#This Row],[Good Kernels (kg''s)]]%,"")</f>
        <v/>
      </c>
      <c r="W298" s="5" t="str">
        <f>IFERROR(Table1[[#This Row],[Pieces (kg''s)]]/Table1[[#This Row],[Good Kernels (kg''s)]]%,"")</f>
        <v/>
      </c>
      <c r="X298" s="5" t="str">
        <f>IFERROR(Table1[[#This Row],[First Pass Uncut (kg''s)]]/Table1[[#This Row],[Input Quantity (Kg''s)]]%,"")</f>
        <v/>
      </c>
      <c r="Y298" s="5" t="str">
        <f>IFERROR(Table1[[#This Row],[Final Uncut (kg''s)]]/Table1[[#This Row],[Input Quantity (Kg''s)]]%,"")</f>
        <v/>
      </c>
      <c r="Z298" s="21" t="str">
        <f>IFERROR(Table1[[#This Row],[Shell]]/Table1[[#This Row],[Input Quantity (Kg''s)]]%,"")</f>
        <v/>
      </c>
      <c r="AA298" s="21" t="str">
        <f>IFERROR(Table1[[#This Row],[Shell Dust]]/Table1[[#This Row],[Input Quantity (Kg''s)]]%,"")</f>
        <v/>
      </c>
    </row>
    <row r="299" spans="2:27" x14ac:dyDescent="0.3">
      <c r="B299" s="1"/>
      <c r="C299" s="15">
        <f>WEEKNUM(Table1[[#This Row],[Date]])</f>
        <v>0</v>
      </c>
      <c r="D299" s="1" t="str">
        <f>TEXT(Table1[[#This Row],[Date]],"mmm-yy")</f>
        <v>Jan-00</v>
      </c>
      <c r="E299" s="1"/>
      <c r="I299" s="3"/>
      <c r="M299" s="3"/>
      <c r="N299" s="3"/>
      <c r="O299" s="3"/>
      <c r="P299" s="3">
        <f>Table1[[#This Row],[Input Quantity (Kg''s)]]-SUM(Table1[[#This Row],[Wholes (kg''s)]:[Black Rejection (Kg''s)]],Table1[[#This Row],[Shell Dust]])</f>
        <v>0</v>
      </c>
      <c r="Q299" s="3">
        <f>SUM(Table1[[#This Row],[Wholes (kg''s)]:[Pieces (kg''s)]])</f>
        <v>0</v>
      </c>
      <c r="R299" s="3">
        <f>SUM(Table1[[#This Row],[Wholes (kg''s)]:[Black Rejection (Kg''s)]])</f>
        <v>0</v>
      </c>
      <c r="S299" s="4" t="str">
        <f>IFERROR(Table1[[#This Row],[Good Kernels (kg''s)]]/Table1[[#This Row],[Input Quantity (Kg''s)]]*176.36,"")</f>
        <v/>
      </c>
      <c r="T299" s="4" t="str">
        <f>IFERROR(Table1[[#This Row],[Good Kernels (kg''s)]]/Table1[[#This Row],[Input Quantity (Kg''s)]]%,"")</f>
        <v/>
      </c>
      <c r="U299" s="5" t="str">
        <f>IFERROR(Table1[[#This Row],[Final Kernels (kg''s)]]/Table1[[#This Row],[Input Quantity (Kg''s)]]%,"")</f>
        <v/>
      </c>
      <c r="V299" s="5" t="str">
        <f>IFERROR(Table1[[#This Row],[Wholes (kg''s)]]/Table1[[#This Row],[Good Kernels (kg''s)]]%,"")</f>
        <v/>
      </c>
      <c r="W299" s="5" t="str">
        <f>IFERROR(Table1[[#This Row],[Pieces (kg''s)]]/Table1[[#This Row],[Good Kernels (kg''s)]]%,"")</f>
        <v/>
      </c>
      <c r="X299" s="5" t="str">
        <f>IFERROR(Table1[[#This Row],[First Pass Uncut (kg''s)]]/Table1[[#This Row],[Input Quantity (Kg''s)]]%,"")</f>
        <v/>
      </c>
      <c r="Y299" s="5" t="str">
        <f>IFERROR(Table1[[#This Row],[Final Uncut (kg''s)]]/Table1[[#This Row],[Input Quantity (Kg''s)]]%,"")</f>
        <v/>
      </c>
      <c r="Z299" s="21" t="str">
        <f>IFERROR(Table1[[#This Row],[Shell]]/Table1[[#This Row],[Input Quantity (Kg''s)]]%,"")</f>
        <v/>
      </c>
      <c r="AA299" s="21" t="str">
        <f>IFERROR(Table1[[#This Row],[Shell Dust]]/Table1[[#This Row],[Input Quantity (Kg''s)]]%,"")</f>
        <v/>
      </c>
    </row>
    <row r="300" spans="2:27" x14ac:dyDescent="0.3">
      <c r="B300" s="1"/>
      <c r="C300" s="15">
        <f>WEEKNUM(Table1[[#This Row],[Date]])</f>
        <v>0</v>
      </c>
      <c r="D300" s="1" t="str">
        <f>TEXT(Table1[[#This Row],[Date]],"mmm-yy")</f>
        <v>Jan-00</v>
      </c>
      <c r="E300" s="1"/>
      <c r="I300" s="3"/>
      <c r="M300" s="3"/>
      <c r="N300" s="3"/>
      <c r="O300" s="3"/>
      <c r="P300" s="3">
        <f>Table1[[#This Row],[Input Quantity (Kg''s)]]-SUM(Table1[[#This Row],[Wholes (kg''s)]:[Black Rejection (Kg''s)]],Table1[[#This Row],[Shell Dust]])</f>
        <v>0</v>
      </c>
      <c r="Q300" s="3">
        <f>SUM(Table1[[#This Row],[Wholes (kg''s)]:[Pieces (kg''s)]])</f>
        <v>0</v>
      </c>
      <c r="R300" s="3">
        <f>SUM(Table1[[#This Row],[Wholes (kg''s)]:[Black Rejection (Kg''s)]])</f>
        <v>0</v>
      </c>
      <c r="S300" s="4" t="str">
        <f>IFERROR(Table1[[#This Row],[Good Kernels (kg''s)]]/Table1[[#This Row],[Input Quantity (Kg''s)]]*176.36,"")</f>
        <v/>
      </c>
      <c r="T300" s="4" t="str">
        <f>IFERROR(Table1[[#This Row],[Good Kernels (kg''s)]]/Table1[[#This Row],[Input Quantity (Kg''s)]]%,"")</f>
        <v/>
      </c>
      <c r="U300" s="5" t="str">
        <f>IFERROR(Table1[[#This Row],[Final Kernels (kg''s)]]/Table1[[#This Row],[Input Quantity (Kg''s)]]%,"")</f>
        <v/>
      </c>
      <c r="V300" s="5" t="str">
        <f>IFERROR(Table1[[#This Row],[Wholes (kg''s)]]/Table1[[#This Row],[Good Kernels (kg''s)]]%,"")</f>
        <v/>
      </c>
      <c r="W300" s="5" t="str">
        <f>IFERROR(Table1[[#This Row],[Pieces (kg''s)]]/Table1[[#This Row],[Good Kernels (kg''s)]]%,"")</f>
        <v/>
      </c>
      <c r="X300" s="5" t="str">
        <f>IFERROR(Table1[[#This Row],[First Pass Uncut (kg''s)]]/Table1[[#This Row],[Input Quantity (Kg''s)]]%,"")</f>
        <v/>
      </c>
      <c r="Y300" s="5" t="str">
        <f>IFERROR(Table1[[#This Row],[Final Uncut (kg''s)]]/Table1[[#This Row],[Input Quantity (Kg''s)]]%,"")</f>
        <v/>
      </c>
      <c r="Z300" s="21" t="str">
        <f>IFERROR(Table1[[#This Row],[Shell]]/Table1[[#This Row],[Input Quantity (Kg''s)]]%,"")</f>
        <v/>
      </c>
      <c r="AA300" s="21" t="str">
        <f>IFERROR(Table1[[#This Row],[Shell Dust]]/Table1[[#This Row],[Input Quantity (Kg''s)]]%,"")</f>
        <v/>
      </c>
    </row>
    <row r="301" spans="2:27" x14ac:dyDescent="0.3">
      <c r="B301" s="1"/>
      <c r="C301" s="15">
        <f>WEEKNUM(Table1[[#This Row],[Date]])</f>
        <v>0</v>
      </c>
      <c r="D301" s="1" t="str">
        <f>TEXT(Table1[[#This Row],[Date]],"mmm-yy")</f>
        <v>Jan-00</v>
      </c>
      <c r="E301" s="1"/>
      <c r="I301" s="3"/>
      <c r="M301" s="3"/>
      <c r="N301" s="3"/>
      <c r="O301" s="3"/>
      <c r="P301" s="3">
        <f>Table1[[#This Row],[Input Quantity (Kg''s)]]-SUM(Table1[[#This Row],[Wholes (kg''s)]:[Black Rejection (Kg''s)]],Table1[[#This Row],[Shell Dust]])</f>
        <v>0</v>
      </c>
      <c r="Q301" s="3">
        <f>SUM(Table1[[#This Row],[Wholes (kg''s)]:[Pieces (kg''s)]])</f>
        <v>0</v>
      </c>
      <c r="R301" s="3">
        <f>SUM(Table1[[#This Row],[Wholes (kg''s)]:[Black Rejection (Kg''s)]])</f>
        <v>0</v>
      </c>
      <c r="S301" s="4" t="str">
        <f>IFERROR(Table1[[#This Row],[Good Kernels (kg''s)]]/Table1[[#This Row],[Input Quantity (Kg''s)]]*176.36,"")</f>
        <v/>
      </c>
      <c r="T301" s="4" t="str">
        <f>IFERROR(Table1[[#This Row],[Good Kernels (kg''s)]]/Table1[[#This Row],[Input Quantity (Kg''s)]]%,"")</f>
        <v/>
      </c>
      <c r="U301" s="5" t="str">
        <f>IFERROR(Table1[[#This Row],[Final Kernels (kg''s)]]/Table1[[#This Row],[Input Quantity (Kg''s)]]%,"")</f>
        <v/>
      </c>
      <c r="V301" s="5" t="str">
        <f>IFERROR(Table1[[#This Row],[Wholes (kg''s)]]/Table1[[#This Row],[Good Kernels (kg''s)]]%,"")</f>
        <v/>
      </c>
      <c r="W301" s="5" t="str">
        <f>IFERROR(Table1[[#This Row],[Pieces (kg''s)]]/Table1[[#This Row],[Good Kernels (kg''s)]]%,"")</f>
        <v/>
      </c>
      <c r="X301" s="5" t="str">
        <f>IFERROR(Table1[[#This Row],[First Pass Uncut (kg''s)]]/Table1[[#This Row],[Input Quantity (Kg''s)]]%,"")</f>
        <v/>
      </c>
      <c r="Y301" s="5" t="str">
        <f>IFERROR(Table1[[#This Row],[Final Uncut (kg''s)]]/Table1[[#This Row],[Input Quantity (Kg''s)]]%,"")</f>
        <v/>
      </c>
      <c r="Z301" s="21" t="str">
        <f>IFERROR(Table1[[#This Row],[Shell]]/Table1[[#This Row],[Input Quantity (Kg''s)]]%,"")</f>
        <v/>
      </c>
      <c r="AA301" s="21" t="str">
        <f>IFERROR(Table1[[#This Row],[Shell Dust]]/Table1[[#This Row],[Input Quantity (Kg''s)]]%,"")</f>
        <v/>
      </c>
    </row>
    <row r="302" spans="2:27" x14ac:dyDescent="0.3">
      <c r="B302" s="1"/>
      <c r="C302" s="15">
        <f>WEEKNUM(Table1[[#This Row],[Date]])</f>
        <v>0</v>
      </c>
      <c r="D302" s="1" t="str">
        <f>TEXT(Table1[[#This Row],[Date]],"mmm-yy")</f>
        <v>Jan-00</v>
      </c>
      <c r="E302" s="1"/>
      <c r="I302" s="3"/>
      <c r="M302" s="3"/>
      <c r="N302" s="3"/>
      <c r="O302" s="3"/>
      <c r="P302" s="3">
        <f>Table1[[#This Row],[Input Quantity (Kg''s)]]-SUM(Table1[[#This Row],[Wholes (kg''s)]:[Black Rejection (Kg''s)]],Table1[[#This Row],[Shell Dust]])</f>
        <v>0</v>
      </c>
      <c r="Q302" s="3">
        <f>SUM(Table1[[#This Row],[Wholes (kg''s)]:[Pieces (kg''s)]])</f>
        <v>0</v>
      </c>
      <c r="R302" s="3">
        <f>SUM(Table1[[#This Row],[Wholes (kg''s)]:[Black Rejection (Kg''s)]])</f>
        <v>0</v>
      </c>
      <c r="S302" s="4" t="str">
        <f>IFERROR(Table1[[#This Row],[Good Kernels (kg''s)]]/Table1[[#This Row],[Input Quantity (Kg''s)]]*176.36,"")</f>
        <v/>
      </c>
      <c r="T302" s="4" t="str">
        <f>IFERROR(Table1[[#This Row],[Good Kernels (kg''s)]]/Table1[[#This Row],[Input Quantity (Kg''s)]]%,"")</f>
        <v/>
      </c>
      <c r="U302" s="5" t="str">
        <f>IFERROR(Table1[[#This Row],[Final Kernels (kg''s)]]/Table1[[#This Row],[Input Quantity (Kg''s)]]%,"")</f>
        <v/>
      </c>
      <c r="V302" s="5" t="str">
        <f>IFERROR(Table1[[#This Row],[Wholes (kg''s)]]/Table1[[#This Row],[Good Kernels (kg''s)]]%,"")</f>
        <v/>
      </c>
      <c r="W302" s="5" t="str">
        <f>IFERROR(Table1[[#This Row],[Pieces (kg''s)]]/Table1[[#This Row],[Good Kernels (kg''s)]]%,"")</f>
        <v/>
      </c>
      <c r="X302" s="5" t="str">
        <f>IFERROR(Table1[[#This Row],[First Pass Uncut (kg''s)]]/Table1[[#This Row],[Input Quantity (Kg''s)]]%,"")</f>
        <v/>
      </c>
      <c r="Y302" s="5" t="str">
        <f>IFERROR(Table1[[#This Row],[Final Uncut (kg''s)]]/Table1[[#This Row],[Input Quantity (Kg''s)]]%,"")</f>
        <v/>
      </c>
      <c r="Z302" s="21" t="str">
        <f>IFERROR(Table1[[#This Row],[Shell]]/Table1[[#This Row],[Input Quantity (Kg''s)]]%,"")</f>
        <v/>
      </c>
      <c r="AA302" s="21" t="str">
        <f>IFERROR(Table1[[#This Row],[Shell Dust]]/Table1[[#This Row],[Input Quantity (Kg''s)]]%,"")</f>
        <v/>
      </c>
    </row>
    <row r="303" spans="2:27" x14ac:dyDescent="0.3">
      <c r="B303" s="1"/>
      <c r="C303" s="15">
        <f>WEEKNUM(Table1[[#This Row],[Date]])</f>
        <v>0</v>
      </c>
      <c r="D303" s="1" t="str">
        <f>TEXT(Table1[[#This Row],[Date]],"mmm-yy")</f>
        <v>Jan-00</v>
      </c>
      <c r="E303" s="1"/>
      <c r="I303" s="3"/>
      <c r="M303" s="3"/>
      <c r="N303" s="3"/>
      <c r="O303" s="3"/>
      <c r="P303" s="3">
        <f>Table1[[#This Row],[Input Quantity (Kg''s)]]-SUM(Table1[[#This Row],[Wholes (kg''s)]:[Black Rejection (Kg''s)]],Table1[[#This Row],[Shell Dust]])</f>
        <v>0</v>
      </c>
      <c r="Q303" s="3">
        <f>SUM(Table1[[#This Row],[Wholes (kg''s)]:[Pieces (kg''s)]])</f>
        <v>0</v>
      </c>
      <c r="R303" s="3">
        <f>SUM(Table1[[#This Row],[Wholes (kg''s)]:[Black Rejection (Kg''s)]])</f>
        <v>0</v>
      </c>
      <c r="S303" s="4" t="str">
        <f>IFERROR(Table1[[#This Row],[Good Kernels (kg''s)]]/Table1[[#This Row],[Input Quantity (Kg''s)]]*176.36,"")</f>
        <v/>
      </c>
      <c r="T303" s="4" t="str">
        <f>IFERROR(Table1[[#This Row],[Good Kernels (kg''s)]]/Table1[[#This Row],[Input Quantity (Kg''s)]]%,"")</f>
        <v/>
      </c>
      <c r="U303" s="5" t="str">
        <f>IFERROR(Table1[[#This Row],[Final Kernels (kg''s)]]/Table1[[#This Row],[Input Quantity (Kg''s)]]%,"")</f>
        <v/>
      </c>
      <c r="V303" s="5" t="str">
        <f>IFERROR(Table1[[#This Row],[Wholes (kg''s)]]/Table1[[#This Row],[Good Kernels (kg''s)]]%,"")</f>
        <v/>
      </c>
      <c r="W303" s="5" t="str">
        <f>IFERROR(Table1[[#This Row],[Pieces (kg''s)]]/Table1[[#This Row],[Good Kernels (kg''s)]]%,"")</f>
        <v/>
      </c>
      <c r="X303" s="5" t="str">
        <f>IFERROR(Table1[[#This Row],[First Pass Uncut (kg''s)]]/Table1[[#This Row],[Input Quantity (Kg''s)]]%,"")</f>
        <v/>
      </c>
      <c r="Y303" s="5" t="str">
        <f>IFERROR(Table1[[#This Row],[Final Uncut (kg''s)]]/Table1[[#This Row],[Input Quantity (Kg''s)]]%,"")</f>
        <v/>
      </c>
      <c r="Z303" s="21" t="str">
        <f>IFERROR(Table1[[#This Row],[Shell]]/Table1[[#This Row],[Input Quantity (Kg''s)]]%,"")</f>
        <v/>
      </c>
      <c r="AA303" s="21" t="str">
        <f>IFERROR(Table1[[#This Row],[Shell Dust]]/Table1[[#This Row],[Input Quantity (Kg''s)]]%,"")</f>
        <v/>
      </c>
    </row>
    <row r="304" spans="2:27" x14ac:dyDescent="0.3">
      <c r="B304" s="1"/>
      <c r="C304" s="15">
        <f>WEEKNUM(Table1[[#This Row],[Date]])</f>
        <v>0</v>
      </c>
      <c r="D304" s="1" t="str">
        <f>TEXT(Table1[[#This Row],[Date]],"mmm-yy")</f>
        <v>Jan-00</v>
      </c>
      <c r="E304" s="1"/>
      <c r="I304" s="3"/>
      <c r="M304" s="3"/>
      <c r="N304" s="3"/>
      <c r="O304" s="3"/>
      <c r="P304" s="3">
        <f>Table1[[#This Row],[Input Quantity (Kg''s)]]-SUM(Table1[[#This Row],[Wholes (kg''s)]:[Black Rejection (Kg''s)]],Table1[[#This Row],[Shell Dust]])</f>
        <v>0</v>
      </c>
      <c r="Q304" s="3">
        <f>SUM(Table1[[#This Row],[Wholes (kg''s)]:[Pieces (kg''s)]])</f>
        <v>0</v>
      </c>
      <c r="R304" s="3">
        <f>SUM(Table1[[#This Row],[Wholes (kg''s)]:[Black Rejection (Kg''s)]])</f>
        <v>0</v>
      </c>
      <c r="S304" s="4" t="str">
        <f>IFERROR(Table1[[#This Row],[Good Kernels (kg''s)]]/Table1[[#This Row],[Input Quantity (Kg''s)]]*176.36,"")</f>
        <v/>
      </c>
      <c r="T304" s="4" t="str">
        <f>IFERROR(Table1[[#This Row],[Good Kernels (kg''s)]]/Table1[[#This Row],[Input Quantity (Kg''s)]]%,"")</f>
        <v/>
      </c>
      <c r="U304" s="5" t="str">
        <f>IFERROR(Table1[[#This Row],[Final Kernels (kg''s)]]/Table1[[#This Row],[Input Quantity (Kg''s)]]%,"")</f>
        <v/>
      </c>
      <c r="V304" s="5" t="str">
        <f>IFERROR(Table1[[#This Row],[Wholes (kg''s)]]/Table1[[#This Row],[Good Kernels (kg''s)]]%,"")</f>
        <v/>
      </c>
      <c r="W304" s="5" t="str">
        <f>IFERROR(Table1[[#This Row],[Pieces (kg''s)]]/Table1[[#This Row],[Good Kernels (kg''s)]]%,"")</f>
        <v/>
      </c>
      <c r="X304" s="5" t="str">
        <f>IFERROR(Table1[[#This Row],[First Pass Uncut (kg''s)]]/Table1[[#This Row],[Input Quantity (Kg''s)]]%,"")</f>
        <v/>
      </c>
      <c r="Y304" s="5" t="str">
        <f>IFERROR(Table1[[#This Row],[Final Uncut (kg''s)]]/Table1[[#This Row],[Input Quantity (Kg''s)]]%,"")</f>
        <v/>
      </c>
      <c r="Z304" s="21" t="str">
        <f>IFERROR(Table1[[#This Row],[Shell]]/Table1[[#This Row],[Input Quantity (Kg''s)]]%,"")</f>
        <v/>
      </c>
      <c r="AA304" s="21" t="str">
        <f>IFERROR(Table1[[#This Row],[Shell Dust]]/Table1[[#This Row],[Input Quantity (Kg''s)]]%,"")</f>
        <v/>
      </c>
    </row>
    <row r="305" spans="2:27" x14ac:dyDescent="0.3">
      <c r="B305" s="1"/>
      <c r="C305" s="15">
        <f>WEEKNUM(Table1[[#This Row],[Date]])</f>
        <v>0</v>
      </c>
      <c r="D305" s="1" t="str">
        <f>TEXT(Table1[[#This Row],[Date]],"mmm-yy")</f>
        <v>Jan-00</v>
      </c>
      <c r="E305" s="1"/>
      <c r="I305" s="3"/>
      <c r="M305" s="3"/>
      <c r="N305" s="3"/>
      <c r="O305" s="3"/>
      <c r="P305" s="3">
        <f>Table1[[#This Row],[Input Quantity (Kg''s)]]-SUM(Table1[[#This Row],[Wholes (kg''s)]:[Black Rejection (Kg''s)]],Table1[[#This Row],[Shell Dust]])</f>
        <v>0</v>
      </c>
      <c r="Q305" s="3">
        <f>SUM(Table1[[#This Row],[Wholes (kg''s)]:[Pieces (kg''s)]])</f>
        <v>0</v>
      </c>
      <c r="R305" s="3">
        <f>SUM(Table1[[#This Row],[Wholes (kg''s)]:[Black Rejection (Kg''s)]])</f>
        <v>0</v>
      </c>
      <c r="S305" s="4" t="str">
        <f>IFERROR(Table1[[#This Row],[Good Kernels (kg''s)]]/Table1[[#This Row],[Input Quantity (Kg''s)]]*176.36,"")</f>
        <v/>
      </c>
      <c r="T305" s="4" t="str">
        <f>IFERROR(Table1[[#This Row],[Good Kernels (kg''s)]]/Table1[[#This Row],[Input Quantity (Kg''s)]]%,"")</f>
        <v/>
      </c>
      <c r="U305" s="5" t="str">
        <f>IFERROR(Table1[[#This Row],[Final Kernels (kg''s)]]/Table1[[#This Row],[Input Quantity (Kg''s)]]%,"")</f>
        <v/>
      </c>
      <c r="V305" s="5" t="str">
        <f>IFERROR(Table1[[#This Row],[Wholes (kg''s)]]/Table1[[#This Row],[Good Kernels (kg''s)]]%,"")</f>
        <v/>
      </c>
      <c r="W305" s="5" t="str">
        <f>IFERROR(Table1[[#This Row],[Pieces (kg''s)]]/Table1[[#This Row],[Good Kernels (kg''s)]]%,"")</f>
        <v/>
      </c>
      <c r="X305" s="5" t="str">
        <f>IFERROR(Table1[[#This Row],[First Pass Uncut (kg''s)]]/Table1[[#This Row],[Input Quantity (Kg''s)]]%,"")</f>
        <v/>
      </c>
      <c r="Y305" s="5" t="str">
        <f>IFERROR(Table1[[#This Row],[Final Uncut (kg''s)]]/Table1[[#This Row],[Input Quantity (Kg''s)]]%,"")</f>
        <v/>
      </c>
      <c r="Z305" s="21" t="str">
        <f>IFERROR(Table1[[#This Row],[Shell]]/Table1[[#This Row],[Input Quantity (Kg''s)]]%,"")</f>
        <v/>
      </c>
      <c r="AA305" s="21" t="str">
        <f>IFERROR(Table1[[#This Row],[Shell Dust]]/Table1[[#This Row],[Input Quantity (Kg''s)]]%,"")</f>
        <v/>
      </c>
    </row>
    <row r="306" spans="2:27" x14ac:dyDescent="0.3">
      <c r="B306" s="1"/>
      <c r="C306" s="15">
        <f>WEEKNUM(Table1[[#This Row],[Date]])</f>
        <v>0</v>
      </c>
      <c r="D306" s="1" t="str">
        <f>TEXT(Table1[[#This Row],[Date]],"mmm-yy")</f>
        <v>Jan-00</v>
      </c>
      <c r="E306" s="1"/>
      <c r="I306" s="3"/>
      <c r="M306" s="3"/>
      <c r="N306" s="3"/>
      <c r="O306" s="3"/>
      <c r="P306" s="3">
        <f>Table1[[#This Row],[Input Quantity (Kg''s)]]-SUM(Table1[[#This Row],[Wholes (kg''s)]:[Black Rejection (Kg''s)]],Table1[[#This Row],[Shell Dust]])</f>
        <v>0</v>
      </c>
      <c r="Q306" s="3">
        <f>SUM(Table1[[#This Row],[Wholes (kg''s)]:[Pieces (kg''s)]])</f>
        <v>0</v>
      </c>
      <c r="R306" s="3">
        <f>SUM(Table1[[#This Row],[Wholes (kg''s)]:[Black Rejection (Kg''s)]])</f>
        <v>0</v>
      </c>
      <c r="S306" s="4" t="str">
        <f>IFERROR(Table1[[#This Row],[Good Kernels (kg''s)]]/Table1[[#This Row],[Input Quantity (Kg''s)]]*176.36,"")</f>
        <v/>
      </c>
      <c r="T306" s="4" t="str">
        <f>IFERROR(Table1[[#This Row],[Good Kernels (kg''s)]]/Table1[[#This Row],[Input Quantity (Kg''s)]]%,"")</f>
        <v/>
      </c>
      <c r="U306" s="5" t="str">
        <f>IFERROR(Table1[[#This Row],[Final Kernels (kg''s)]]/Table1[[#This Row],[Input Quantity (Kg''s)]]%,"")</f>
        <v/>
      </c>
      <c r="V306" s="5" t="str">
        <f>IFERROR(Table1[[#This Row],[Wholes (kg''s)]]/Table1[[#This Row],[Good Kernels (kg''s)]]%,"")</f>
        <v/>
      </c>
      <c r="W306" s="5" t="str">
        <f>IFERROR(Table1[[#This Row],[Pieces (kg''s)]]/Table1[[#This Row],[Good Kernels (kg''s)]]%,"")</f>
        <v/>
      </c>
      <c r="X306" s="5" t="str">
        <f>IFERROR(Table1[[#This Row],[First Pass Uncut (kg''s)]]/Table1[[#This Row],[Input Quantity (Kg''s)]]%,"")</f>
        <v/>
      </c>
      <c r="Y306" s="5" t="str">
        <f>IFERROR(Table1[[#This Row],[Final Uncut (kg''s)]]/Table1[[#This Row],[Input Quantity (Kg''s)]]%,"")</f>
        <v/>
      </c>
      <c r="Z306" s="21" t="str">
        <f>IFERROR(Table1[[#This Row],[Shell]]/Table1[[#This Row],[Input Quantity (Kg''s)]]%,"")</f>
        <v/>
      </c>
      <c r="AA306" s="21" t="str">
        <f>IFERROR(Table1[[#This Row],[Shell Dust]]/Table1[[#This Row],[Input Quantity (Kg''s)]]%,"")</f>
        <v/>
      </c>
    </row>
    <row r="307" spans="2:27" x14ac:dyDescent="0.3">
      <c r="B307" s="1"/>
      <c r="C307" s="15">
        <f>WEEKNUM(Table1[[#This Row],[Date]])</f>
        <v>0</v>
      </c>
      <c r="D307" s="1" t="str">
        <f>TEXT(Table1[[#This Row],[Date]],"mmm-yy")</f>
        <v>Jan-00</v>
      </c>
      <c r="E307" s="1"/>
      <c r="I307" s="3"/>
      <c r="M307" s="3"/>
      <c r="N307" s="3"/>
      <c r="O307" s="3"/>
      <c r="P307" s="3">
        <f>Table1[[#This Row],[Input Quantity (Kg''s)]]-SUM(Table1[[#This Row],[Wholes (kg''s)]:[Black Rejection (Kg''s)]],Table1[[#This Row],[Shell Dust]])</f>
        <v>0</v>
      </c>
      <c r="Q307" s="3">
        <f>SUM(Table1[[#This Row],[Wholes (kg''s)]:[Pieces (kg''s)]])</f>
        <v>0</v>
      </c>
      <c r="R307" s="3">
        <f>SUM(Table1[[#This Row],[Wholes (kg''s)]:[Black Rejection (Kg''s)]])</f>
        <v>0</v>
      </c>
      <c r="S307" s="4" t="str">
        <f>IFERROR(Table1[[#This Row],[Good Kernels (kg''s)]]/Table1[[#This Row],[Input Quantity (Kg''s)]]*176.36,"")</f>
        <v/>
      </c>
      <c r="T307" s="4" t="str">
        <f>IFERROR(Table1[[#This Row],[Good Kernels (kg''s)]]/Table1[[#This Row],[Input Quantity (Kg''s)]]%,"")</f>
        <v/>
      </c>
      <c r="U307" s="5" t="str">
        <f>IFERROR(Table1[[#This Row],[Final Kernels (kg''s)]]/Table1[[#This Row],[Input Quantity (Kg''s)]]%,"")</f>
        <v/>
      </c>
      <c r="V307" s="5" t="str">
        <f>IFERROR(Table1[[#This Row],[Wholes (kg''s)]]/Table1[[#This Row],[Good Kernels (kg''s)]]%,"")</f>
        <v/>
      </c>
      <c r="W307" s="5" t="str">
        <f>IFERROR(Table1[[#This Row],[Pieces (kg''s)]]/Table1[[#This Row],[Good Kernels (kg''s)]]%,"")</f>
        <v/>
      </c>
      <c r="X307" s="5" t="str">
        <f>IFERROR(Table1[[#This Row],[First Pass Uncut (kg''s)]]/Table1[[#This Row],[Input Quantity (Kg''s)]]%,"")</f>
        <v/>
      </c>
      <c r="Y307" s="5" t="str">
        <f>IFERROR(Table1[[#This Row],[Final Uncut (kg''s)]]/Table1[[#This Row],[Input Quantity (Kg''s)]]%,"")</f>
        <v/>
      </c>
      <c r="Z307" s="21" t="str">
        <f>IFERROR(Table1[[#This Row],[Shell]]/Table1[[#This Row],[Input Quantity (Kg''s)]]%,"")</f>
        <v/>
      </c>
      <c r="AA307" s="21" t="str">
        <f>IFERROR(Table1[[#This Row],[Shell Dust]]/Table1[[#This Row],[Input Quantity (Kg''s)]]%,"")</f>
        <v/>
      </c>
    </row>
    <row r="308" spans="2:27" x14ac:dyDescent="0.3">
      <c r="B308" s="1"/>
      <c r="C308" s="15">
        <f>WEEKNUM(Table1[[#This Row],[Date]])</f>
        <v>0</v>
      </c>
      <c r="D308" s="1" t="str">
        <f>TEXT(Table1[[#This Row],[Date]],"mmm-yy")</f>
        <v>Jan-00</v>
      </c>
      <c r="E308" s="1"/>
      <c r="I308" s="3"/>
      <c r="M308" s="3"/>
      <c r="N308" s="3"/>
      <c r="O308" s="3"/>
      <c r="P308" s="3">
        <f>Table1[[#This Row],[Input Quantity (Kg''s)]]-SUM(Table1[[#This Row],[Wholes (kg''s)]:[Black Rejection (Kg''s)]],Table1[[#This Row],[Shell Dust]])</f>
        <v>0</v>
      </c>
      <c r="Q308" s="3">
        <f>SUM(Table1[[#This Row],[Wholes (kg''s)]:[Pieces (kg''s)]])</f>
        <v>0</v>
      </c>
      <c r="R308" s="3">
        <f>SUM(Table1[[#This Row],[Wholes (kg''s)]:[Black Rejection (Kg''s)]])</f>
        <v>0</v>
      </c>
      <c r="S308" s="4" t="str">
        <f>IFERROR(Table1[[#This Row],[Good Kernels (kg''s)]]/Table1[[#This Row],[Input Quantity (Kg''s)]]*176.36,"")</f>
        <v/>
      </c>
      <c r="T308" s="4" t="str">
        <f>IFERROR(Table1[[#This Row],[Good Kernels (kg''s)]]/Table1[[#This Row],[Input Quantity (Kg''s)]]%,"")</f>
        <v/>
      </c>
      <c r="U308" s="5" t="str">
        <f>IFERROR(Table1[[#This Row],[Final Kernels (kg''s)]]/Table1[[#This Row],[Input Quantity (Kg''s)]]%,"")</f>
        <v/>
      </c>
      <c r="V308" s="5" t="str">
        <f>IFERROR(Table1[[#This Row],[Wholes (kg''s)]]/Table1[[#This Row],[Good Kernels (kg''s)]]%,"")</f>
        <v/>
      </c>
      <c r="W308" s="5" t="str">
        <f>IFERROR(Table1[[#This Row],[Pieces (kg''s)]]/Table1[[#This Row],[Good Kernels (kg''s)]]%,"")</f>
        <v/>
      </c>
      <c r="X308" s="5" t="str">
        <f>IFERROR(Table1[[#This Row],[First Pass Uncut (kg''s)]]/Table1[[#This Row],[Input Quantity (Kg''s)]]%,"")</f>
        <v/>
      </c>
      <c r="Y308" s="5" t="str">
        <f>IFERROR(Table1[[#This Row],[Final Uncut (kg''s)]]/Table1[[#This Row],[Input Quantity (Kg''s)]]%,"")</f>
        <v/>
      </c>
      <c r="Z308" s="21" t="str">
        <f>IFERROR(Table1[[#This Row],[Shell]]/Table1[[#This Row],[Input Quantity (Kg''s)]]%,"")</f>
        <v/>
      </c>
      <c r="AA308" s="21" t="str">
        <f>IFERROR(Table1[[#This Row],[Shell Dust]]/Table1[[#This Row],[Input Quantity (Kg''s)]]%,"")</f>
        <v/>
      </c>
    </row>
    <row r="309" spans="2:27" x14ac:dyDescent="0.3">
      <c r="B309" s="1"/>
      <c r="C309" s="15">
        <f>WEEKNUM(Table1[[#This Row],[Date]])</f>
        <v>0</v>
      </c>
      <c r="D309" s="1" t="str">
        <f>TEXT(Table1[[#This Row],[Date]],"mmm-yy")</f>
        <v>Jan-00</v>
      </c>
      <c r="E309" s="1"/>
      <c r="I309" s="3"/>
      <c r="M309" s="3"/>
      <c r="N309" s="3"/>
      <c r="O309" s="3"/>
      <c r="P309" s="3">
        <f>Table1[[#This Row],[Input Quantity (Kg''s)]]-SUM(Table1[[#This Row],[Wholes (kg''s)]:[Black Rejection (Kg''s)]],Table1[[#This Row],[Shell Dust]])</f>
        <v>0</v>
      </c>
      <c r="Q309" s="3">
        <f>SUM(Table1[[#This Row],[Wholes (kg''s)]:[Pieces (kg''s)]])</f>
        <v>0</v>
      </c>
      <c r="R309" s="3">
        <f>SUM(Table1[[#This Row],[Wholes (kg''s)]:[Black Rejection (Kg''s)]])</f>
        <v>0</v>
      </c>
      <c r="S309" s="4" t="str">
        <f>IFERROR(Table1[[#This Row],[Good Kernels (kg''s)]]/Table1[[#This Row],[Input Quantity (Kg''s)]]*176.36,"")</f>
        <v/>
      </c>
      <c r="T309" s="4" t="str">
        <f>IFERROR(Table1[[#This Row],[Good Kernels (kg''s)]]/Table1[[#This Row],[Input Quantity (Kg''s)]]%,"")</f>
        <v/>
      </c>
      <c r="U309" s="5" t="str">
        <f>IFERROR(Table1[[#This Row],[Final Kernels (kg''s)]]/Table1[[#This Row],[Input Quantity (Kg''s)]]%,"")</f>
        <v/>
      </c>
      <c r="V309" s="5" t="str">
        <f>IFERROR(Table1[[#This Row],[Wholes (kg''s)]]/Table1[[#This Row],[Good Kernels (kg''s)]]%,"")</f>
        <v/>
      </c>
      <c r="W309" s="5" t="str">
        <f>IFERROR(Table1[[#This Row],[Pieces (kg''s)]]/Table1[[#This Row],[Good Kernels (kg''s)]]%,"")</f>
        <v/>
      </c>
      <c r="X309" s="5" t="str">
        <f>IFERROR(Table1[[#This Row],[First Pass Uncut (kg''s)]]/Table1[[#This Row],[Input Quantity (Kg''s)]]%,"")</f>
        <v/>
      </c>
      <c r="Y309" s="5" t="str">
        <f>IFERROR(Table1[[#This Row],[Final Uncut (kg''s)]]/Table1[[#This Row],[Input Quantity (Kg''s)]]%,"")</f>
        <v/>
      </c>
      <c r="Z309" s="21" t="str">
        <f>IFERROR(Table1[[#This Row],[Shell]]/Table1[[#This Row],[Input Quantity (Kg''s)]]%,"")</f>
        <v/>
      </c>
      <c r="AA309" s="21" t="str">
        <f>IFERROR(Table1[[#This Row],[Shell Dust]]/Table1[[#This Row],[Input Quantity (Kg''s)]]%,"")</f>
        <v/>
      </c>
    </row>
    <row r="310" spans="2:27" x14ac:dyDescent="0.3">
      <c r="B310" s="1"/>
      <c r="C310" s="15">
        <f>WEEKNUM(Table1[[#This Row],[Date]])</f>
        <v>0</v>
      </c>
      <c r="D310" s="1" t="str">
        <f>TEXT(Table1[[#This Row],[Date]],"mmm-yy")</f>
        <v>Jan-00</v>
      </c>
      <c r="E310" s="1"/>
      <c r="I310" s="3"/>
      <c r="M310" s="3"/>
      <c r="N310" s="3"/>
      <c r="O310" s="3"/>
      <c r="P310" s="3">
        <f>Table1[[#This Row],[Input Quantity (Kg''s)]]-SUM(Table1[[#This Row],[Wholes (kg''s)]:[Black Rejection (Kg''s)]],Table1[[#This Row],[Shell Dust]])</f>
        <v>0</v>
      </c>
      <c r="Q310" s="3">
        <f>SUM(Table1[[#This Row],[Wholes (kg''s)]:[Pieces (kg''s)]])</f>
        <v>0</v>
      </c>
      <c r="R310" s="3">
        <f>SUM(Table1[[#This Row],[Wholes (kg''s)]:[Black Rejection (Kg''s)]])</f>
        <v>0</v>
      </c>
      <c r="S310" s="4" t="str">
        <f>IFERROR(Table1[[#This Row],[Good Kernels (kg''s)]]/Table1[[#This Row],[Input Quantity (Kg''s)]]*176.36,"")</f>
        <v/>
      </c>
      <c r="T310" s="4" t="str">
        <f>IFERROR(Table1[[#This Row],[Good Kernels (kg''s)]]/Table1[[#This Row],[Input Quantity (Kg''s)]]%,"")</f>
        <v/>
      </c>
      <c r="U310" s="5" t="str">
        <f>IFERROR(Table1[[#This Row],[Final Kernels (kg''s)]]/Table1[[#This Row],[Input Quantity (Kg''s)]]%,"")</f>
        <v/>
      </c>
      <c r="V310" s="5" t="str">
        <f>IFERROR(Table1[[#This Row],[Wholes (kg''s)]]/Table1[[#This Row],[Good Kernels (kg''s)]]%,"")</f>
        <v/>
      </c>
      <c r="W310" s="5" t="str">
        <f>IFERROR(Table1[[#This Row],[Pieces (kg''s)]]/Table1[[#This Row],[Good Kernels (kg''s)]]%,"")</f>
        <v/>
      </c>
      <c r="X310" s="5" t="str">
        <f>IFERROR(Table1[[#This Row],[First Pass Uncut (kg''s)]]/Table1[[#This Row],[Input Quantity (Kg''s)]]%,"")</f>
        <v/>
      </c>
      <c r="Y310" s="5" t="str">
        <f>IFERROR(Table1[[#This Row],[Final Uncut (kg''s)]]/Table1[[#This Row],[Input Quantity (Kg''s)]]%,"")</f>
        <v/>
      </c>
      <c r="Z310" s="21" t="str">
        <f>IFERROR(Table1[[#This Row],[Shell]]/Table1[[#This Row],[Input Quantity (Kg''s)]]%,"")</f>
        <v/>
      </c>
      <c r="AA310" s="21" t="str">
        <f>IFERROR(Table1[[#This Row],[Shell Dust]]/Table1[[#This Row],[Input Quantity (Kg''s)]]%,"")</f>
        <v/>
      </c>
    </row>
    <row r="311" spans="2:27" x14ac:dyDescent="0.3">
      <c r="B311" s="1"/>
      <c r="C311" s="15">
        <f>WEEKNUM(Table1[[#This Row],[Date]])</f>
        <v>0</v>
      </c>
      <c r="D311" s="1" t="str">
        <f>TEXT(Table1[[#This Row],[Date]],"mmm-yy")</f>
        <v>Jan-00</v>
      </c>
      <c r="E311" s="1"/>
      <c r="I311" s="3"/>
      <c r="M311" s="3"/>
      <c r="N311" s="3"/>
      <c r="O311" s="3"/>
      <c r="P311" s="3">
        <f>Table1[[#This Row],[Input Quantity (Kg''s)]]-SUM(Table1[[#This Row],[Wholes (kg''s)]:[Black Rejection (Kg''s)]],Table1[[#This Row],[Shell Dust]])</f>
        <v>0</v>
      </c>
      <c r="Q311" s="3">
        <f>SUM(Table1[[#This Row],[Wholes (kg''s)]:[Pieces (kg''s)]])</f>
        <v>0</v>
      </c>
      <c r="R311" s="3">
        <f>SUM(Table1[[#This Row],[Wholes (kg''s)]:[Black Rejection (Kg''s)]])</f>
        <v>0</v>
      </c>
      <c r="S311" s="4" t="str">
        <f>IFERROR(Table1[[#This Row],[Good Kernels (kg''s)]]/Table1[[#This Row],[Input Quantity (Kg''s)]]*176.36,"")</f>
        <v/>
      </c>
      <c r="T311" s="4" t="str">
        <f>IFERROR(Table1[[#This Row],[Good Kernels (kg''s)]]/Table1[[#This Row],[Input Quantity (Kg''s)]]%,"")</f>
        <v/>
      </c>
      <c r="U311" s="5" t="str">
        <f>IFERROR(Table1[[#This Row],[Final Kernels (kg''s)]]/Table1[[#This Row],[Input Quantity (Kg''s)]]%,"")</f>
        <v/>
      </c>
      <c r="V311" s="5" t="str">
        <f>IFERROR(Table1[[#This Row],[Wholes (kg''s)]]/Table1[[#This Row],[Good Kernels (kg''s)]]%,"")</f>
        <v/>
      </c>
      <c r="W311" s="5" t="str">
        <f>IFERROR(Table1[[#This Row],[Pieces (kg''s)]]/Table1[[#This Row],[Good Kernels (kg''s)]]%,"")</f>
        <v/>
      </c>
      <c r="X311" s="5" t="str">
        <f>IFERROR(Table1[[#This Row],[First Pass Uncut (kg''s)]]/Table1[[#This Row],[Input Quantity (Kg''s)]]%,"")</f>
        <v/>
      </c>
      <c r="Y311" s="5" t="str">
        <f>IFERROR(Table1[[#This Row],[Final Uncut (kg''s)]]/Table1[[#This Row],[Input Quantity (Kg''s)]]%,"")</f>
        <v/>
      </c>
      <c r="Z311" s="21" t="str">
        <f>IFERROR(Table1[[#This Row],[Shell]]/Table1[[#This Row],[Input Quantity (Kg''s)]]%,"")</f>
        <v/>
      </c>
      <c r="AA311" s="21" t="str">
        <f>IFERROR(Table1[[#This Row],[Shell Dust]]/Table1[[#This Row],[Input Quantity (Kg''s)]]%,"")</f>
        <v/>
      </c>
    </row>
    <row r="312" spans="2:27" x14ac:dyDescent="0.3">
      <c r="B312" s="1"/>
      <c r="C312" s="15">
        <f>WEEKNUM(Table1[[#This Row],[Date]])</f>
        <v>0</v>
      </c>
      <c r="D312" s="1" t="str">
        <f>TEXT(Table1[[#This Row],[Date]],"mmm-yy")</f>
        <v>Jan-00</v>
      </c>
      <c r="E312" s="1"/>
      <c r="I312" s="3"/>
      <c r="M312" s="3"/>
      <c r="N312" s="3"/>
      <c r="O312" s="3"/>
      <c r="P312" s="3">
        <f>Table1[[#This Row],[Input Quantity (Kg''s)]]-SUM(Table1[[#This Row],[Wholes (kg''s)]:[Black Rejection (Kg''s)]],Table1[[#This Row],[Shell Dust]])</f>
        <v>0</v>
      </c>
      <c r="Q312" s="3">
        <f>SUM(Table1[[#This Row],[Wholes (kg''s)]:[Pieces (kg''s)]])</f>
        <v>0</v>
      </c>
      <c r="R312" s="3">
        <f>SUM(Table1[[#This Row],[Wholes (kg''s)]:[Black Rejection (Kg''s)]])</f>
        <v>0</v>
      </c>
      <c r="S312" s="4" t="str">
        <f>IFERROR(Table1[[#This Row],[Good Kernels (kg''s)]]/Table1[[#This Row],[Input Quantity (Kg''s)]]*176.36,"")</f>
        <v/>
      </c>
      <c r="T312" s="4" t="str">
        <f>IFERROR(Table1[[#This Row],[Good Kernels (kg''s)]]/Table1[[#This Row],[Input Quantity (Kg''s)]]%,"")</f>
        <v/>
      </c>
      <c r="U312" s="5" t="str">
        <f>IFERROR(Table1[[#This Row],[Final Kernels (kg''s)]]/Table1[[#This Row],[Input Quantity (Kg''s)]]%,"")</f>
        <v/>
      </c>
      <c r="V312" s="5" t="str">
        <f>IFERROR(Table1[[#This Row],[Wholes (kg''s)]]/Table1[[#This Row],[Good Kernels (kg''s)]]%,"")</f>
        <v/>
      </c>
      <c r="W312" s="5" t="str">
        <f>IFERROR(Table1[[#This Row],[Pieces (kg''s)]]/Table1[[#This Row],[Good Kernels (kg''s)]]%,"")</f>
        <v/>
      </c>
      <c r="X312" s="5" t="str">
        <f>IFERROR(Table1[[#This Row],[First Pass Uncut (kg''s)]]/Table1[[#This Row],[Input Quantity (Kg''s)]]%,"")</f>
        <v/>
      </c>
      <c r="Y312" s="5" t="str">
        <f>IFERROR(Table1[[#This Row],[Final Uncut (kg''s)]]/Table1[[#This Row],[Input Quantity (Kg''s)]]%,"")</f>
        <v/>
      </c>
      <c r="Z312" s="21" t="str">
        <f>IFERROR(Table1[[#This Row],[Shell]]/Table1[[#This Row],[Input Quantity (Kg''s)]]%,"")</f>
        <v/>
      </c>
      <c r="AA312" s="21" t="str">
        <f>IFERROR(Table1[[#This Row],[Shell Dust]]/Table1[[#This Row],[Input Quantity (Kg''s)]]%,"")</f>
        <v/>
      </c>
    </row>
    <row r="313" spans="2:27" x14ac:dyDescent="0.3">
      <c r="B313" s="1"/>
      <c r="C313" s="15">
        <f>WEEKNUM(Table1[[#This Row],[Date]])</f>
        <v>0</v>
      </c>
      <c r="D313" s="1" t="str">
        <f>TEXT(Table1[[#This Row],[Date]],"mmm-yy")</f>
        <v>Jan-00</v>
      </c>
      <c r="E313" s="1"/>
      <c r="I313" s="3"/>
      <c r="M313" s="3"/>
      <c r="N313" s="3"/>
      <c r="O313" s="3"/>
      <c r="P313" s="3">
        <f>Table1[[#This Row],[Input Quantity (Kg''s)]]-SUM(Table1[[#This Row],[Wholes (kg''s)]:[Black Rejection (Kg''s)]],Table1[[#This Row],[Shell Dust]])</f>
        <v>0</v>
      </c>
      <c r="Q313" s="3">
        <f>SUM(Table1[[#This Row],[Wholes (kg''s)]:[Pieces (kg''s)]])</f>
        <v>0</v>
      </c>
      <c r="R313" s="3">
        <f>SUM(Table1[[#This Row],[Wholes (kg''s)]:[Black Rejection (Kg''s)]])</f>
        <v>0</v>
      </c>
      <c r="S313" s="4" t="str">
        <f>IFERROR(Table1[[#This Row],[Good Kernels (kg''s)]]/Table1[[#This Row],[Input Quantity (Kg''s)]]*176.36,"")</f>
        <v/>
      </c>
      <c r="T313" s="4" t="str">
        <f>IFERROR(Table1[[#This Row],[Good Kernels (kg''s)]]/Table1[[#This Row],[Input Quantity (Kg''s)]]%,"")</f>
        <v/>
      </c>
      <c r="U313" s="5" t="str">
        <f>IFERROR(Table1[[#This Row],[Final Kernels (kg''s)]]/Table1[[#This Row],[Input Quantity (Kg''s)]]%,"")</f>
        <v/>
      </c>
      <c r="V313" s="5" t="str">
        <f>IFERROR(Table1[[#This Row],[Wholes (kg''s)]]/Table1[[#This Row],[Good Kernels (kg''s)]]%,"")</f>
        <v/>
      </c>
      <c r="W313" s="5" t="str">
        <f>IFERROR(Table1[[#This Row],[Pieces (kg''s)]]/Table1[[#This Row],[Good Kernels (kg''s)]]%,"")</f>
        <v/>
      </c>
      <c r="X313" s="5" t="str">
        <f>IFERROR(Table1[[#This Row],[First Pass Uncut (kg''s)]]/Table1[[#This Row],[Input Quantity (Kg''s)]]%,"")</f>
        <v/>
      </c>
      <c r="Y313" s="5" t="str">
        <f>IFERROR(Table1[[#This Row],[Final Uncut (kg''s)]]/Table1[[#This Row],[Input Quantity (Kg''s)]]%,"")</f>
        <v/>
      </c>
      <c r="Z313" s="21" t="str">
        <f>IFERROR(Table1[[#This Row],[Shell]]/Table1[[#This Row],[Input Quantity (Kg''s)]]%,"")</f>
        <v/>
      </c>
      <c r="AA313" s="21" t="str">
        <f>IFERROR(Table1[[#This Row],[Shell Dust]]/Table1[[#This Row],[Input Quantity (Kg''s)]]%,"")</f>
        <v/>
      </c>
    </row>
    <row r="314" spans="2:27" x14ac:dyDescent="0.3">
      <c r="B314" s="1"/>
      <c r="C314" s="15">
        <f>WEEKNUM(Table1[[#This Row],[Date]])</f>
        <v>0</v>
      </c>
      <c r="D314" s="1" t="str">
        <f>TEXT(Table1[[#This Row],[Date]],"mmm-yy")</f>
        <v>Jan-00</v>
      </c>
      <c r="E314" s="1"/>
      <c r="I314" s="3"/>
      <c r="M314" s="3"/>
      <c r="N314" s="3"/>
      <c r="O314" s="3"/>
      <c r="P314" s="3">
        <f>Table1[[#This Row],[Input Quantity (Kg''s)]]-SUM(Table1[[#This Row],[Wholes (kg''s)]:[Black Rejection (Kg''s)]],Table1[[#This Row],[Shell Dust]])</f>
        <v>0</v>
      </c>
      <c r="Q314" s="3">
        <f>SUM(Table1[[#This Row],[Wholes (kg''s)]:[Pieces (kg''s)]])</f>
        <v>0</v>
      </c>
      <c r="R314" s="3">
        <f>SUM(Table1[[#This Row],[Wholes (kg''s)]:[Black Rejection (Kg''s)]])</f>
        <v>0</v>
      </c>
      <c r="S314" s="4" t="str">
        <f>IFERROR(Table1[[#This Row],[Good Kernels (kg''s)]]/Table1[[#This Row],[Input Quantity (Kg''s)]]*176.36,"")</f>
        <v/>
      </c>
      <c r="T314" s="4" t="str">
        <f>IFERROR(Table1[[#This Row],[Good Kernels (kg''s)]]/Table1[[#This Row],[Input Quantity (Kg''s)]]%,"")</f>
        <v/>
      </c>
      <c r="U314" s="5" t="str">
        <f>IFERROR(Table1[[#This Row],[Final Kernels (kg''s)]]/Table1[[#This Row],[Input Quantity (Kg''s)]]%,"")</f>
        <v/>
      </c>
      <c r="V314" s="5" t="str">
        <f>IFERROR(Table1[[#This Row],[Wholes (kg''s)]]/Table1[[#This Row],[Good Kernels (kg''s)]]%,"")</f>
        <v/>
      </c>
      <c r="W314" s="5" t="str">
        <f>IFERROR(Table1[[#This Row],[Pieces (kg''s)]]/Table1[[#This Row],[Good Kernels (kg''s)]]%,"")</f>
        <v/>
      </c>
      <c r="X314" s="5" t="str">
        <f>IFERROR(Table1[[#This Row],[First Pass Uncut (kg''s)]]/Table1[[#This Row],[Input Quantity (Kg''s)]]%,"")</f>
        <v/>
      </c>
      <c r="Y314" s="5" t="str">
        <f>IFERROR(Table1[[#This Row],[Final Uncut (kg''s)]]/Table1[[#This Row],[Input Quantity (Kg''s)]]%,"")</f>
        <v/>
      </c>
      <c r="Z314" s="21" t="str">
        <f>IFERROR(Table1[[#This Row],[Shell]]/Table1[[#This Row],[Input Quantity (Kg''s)]]%,"")</f>
        <v/>
      </c>
      <c r="AA314" s="21" t="str">
        <f>IFERROR(Table1[[#This Row],[Shell Dust]]/Table1[[#This Row],[Input Quantity (Kg''s)]]%,"")</f>
        <v/>
      </c>
    </row>
    <row r="315" spans="2:27" x14ac:dyDescent="0.3">
      <c r="B315" s="1"/>
      <c r="C315" s="15">
        <f>WEEKNUM(Table1[[#This Row],[Date]])</f>
        <v>0</v>
      </c>
      <c r="D315" s="1" t="str">
        <f>TEXT(Table1[[#This Row],[Date]],"mmm-yy")</f>
        <v>Jan-00</v>
      </c>
      <c r="E315" s="1"/>
      <c r="I315" s="3"/>
      <c r="M315" s="3"/>
      <c r="N315" s="3"/>
      <c r="O315" s="3"/>
      <c r="P315" s="3">
        <f>Table1[[#This Row],[Input Quantity (Kg''s)]]-SUM(Table1[[#This Row],[Wholes (kg''s)]:[Black Rejection (Kg''s)]],Table1[[#This Row],[Shell Dust]])</f>
        <v>0</v>
      </c>
      <c r="Q315" s="3">
        <f>SUM(Table1[[#This Row],[Wholes (kg''s)]:[Pieces (kg''s)]])</f>
        <v>0</v>
      </c>
      <c r="R315" s="3">
        <f>SUM(Table1[[#This Row],[Wholes (kg''s)]:[Black Rejection (Kg''s)]])</f>
        <v>0</v>
      </c>
      <c r="S315" s="4" t="str">
        <f>IFERROR(Table1[[#This Row],[Good Kernels (kg''s)]]/Table1[[#This Row],[Input Quantity (Kg''s)]]*176.36,"")</f>
        <v/>
      </c>
      <c r="T315" s="4" t="str">
        <f>IFERROR(Table1[[#This Row],[Good Kernels (kg''s)]]/Table1[[#This Row],[Input Quantity (Kg''s)]]%,"")</f>
        <v/>
      </c>
      <c r="U315" s="5" t="str">
        <f>IFERROR(Table1[[#This Row],[Final Kernels (kg''s)]]/Table1[[#This Row],[Input Quantity (Kg''s)]]%,"")</f>
        <v/>
      </c>
      <c r="V315" s="5" t="str">
        <f>IFERROR(Table1[[#This Row],[Wholes (kg''s)]]/Table1[[#This Row],[Good Kernels (kg''s)]]%,"")</f>
        <v/>
      </c>
      <c r="W315" s="5" t="str">
        <f>IFERROR(Table1[[#This Row],[Pieces (kg''s)]]/Table1[[#This Row],[Good Kernels (kg''s)]]%,"")</f>
        <v/>
      </c>
      <c r="X315" s="5" t="str">
        <f>IFERROR(Table1[[#This Row],[First Pass Uncut (kg''s)]]/Table1[[#This Row],[Input Quantity (Kg''s)]]%,"")</f>
        <v/>
      </c>
      <c r="Y315" s="5" t="str">
        <f>IFERROR(Table1[[#This Row],[Final Uncut (kg''s)]]/Table1[[#This Row],[Input Quantity (Kg''s)]]%,"")</f>
        <v/>
      </c>
      <c r="Z315" s="21" t="str">
        <f>IFERROR(Table1[[#This Row],[Shell]]/Table1[[#This Row],[Input Quantity (Kg''s)]]%,"")</f>
        <v/>
      </c>
      <c r="AA315" s="21" t="str">
        <f>IFERROR(Table1[[#This Row],[Shell Dust]]/Table1[[#This Row],[Input Quantity (Kg''s)]]%,"")</f>
        <v/>
      </c>
    </row>
    <row r="316" spans="2:27" x14ac:dyDescent="0.3">
      <c r="B316" s="1"/>
      <c r="C316" s="15">
        <f>WEEKNUM(Table1[[#This Row],[Date]])</f>
        <v>0</v>
      </c>
      <c r="D316" s="1" t="str">
        <f>TEXT(Table1[[#This Row],[Date]],"mmm-yy")</f>
        <v>Jan-00</v>
      </c>
      <c r="E316" s="1"/>
      <c r="I316" s="3"/>
      <c r="M316" s="3"/>
      <c r="N316" s="3"/>
      <c r="O316" s="3"/>
      <c r="P316" s="3">
        <f>Table1[[#This Row],[Input Quantity (Kg''s)]]-SUM(Table1[[#This Row],[Wholes (kg''s)]:[Black Rejection (Kg''s)]],Table1[[#This Row],[Shell Dust]])</f>
        <v>0</v>
      </c>
      <c r="Q316" s="3">
        <f>SUM(Table1[[#This Row],[Wholes (kg''s)]:[Pieces (kg''s)]])</f>
        <v>0</v>
      </c>
      <c r="R316" s="3">
        <f>SUM(Table1[[#This Row],[Wholes (kg''s)]:[Black Rejection (Kg''s)]])</f>
        <v>0</v>
      </c>
      <c r="S316" s="4" t="str">
        <f>IFERROR(Table1[[#This Row],[Good Kernels (kg''s)]]/Table1[[#This Row],[Input Quantity (Kg''s)]]*176.36,"")</f>
        <v/>
      </c>
      <c r="T316" s="4" t="str">
        <f>IFERROR(Table1[[#This Row],[Good Kernels (kg''s)]]/Table1[[#This Row],[Input Quantity (Kg''s)]]%,"")</f>
        <v/>
      </c>
      <c r="U316" s="5" t="str">
        <f>IFERROR(Table1[[#This Row],[Final Kernels (kg''s)]]/Table1[[#This Row],[Input Quantity (Kg''s)]]%,"")</f>
        <v/>
      </c>
      <c r="V316" s="5" t="str">
        <f>IFERROR(Table1[[#This Row],[Wholes (kg''s)]]/Table1[[#This Row],[Good Kernels (kg''s)]]%,"")</f>
        <v/>
      </c>
      <c r="W316" s="5" t="str">
        <f>IFERROR(Table1[[#This Row],[Pieces (kg''s)]]/Table1[[#This Row],[Good Kernels (kg''s)]]%,"")</f>
        <v/>
      </c>
      <c r="X316" s="5" t="str">
        <f>IFERROR(Table1[[#This Row],[First Pass Uncut (kg''s)]]/Table1[[#This Row],[Input Quantity (Kg''s)]]%,"")</f>
        <v/>
      </c>
      <c r="Y316" s="5" t="str">
        <f>IFERROR(Table1[[#This Row],[Final Uncut (kg''s)]]/Table1[[#This Row],[Input Quantity (Kg''s)]]%,"")</f>
        <v/>
      </c>
      <c r="Z316" s="21" t="str">
        <f>IFERROR(Table1[[#This Row],[Shell]]/Table1[[#This Row],[Input Quantity (Kg''s)]]%,"")</f>
        <v/>
      </c>
      <c r="AA316" s="21" t="str">
        <f>IFERROR(Table1[[#This Row],[Shell Dust]]/Table1[[#This Row],[Input Quantity (Kg''s)]]%,"")</f>
        <v/>
      </c>
    </row>
    <row r="317" spans="2:27" x14ac:dyDescent="0.3">
      <c r="B317" s="1"/>
      <c r="C317" s="15">
        <f>WEEKNUM(Table1[[#This Row],[Date]])</f>
        <v>0</v>
      </c>
      <c r="D317" s="1" t="str">
        <f>TEXT(Table1[[#This Row],[Date]],"mmm-yy")</f>
        <v>Jan-00</v>
      </c>
      <c r="E317" s="1"/>
      <c r="I317" s="3"/>
      <c r="M317" s="3"/>
      <c r="N317" s="3"/>
      <c r="O317" s="3"/>
      <c r="P317" s="3">
        <f>Table1[[#This Row],[Input Quantity (Kg''s)]]-SUM(Table1[[#This Row],[Wholes (kg''s)]:[Black Rejection (Kg''s)]],Table1[[#This Row],[Shell Dust]])</f>
        <v>0</v>
      </c>
      <c r="Q317" s="3">
        <f>SUM(Table1[[#This Row],[Wholes (kg''s)]:[Pieces (kg''s)]])</f>
        <v>0</v>
      </c>
      <c r="R317" s="3">
        <f>SUM(Table1[[#This Row],[Wholes (kg''s)]:[Black Rejection (Kg''s)]])</f>
        <v>0</v>
      </c>
      <c r="S317" s="4" t="str">
        <f>IFERROR(Table1[[#This Row],[Good Kernels (kg''s)]]/Table1[[#This Row],[Input Quantity (Kg''s)]]*176.36,"")</f>
        <v/>
      </c>
      <c r="T317" s="4" t="str">
        <f>IFERROR(Table1[[#This Row],[Good Kernels (kg''s)]]/Table1[[#This Row],[Input Quantity (Kg''s)]]%,"")</f>
        <v/>
      </c>
      <c r="U317" s="5" t="str">
        <f>IFERROR(Table1[[#This Row],[Final Kernels (kg''s)]]/Table1[[#This Row],[Input Quantity (Kg''s)]]%,"")</f>
        <v/>
      </c>
      <c r="V317" s="5" t="str">
        <f>IFERROR(Table1[[#This Row],[Wholes (kg''s)]]/Table1[[#This Row],[Good Kernels (kg''s)]]%,"")</f>
        <v/>
      </c>
      <c r="W317" s="5" t="str">
        <f>IFERROR(Table1[[#This Row],[Pieces (kg''s)]]/Table1[[#This Row],[Good Kernels (kg''s)]]%,"")</f>
        <v/>
      </c>
      <c r="X317" s="5" t="str">
        <f>IFERROR(Table1[[#This Row],[First Pass Uncut (kg''s)]]/Table1[[#This Row],[Input Quantity (Kg''s)]]%,"")</f>
        <v/>
      </c>
      <c r="Y317" s="5" t="str">
        <f>IFERROR(Table1[[#This Row],[Final Uncut (kg''s)]]/Table1[[#This Row],[Input Quantity (Kg''s)]]%,"")</f>
        <v/>
      </c>
      <c r="Z317" s="21" t="str">
        <f>IFERROR(Table1[[#This Row],[Shell]]/Table1[[#This Row],[Input Quantity (Kg''s)]]%,"")</f>
        <v/>
      </c>
      <c r="AA317" s="21" t="str">
        <f>IFERROR(Table1[[#This Row],[Shell Dust]]/Table1[[#This Row],[Input Quantity (Kg''s)]]%,"")</f>
        <v/>
      </c>
    </row>
    <row r="318" spans="2:27" x14ac:dyDescent="0.3">
      <c r="B318" s="1"/>
      <c r="C318" s="15">
        <f>WEEKNUM(Table1[[#This Row],[Date]])</f>
        <v>0</v>
      </c>
      <c r="D318" s="1" t="str">
        <f>TEXT(Table1[[#This Row],[Date]],"mmm-yy")</f>
        <v>Jan-00</v>
      </c>
      <c r="E318" s="1"/>
      <c r="I318" s="3"/>
      <c r="M318" s="3"/>
      <c r="N318" s="3"/>
      <c r="O318" s="3"/>
      <c r="P318" s="3">
        <f>Table1[[#This Row],[Input Quantity (Kg''s)]]-SUM(Table1[[#This Row],[Wholes (kg''s)]:[Black Rejection (Kg''s)]],Table1[[#This Row],[Shell Dust]])</f>
        <v>0</v>
      </c>
      <c r="Q318" s="3">
        <f>SUM(Table1[[#This Row],[Wholes (kg''s)]:[Pieces (kg''s)]])</f>
        <v>0</v>
      </c>
      <c r="R318" s="3">
        <f>SUM(Table1[[#This Row],[Wholes (kg''s)]:[Black Rejection (Kg''s)]])</f>
        <v>0</v>
      </c>
      <c r="S318" s="4" t="str">
        <f>IFERROR(Table1[[#This Row],[Good Kernels (kg''s)]]/Table1[[#This Row],[Input Quantity (Kg''s)]]*176.36,"")</f>
        <v/>
      </c>
      <c r="T318" s="4" t="str">
        <f>IFERROR(Table1[[#This Row],[Good Kernels (kg''s)]]/Table1[[#This Row],[Input Quantity (Kg''s)]]%,"")</f>
        <v/>
      </c>
      <c r="U318" s="5" t="str">
        <f>IFERROR(Table1[[#This Row],[Final Kernels (kg''s)]]/Table1[[#This Row],[Input Quantity (Kg''s)]]%,"")</f>
        <v/>
      </c>
      <c r="V318" s="5" t="str">
        <f>IFERROR(Table1[[#This Row],[Wholes (kg''s)]]/Table1[[#This Row],[Good Kernels (kg''s)]]%,"")</f>
        <v/>
      </c>
      <c r="W318" s="5" t="str">
        <f>IFERROR(Table1[[#This Row],[Pieces (kg''s)]]/Table1[[#This Row],[Good Kernels (kg''s)]]%,"")</f>
        <v/>
      </c>
      <c r="X318" s="5" t="str">
        <f>IFERROR(Table1[[#This Row],[First Pass Uncut (kg''s)]]/Table1[[#This Row],[Input Quantity (Kg''s)]]%,"")</f>
        <v/>
      </c>
      <c r="Y318" s="5" t="str">
        <f>IFERROR(Table1[[#This Row],[Final Uncut (kg''s)]]/Table1[[#This Row],[Input Quantity (Kg''s)]]%,"")</f>
        <v/>
      </c>
      <c r="Z318" s="21" t="str">
        <f>IFERROR(Table1[[#This Row],[Shell]]/Table1[[#This Row],[Input Quantity (Kg''s)]]%,"")</f>
        <v/>
      </c>
      <c r="AA318" s="21" t="str">
        <f>IFERROR(Table1[[#This Row],[Shell Dust]]/Table1[[#This Row],[Input Quantity (Kg''s)]]%,"")</f>
        <v/>
      </c>
    </row>
    <row r="319" spans="2:27" x14ac:dyDescent="0.3">
      <c r="B319" s="1"/>
      <c r="C319" s="15">
        <f>WEEKNUM(Table1[[#This Row],[Date]])</f>
        <v>0</v>
      </c>
      <c r="D319" s="1" t="str">
        <f>TEXT(Table1[[#This Row],[Date]],"mmm-yy")</f>
        <v>Jan-00</v>
      </c>
      <c r="E319" s="1"/>
      <c r="I319" s="3"/>
      <c r="M319" s="3"/>
      <c r="N319" s="3"/>
      <c r="O319" s="3"/>
      <c r="P319" s="3">
        <f>Table1[[#This Row],[Input Quantity (Kg''s)]]-SUM(Table1[[#This Row],[Wholes (kg''s)]:[Black Rejection (Kg''s)]],Table1[[#This Row],[Shell Dust]])</f>
        <v>0</v>
      </c>
      <c r="Q319" s="3">
        <f>SUM(Table1[[#This Row],[Wholes (kg''s)]:[Pieces (kg''s)]])</f>
        <v>0</v>
      </c>
      <c r="R319" s="3">
        <f>SUM(Table1[[#This Row],[Wholes (kg''s)]:[Black Rejection (Kg''s)]])</f>
        <v>0</v>
      </c>
      <c r="S319" s="4" t="str">
        <f>IFERROR(Table1[[#This Row],[Good Kernels (kg''s)]]/Table1[[#This Row],[Input Quantity (Kg''s)]]*176.36,"")</f>
        <v/>
      </c>
      <c r="T319" s="4" t="str">
        <f>IFERROR(Table1[[#This Row],[Good Kernels (kg''s)]]/Table1[[#This Row],[Input Quantity (Kg''s)]]%,"")</f>
        <v/>
      </c>
      <c r="U319" s="5" t="str">
        <f>IFERROR(Table1[[#This Row],[Final Kernels (kg''s)]]/Table1[[#This Row],[Input Quantity (Kg''s)]]%,"")</f>
        <v/>
      </c>
      <c r="V319" s="5" t="str">
        <f>IFERROR(Table1[[#This Row],[Wholes (kg''s)]]/Table1[[#This Row],[Good Kernels (kg''s)]]%,"")</f>
        <v/>
      </c>
      <c r="W319" s="5" t="str">
        <f>IFERROR(Table1[[#This Row],[Pieces (kg''s)]]/Table1[[#This Row],[Good Kernels (kg''s)]]%,"")</f>
        <v/>
      </c>
      <c r="X319" s="5" t="str">
        <f>IFERROR(Table1[[#This Row],[First Pass Uncut (kg''s)]]/Table1[[#This Row],[Input Quantity (Kg''s)]]%,"")</f>
        <v/>
      </c>
      <c r="Y319" s="5" t="str">
        <f>IFERROR(Table1[[#This Row],[Final Uncut (kg''s)]]/Table1[[#This Row],[Input Quantity (Kg''s)]]%,"")</f>
        <v/>
      </c>
      <c r="Z319" s="21" t="str">
        <f>IFERROR(Table1[[#This Row],[Shell]]/Table1[[#This Row],[Input Quantity (Kg''s)]]%,"")</f>
        <v/>
      </c>
      <c r="AA319" s="21" t="str">
        <f>IFERROR(Table1[[#This Row],[Shell Dust]]/Table1[[#This Row],[Input Quantity (Kg''s)]]%,"")</f>
        <v/>
      </c>
    </row>
    <row r="320" spans="2:27" x14ac:dyDescent="0.3">
      <c r="B320" s="1"/>
      <c r="C320" s="15">
        <f>WEEKNUM(Table1[[#This Row],[Date]])</f>
        <v>0</v>
      </c>
      <c r="D320" s="1" t="str">
        <f>TEXT(Table1[[#This Row],[Date]],"mmm-yy")</f>
        <v>Jan-00</v>
      </c>
      <c r="E320" s="1"/>
      <c r="I320" s="3"/>
      <c r="M320" s="3"/>
      <c r="N320" s="3"/>
      <c r="O320" s="3"/>
      <c r="P320" s="3">
        <f>Table1[[#This Row],[Input Quantity (Kg''s)]]-SUM(Table1[[#This Row],[Wholes (kg''s)]:[Black Rejection (Kg''s)]],Table1[[#This Row],[Shell Dust]])</f>
        <v>0</v>
      </c>
      <c r="Q320" s="3">
        <f>SUM(Table1[[#This Row],[Wholes (kg''s)]:[Pieces (kg''s)]])</f>
        <v>0</v>
      </c>
      <c r="R320" s="3">
        <f>SUM(Table1[[#This Row],[Wholes (kg''s)]:[Black Rejection (Kg''s)]])</f>
        <v>0</v>
      </c>
      <c r="S320" s="4" t="str">
        <f>IFERROR(Table1[[#This Row],[Good Kernels (kg''s)]]/Table1[[#This Row],[Input Quantity (Kg''s)]]*176.36,"")</f>
        <v/>
      </c>
      <c r="T320" s="4" t="str">
        <f>IFERROR(Table1[[#This Row],[Good Kernels (kg''s)]]/Table1[[#This Row],[Input Quantity (Kg''s)]]%,"")</f>
        <v/>
      </c>
      <c r="U320" s="5" t="str">
        <f>IFERROR(Table1[[#This Row],[Final Kernels (kg''s)]]/Table1[[#This Row],[Input Quantity (Kg''s)]]%,"")</f>
        <v/>
      </c>
      <c r="V320" s="5" t="str">
        <f>IFERROR(Table1[[#This Row],[Wholes (kg''s)]]/Table1[[#This Row],[Good Kernels (kg''s)]]%,"")</f>
        <v/>
      </c>
      <c r="W320" s="5" t="str">
        <f>IFERROR(Table1[[#This Row],[Pieces (kg''s)]]/Table1[[#This Row],[Good Kernels (kg''s)]]%,"")</f>
        <v/>
      </c>
      <c r="X320" s="5" t="str">
        <f>IFERROR(Table1[[#This Row],[First Pass Uncut (kg''s)]]/Table1[[#This Row],[Input Quantity (Kg''s)]]%,"")</f>
        <v/>
      </c>
      <c r="Y320" s="5" t="str">
        <f>IFERROR(Table1[[#This Row],[Final Uncut (kg''s)]]/Table1[[#This Row],[Input Quantity (Kg''s)]]%,"")</f>
        <v/>
      </c>
      <c r="Z320" s="21" t="str">
        <f>IFERROR(Table1[[#This Row],[Shell]]/Table1[[#This Row],[Input Quantity (Kg''s)]]%,"")</f>
        <v/>
      </c>
      <c r="AA320" s="21" t="str">
        <f>IFERROR(Table1[[#This Row],[Shell Dust]]/Table1[[#This Row],[Input Quantity (Kg''s)]]%,"")</f>
        <v/>
      </c>
    </row>
    <row r="321" spans="2:27" x14ac:dyDescent="0.3">
      <c r="B321" s="1"/>
      <c r="C321" s="15">
        <f>WEEKNUM(Table1[[#This Row],[Date]])</f>
        <v>0</v>
      </c>
      <c r="D321" s="1" t="str">
        <f>TEXT(Table1[[#This Row],[Date]],"mmm-yy")</f>
        <v>Jan-00</v>
      </c>
      <c r="E321" s="1"/>
      <c r="I321" s="3"/>
      <c r="M321" s="3"/>
      <c r="N321" s="3"/>
      <c r="O321" s="3"/>
      <c r="P321" s="3">
        <f>Table1[[#This Row],[Input Quantity (Kg''s)]]-SUM(Table1[[#This Row],[Wholes (kg''s)]:[Black Rejection (Kg''s)]],Table1[[#This Row],[Shell Dust]])</f>
        <v>0</v>
      </c>
      <c r="Q321" s="3">
        <f>SUM(Table1[[#This Row],[Wholes (kg''s)]:[Pieces (kg''s)]])</f>
        <v>0</v>
      </c>
      <c r="R321" s="3">
        <f>SUM(Table1[[#This Row],[Wholes (kg''s)]:[Black Rejection (Kg''s)]])</f>
        <v>0</v>
      </c>
      <c r="S321" s="4" t="str">
        <f>IFERROR(Table1[[#This Row],[Good Kernels (kg''s)]]/Table1[[#This Row],[Input Quantity (Kg''s)]]*176.36,"")</f>
        <v/>
      </c>
      <c r="T321" s="4" t="str">
        <f>IFERROR(Table1[[#This Row],[Good Kernels (kg''s)]]/Table1[[#This Row],[Input Quantity (Kg''s)]]%,"")</f>
        <v/>
      </c>
      <c r="U321" s="5" t="str">
        <f>IFERROR(Table1[[#This Row],[Final Kernels (kg''s)]]/Table1[[#This Row],[Input Quantity (Kg''s)]]%,"")</f>
        <v/>
      </c>
      <c r="V321" s="5" t="str">
        <f>IFERROR(Table1[[#This Row],[Wholes (kg''s)]]/Table1[[#This Row],[Good Kernels (kg''s)]]%,"")</f>
        <v/>
      </c>
      <c r="W321" s="5" t="str">
        <f>IFERROR(Table1[[#This Row],[Pieces (kg''s)]]/Table1[[#This Row],[Good Kernels (kg''s)]]%,"")</f>
        <v/>
      </c>
      <c r="X321" s="5" t="str">
        <f>IFERROR(Table1[[#This Row],[First Pass Uncut (kg''s)]]/Table1[[#This Row],[Input Quantity (Kg''s)]]%,"")</f>
        <v/>
      </c>
      <c r="Y321" s="5" t="str">
        <f>IFERROR(Table1[[#This Row],[Final Uncut (kg''s)]]/Table1[[#This Row],[Input Quantity (Kg''s)]]%,"")</f>
        <v/>
      </c>
      <c r="Z321" s="21" t="str">
        <f>IFERROR(Table1[[#This Row],[Shell]]/Table1[[#This Row],[Input Quantity (Kg''s)]]%,"")</f>
        <v/>
      </c>
      <c r="AA321" s="21" t="str">
        <f>IFERROR(Table1[[#This Row],[Shell Dust]]/Table1[[#This Row],[Input Quantity (Kg''s)]]%,"")</f>
        <v/>
      </c>
    </row>
    <row r="322" spans="2:27" x14ac:dyDescent="0.3">
      <c r="B322" s="1"/>
      <c r="C322" s="15">
        <f>WEEKNUM(Table1[[#This Row],[Date]])</f>
        <v>0</v>
      </c>
      <c r="D322" s="1" t="str">
        <f>TEXT(Table1[[#This Row],[Date]],"mmm-yy")</f>
        <v>Jan-00</v>
      </c>
      <c r="E322" s="1"/>
      <c r="I322" s="3"/>
      <c r="M322" s="3"/>
      <c r="N322" s="3"/>
      <c r="O322" s="3"/>
      <c r="P322" s="3">
        <f>Table1[[#This Row],[Input Quantity (Kg''s)]]-SUM(Table1[[#This Row],[Wholes (kg''s)]:[Black Rejection (Kg''s)]],Table1[[#This Row],[Shell Dust]])</f>
        <v>0</v>
      </c>
      <c r="Q322" s="3">
        <f>SUM(Table1[[#This Row],[Wholes (kg''s)]:[Pieces (kg''s)]])</f>
        <v>0</v>
      </c>
      <c r="R322" s="3">
        <f>SUM(Table1[[#This Row],[Wholes (kg''s)]:[Black Rejection (Kg''s)]])</f>
        <v>0</v>
      </c>
      <c r="S322" s="4" t="str">
        <f>IFERROR(Table1[[#This Row],[Good Kernels (kg''s)]]/Table1[[#This Row],[Input Quantity (Kg''s)]]*176.36,"")</f>
        <v/>
      </c>
      <c r="T322" s="4" t="str">
        <f>IFERROR(Table1[[#This Row],[Good Kernels (kg''s)]]/Table1[[#This Row],[Input Quantity (Kg''s)]]%,"")</f>
        <v/>
      </c>
      <c r="U322" s="5" t="str">
        <f>IFERROR(Table1[[#This Row],[Final Kernels (kg''s)]]/Table1[[#This Row],[Input Quantity (Kg''s)]]%,"")</f>
        <v/>
      </c>
      <c r="V322" s="5" t="str">
        <f>IFERROR(Table1[[#This Row],[Wholes (kg''s)]]/Table1[[#This Row],[Good Kernels (kg''s)]]%,"")</f>
        <v/>
      </c>
      <c r="W322" s="5" t="str">
        <f>IFERROR(Table1[[#This Row],[Pieces (kg''s)]]/Table1[[#This Row],[Good Kernels (kg''s)]]%,"")</f>
        <v/>
      </c>
      <c r="X322" s="5" t="str">
        <f>IFERROR(Table1[[#This Row],[First Pass Uncut (kg''s)]]/Table1[[#This Row],[Input Quantity (Kg''s)]]%,"")</f>
        <v/>
      </c>
      <c r="Y322" s="5" t="str">
        <f>IFERROR(Table1[[#This Row],[Final Uncut (kg''s)]]/Table1[[#This Row],[Input Quantity (Kg''s)]]%,"")</f>
        <v/>
      </c>
      <c r="Z322" s="21" t="str">
        <f>IFERROR(Table1[[#This Row],[Shell]]/Table1[[#This Row],[Input Quantity (Kg''s)]]%,"")</f>
        <v/>
      </c>
      <c r="AA322" s="21" t="str">
        <f>IFERROR(Table1[[#This Row],[Shell Dust]]/Table1[[#This Row],[Input Quantity (Kg''s)]]%,"")</f>
        <v/>
      </c>
    </row>
    <row r="323" spans="2:27" x14ac:dyDescent="0.3">
      <c r="B323" s="1"/>
      <c r="C323" s="15">
        <f>WEEKNUM(Table1[[#This Row],[Date]])</f>
        <v>0</v>
      </c>
      <c r="D323" s="1" t="str">
        <f>TEXT(Table1[[#This Row],[Date]],"mmm-yy")</f>
        <v>Jan-00</v>
      </c>
      <c r="E323" s="1"/>
      <c r="I323" s="3"/>
      <c r="M323" s="3"/>
      <c r="N323" s="3"/>
      <c r="O323" s="3"/>
      <c r="P323" s="3">
        <f>Table1[[#This Row],[Input Quantity (Kg''s)]]-SUM(Table1[[#This Row],[Wholes (kg''s)]:[Black Rejection (Kg''s)]],Table1[[#This Row],[Shell Dust]])</f>
        <v>0</v>
      </c>
      <c r="Q323" s="3">
        <f>SUM(Table1[[#This Row],[Wholes (kg''s)]:[Pieces (kg''s)]])</f>
        <v>0</v>
      </c>
      <c r="R323" s="3">
        <f>SUM(Table1[[#This Row],[Wholes (kg''s)]:[Black Rejection (Kg''s)]])</f>
        <v>0</v>
      </c>
      <c r="S323" s="4" t="str">
        <f>IFERROR(Table1[[#This Row],[Good Kernels (kg''s)]]/Table1[[#This Row],[Input Quantity (Kg''s)]]*176.36,"")</f>
        <v/>
      </c>
      <c r="T323" s="4" t="str">
        <f>IFERROR(Table1[[#This Row],[Good Kernels (kg''s)]]/Table1[[#This Row],[Input Quantity (Kg''s)]]%,"")</f>
        <v/>
      </c>
      <c r="U323" s="5" t="str">
        <f>IFERROR(Table1[[#This Row],[Final Kernels (kg''s)]]/Table1[[#This Row],[Input Quantity (Kg''s)]]%,"")</f>
        <v/>
      </c>
      <c r="V323" s="5" t="str">
        <f>IFERROR(Table1[[#This Row],[Wholes (kg''s)]]/Table1[[#This Row],[Good Kernels (kg''s)]]%,"")</f>
        <v/>
      </c>
      <c r="W323" s="5" t="str">
        <f>IFERROR(Table1[[#This Row],[Pieces (kg''s)]]/Table1[[#This Row],[Good Kernels (kg''s)]]%,"")</f>
        <v/>
      </c>
      <c r="X323" s="5" t="str">
        <f>IFERROR(Table1[[#This Row],[First Pass Uncut (kg''s)]]/Table1[[#This Row],[Input Quantity (Kg''s)]]%,"")</f>
        <v/>
      </c>
      <c r="Y323" s="5" t="str">
        <f>IFERROR(Table1[[#This Row],[Final Uncut (kg''s)]]/Table1[[#This Row],[Input Quantity (Kg''s)]]%,"")</f>
        <v/>
      </c>
      <c r="Z323" s="21" t="str">
        <f>IFERROR(Table1[[#This Row],[Shell]]/Table1[[#This Row],[Input Quantity (Kg''s)]]%,"")</f>
        <v/>
      </c>
      <c r="AA323" s="21" t="str">
        <f>IFERROR(Table1[[#This Row],[Shell Dust]]/Table1[[#This Row],[Input Quantity (Kg''s)]]%,"")</f>
        <v/>
      </c>
    </row>
    <row r="324" spans="2:27" x14ac:dyDescent="0.3">
      <c r="B324" s="1"/>
      <c r="C324" s="15">
        <f>WEEKNUM(Table1[[#This Row],[Date]])</f>
        <v>0</v>
      </c>
      <c r="D324" s="1" t="str">
        <f>TEXT(Table1[[#This Row],[Date]],"mmm-yy")</f>
        <v>Jan-00</v>
      </c>
      <c r="E324" s="1"/>
      <c r="I324" s="3"/>
      <c r="M324" s="3"/>
      <c r="N324" s="3"/>
      <c r="O324" s="3"/>
      <c r="P324" s="3">
        <f>Table1[[#This Row],[Input Quantity (Kg''s)]]-SUM(Table1[[#This Row],[Wholes (kg''s)]:[Black Rejection (Kg''s)]],Table1[[#This Row],[Shell Dust]])</f>
        <v>0</v>
      </c>
      <c r="Q324" s="3">
        <f>SUM(Table1[[#This Row],[Wholes (kg''s)]:[Pieces (kg''s)]])</f>
        <v>0</v>
      </c>
      <c r="R324" s="3">
        <f>SUM(Table1[[#This Row],[Wholes (kg''s)]:[Black Rejection (Kg''s)]])</f>
        <v>0</v>
      </c>
      <c r="S324" s="4" t="str">
        <f>IFERROR(Table1[[#This Row],[Good Kernels (kg''s)]]/Table1[[#This Row],[Input Quantity (Kg''s)]]*176.36,"")</f>
        <v/>
      </c>
      <c r="T324" s="4" t="str">
        <f>IFERROR(Table1[[#This Row],[Good Kernels (kg''s)]]/Table1[[#This Row],[Input Quantity (Kg''s)]]%,"")</f>
        <v/>
      </c>
      <c r="U324" s="5" t="str">
        <f>IFERROR(Table1[[#This Row],[Final Kernels (kg''s)]]/Table1[[#This Row],[Input Quantity (Kg''s)]]%,"")</f>
        <v/>
      </c>
      <c r="V324" s="5" t="str">
        <f>IFERROR(Table1[[#This Row],[Wholes (kg''s)]]/Table1[[#This Row],[Good Kernels (kg''s)]]%,"")</f>
        <v/>
      </c>
      <c r="W324" s="5" t="str">
        <f>IFERROR(Table1[[#This Row],[Pieces (kg''s)]]/Table1[[#This Row],[Good Kernels (kg''s)]]%,"")</f>
        <v/>
      </c>
      <c r="X324" s="5" t="str">
        <f>IFERROR(Table1[[#This Row],[First Pass Uncut (kg''s)]]/Table1[[#This Row],[Input Quantity (Kg''s)]]%,"")</f>
        <v/>
      </c>
      <c r="Y324" s="5" t="str">
        <f>IFERROR(Table1[[#This Row],[Final Uncut (kg''s)]]/Table1[[#This Row],[Input Quantity (Kg''s)]]%,"")</f>
        <v/>
      </c>
      <c r="Z324" s="21" t="str">
        <f>IFERROR(Table1[[#This Row],[Shell]]/Table1[[#This Row],[Input Quantity (Kg''s)]]%,"")</f>
        <v/>
      </c>
      <c r="AA324" s="21" t="str">
        <f>IFERROR(Table1[[#This Row],[Shell Dust]]/Table1[[#This Row],[Input Quantity (Kg''s)]]%,"")</f>
        <v/>
      </c>
    </row>
    <row r="325" spans="2:27" x14ac:dyDescent="0.3">
      <c r="B325" s="1"/>
      <c r="C325" s="15">
        <f>WEEKNUM(Table1[[#This Row],[Date]])</f>
        <v>0</v>
      </c>
      <c r="D325" s="1" t="str">
        <f>TEXT(Table1[[#This Row],[Date]],"mmm-yy")</f>
        <v>Jan-00</v>
      </c>
      <c r="E325" s="1"/>
      <c r="I325" s="3"/>
      <c r="M325" s="3"/>
      <c r="N325" s="3"/>
      <c r="O325" s="3"/>
      <c r="P325" s="3">
        <f>Table1[[#This Row],[Input Quantity (Kg''s)]]-SUM(Table1[[#This Row],[Wholes (kg''s)]:[Black Rejection (Kg''s)]],Table1[[#This Row],[Shell Dust]])</f>
        <v>0</v>
      </c>
      <c r="Q325" s="3">
        <f>SUM(Table1[[#This Row],[Wholes (kg''s)]:[Pieces (kg''s)]])</f>
        <v>0</v>
      </c>
      <c r="R325" s="3">
        <f>SUM(Table1[[#This Row],[Wholes (kg''s)]:[Black Rejection (Kg''s)]])</f>
        <v>0</v>
      </c>
      <c r="S325" s="4" t="str">
        <f>IFERROR(Table1[[#This Row],[Good Kernels (kg''s)]]/Table1[[#This Row],[Input Quantity (Kg''s)]]*176.36,"")</f>
        <v/>
      </c>
      <c r="T325" s="4" t="str">
        <f>IFERROR(Table1[[#This Row],[Good Kernels (kg''s)]]/Table1[[#This Row],[Input Quantity (Kg''s)]]%,"")</f>
        <v/>
      </c>
      <c r="U325" s="5" t="str">
        <f>IFERROR(Table1[[#This Row],[Final Kernels (kg''s)]]/Table1[[#This Row],[Input Quantity (Kg''s)]]%,"")</f>
        <v/>
      </c>
      <c r="V325" s="5" t="str">
        <f>IFERROR(Table1[[#This Row],[Wholes (kg''s)]]/Table1[[#This Row],[Good Kernels (kg''s)]]%,"")</f>
        <v/>
      </c>
      <c r="W325" s="5" t="str">
        <f>IFERROR(Table1[[#This Row],[Pieces (kg''s)]]/Table1[[#This Row],[Good Kernels (kg''s)]]%,"")</f>
        <v/>
      </c>
      <c r="X325" s="5" t="str">
        <f>IFERROR(Table1[[#This Row],[First Pass Uncut (kg''s)]]/Table1[[#This Row],[Input Quantity (Kg''s)]]%,"")</f>
        <v/>
      </c>
      <c r="Y325" s="5" t="str">
        <f>IFERROR(Table1[[#This Row],[Final Uncut (kg''s)]]/Table1[[#This Row],[Input Quantity (Kg''s)]]%,"")</f>
        <v/>
      </c>
      <c r="Z325" s="21" t="str">
        <f>IFERROR(Table1[[#This Row],[Shell]]/Table1[[#This Row],[Input Quantity (Kg''s)]]%,"")</f>
        <v/>
      </c>
      <c r="AA325" s="21" t="str">
        <f>IFERROR(Table1[[#This Row],[Shell Dust]]/Table1[[#This Row],[Input Quantity (Kg''s)]]%,"")</f>
        <v/>
      </c>
    </row>
    <row r="326" spans="2:27" x14ac:dyDescent="0.3">
      <c r="B326" s="1"/>
      <c r="C326" s="15">
        <f>WEEKNUM(Table1[[#This Row],[Date]])</f>
        <v>0</v>
      </c>
      <c r="D326" s="1" t="str">
        <f>TEXT(Table1[[#This Row],[Date]],"mmm-yy")</f>
        <v>Jan-00</v>
      </c>
      <c r="E326" s="1"/>
      <c r="I326" s="3"/>
      <c r="M326" s="3"/>
      <c r="N326" s="3"/>
      <c r="O326" s="3"/>
      <c r="P326" s="3">
        <f>Table1[[#This Row],[Input Quantity (Kg''s)]]-SUM(Table1[[#This Row],[Wholes (kg''s)]:[Black Rejection (Kg''s)]],Table1[[#This Row],[Shell Dust]])</f>
        <v>0</v>
      </c>
      <c r="Q326" s="3">
        <f>SUM(Table1[[#This Row],[Wholes (kg''s)]:[Pieces (kg''s)]])</f>
        <v>0</v>
      </c>
      <c r="R326" s="3">
        <f>SUM(Table1[[#This Row],[Wholes (kg''s)]:[Black Rejection (Kg''s)]])</f>
        <v>0</v>
      </c>
      <c r="S326" s="4" t="str">
        <f>IFERROR(Table1[[#This Row],[Good Kernels (kg''s)]]/Table1[[#This Row],[Input Quantity (Kg''s)]]*176.36,"")</f>
        <v/>
      </c>
      <c r="T326" s="4" t="str">
        <f>IFERROR(Table1[[#This Row],[Good Kernels (kg''s)]]/Table1[[#This Row],[Input Quantity (Kg''s)]]%,"")</f>
        <v/>
      </c>
      <c r="U326" s="5" t="str">
        <f>IFERROR(Table1[[#This Row],[Final Kernels (kg''s)]]/Table1[[#This Row],[Input Quantity (Kg''s)]]%,"")</f>
        <v/>
      </c>
      <c r="V326" s="5" t="str">
        <f>IFERROR(Table1[[#This Row],[Wholes (kg''s)]]/Table1[[#This Row],[Good Kernels (kg''s)]]%,"")</f>
        <v/>
      </c>
      <c r="W326" s="5" t="str">
        <f>IFERROR(Table1[[#This Row],[Pieces (kg''s)]]/Table1[[#This Row],[Good Kernels (kg''s)]]%,"")</f>
        <v/>
      </c>
      <c r="X326" s="5" t="str">
        <f>IFERROR(Table1[[#This Row],[First Pass Uncut (kg''s)]]/Table1[[#This Row],[Input Quantity (Kg''s)]]%,"")</f>
        <v/>
      </c>
      <c r="Y326" s="5" t="str">
        <f>IFERROR(Table1[[#This Row],[Final Uncut (kg''s)]]/Table1[[#This Row],[Input Quantity (Kg''s)]]%,"")</f>
        <v/>
      </c>
      <c r="Z326" s="21" t="str">
        <f>IFERROR(Table1[[#This Row],[Shell]]/Table1[[#This Row],[Input Quantity (Kg''s)]]%,"")</f>
        <v/>
      </c>
      <c r="AA326" s="21" t="str">
        <f>IFERROR(Table1[[#This Row],[Shell Dust]]/Table1[[#This Row],[Input Quantity (Kg''s)]]%,"")</f>
        <v/>
      </c>
    </row>
    <row r="327" spans="2:27" x14ac:dyDescent="0.3">
      <c r="B327" s="1"/>
      <c r="C327" s="15">
        <f>WEEKNUM(Table1[[#This Row],[Date]])</f>
        <v>0</v>
      </c>
      <c r="D327" s="1" t="str">
        <f>TEXT(Table1[[#This Row],[Date]],"mmm-yy")</f>
        <v>Jan-00</v>
      </c>
      <c r="E327" s="1"/>
      <c r="I327" s="3"/>
      <c r="M327" s="3"/>
      <c r="N327" s="3"/>
      <c r="O327" s="3"/>
      <c r="P327" s="3">
        <f>Table1[[#This Row],[Input Quantity (Kg''s)]]-SUM(Table1[[#This Row],[Wholes (kg''s)]:[Black Rejection (Kg''s)]],Table1[[#This Row],[Shell Dust]])</f>
        <v>0</v>
      </c>
      <c r="Q327" s="3">
        <f>SUM(Table1[[#This Row],[Wholes (kg''s)]:[Pieces (kg''s)]])</f>
        <v>0</v>
      </c>
      <c r="R327" s="3">
        <f>SUM(Table1[[#This Row],[Wholes (kg''s)]:[Black Rejection (Kg''s)]])</f>
        <v>0</v>
      </c>
      <c r="S327" s="4" t="str">
        <f>IFERROR(Table1[[#This Row],[Good Kernels (kg''s)]]/Table1[[#This Row],[Input Quantity (Kg''s)]]*176.36,"")</f>
        <v/>
      </c>
      <c r="T327" s="4" t="str">
        <f>IFERROR(Table1[[#This Row],[Good Kernels (kg''s)]]/Table1[[#This Row],[Input Quantity (Kg''s)]]%,"")</f>
        <v/>
      </c>
      <c r="U327" s="5" t="str">
        <f>IFERROR(Table1[[#This Row],[Final Kernels (kg''s)]]/Table1[[#This Row],[Input Quantity (Kg''s)]]%,"")</f>
        <v/>
      </c>
      <c r="V327" s="5" t="str">
        <f>IFERROR(Table1[[#This Row],[Wholes (kg''s)]]/Table1[[#This Row],[Good Kernels (kg''s)]]%,"")</f>
        <v/>
      </c>
      <c r="W327" s="5" t="str">
        <f>IFERROR(Table1[[#This Row],[Pieces (kg''s)]]/Table1[[#This Row],[Good Kernels (kg''s)]]%,"")</f>
        <v/>
      </c>
      <c r="X327" s="5" t="str">
        <f>IFERROR(Table1[[#This Row],[First Pass Uncut (kg''s)]]/Table1[[#This Row],[Input Quantity (Kg''s)]]%,"")</f>
        <v/>
      </c>
      <c r="Y327" s="5" t="str">
        <f>IFERROR(Table1[[#This Row],[Final Uncut (kg''s)]]/Table1[[#This Row],[Input Quantity (Kg''s)]]%,"")</f>
        <v/>
      </c>
      <c r="Z327" s="21" t="str">
        <f>IFERROR(Table1[[#This Row],[Shell]]/Table1[[#This Row],[Input Quantity (Kg''s)]]%,"")</f>
        <v/>
      </c>
      <c r="AA327" s="21" t="str">
        <f>IFERROR(Table1[[#This Row],[Shell Dust]]/Table1[[#This Row],[Input Quantity (Kg''s)]]%,"")</f>
        <v/>
      </c>
    </row>
    <row r="328" spans="2:27" x14ac:dyDescent="0.3">
      <c r="B328" s="1"/>
      <c r="C328" s="15">
        <f>WEEKNUM(Table1[[#This Row],[Date]])</f>
        <v>0</v>
      </c>
      <c r="D328" s="1" t="str">
        <f>TEXT(Table1[[#This Row],[Date]],"mmm-yy")</f>
        <v>Jan-00</v>
      </c>
      <c r="E328" s="1"/>
      <c r="I328" s="3"/>
      <c r="M328" s="3"/>
      <c r="N328" s="3"/>
      <c r="O328" s="3"/>
      <c r="P328" s="3">
        <f>Table1[[#This Row],[Input Quantity (Kg''s)]]-SUM(Table1[[#This Row],[Wholes (kg''s)]:[Black Rejection (Kg''s)]],Table1[[#This Row],[Shell Dust]])</f>
        <v>0</v>
      </c>
      <c r="Q328" s="3">
        <f>SUM(Table1[[#This Row],[Wholes (kg''s)]:[Pieces (kg''s)]])</f>
        <v>0</v>
      </c>
      <c r="R328" s="3">
        <f>SUM(Table1[[#This Row],[Wholes (kg''s)]:[Black Rejection (Kg''s)]])</f>
        <v>0</v>
      </c>
      <c r="S328" s="4" t="str">
        <f>IFERROR(Table1[[#This Row],[Good Kernels (kg''s)]]/Table1[[#This Row],[Input Quantity (Kg''s)]]*176.36,"")</f>
        <v/>
      </c>
      <c r="T328" s="4" t="str">
        <f>IFERROR(Table1[[#This Row],[Good Kernels (kg''s)]]/Table1[[#This Row],[Input Quantity (Kg''s)]]%,"")</f>
        <v/>
      </c>
      <c r="U328" s="5" t="str">
        <f>IFERROR(Table1[[#This Row],[Final Kernels (kg''s)]]/Table1[[#This Row],[Input Quantity (Kg''s)]]%,"")</f>
        <v/>
      </c>
      <c r="V328" s="5" t="str">
        <f>IFERROR(Table1[[#This Row],[Wholes (kg''s)]]/Table1[[#This Row],[Good Kernels (kg''s)]]%,"")</f>
        <v/>
      </c>
      <c r="W328" s="5" t="str">
        <f>IFERROR(Table1[[#This Row],[Pieces (kg''s)]]/Table1[[#This Row],[Good Kernels (kg''s)]]%,"")</f>
        <v/>
      </c>
      <c r="X328" s="5" t="str">
        <f>IFERROR(Table1[[#This Row],[First Pass Uncut (kg''s)]]/Table1[[#This Row],[Input Quantity (Kg''s)]]%,"")</f>
        <v/>
      </c>
      <c r="Y328" s="5" t="str">
        <f>IFERROR(Table1[[#This Row],[Final Uncut (kg''s)]]/Table1[[#This Row],[Input Quantity (Kg''s)]]%,"")</f>
        <v/>
      </c>
      <c r="Z328" s="21" t="str">
        <f>IFERROR(Table1[[#This Row],[Shell]]/Table1[[#This Row],[Input Quantity (Kg''s)]]%,"")</f>
        <v/>
      </c>
      <c r="AA328" s="21" t="str">
        <f>IFERROR(Table1[[#This Row],[Shell Dust]]/Table1[[#This Row],[Input Quantity (Kg''s)]]%,"")</f>
        <v/>
      </c>
    </row>
    <row r="329" spans="2:27" x14ac:dyDescent="0.3">
      <c r="B329" s="1"/>
      <c r="C329" s="15">
        <f>WEEKNUM(Table1[[#This Row],[Date]])</f>
        <v>0</v>
      </c>
      <c r="D329" s="1" t="str">
        <f>TEXT(Table1[[#This Row],[Date]],"mmm-yy")</f>
        <v>Jan-00</v>
      </c>
      <c r="E329" s="1"/>
      <c r="I329" s="3"/>
      <c r="M329" s="3"/>
      <c r="N329" s="3"/>
      <c r="O329" s="3"/>
      <c r="P329" s="3">
        <f>Table1[[#This Row],[Input Quantity (Kg''s)]]-SUM(Table1[[#This Row],[Wholes (kg''s)]:[Black Rejection (Kg''s)]],Table1[[#This Row],[Shell Dust]])</f>
        <v>0</v>
      </c>
      <c r="Q329" s="3">
        <f>SUM(Table1[[#This Row],[Wholes (kg''s)]:[Pieces (kg''s)]])</f>
        <v>0</v>
      </c>
      <c r="R329" s="3">
        <f>SUM(Table1[[#This Row],[Wholes (kg''s)]:[Black Rejection (Kg''s)]])</f>
        <v>0</v>
      </c>
      <c r="S329" s="4" t="str">
        <f>IFERROR(Table1[[#This Row],[Good Kernels (kg''s)]]/Table1[[#This Row],[Input Quantity (Kg''s)]]*176.36,"")</f>
        <v/>
      </c>
      <c r="T329" s="4" t="str">
        <f>IFERROR(Table1[[#This Row],[Good Kernels (kg''s)]]/Table1[[#This Row],[Input Quantity (Kg''s)]]%,"")</f>
        <v/>
      </c>
      <c r="U329" s="5" t="str">
        <f>IFERROR(Table1[[#This Row],[Final Kernels (kg''s)]]/Table1[[#This Row],[Input Quantity (Kg''s)]]%,"")</f>
        <v/>
      </c>
      <c r="V329" s="5" t="str">
        <f>IFERROR(Table1[[#This Row],[Wholes (kg''s)]]/Table1[[#This Row],[Good Kernels (kg''s)]]%,"")</f>
        <v/>
      </c>
      <c r="W329" s="5" t="str">
        <f>IFERROR(Table1[[#This Row],[Pieces (kg''s)]]/Table1[[#This Row],[Good Kernels (kg''s)]]%,"")</f>
        <v/>
      </c>
      <c r="X329" s="5" t="str">
        <f>IFERROR(Table1[[#This Row],[First Pass Uncut (kg''s)]]/Table1[[#This Row],[Input Quantity (Kg''s)]]%,"")</f>
        <v/>
      </c>
      <c r="Y329" s="5" t="str">
        <f>IFERROR(Table1[[#This Row],[Final Uncut (kg''s)]]/Table1[[#This Row],[Input Quantity (Kg''s)]]%,"")</f>
        <v/>
      </c>
      <c r="Z329" s="21" t="str">
        <f>IFERROR(Table1[[#This Row],[Shell]]/Table1[[#This Row],[Input Quantity (Kg''s)]]%,"")</f>
        <v/>
      </c>
      <c r="AA329" s="21" t="str">
        <f>IFERROR(Table1[[#This Row],[Shell Dust]]/Table1[[#This Row],[Input Quantity (Kg''s)]]%,"")</f>
        <v/>
      </c>
    </row>
    <row r="330" spans="2:27" x14ac:dyDescent="0.3">
      <c r="B330" s="1"/>
      <c r="C330" s="15">
        <f>WEEKNUM(Table1[[#This Row],[Date]])</f>
        <v>0</v>
      </c>
      <c r="D330" s="1" t="str">
        <f>TEXT(Table1[[#This Row],[Date]],"mmm-yy")</f>
        <v>Jan-00</v>
      </c>
      <c r="E330" s="1"/>
      <c r="I330" s="3"/>
      <c r="M330" s="3"/>
      <c r="N330" s="3"/>
      <c r="O330" s="3"/>
      <c r="P330" s="3">
        <f>Table1[[#This Row],[Input Quantity (Kg''s)]]-SUM(Table1[[#This Row],[Wholes (kg''s)]:[Black Rejection (Kg''s)]],Table1[[#This Row],[Shell Dust]])</f>
        <v>0</v>
      </c>
      <c r="Q330" s="3">
        <f>SUM(Table1[[#This Row],[Wholes (kg''s)]:[Pieces (kg''s)]])</f>
        <v>0</v>
      </c>
      <c r="R330" s="3">
        <f>SUM(Table1[[#This Row],[Wholes (kg''s)]:[Black Rejection (Kg''s)]])</f>
        <v>0</v>
      </c>
      <c r="S330" s="4" t="str">
        <f>IFERROR(Table1[[#This Row],[Good Kernels (kg''s)]]/Table1[[#This Row],[Input Quantity (Kg''s)]]*176.36,"")</f>
        <v/>
      </c>
      <c r="T330" s="4" t="str">
        <f>IFERROR(Table1[[#This Row],[Good Kernels (kg''s)]]/Table1[[#This Row],[Input Quantity (Kg''s)]]%,"")</f>
        <v/>
      </c>
      <c r="U330" s="5" t="str">
        <f>IFERROR(Table1[[#This Row],[Final Kernels (kg''s)]]/Table1[[#This Row],[Input Quantity (Kg''s)]]%,"")</f>
        <v/>
      </c>
      <c r="V330" s="5" t="str">
        <f>IFERROR(Table1[[#This Row],[Wholes (kg''s)]]/Table1[[#This Row],[Good Kernels (kg''s)]]%,"")</f>
        <v/>
      </c>
      <c r="W330" s="5" t="str">
        <f>IFERROR(Table1[[#This Row],[Pieces (kg''s)]]/Table1[[#This Row],[Good Kernels (kg''s)]]%,"")</f>
        <v/>
      </c>
      <c r="X330" s="5" t="str">
        <f>IFERROR(Table1[[#This Row],[First Pass Uncut (kg''s)]]/Table1[[#This Row],[Input Quantity (Kg''s)]]%,"")</f>
        <v/>
      </c>
      <c r="Y330" s="5" t="str">
        <f>IFERROR(Table1[[#This Row],[Final Uncut (kg''s)]]/Table1[[#This Row],[Input Quantity (Kg''s)]]%,"")</f>
        <v/>
      </c>
      <c r="Z330" s="21" t="str">
        <f>IFERROR(Table1[[#This Row],[Shell]]/Table1[[#This Row],[Input Quantity (Kg''s)]]%,"")</f>
        <v/>
      </c>
      <c r="AA330" s="21" t="str">
        <f>IFERROR(Table1[[#This Row],[Shell Dust]]/Table1[[#This Row],[Input Quantity (Kg''s)]]%,"")</f>
        <v/>
      </c>
    </row>
    <row r="331" spans="2:27" x14ac:dyDescent="0.3">
      <c r="B331" s="1"/>
      <c r="C331" s="15">
        <f>WEEKNUM(Table1[[#This Row],[Date]])</f>
        <v>0</v>
      </c>
      <c r="D331" s="1" t="str">
        <f>TEXT(Table1[[#This Row],[Date]],"mmm-yy")</f>
        <v>Jan-00</v>
      </c>
      <c r="E331" s="1"/>
      <c r="I331" s="3"/>
      <c r="M331" s="3"/>
      <c r="N331" s="3"/>
      <c r="O331" s="3"/>
      <c r="P331" s="3">
        <f>Table1[[#This Row],[Input Quantity (Kg''s)]]-SUM(Table1[[#This Row],[Wholes (kg''s)]:[Black Rejection (Kg''s)]],Table1[[#This Row],[Shell Dust]])</f>
        <v>0</v>
      </c>
      <c r="Q331" s="3">
        <f>SUM(Table1[[#This Row],[Wholes (kg''s)]:[Pieces (kg''s)]])</f>
        <v>0</v>
      </c>
      <c r="R331" s="3">
        <f>SUM(Table1[[#This Row],[Wholes (kg''s)]:[Black Rejection (Kg''s)]])</f>
        <v>0</v>
      </c>
      <c r="S331" s="4" t="str">
        <f>IFERROR(Table1[[#This Row],[Good Kernels (kg''s)]]/Table1[[#This Row],[Input Quantity (Kg''s)]]*176.36,"")</f>
        <v/>
      </c>
      <c r="T331" s="4" t="str">
        <f>IFERROR(Table1[[#This Row],[Good Kernels (kg''s)]]/Table1[[#This Row],[Input Quantity (Kg''s)]]%,"")</f>
        <v/>
      </c>
      <c r="U331" s="5" t="str">
        <f>IFERROR(Table1[[#This Row],[Final Kernels (kg''s)]]/Table1[[#This Row],[Input Quantity (Kg''s)]]%,"")</f>
        <v/>
      </c>
      <c r="V331" s="5" t="str">
        <f>IFERROR(Table1[[#This Row],[Wholes (kg''s)]]/Table1[[#This Row],[Good Kernels (kg''s)]]%,"")</f>
        <v/>
      </c>
      <c r="W331" s="5" t="str">
        <f>IFERROR(Table1[[#This Row],[Pieces (kg''s)]]/Table1[[#This Row],[Good Kernels (kg''s)]]%,"")</f>
        <v/>
      </c>
      <c r="X331" s="5" t="str">
        <f>IFERROR(Table1[[#This Row],[First Pass Uncut (kg''s)]]/Table1[[#This Row],[Input Quantity (Kg''s)]]%,"")</f>
        <v/>
      </c>
      <c r="Y331" s="5" t="str">
        <f>IFERROR(Table1[[#This Row],[Final Uncut (kg''s)]]/Table1[[#This Row],[Input Quantity (Kg''s)]]%,"")</f>
        <v/>
      </c>
      <c r="Z331" s="21" t="str">
        <f>IFERROR(Table1[[#This Row],[Shell]]/Table1[[#This Row],[Input Quantity (Kg''s)]]%,"")</f>
        <v/>
      </c>
      <c r="AA331" s="21" t="str">
        <f>IFERROR(Table1[[#This Row],[Shell Dust]]/Table1[[#This Row],[Input Quantity (Kg''s)]]%,"")</f>
        <v/>
      </c>
    </row>
    <row r="332" spans="2:27" x14ac:dyDescent="0.3">
      <c r="B332" s="1"/>
      <c r="C332" s="15">
        <f>WEEKNUM(Table1[[#This Row],[Date]])</f>
        <v>0</v>
      </c>
      <c r="D332" s="1" t="str">
        <f>TEXT(Table1[[#This Row],[Date]],"mmm-yy")</f>
        <v>Jan-00</v>
      </c>
      <c r="E332" s="1"/>
      <c r="I332" s="3"/>
      <c r="M332" s="3"/>
      <c r="N332" s="3"/>
      <c r="O332" s="3"/>
      <c r="P332" s="3">
        <f>Table1[[#This Row],[Input Quantity (Kg''s)]]-SUM(Table1[[#This Row],[Wholes (kg''s)]:[Black Rejection (Kg''s)]],Table1[[#This Row],[Shell Dust]])</f>
        <v>0</v>
      </c>
      <c r="Q332" s="3">
        <f>SUM(Table1[[#This Row],[Wholes (kg''s)]:[Pieces (kg''s)]])</f>
        <v>0</v>
      </c>
      <c r="R332" s="3">
        <f>SUM(Table1[[#This Row],[Wholes (kg''s)]:[Black Rejection (Kg''s)]])</f>
        <v>0</v>
      </c>
      <c r="S332" s="4" t="str">
        <f>IFERROR(Table1[[#This Row],[Good Kernels (kg''s)]]/Table1[[#This Row],[Input Quantity (Kg''s)]]*176.36,"")</f>
        <v/>
      </c>
      <c r="T332" s="4" t="str">
        <f>IFERROR(Table1[[#This Row],[Good Kernels (kg''s)]]/Table1[[#This Row],[Input Quantity (Kg''s)]]%,"")</f>
        <v/>
      </c>
      <c r="U332" s="5" t="str">
        <f>IFERROR(Table1[[#This Row],[Final Kernels (kg''s)]]/Table1[[#This Row],[Input Quantity (Kg''s)]]%,"")</f>
        <v/>
      </c>
      <c r="V332" s="5" t="str">
        <f>IFERROR(Table1[[#This Row],[Wholes (kg''s)]]/Table1[[#This Row],[Good Kernels (kg''s)]]%,"")</f>
        <v/>
      </c>
      <c r="W332" s="5" t="str">
        <f>IFERROR(Table1[[#This Row],[Pieces (kg''s)]]/Table1[[#This Row],[Good Kernels (kg''s)]]%,"")</f>
        <v/>
      </c>
      <c r="X332" s="5" t="str">
        <f>IFERROR(Table1[[#This Row],[First Pass Uncut (kg''s)]]/Table1[[#This Row],[Input Quantity (Kg''s)]]%,"")</f>
        <v/>
      </c>
      <c r="Y332" s="5" t="str">
        <f>IFERROR(Table1[[#This Row],[Final Uncut (kg''s)]]/Table1[[#This Row],[Input Quantity (Kg''s)]]%,"")</f>
        <v/>
      </c>
      <c r="Z332" s="21" t="str">
        <f>IFERROR(Table1[[#This Row],[Shell]]/Table1[[#This Row],[Input Quantity (Kg''s)]]%,"")</f>
        <v/>
      </c>
      <c r="AA332" s="21" t="str">
        <f>IFERROR(Table1[[#This Row],[Shell Dust]]/Table1[[#This Row],[Input Quantity (Kg''s)]]%,"")</f>
        <v/>
      </c>
    </row>
    <row r="333" spans="2:27" x14ac:dyDescent="0.3">
      <c r="B333" s="1"/>
      <c r="C333" s="15">
        <f>WEEKNUM(Table1[[#This Row],[Date]])</f>
        <v>0</v>
      </c>
      <c r="D333" s="1" t="str">
        <f>TEXT(Table1[[#This Row],[Date]],"mmm-yy")</f>
        <v>Jan-00</v>
      </c>
      <c r="E333" s="1"/>
      <c r="I333" s="3"/>
      <c r="M333" s="3"/>
      <c r="N333" s="3"/>
      <c r="O333" s="3"/>
      <c r="P333" s="3">
        <f>Table1[[#This Row],[Input Quantity (Kg''s)]]-SUM(Table1[[#This Row],[Wholes (kg''s)]:[Black Rejection (Kg''s)]],Table1[[#This Row],[Shell Dust]])</f>
        <v>0</v>
      </c>
      <c r="Q333" s="3">
        <f>SUM(Table1[[#This Row],[Wholes (kg''s)]:[Pieces (kg''s)]])</f>
        <v>0</v>
      </c>
      <c r="R333" s="3">
        <f>SUM(Table1[[#This Row],[Wholes (kg''s)]:[Black Rejection (Kg''s)]])</f>
        <v>0</v>
      </c>
      <c r="S333" s="4" t="str">
        <f>IFERROR(Table1[[#This Row],[Good Kernels (kg''s)]]/Table1[[#This Row],[Input Quantity (Kg''s)]]*176.36,"")</f>
        <v/>
      </c>
      <c r="T333" s="4" t="str">
        <f>IFERROR(Table1[[#This Row],[Good Kernels (kg''s)]]/Table1[[#This Row],[Input Quantity (Kg''s)]]%,"")</f>
        <v/>
      </c>
      <c r="U333" s="5" t="str">
        <f>IFERROR(Table1[[#This Row],[Final Kernels (kg''s)]]/Table1[[#This Row],[Input Quantity (Kg''s)]]%,"")</f>
        <v/>
      </c>
      <c r="V333" s="5" t="str">
        <f>IFERROR(Table1[[#This Row],[Wholes (kg''s)]]/Table1[[#This Row],[Good Kernels (kg''s)]]%,"")</f>
        <v/>
      </c>
      <c r="W333" s="5" t="str">
        <f>IFERROR(Table1[[#This Row],[Pieces (kg''s)]]/Table1[[#This Row],[Good Kernels (kg''s)]]%,"")</f>
        <v/>
      </c>
      <c r="X333" s="5" t="str">
        <f>IFERROR(Table1[[#This Row],[First Pass Uncut (kg''s)]]/Table1[[#This Row],[Input Quantity (Kg''s)]]%,"")</f>
        <v/>
      </c>
      <c r="Y333" s="5" t="str">
        <f>IFERROR(Table1[[#This Row],[Final Uncut (kg''s)]]/Table1[[#This Row],[Input Quantity (Kg''s)]]%,"")</f>
        <v/>
      </c>
      <c r="Z333" s="21" t="str">
        <f>IFERROR(Table1[[#This Row],[Shell]]/Table1[[#This Row],[Input Quantity (Kg''s)]]%,"")</f>
        <v/>
      </c>
      <c r="AA333" s="21" t="str">
        <f>IFERROR(Table1[[#This Row],[Shell Dust]]/Table1[[#This Row],[Input Quantity (Kg''s)]]%,"")</f>
        <v/>
      </c>
    </row>
    <row r="334" spans="2:27" x14ac:dyDescent="0.3">
      <c r="B334" s="1"/>
      <c r="C334" s="15">
        <f>WEEKNUM(Table1[[#This Row],[Date]])</f>
        <v>0</v>
      </c>
      <c r="D334" s="1" t="str">
        <f>TEXT(Table1[[#This Row],[Date]],"mmm-yy")</f>
        <v>Jan-00</v>
      </c>
      <c r="E334" s="1"/>
      <c r="I334" s="3"/>
      <c r="M334" s="3"/>
      <c r="N334" s="3"/>
      <c r="O334" s="3"/>
      <c r="P334" s="3">
        <f>Table1[[#This Row],[Input Quantity (Kg''s)]]-SUM(Table1[[#This Row],[Wholes (kg''s)]:[Black Rejection (Kg''s)]],Table1[[#This Row],[Shell Dust]])</f>
        <v>0</v>
      </c>
      <c r="Q334" s="3">
        <f>SUM(Table1[[#This Row],[Wholes (kg''s)]:[Pieces (kg''s)]])</f>
        <v>0</v>
      </c>
      <c r="R334" s="3">
        <f>SUM(Table1[[#This Row],[Wholes (kg''s)]:[Black Rejection (Kg''s)]])</f>
        <v>0</v>
      </c>
      <c r="S334" s="4" t="str">
        <f>IFERROR(Table1[[#This Row],[Good Kernels (kg''s)]]/Table1[[#This Row],[Input Quantity (Kg''s)]]*176.36,"")</f>
        <v/>
      </c>
      <c r="T334" s="4" t="str">
        <f>IFERROR(Table1[[#This Row],[Good Kernels (kg''s)]]/Table1[[#This Row],[Input Quantity (Kg''s)]]%,"")</f>
        <v/>
      </c>
      <c r="U334" s="5" t="str">
        <f>IFERROR(Table1[[#This Row],[Final Kernels (kg''s)]]/Table1[[#This Row],[Input Quantity (Kg''s)]]%,"")</f>
        <v/>
      </c>
      <c r="V334" s="5" t="str">
        <f>IFERROR(Table1[[#This Row],[Wholes (kg''s)]]/Table1[[#This Row],[Good Kernels (kg''s)]]%,"")</f>
        <v/>
      </c>
      <c r="W334" s="5" t="str">
        <f>IFERROR(Table1[[#This Row],[Pieces (kg''s)]]/Table1[[#This Row],[Good Kernels (kg''s)]]%,"")</f>
        <v/>
      </c>
      <c r="X334" s="5" t="str">
        <f>IFERROR(Table1[[#This Row],[First Pass Uncut (kg''s)]]/Table1[[#This Row],[Input Quantity (Kg''s)]]%,"")</f>
        <v/>
      </c>
      <c r="Y334" s="5" t="str">
        <f>IFERROR(Table1[[#This Row],[Final Uncut (kg''s)]]/Table1[[#This Row],[Input Quantity (Kg''s)]]%,"")</f>
        <v/>
      </c>
      <c r="Z334" s="21" t="str">
        <f>IFERROR(Table1[[#This Row],[Shell]]/Table1[[#This Row],[Input Quantity (Kg''s)]]%,"")</f>
        <v/>
      </c>
      <c r="AA334" s="21" t="str">
        <f>IFERROR(Table1[[#This Row],[Shell Dust]]/Table1[[#This Row],[Input Quantity (Kg''s)]]%,"")</f>
        <v/>
      </c>
    </row>
    <row r="335" spans="2:27" x14ac:dyDescent="0.3">
      <c r="B335" s="1"/>
      <c r="C335" s="15">
        <f>WEEKNUM(Table1[[#This Row],[Date]])</f>
        <v>0</v>
      </c>
      <c r="D335" s="1" t="str">
        <f>TEXT(Table1[[#This Row],[Date]],"mmm-yy")</f>
        <v>Jan-00</v>
      </c>
      <c r="E335" s="1"/>
      <c r="I335" s="3"/>
      <c r="M335" s="3"/>
      <c r="N335" s="3"/>
      <c r="O335" s="3"/>
      <c r="P335" s="3">
        <f>Table1[[#This Row],[Input Quantity (Kg''s)]]-SUM(Table1[[#This Row],[Wholes (kg''s)]:[Black Rejection (Kg''s)]],Table1[[#This Row],[Shell Dust]])</f>
        <v>0</v>
      </c>
      <c r="Q335" s="3">
        <f>SUM(Table1[[#This Row],[Wholes (kg''s)]:[Pieces (kg''s)]])</f>
        <v>0</v>
      </c>
      <c r="R335" s="3">
        <f>SUM(Table1[[#This Row],[Wholes (kg''s)]:[Black Rejection (Kg''s)]])</f>
        <v>0</v>
      </c>
      <c r="S335" s="4" t="str">
        <f>IFERROR(Table1[[#This Row],[Good Kernels (kg''s)]]/Table1[[#This Row],[Input Quantity (Kg''s)]]*176.36,"")</f>
        <v/>
      </c>
      <c r="T335" s="4" t="str">
        <f>IFERROR(Table1[[#This Row],[Good Kernels (kg''s)]]/Table1[[#This Row],[Input Quantity (Kg''s)]]%,"")</f>
        <v/>
      </c>
      <c r="U335" s="5" t="str">
        <f>IFERROR(Table1[[#This Row],[Final Kernels (kg''s)]]/Table1[[#This Row],[Input Quantity (Kg''s)]]%,"")</f>
        <v/>
      </c>
      <c r="V335" s="5" t="str">
        <f>IFERROR(Table1[[#This Row],[Wholes (kg''s)]]/Table1[[#This Row],[Good Kernels (kg''s)]]%,"")</f>
        <v/>
      </c>
      <c r="W335" s="5" t="str">
        <f>IFERROR(Table1[[#This Row],[Pieces (kg''s)]]/Table1[[#This Row],[Good Kernels (kg''s)]]%,"")</f>
        <v/>
      </c>
      <c r="X335" s="5" t="str">
        <f>IFERROR(Table1[[#This Row],[First Pass Uncut (kg''s)]]/Table1[[#This Row],[Input Quantity (Kg''s)]]%,"")</f>
        <v/>
      </c>
      <c r="Y335" s="5" t="str">
        <f>IFERROR(Table1[[#This Row],[Final Uncut (kg''s)]]/Table1[[#This Row],[Input Quantity (Kg''s)]]%,"")</f>
        <v/>
      </c>
      <c r="Z335" s="21" t="str">
        <f>IFERROR(Table1[[#This Row],[Shell]]/Table1[[#This Row],[Input Quantity (Kg''s)]]%,"")</f>
        <v/>
      </c>
      <c r="AA335" s="21" t="str">
        <f>IFERROR(Table1[[#This Row],[Shell Dust]]/Table1[[#This Row],[Input Quantity (Kg''s)]]%,"")</f>
        <v/>
      </c>
    </row>
    <row r="336" spans="2:27" x14ac:dyDescent="0.3">
      <c r="B336" s="1"/>
      <c r="C336" s="15">
        <f>WEEKNUM(Table1[[#This Row],[Date]])</f>
        <v>0</v>
      </c>
      <c r="D336" s="1" t="str">
        <f>TEXT(Table1[[#This Row],[Date]],"mmm-yy")</f>
        <v>Jan-00</v>
      </c>
      <c r="E336" s="1"/>
      <c r="I336" s="3"/>
      <c r="M336" s="3"/>
      <c r="N336" s="3"/>
      <c r="O336" s="3"/>
      <c r="P336" s="3">
        <f>Table1[[#This Row],[Input Quantity (Kg''s)]]-SUM(Table1[[#This Row],[Wholes (kg''s)]:[Black Rejection (Kg''s)]],Table1[[#This Row],[Shell Dust]])</f>
        <v>0</v>
      </c>
      <c r="Q336" s="3">
        <f>SUM(Table1[[#This Row],[Wholes (kg''s)]:[Pieces (kg''s)]])</f>
        <v>0</v>
      </c>
      <c r="R336" s="3">
        <f>SUM(Table1[[#This Row],[Wholes (kg''s)]:[Black Rejection (Kg''s)]])</f>
        <v>0</v>
      </c>
      <c r="S336" s="4" t="str">
        <f>IFERROR(Table1[[#This Row],[Good Kernels (kg''s)]]/Table1[[#This Row],[Input Quantity (Kg''s)]]*176.36,"")</f>
        <v/>
      </c>
      <c r="T336" s="4" t="str">
        <f>IFERROR(Table1[[#This Row],[Good Kernels (kg''s)]]/Table1[[#This Row],[Input Quantity (Kg''s)]]%,"")</f>
        <v/>
      </c>
      <c r="U336" s="5" t="str">
        <f>IFERROR(Table1[[#This Row],[Final Kernels (kg''s)]]/Table1[[#This Row],[Input Quantity (Kg''s)]]%,"")</f>
        <v/>
      </c>
      <c r="V336" s="5" t="str">
        <f>IFERROR(Table1[[#This Row],[Wholes (kg''s)]]/Table1[[#This Row],[Good Kernels (kg''s)]]%,"")</f>
        <v/>
      </c>
      <c r="W336" s="5" t="str">
        <f>IFERROR(Table1[[#This Row],[Pieces (kg''s)]]/Table1[[#This Row],[Good Kernels (kg''s)]]%,"")</f>
        <v/>
      </c>
      <c r="X336" s="5" t="str">
        <f>IFERROR(Table1[[#This Row],[First Pass Uncut (kg''s)]]/Table1[[#This Row],[Input Quantity (Kg''s)]]%,"")</f>
        <v/>
      </c>
      <c r="Y336" s="5" t="str">
        <f>IFERROR(Table1[[#This Row],[Final Uncut (kg''s)]]/Table1[[#This Row],[Input Quantity (Kg''s)]]%,"")</f>
        <v/>
      </c>
      <c r="Z336" s="21" t="str">
        <f>IFERROR(Table1[[#This Row],[Shell]]/Table1[[#This Row],[Input Quantity (Kg''s)]]%,"")</f>
        <v/>
      </c>
      <c r="AA336" s="21" t="str">
        <f>IFERROR(Table1[[#This Row],[Shell Dust]]/Table1[[#This Row],[Input Quantity (Kg''s)]]%,"")</f>
        <v/>
      </c>
    </row>
    <row r="337" spans="2:27" x14ac:dyDescent="0.3">
      <c r="B337" s="1"/>
      <c r="C337" s="15">
        <f>WEEKNUM(Table1[[#This Row],[Date]])</f>
        <v>0</v>
      </c>
      <c r="D337" s="1" t="str">
        <f>TEXT(Table1[[#This Row],[Date]],"mmm-yy")</f>
        <v>Jan-00</v>
      </c>
      <c r="E337" s="1"/>
      <c r="I337" s="3"/>
      <c r="M337" s="3"/>
      <c r="N337" s="3"/>
      <c r="O337" s="3"/>
      <c r="P337" s="3">
        <f>Table1[[#This Row],[Input Quantity (Kg''s)]]-SUM(Table1[[#This Row],[Wholes (kg''s)]:[Black Rejection (Kg''s)]],Table1[[#This Row],[Shell Dust]])</f>
        <v>0</v>
      </c>
      <c r="Q337" s="3">
        <f>SUM(Table1[[#This Row],[Wholes (kg''s)]:[Pieces (kg''s)]])</f>
        <v>0</v>
      </c>
      <c r="R337" s="3">
        <f>SUM(Table1[[#This Row],[Wholes (kg''s)]:[Black Rejection (Kg''s)]])</f>
        <v>0</v>
      </c>
      <c r="S337" s="4" t="str">
        <f>IFERROR(Table1[[#This Row],[Good Kernels (kg''s)]]/Table1[[#This Row],[Input Quantity (Kg''s)]]*176.36,"")</f>
        <v/>
      </c>
      <c r="T337" s="4" t="str">
        <f>IFERROR(Table1[[#This Row],[Good Kernels (kg''s)]]/Table1[[#This Row],[Input Quantity (Kg''s)]]%,"")</f>
        <v/>
      </c>
      <c r="U337" s="5" t="str">
        <f>IFERROR(Table1[[#This Row],[Final Kernels (kg''s)]]/Table1[[#This Row],[Input Quantity (Kg''s)]]%,"")</f>
        <v/>
      </c>
      <c r="V337" s="5" t="str">
        <f>IFERROR(Table1[[#This Row],[Wholes (kg''s)]]/Table1[[#This Row],[Good Kernels (kg''s)]]%,"")</f>
        <v/>
      </c>
      <c r="W337" s="5" t="str">
        <f>IFERROR(Table1[[#This Row],[Pieces (kg''s)]]/Table1[[#This Row],[Good Kernels (kg''s)]]%,"")</f>
        <v/>
      </c>
      <c r="X337" s="5" t="str">
        <f>IFERROR(Table1[[#This Row],[First Pass Uncut (kg''s)]]/Table1[[#This Row],[Input Quantity (Kg''s)]]%,"")</f>
        <v/>
      </c>
      <c r="Y337" s="5" t="str">
        <f>IFERROR(Table1[[#This Row],[Final Uncut (kg''s)]]/Table1[[#This Row],[Input Quantity (Kg''s)]]%,"")</f>
        <v/>
      </c>
      <c r="Z337" s="21" t="str">
        <f>IFERROR(Table1[[#This Row],[Shell]]/Table1[[#This Row],[Input Quantity (Kg''s)]]%,"")</f>
        <v/>
      </c>
      <c r="AA337" s="21" t="str">
        <f>IFERROR(Table1[[#This Row],[Shell Dust]]/Table1[[#This Row],[Input Quantity (Kg''s)]]%,"")</f>
        <v/>
      </c>
    </row>
    <row r="338" spans="2:27" x14ac:dyDescent="0.3">
      <c r="B338" s="1"/>
      <c r="C338" s="15">
        <f>WEEKNUM(Table1[[#This Row],[Date]])</f>
        <v>0</v>
      </c>
      <c r="D338" s="1" t="str">
        <f>TEXT(Table1[[#This Row],[Date]],"mmm-yy")</f>
        <v>Jan-00</v>
      </c>
      <c r="E338" s="1"/>
      <c r="I338" s="3"/>
      <c r="M338" s="3"/>
      <c r="N338" s="3"/>
      <c r="O338" s="3"/>
      <c r="P338" s="3">
        <f>Table1[[#This Row],[Input Quantity (Kg''s)]]-SUM(Table1[[#This Row],[Wholes (kg''s)]:[Black Rejection (Kg''s)]],Table1[[#This Row],[Shell Dust]])</f>
        <v>0</v>
      </c>
      <c r="Q338" s="3">
        <f>SUM(Table1[[#This Row],[Wholes (kg''s)]:[Pieces (kg''s)]])</f>
        <v>0</v>
      </c>
      <c r="R338" s="3">
        <f>SUM(Table1[[#This Row],[Wholes (kg''s)]:[Black Rejection (Kg''s)]])</f>
        <v>0</v>
      </c>
      <c r="S338" s="4" t="str">
        <f>IFERROR(Table1[[#This Row],[Good Kernels (kg''s)]]/Table1[[#This Row],[Input Quantity (Kg''s)]]*176.36,"")</f>
        <v/>
      </c>
      <c r="T338" s="4" t="str">
        <f>IFERROR(Table1[[#This Row],[Good Kernels (kg''s)]]/Table1[[#This Row],[Input Quantity (Kg''s)]]%,"")</f>
        <v/>
      </c>
      <c r="U338" s="5" t="str">
        <f>IFERROR(Table1[[#This Row],[Final Kernels (kg''s)]]/Table1[[#This Row],[Input Quantity (Kg''s)]]%,"")</f>
        <v/>
      </c>
      <c r="V338" s="5" t="str">
        <f>IFERROR(Table1[[#This Row],[Wholes (kg''s)]]/Table1[[#This Row],[Good Kernels (kg''s)]]%,"")</f>
        <v/>
      </c>
      <c r="W338" s="5" t="str">
        <f>IFERROR(Table1[[#This Row],[Pieces (kg''s)]]/Table1[[#This Row],[Good Kernels (kg''s)]]%,"")</f>
        <v/>
      </c>
      <c r="X338" s="5" t="str">
        <f>IFERROR(Table1[[#This Row],[First Pass Uncut (kg''s)]]/Table1[[#This Row],[Input Quantity (Kg''s)]]%,"")</f>
        <v/>
      </c>
      <c r="Y338" s="5" t="str">
        <f>IFERROR(Table1[[#This Row],[Final Uncut (kg''s)]]/Table1[[#This Row],[Input Quantity (Kg''s)]]%,"")</f>
        <v/>
      </c>
      <c r="Z338" s="21" t="str">
        <f>IFERROR(Table1[[#This Row],[Shell]]/Table1[[#This Row],[Input Quantity (Kg''s)]]%,"")</f>
        <v/>
      </c>
      <c r="AA338" s="21" t="str">
        <f>IFERROR(Table1[[#This Row],[Shell Dust]]/Table1[[#This Row],[Input Quantity (Kg''s)]]%,"")</f>
        <v/>
      </c>
    </row>
    <row r="339" spans="2:27" x14ac:dyDescent="0.3">
      <c r="B339" s="1"/>
      <c r="C339" s="15">
        <f>WEEKNUM(Table1[[#This Row],[Date]])</f>
        <v>0</v>
      </c>
      <c r="D339" s="1" t="str">
        <f>TEXT(Table1[[#This Row],[Date]],"mmm-yy")</f>
        <v>Jan-00</v>
      </c>
      <c r="E339" s="1"/>
      <c r="I339" s="3"/>
      <c r="M339" s="3"/>
      <c r="N339" s="3"/>
      <c r="O339" s="3"/>
      <c r="P339" s="3">
        <f>Table1[[#This Row],[Input Quantity (Kg''s)]]-SUM(Table1[[#This Row],[Wholes (kg''s)]:[Black Rejection (Kg''s)]],Table1[[#This Row],[Shell Dust]])</f>
        <v>0</v>
      </c>
      <c r="Q339" s="3">
        <f>SUM(Table1[[#This Row],[Wholes (kg''s)]:[Pieces (kg''s)]])</f>
        <v>0</v>
      </c>
      <c r="R339" s="3">
        <f>SUM(Table1[[#This Row],[Wholes (kg''s)]:[Black Rejection (Kg''s)]])</f>
        <v>0</v>
      </c>
      <c r="S339" s="4" t="str">
        <f>IFERROR(Table1[[#This Row],[Good Kernels (kg''s)]]/Table1[[#This Row],[Input Quantity (Kg''s)]]*176.36,"")</f>
        <v/>
      </c>
      <c r="T339" s="4" t="str">
        <f>IFERROR(Table1[[#This Row],[Good Kernels (kg''s)]]/Table1[[#This Row],[Input Quantity (Kg''s)]]%,"")</f>
        <v/>
      </c>
      <c r="U339" s="5" t="str">
        <f>IFERROR(Table1[[#This Row],[Final Kernels (kg''s)]]/Table1[[#This Row],[Input Quantity (Kg''s)]]%,"")</f>
        <v/>
      </c>
      <c r="V339" s="5" t="str">
        <f>IFERROR(Table1[[#This Row],[Wholes (kg''s)]]/Table1[[#This Row],[Good Kernels (kg''s)]]%,"")</f>
        <v/>
      </c>
      <c r="W339" s="5" t="str">
        <f>IFERROR(Table1[[#This Row],[Pieces (kg''s)]]/Table1[[#This Row],[Good Kernels (kg''s)]]%,"")</f>
        <v/>
      </c>
      <c r="X339" s="5" t="str">
        <f>IFERROR(Table1[[#This Row],[First Pass Uncut (kg''s)]]/Table1[[#This Row],[Input Quantity (Kg''s)]]%,"")</f>
        <v/>
      </c>
      <c r="Y339" s="5" t="str">
        <f>IFERROR(Table1[[#This Row],[Final Uncut (kg''s)]]/Table1[[#This Row],[Input Quantity (Kg''s)]]%,"")</f>
        <v/>
      </c>
      <c r="Z339" s="21" t="str">
        <f>IFERROR(Table1[[#This Row],[Shell]]/Table1[[#This Row],[Input Quantity (Kg''s)]]%,"")</f>
        <v/>
      </c>
      <c r="AA339" s="21" t="str">
        <f>IFERROR(Table1[[#This Row],[Shell Dust]]/Table1[[#This Row],[Input Quantity (Kg''s)]]%,"")</f>
        <v/>
      </c>
    </row>
    <row r="340" spans="2:27" x14ac:dyDescent="0.3">
      <c r="B340" s="1"/>
      <c r="C340" s="15">
        <f>WEEKNUM(Table1[[#This Row],[Date]])</f>
        <v>0</v>
      </c>
      <c r="D340" s="1" t="str">
        <f>TEXT(Table1[[#This Row],[Date]],"mmm-yy")</f>
        <v>Jan-00</v>
      </c>
      <c r="E340" s="1"/>
      <c r="I340" s="3"/>
      <c r="M340" s="3"/>
      <c r="N340" s="3"/>
      <c r="O340" s="3"/>
      <c r="P340" s="3">
        <f>Table1[[#This Row],[Input Quantity (Kg''s)]]-SUM(Table1[[#This Row],[Wholes (kg''s)]:[Black Rejection (Kg''s)]],Table1[[#This Row],[Shell Dust]])</f>
        <v>0</v>
      </c>
      <c r="Q340" s="3">
        <f>SUM(Table1[[#This Row],[Wholes (kg''s)]:[Pieces (kg''s)]])</f>
        <v>0</v>
      </c>
      <c r="R340" s="3">
        <f>SUM(Table1[[#This Row],[Wholes (kg''s)]:[Black Rejection (Kg''s)]])</f>
        <v>0</v>
      </c>
      <c r="S340" s="4" t="str">
        <f>IFERROR(Table1[[#This Row],[Good Kernels (kg''s)]]/Table1[[#This Row],[Input Quantity (Kg''s)]]*176.36,"")</f>
        <v/>
      </c>
      <c r="T340" s="4" t="str">
        <f>IFERROR(Table1[[#This Row],[Good Kernels (kg''s)]]/Table1[[#This Row],[Input Quantity (Kg''s)]]%,"")</f>
        <v/>
      </c>
      <c r="U340" s="5" t="str">
        <f>IFERROR(Table1[[#This Row],[Final Kernels (kg''s)]]/Table1[[#This Row],[Input Quantity (Kg''s)]]%,"")</f>
        <v/>
      </c>
      <c r="V340" s="5" t="str">
        <f>IFERROR(Table1[[#This Row],[Wholes (kg''s)]]/Table1[[#This Row],[Good Kernels (kg''s)]]%,"")</f>
        <v/>
      </c>
      <c r="W340" s="5" t="str">
        <f>IFERROR(Table1[[#This Row],[Pieces (kg''s)]]/Table1[[#This Row],[Good Kernels (kg''s)]]%,"")</f>
        <v/>
      </c>
      <c r="X340" s="5" t="str">
        <f>IFERROR(Table1[[#This Row],[First Pass Uncut (kg''s)]]/Table1[[#This Row],[Input Quantity (Kg''s)]]%,"")</f>
        <v/>
      </c>
      <c r="Y340" s="5" t="str">
        <f>IFERROR(Table1[[#This Row],[Final Uncut (kg''s)]]/Table1[[#This Row],[Input Quantity (Kg''s)]]%,"")</f>
        <v/>
      </c>
      <c r="Z340" s="21" t="str">
        <f>IFERROR(Table1[[#This Row],[Shell]]/Table1[[#This Row],[Input Quantity (Kg''s)]]%,"")</f>
        <v/>
      </c>
      <c r="AA340" s="21" t="str">
        <f>IFERROR(Table1[[#This Row],[Shell Dust]]/Table1[[#This Row],[Input Quantity (Kg''s)]]%,"")</f>
        <v/>
      </c>
    </row>
    <row r="341" spans="2:27" x14ac:dyDescent="0.3">
      <c r="B341" s="1"/>
      <c r="C341" s="15">
        <f>WEEKNUM(Table1[[#This Row],[Date]])</f>
        <v>0</v>
      </c>
      <c r="D341" s="1" t="str">
        <f>TEXT(Table1[[#This Row],[Date]],"mmm-yy")</f>
        <v>Jan-00</v>
      </c>
      <c r="E341" s="1"/>
      <c r="I341" s="3"/>
      <c r="M341" s="3"/>
      <c r="N341" s="3"/>
      <c r="O341" s="3"/>
      <c r="P341" s="3">
        <f>Table1[[#This Row],[Input Quantity (Kg''s)]]-SUM(Table1[[#This Row],[Wholes (kg''s)]:[Black Rejection (Kg''s)]],Table1[[#This Row],[Shell Dust]])</f>
        <v>0</v>
      </c>
      <c r="Q341" s="3">
        <f>SUM(Table1[[#This Row],[Wholes (kg''s)]:[Pieces (kg''s)]])</f>
        <v>0</v>
      </c>
      <c r="R341" s="3">
        <f>SUM(Table1[[#This Row],[Wholes (kg''s)]:[Black Rejection (Kg''s)]])</f>
        <v>0</v>
      </c>
      <c r="S341" s="4" t="str">
        <f>IFERROR(Table1[[#This Row],[Good Kernels (kg''s)]]/Table1[[#This Row],[Input Quantity (Kg''s)]]*176.36,"")</f>
        <v/>
      </c>
      <c r="T341" s="4" t="str">
        <f>IFERROR(Table1[[#This Row],[Good Kernels (kg''s)]]/Table1[[#This Row],[Input Quantity (Kg''s)]]%,"")</f>
        <v/>
      </c>
      <c r="U341" s="5" t="str">
        <f>IFERROR(Table1[[#This Row],[Final Kernels (kg''s)]]/Table1[[#This Row],[Input Quantity (Kg''s)]]%,"")</f>
        <v/>
      </c>
      <c r="V341" s="5" t="str">
        <f>IFERROR(Table1[[#This Row],[Wholes (kg''s)]]/Table1[[#This Row],[Good Kernels (kg''s)]]%,"")</f>
        <v/>
      </c>
      <c r="W341" s="5" t="str">
        <f>IFERROR(Table1[[#This Row],[Pieces (kg''s)]]/Table1[[#This Row],[Good Kernels (kg''s)]]%,"")</f>
        <v/>
      </c>
      <c r="X341" s="5" t="str">
        <f>IFERROR(Table1[[#This Row],[First Pass Uncut (kg''s)]]/Table1[[#This Row],[Input Quantity (Kg''s)]]%,"")</f>
        <v/>
      </c>
      <c r="Y341" s="5" t="str">
        <f>IFERROR(Table1[[#This Row],[Final Uncut (kg''s)]]/Table1[[#This Row],[Input Quantity (Kg''s)]]%,"")</f>
        <v/>
      </c>
      <c r="Z341" s="21" t="str">
        <f>IFERROR(Table1[[#This Row],[Shell]]/Table1[[#This Row],[Input Quantity (Kg''s)]]%,"")</f>
        <v/>
      </c>
      <c r="AA341" s="21" t="str">
        <f>IFERROR(Table1[[#This Row],[Shell Dust]]/Table1[[#This Row],[Input Quantity (Kg''s)]]%,"")</f>
        <v/>
      </c>
    </row>
    <row r="342" spans="2:27" x14ac:dyDescent="0.3">
      <c r="B342" s="1"/>
      <c r="C342" s="15">
        <f>WEEKNUM(Table1[[#This Row],[Date]])</f>
        <v>0</v>
      </c>
      <c r="D342" s="1" t="str">
        <f>TEXT(Table1[[#This Row],[Date]],"mmm-yy")</f>
        <v>Jan-00</v>
      </c>
      <c r="E342" s="1"/>
      <c r="I342" s="3"/>
      <c r="M342" s="3"/>
      <c r="N342" s="3"/>
      <c r="O342" s="3"/>
      <c r="P342" s="3">
        <f>Table1[[#This Row],[Input Quantity (Kg''s)]]-SUM(Table1[[#This Row],[Wholes (kg''s)]:[Black Rejection (Kg''s)]],Table1[[#This Row],[Shell Dust]])</f>
        <v>0</v>
      </c>
      <c r="Q342" s="3">
        <f>SUM(Table1[[#This Row],[Wholes (kg''s)]:[Pieces (kg''s)]])</f>
        <v>0</v>
      </c>
      <c r="R342" s="3">
        <f>SUM(Table1[[#This Row],[Wholes (kg''s)]:[Black Rejection (Kg''s)]])</f>
        <v>0</v>
      </c>
      <c r="S342" s="4" t="str">
        <f>IFERROR(Table1[[#This Row],[Good Kernels (kg''s)]]/Table1[[#This Row],[Input Quantity (Kg''s)]]*176.36,"")</f>
        <v/>
      </c>
      <c r="T342" s="4" t="str">
        <f>IFERROR(Table1[[#This Row],[Good Kernels (kg''s)]]/Table1[[#This Row],[Input Quantity (Kg''s)]]%,"")</f>
        <v/>
      </c>
      <c r="U342" s="5" t="str">
        <f>IFERROR(Table1[[#This Row],[Final Kernels (kg''s)]]/Table1[[#This Row],[Input Quantity (Kg''s)]]%,"")</f>
        <v/>
      </c>
      <c r="V342" s="5" t="str">
        <f>IFERROR(Table1[[#This Row],[Wholes (kg''s)]]/Table1[[#This Row],[Good Kernels (kg''s)]]%,"")</f>
        <v/>
      </c>
      <c r="W342" s="5" t="str">
        <f>IFERROR(Table1[[#This Row],[Pieces (kg''s)]]/Table1[[#This Row],[Good Kernels (kg''s)]]%,"")</f>
        <v/>
      </c>
      <c r="X342" s="5" t="str">
        <f>IFERROR(Table1[[#This Row],[First Pass Uncut (kg''s)]]/Table1[[#This Row],[Input Quantity (Kg''s)]]%,"")</f>
        <v/>
      </c>
      <c r="Y342" s="5" t="str">
        <f>IFERROR(Table1[[#This Row],[Final Uncut (kg''s)]]/Table1[[#This Row],[Input Quantity (Kg''s)]]%,"")</f>
        <v/>
      </c>
      <c r="Z342" s="21" t="str">
        <f>IFERROR(Table1[[#This Row],[Shell]]/Table1[[#This Row],[Input Quantity (Kg''s)]]%,"")</f>
        <v/>
      </c>
      <c r="AA342" s="21" t="str">
        <f>IFERROR(Table1[[#This Row],[Shell Dust]]/Table1[[#This Row],[Input Quantity (Kg''s)]]%,"")</f>
        <v/>
      </c>
    </row>
    <row r="343" spans="2:27" x14ac:dyDescent="0.3">
      <c r="B343" s="1"/>
      <c r="C343" s="15">
        <f>WEEKNUM(Table1[[#This Row],[Date]])</f>
        <v>0</v>
      </c>
      <c r="D343" s="1" t="str">
        <f>TEXT(Table1[[#This Row],[Date]],"mmm-yy")</f>
        <v>Jan-00</v>
      </c>
      <c r="E343" s="1"/>
      <c r="I343" s="3"/>
      <c r="M343" s="3"/>
      <c r="N343" s="3"/>
      <c r="O343" s="3"/>
      <c r="P343" s="3">
        <f>Table1[[#This Row],[Input Quantity (Kg''s)]]-SUM(Table1[[#This Row],[Wholes (kg''s)]:[Black Rejection (Kg''s)]],Table1[[#This Row],[Shell Dust]])</f>
        <v>0</v>
      </c>
      <c r="Q343" s="3">
        <f>SUM(Table1[[#This Row],[Wholes (kg''s)]:[Pieces (kg''s)]])</f>
        <v>0</v>
      </c>
      <c r="R343" s="3">
        <f>SUM(Table1[[#This Row],[Wholes (kg''s)]:[Black Rejection (Kg''s)]])</f>
        <v>0</v>
      </c>
      <c r="S343" s="4" t="str">
        <f>IFERROR(Table1[[#This Row],[Good Kernels (kg''s)]]/Table1[[#This Row],[Input Quantity (Kg''s)]]*176.36,"")</f>
        <v/>
      </c>
      <c r="T343" s="4" t="str">
        <f>IFERROR(Table1[[#This Row],[Good Kernels (kg''s)]]/Table1[[#This Row],[Input Quantity (Kg''s)]]%,"")</f>
        <v/>
      </c>
      <c r="U343" s="5" t="str">
        <f>IFERROR(Table1[[#This Row],[Final Kernels (kg''s)]]/Table1[[#This Row],[Input Quantity (Kg''s)]]%,"")</f>
        <v/>
      </c>
      <c r="V343" s="5" t="str">
        <f>IFERROR(Table1[[#This Row],[Wholes (kg''s)]]/Table1[[#This Row],[Good Kernels (kg''s)]]%,"")</f>
        <v/>
      </c>
      <c r="W343" s="5" t="str">
        <f>IFERROR(Table1[[#This Row],[Pieces (kg''s)]]/Table1[[#This Row],[Good Kernels (kg''s)]]%,"")</f>
        <v/>
      </c>
      <c r="X343" s="5" t="str">
        <f>IFERROR(Table1[[#This Row],[First Pass Uncut (kg''s)]]/Table1[[#This Row],[Input Quantity (Kg''s)]]%,"")</f>
        <v/>
      </c>
      <c r="Y343" s="5" t="str">
        <f>IFERROR(Table1[[#This Row],[Final Uncut (kg''s)]]/Table1[[#This Row],[Input Quantity (Kg''s)]]%,"")</f>
        <v/>
      </c>
      <c r="Z343" s="21" t="str">
        <f>IFERROR(Table1[[#This Row],[Shell]]/Table1[[#This Row],[Input Quantity (Kg''s)]]%,"")</f>
        <v/>
      </c>
      <c r="AA343" s="21" t="str">
        <f>IFERROR(Table1[[#This Row],[Shell Dust]]/Table1[[#This Row],[Input Quantity (Kg''s)]]%,"")</f>
        <v/>
      </c>
    </row>
    <row r="344" spans="2:27" x14ac:dyDescent="0.3">
      <c r="B344" s="1"/>
      <c r="C344" s="15">
        <f>WEEKNUM(Table1[[#This Row],[Date]])</f>
        <v>0</v>
      </c>
      <c r="D344" s="1" t="str">
        <f>TEXT(Table1[[#This Row],[Date]],"mmm-yy")</f>
        <v>Jan-00</v>
      </c>
      <c r="E344" s="1"/>
      <c r="I344" s="3"/>
      <c r="M344" s="3"/>
      <c r="N344" s="3"/>
      <c r="O344" s="3"/>
      <c r="P344" s="3">
        <f>Table1[[#This Row],[Input Quantity (Kg''s)]]-SUM(Table1[[#This Row],[Wholes (kg''s)]:[Black Rejection (Kg''s)]],Table1[[#This Row],[Shell Dust]])</f>
        <v>0</v>
      </c>
      <c r="Q344" s="3">
        <f>SUM(Table1[[#This Row],[Wholes (kg''s)]:[Pieces (kg''s)]])</f>
        <v>0</v>
      </c>
      <c r="R344" s="3">
        <f>SUM(Table1[[#This Row],[Wholes (kg''s)]:[Black Rejection (Kg''s)]])</f>
        <v>0</v>
      </c>
      <c r="S344" s="4" t="str">
        <f>IFERROR(Table1[[#This Row],[Good Kernels (kg''s)]]/Table1[[#This Row],[Input Quantity (Kg''s)]]*176.36,"")</f>
        <v/>
      </c>
      <c r="T344" s="4" t="str">
        <f>IFERROR(Table1[[#This Row],[Good Kernels (kg''s)]]/Table1[[#This Row],[Input Quantity (Kg''s)]]%,"")</f>
        <v/>
      </c>
      <c r="U344" s="5" t="str">
        <f>IFERROR(Table1[[#This Row],[Final Kernels (kg''s)]]/Table1[[#This Row],[Input Quantity (Kg''s)]]%,"")</f>
        <v/>
      </c>
      <c r="V344" s="5" t="str">
        <f>IFERROR(Table1[[#This Row],[Wholes (kg''s)]]/Table1[[#This Row],[Good Kernels (kg''s)]]%,"")</f>
        <v/>
      </c>
      <c r="W344" s="5" t="str">
        <f>IFERROR(Table1[[#This Row],[Pieces (kg''s)]]/Table1[[#This Row],[Good Kernels (kg''s)]]%,"")</f>
        <v/>
      </c>
      <c r="X344" s="5" t="str">
        <f>IFERROR(Table1[[#This Row],[First Pass Uncut (kg''s)]]/Table1[[#This Row],[Input Quantity (Kg''s)]]%,"")</f>
        <v/>
      </c>
      <c r="Y344" s="5" t="str">
        <f>IFERROR(Table1[[#This Row],[Final Uncut (kg''s)]]/Table1[[#This Row],[Input Quantity (Kg''s)]]%,"")</f>
        <v/>
      </c>
      <c r="Z344" s="21" t="str">
        <f>IFERROR(Table1[[#This Row],[Shell]]/Table1[[#This Row],[Input Quantity (Kg''s)]]%,"")</f>
        <v/>
      </c>
      <c r="AA344" s="21" t="str">
        <f>IFERROR(Table1[[#This Row],[Shell Dust]]/Table1[[#This Row],[Input Quantity (Kg''s)]]%,"")</f>
        <v/>
      </c>
    </row>
    <row r="345" spans="2:27" x14ac:dyDescent="0.3">
      <c r="B345" s="1"/>
      <c r="C345" s="15">
        <f>WEEKNUM(Table1[[#This Row],[Date]])</f>
        <v>0</v>
      </c>
      <c r="D345" s="1" t="str">
        <f>TEXT(Table1[[#This Row],[Date]],"mmm-yy")</f>
        <v>Jan-00</v>
      </c>
      <c r="E345" s="1"/>
      <c r="I345" s="3"/>
      <c r="M345" s="3"/>
      <c r="N345" s="3"/>
      <c r="O345" s="3"/>
      <c r="P345" s="3">
        <f>Table1[[#This Row],[Input Quantity (Kg''s)]]-SUM(Table1[[#This Row],[Wholes (kg''s)]:[Black Rejection (Kg''s)]],Table1[[#This Row],[Shell Dust]])</f>
        <v>0</v>
      </c>
      <c r="Q345" s="3">
        <f>SUM(Table1[[#This Row],[Wholes (kg''s)]:[Pieces (kg''s)]])</f>
        <v>0</v>
      </c>
      <c r="R345" s="3">
        <f>SUM(Table1[[#This Row],[Wholes (kg''s)]:[Black Rejection (Kg''s)]])</f>
        <v>0</v>
      </c>
      <c r="S345" s="4" t="str">
        <f>IFERROR(Table1[[#This Row],[Good Kernels (kg''s)]]/Table1[[#This Row],[Input Quantity (Kg''s)]]*176.36,"")</f>
        <v/>
      </c>
      <c r="T345" s="4" t="str">
        <f>IFERROR(Table1[[#This Row],[Good Kernels (kg''s)]]/Table1[[#This Row],[Input Quantity (Kg''s)]]%,"")</f>
        <v/>
      </c>
      <c r="U345" s="5" t="str">
        <f>IFERROR(Table1[[#This Row],[Final Kernels (kg''s)]]/Table1[[#This Row],[Input Quantity (Kg''s)]]%,"")</f>
        <v/>
      </c>
      <c r="V345" s="5" t="str">
        <f>IFERROR(Table1[[#This Row],[Wholes (kg''s)]]/Table1[[#This Row],[Good Kernels (kg''s)]]%,"")</f>
        <v/>
      </c>
      <c r="W345" s="5" t="str">
        <f>IFERROR(Table1[[#This Row],[Pieces (kg''s)]]/Table1[[#This Row],[Good Kernels (kg''s)]]%,"")</f>
        <v/>
      </c>
      <c r="X345" s="5" t="str">
        <f>IFERROR(Table1[[#This Row],[First Pass Uncut (kg''s)]]/Table1[[#This Row],[Input Quantity (Kg''s)]]%,"")</f>
        <v/>
      </c>
      <c r="Y345" s="5" t="str">
        <f>IFERROR(Table1[[#This Row],[Final Uncut (kg''s)]]/Table1[[#This Row],[Input Quantity (Kg''s)]]%,"")</f>
        <v/>
      </c>
      <c r="Z345" s="21" t="str">
        <f>IFERROR(Table1[[#This Row],[Shell]]/Table1[[#This Row],[Input Quantity (Kg''s)]]%,"")</f>
        <v/>
      </c>
      <c r="AA345" s="21" t="str">
        <f>IFERROR(Table1[[#This Row],[Shell Dust]]/Table1[[#This Row],[Input Quantity (Kg''s)]]%,"")</f>
        <v/>
      </c>
    </row>
    <row r="346" spans="2:27" x14ac:dyDescent="0.3">
      <c r="B346" s="1"/>
      <c r="C346" s="15">
        <f>WEEKNUM(Table1[[#This Row],[Date]])</f>
        <v>0</v>
      </c>
      <c r="D346" s="1" t="str">
        <f>TEXT(Table1[[#This Row],[Date]],"mmm-yy")</f>
        <v>Jan-00</v>
      </c>
      <c r="E346" s="1"/>
      <c r="I346" s="3"/>
      <c r="M346" s="3"/>
      <c r="N346" s="3"/>
      <c r="O346" s="3"/>
      <c r="P346" s="3">
        <f>Table1[[#This Row],[Input Quantity (Kg''s)]]-SUM(Table1[[#This Row],[Wholes (kg''s)]:[Black Rejection (Kg''s)]],Table1[[#This Row],[Shell Dust]])</f>
        <v>0</v>
      </c>
      <c r="Q346" s="3">
        <f>SUM(Table1[[#This Row],[Wholes (kg''s)]:[Pieces (kg''s)]])</f>
        <v>0</v>
      </c>
      <c r="R346" s="3">
        <f>SUM(Table1[[#This Row],[Wholes (kg''s)]:[Black Rejection (Kg''s)]])</f>
        <v>0</v>
      </c>
      <c r="S346" s="4" t="str">
        <f>IFERROR(Table1[[#This Row],[Good Kernels (kg''s)]]/Table1[[#This Row],[Input Quantity (Kg''s)]]*176.36,"")</f>
        <v/>
      </c>
      <c r="T346" s="4" t="str">
        <f>IFERROR(Table1[[#This Row],[Good Kernels (kg''s)]]/Table1[[#This Row],[Input Quantity (Kg''s)]]%,"")</f>
        <v/>
      </c>
      <c r="U346" s="5" t="str">
        <f>IFERROR(Table1[[#This Row],[Final Kernels (kg''s)]]/Table1[[#This Row],[Input Quantity (Kg''s)]]%,"")</f>
        <v/>
      </c>
      <c r="V346" s="5" t="str">
        <f>IFERROR(Table1[[#This Row],[Wholes (kg''s)]]/Table1[[#This Row],[Good Kernels (kg''s)]]%,"")</f>
        <v/>
      </c>
      <c r="W346" s="5" t="str">
        <f>IFERROR(Table1[[#This Row],[Pieces (kg''s)]]/Table1[[#This Row],[Good Kernels (kg''s)]]%,"")</f>
        <v/>
      </c>
      <c r="X346" s="5" t="str">
        <f>IFERROR(Table1[[#This Row],[First Pass Uncut (kg''s)]]/Table1[[#This Row],[Input Quantity (Kg''s)]]%,"")</f>
        <v/>
      </c>
      <c r="Y346" s="5" t="str">
        <f>IFERROR(Table1[[#This Row],[Final Uncut (kg''s)]]/Table1[[#This Row],[Input Quantity (Kg''s)]]%,"")</f>
        <v/>
      </c>
      <c r="Z346" s="21" t="str">
        <f>IFERROR(Table1[[#This Row],[Shell]]/Table1[[#This Row],[Input Quantity (Kg''s)]]%,"")</f>
        <v/>
      </c>
      <c r="AA346" s="21" t="str">
        <f>IFERROR(Table1[[#This Row],[Shell Dust]]/Table1[[#This Row],[Input Quantity (Kg''s)]]%,"")</f>
        <v/>
      </c>
    </row>
    <row r="347" spans="2:27" x14ac:dyDescent="0.3">
      <c r="B347" s="1"/>
      <c r="C347" s="15">
        <f>WEEKNUM(Table1[[#This Row],[Date]])</f>
        <v>0</v>
      </c>
      <c r="D347" s="1" t="str">
        <f>TEXT(Table1[[#This Row],[Date]],"mmm-yy")</f>
        <v>Jan-00</v>
      </c>
      <c r="E347" s="1"/>
      <c r="I347" s="3"/>
      <c r="M347" s="3"/>
      <c r="N347" s="3"/>
      <c r="O347" s="3"/>
      <c r="P347" s="3">
        <f>Table1[[#This Row],[Input Quantity (Kg''s)]]-SUM(Table1[[#This Row],[Wholes (kg''s)]:[Black Rejection (Kg''s)]],Table1[[#This Row],[Shell Dust]])</f>
        <v>0</v>
      </c>
      <c r="Q347" s="3">
        <f>SUM(Table1[[#This Row],[Wholes (kg''s)]:[Pieces (kg''s)]])</f>
        <v>0</v>
      </c>
      <c r="R347" s="3">
        <f>SUM(Table1[[#This Row],[Wholes (kg''s)]:[Black Rejection (Kg''s)]])</f>
        <v>0</v>
      </c>
      <c r="S347" s="4" t="str">
        <f>IFERROR(Table1[[#This Row],[Good Kernels (kg''s)]]/Table1[[#This Row],[Input Quantity (Kg''s)]]*176.36,"")</f>
        <v/>
      </c>
      <c r="T347" s="4" t="str">
        <f>IFERROR(Table1[[#This Row],[Good Kernels (kg''s)]]/Table1[[#This Row],[Input Quantity (Kg''s)]]%,"")</f>
        <v/>
      </c>
      <c r="U347" s="5" t="str">
        <f>IFERROR(Table1[[#This Row],[Final Kernels (kg''s)]]/Table1[[#This Row],[Input Quantity (Kg''s)]]%,"")</f>
        <v/>
      </c>
      <c r="V347" s="5" t="str">
        <f>IFERROR(Table1[[#This Row],[Wholes (kg''s)]]/Table1[[#This Row],[Good Kernels (kg''s)]]%,"")</f>
        <v/>
      </c>
      <c r="W347" s="5" t="str">
        <f>IFERROR(Table1[[#This Row],[Pieces (kg''s)]]/Table1[[#This Row],[Good Kernels (kg''s)]]%,"")</f>
        <v/>
      </c>
      <c r="X347" s="5" t="str">
        <f>IFERROR(Table1[[#This Row],[First Pass Uncut (kg''s)]]/Table1[[#This Row],[Input Quantity (Kg''s)]]%,"")</f>
        <v/>
      </c>
      <c r="Y347" s="5" t="str">
        <f>IFERROR(Table1[[#This Row],[Final Uncut (kg''s)]]/Table1[[#This Row],[Input Quantity (Kg''s)]]%,"")</f>
        <v/>
      </c>
      <c r="Z347" s="21" t="str">
        <f>IFERROR(Table1[[#This Row],[Shell]]/Table1[[#This Row],[Input Quantity (Kg''s)]]%,"")</f>
        <v/>
      </c>
      <c r="AA347" s="21" t="str">
        <f>IFERROR(Table1[[#This Row],[Shell Dust]]/Table1[[#This Row],[Input Quantity (Kg''s)]]%,"")</f>
        <v/>
      </c>
    </row>
    <row r="348" spans="2:27" x14ac:dyDescent="0.3">
      <c r="B348" s="1"/>
      <c r="C348" s="15">
        <f>WEEKNUM(Table1[[#This Row],[Date]])</f>
        <v>0</v>
      </c>
      <c r="D348" s="1" t="str">
        <f>TEXT(Table1[[#This Row],[Date]],"mmm-yy")</f>
        <v>Jan-00</v>
      </c>
      <c r="E348" s="1"/>
      <c r="I348" s="3"/>
      <c r="M348" s="3"/>
      <c r="N348" s="3"/>
      <c r="O348" s="3"/>
      <c r="P348" s="3">
        <f>Table1[[#This Row],[Input Quantity (Kg''s)]]-SUM(Table1[[#This Row],[Wholes (kg''s)]:[Black Rejection (Kg''s)]],Table1[[#This Row],[Shell Dust]])</f>
        <v>0</v>
      </c>
      <c r="Q348" s="3">
        <f>SUM(Table1[[#This Row],[Wholes (kg''s)]:[Pieces (kg''s)]])</f>
        <v>0</v>
      </c>
      <c r="R348" s="3">
        <f>SUM(Table1[[#This Row],[Wholes (kg''s)]:[Black Rejection (Kg''s)]])</f>
        <v>0</v>
      </c>
      <c r="S348" s="4" t="str">
        <f>IFERROR(Table1[[#This Row],[Good Kernels (kg''s)]]/Table1[[#This Row],[Input Quantity (Kg''s)]]*176.36,"")</f>
        <v/>
      </c>
      <c r="T348" s="4" t="str">
        <f>IFERROR(Table1[[#This Row],[Good Kernels (kg''s)]]/Table1[[#This Row],[Input Quantity (Kg''s)]]%,"")</f>
        <v/>
      </c>
      <c r="U348" s="5" t="str">
        <f>IFERROR(Table1[[#This Row],[Final Kernels (kg''s)]]/Table1[[#This Row],[Input Quantity (Kg''s)]]%,"")</f>
        <v/>
      </c>
      <c r="V348" s="5" t="str">
        <f>IFERROR(Table1[[#This Row],[Wholes (kg''s)]]/Table1[[#This Row],[Good Kernels (kg''s)]]%,"")</f>
        <v/>
      </c>
      <c r="W348" s="5" t="str">
        <f>IFERROR(Table1[[#This Row],[Pieces (kg''s)]]/Table1[[#This Row],[Good Kernels (kg''s)]]%,"")</f>
        <v/>
      </c>
      <c r="X348" s="5" t="str">
        <f>IFERROR(Table1[[#This Row],[First Pass Uncut (kg''s)]]/Table1[[#This Row],[Input Quantity (Kg''s)]]%,"")</f>
        <v/>
      </c>
      <c r="Y348" s="5" t="str">
        <f>IFERROR(Table1[[#This Row],[Final Uncut (kg''s)]]/Table1[[#This Row],[Input Quantity (Kg''s)]]%,"")</f>
        <v/>
      </c>
      <c r="Z348" s="21" t="str">
        <f>IFERROR(Table1[[#This Row],[Shell]]/Table1[[#This Row],[Input Quantity (Kg''s)]]%,"")</f>
        <v/>
      </c>
      <c r="AA348" s="21" t="str">
        <f>IFERROR(Table1[[#This Row],[Shell Dust]]/Table1[[#This Row],[Input Quantity (Kg''s)]]%,"")</f>
        <v/>
      </c>
    </row>
    <row r="349" spans="2:27" x14ac:dyDescent="0.3">
      <c r="B349" s="1"/>
      <c r="C349" s="15">
        <f>WEEKNUM(Table1[[#This Row],[Date]])</f>
        <v>0</v>
      </c>
      <c r="D349" s="1" t="str">
        <f>TEXT(Table1[[#This Row],[Date]],"mmm-yy")</f>
        <v>Jan-00</v>
      </c>
      <c r="E349" s="1"/>
      <c r="I349" s="3"/>
      <c r="M349" s="3"/>
      <c r="N349" s="3"/>
      <c r="O349" s="3"/>
      <c r="P349" s="3">
        <f>Table1[[#This Row],[Input Quantity (Kg''s)]]-SUM(Table1[[#This Row],[Wholes (kg''s)]:[Black Rejection (Kg''s)]],Table1[[#This Row],[Shell Dust]])</f>
        <v>0</v>
      </c>
      <c r="Q349" s="3">
        <f>SUM(Table1[[#This Row],[Wholes (kg''s)]:[Pieces (kg''s)]])</f>
        <v>0</v>
      </c>
      <c r="R349" s="3">
        <f>SUM(Table1[[#This Row],[Wholes (kg''s)]:[Black Rejection (Kg''s)]])</f>
        <v>0</v>
      </c>
      <c r="S349" s="4" t="str">
        <f>IFERROR(Table1[[#This Row],[Good Kernels (kg''s)]]/Table1[[#This Row],[Input Quantity (Kg''s)]]*176.36,"")</f>
        <v/>
      </c>
      <c r="T349" s="4" t="str">
        <f>IFERROR(Table1[[#This Row],[Good Kernels (kg''s)]]/Table1[[#This Row],[Input Quantity (Kg''s)]]%,"")</f>
        <v/>
      </c>
      <c r="U349" s="5" t="str">
        <f>IFERROR(Table1[[#This Row],[Final Kernels (kg''s)]]/Table1[[#This Row],[Input Quantity (Kg''s)]]%,"")</f>
        <v/>
      </c>
      <c r="V349" s="5" t="str">
        <f>IFERROR(Table1[[#This Row],[Wholes (kg''s)]]/Table1[[#This Row],[Good Kernels (kg''s)]]%,"")</f>
        <v/>
      </c>
      <c r="W349" s="5" t="str">
        <f>IFERROR(Table1[[#This Row],[Pieces (kg''s)]]/Table1[[#This Row],[Good Kernels (kg''s)]]%,"")</f>
        <v/>
      </c>
      <c r="X349" s="5" t="str">
        <f>IFERROR(Table1[[#This Row],[First Pass Uncut (kg''s)]]/Table1[[#This Row],[Input Quantity (Kg''s)]]%,"")</f>
        <v/>
      </c>
      <c r="Y349" s="5" t="str">
        <f>IFERROR(Table1[[#This Row],[Final Uncut (kg''s)]]/Table1[[#This Row],[Input Quantity (Kg''s)]]%,"")</f>
        <v/>
      </c>
      <c r="Z349" s="21" t="str">
        <f>IFERROR(Table1[[#This Row],[Shell]]/Table1[[#This Row],[Input Quantity (Kg''s)]]%,"")</f>
        <v/>
      </c>
      <c r="AA349" s="21" t="str">
        <f>IFERROR(Table1[[#This Row],[Shell Dust]]/Table1[[#This Row],[Input Quantity (Kg''s)]]%,"")</f>
        <v/>
      </c>
    </row>
    <row r="350" spans="2:27" x14ac:dyDescent="0.3">
      <c r="B350" s="1"/>
      <c r="C350" s="15">
        <f>WEEKNUM(Table1[[#This Row],[Date]])</f>
        <v>0</v>
      </c>
      <c r="D350" s="1" t="str">
        <f>TEXT(Table1[[#This Row],[Date]],"mmm-yy")</f>
        <v>Jan-00</v>
      </c>
      <c r="E350" s="1"/>
      <c r="I350" s="3"/>
      <c r="M350" s="3"/>
      <c r="N350" s="3"/>
      <c r="O350" s="3"/>
      <c r="P350" s="3">
        <f>Table1[[#This Row],[Input Quantity (Kg''s)]]-SUM(Table1[[#This Row],[Wholes (kg''s)]:[Black Rejection (Kg''s)]],Table1[[#This Row],[Shell Dust]])</f>
        <v>0</v>
      </c>
      <c r="Q350" s="3">
        <f>SUM(Table1[[#This Row],[Wholes (kg''s)]:[Pieces (kg''s)]])</f>
        <v>0</v>
      </c>
      <c r="R350" s="3">
        <f>SUM(Table1[[#This Row],[Wholes (kg''s)]:[Black Rejection (Kg''s)]])</f>
        <v>0</v>
      </c>
      <c r="S350" s="4" t="str">
        <f>IFERROR(Table1[[#This Row],[Good Kernels (kg''s)]]/Table1[[#This Row],[Input Quantity (Kg''s)]]*176.36,"")</f>
        <v/>
      </c>
      <c r="T350" s="4" t="str">
        <f>IFERROR(Table1[[#This Row],[Good Kernels (kg''s)]]/Table1[[#This Row],[Input Quantity (Kg''s)]]%,"")</f>
        <v/>
      </c>
      <c r="U350" s="5" t="str">
        <f>IFERROR(Table1[[#This Row],[Final Kernels (kg''s)]]/Table1[[#This Row],[Input Quantity (Kg''s)]]%,"")</f>
        <v/>
      </c>
      <c r="V350" s="5" t="str">
        <f>IFERROR(Table1[[#This Row],[Wholes (kg''s)]]/Table1[[#This Row],[Good Kernels (kg''s)]]%,"")</f>
        <v/>
      </c>
      <c r="W350" s="5" t="str">
        <f>IFERROR(Table1[[#This Row],[Pieces (kg''s)]]/Table1[[#This Row],[Good Kernels (kg''s)]]%,"")</f>
        <v/>
      </c>
      <c r="X350" s="5" t="str">
        <f>IFERROR(Table1[[#This Row],[First Pass Uncut (kg''s)]]/Table1[[#This Row],[Input Quantity (Kg''s)]]%,"")</f>
        <v/>
      </c>
      <c r="Y350" s="5" t="str">
        <f>IFERROR(Table1[[#This Row],[Final Uncut (kg''s)]]/Table1[[#This Row],[Input Quantity (Kg''s)]]%,"")</f>
        <v/>
      </c>
      <c r="Z350" s="21" t="str">
        <f>IFERROR(Table1[[#This Row],[Shell]]/Table1[[#This Row],[Input Quantity (Kg''s)]]%,"")</f>
        <v/>
      </c>
      <c r="AA350" s="21" t="str">
        <f>IFERROR(Table1[[#This Row],[Shell Dust]]/Table1[[#This Row],[Input Quantity (Kg''s)]]%,"")</f>
        <v/>
      </c>
    </row>
    <row r="351" spans="2:27" x14ac:dyDescent="0.3">
      <c r="B351" s="1"/>
      <c r="C351" s="15">
        <f>WEEKNUM(Table1[[#This Row],[Date]])</f>
        <v>0</v>
      </c>
      <c r="D351" s="1" t="str">
        <f>TEXT(Table1[[#This Row],[Date]],"mmm-yy")</f>
        <v>Jan-00</v>
      </c>
      <c r="E351" s="1"/>
      <c r="I351" s="3"/>
      <c r="M351" s="3"/>
      <c r="N351" s="3"/>
      <c r="O351" s="3"/>
      <c r="P351" s="3">
        <f>Table1[[#This Row],[Input Quantity (Kg''s)]]-SUM(Table1[[#This Row],[Wholes (kg''s)]:[Black Rejection (Kg''s)]],Table1[[#This Row],[Shell Dust]])</f>
        <v>0</v>
      </c>
      <c r="Q351" s="3">
        <f>SUM(Table1[[#This Row],[Wholes (kg''s)]:[Pieces (kg''s)]])</f>
        <v>0</v>
      </c>
      <c r="R351" s="3">
        <f>SUM(Table1[[#This Row],[Wholes (kg''s)]:[Black Rejection (Kg''s)]])</f>
        <v>0</v>
      </c>
      <c r="S351" s="4" t="str">
        <f>IFERROR(Table1[[#This Row],[Good Kernels (kg''s)]]/Table1[[#This Row],[Input Quantity (Kg''s)]]*176.36,"")</f>
        <v/>
      </c>
      <c r="T351" s="4" t="str">
        <f>IFERROR(Table1[[#This Row],[Good Kernels (kg''s)]]/Table1[[#This Row],[Input Quantity (Kg''s)]]%,"")</f>
        <v/>
      </c>
      <c r="U351" s="5" t="str">
        <f>IFERROR(Table1[[#This Row],[Final Kernels (kg''s)]]/Table1[[#This Row],[Input Quantity (Kg''s)]]%,"")</f>
        <v/>
      </c>
      <c r="V351" s="5" t="str">
        <f>IFERROR(Table1[[#This Row],[Wholes (kg''s)]]/Table1[[#This Row],[Good Kernels (kg''s)]]%,"")</f>
        <v/>
      </c>
      <c r="W351" s="5" t="str">
        <f>IFERROR(Table1[[#This Row],[Pieces (kg''s)]]/Table1[[#This Row],[Good Kernels (kg''s)]]%,"")</f>
        <v/>
      </c>
      <c r="X351" s="5" t="str">
        <f>IFERROR(Table1[[#This Row],[First Pass Uncut (kg''s)]]/Table1[[#This Row],[Input Quantity (Kg''s)]]%,"")</f>
        <v/>
      </c>
      <c r="Y351" s="5" t="str">
        <f>IFERROR(Table1[[#This Row],[Final Uncut (kg''s)]]/Table1[[#This Row],[Input Quantity (Kg''s)]]%,"")</f>
        <v/>
      </c>
      <c r="Z351" s="21" t="str">
        <f>IFERROR(Table1[[#This Row],[Shell]]/Table1[[#This Row],[Input Quantity (Kg''s)]]%,"")</f>
        <v/>
      </c>
      <c r="AA351" s="21" t="str">
        <f>IFERROR(Table1[[#This Row],[Shell Dust]]/Table1[[#This Row],[Input Quantity (Kg''s)]]%,"")</f>
        <v/>
      </c>
    </row>
    <row r="352" spans="2:27" x14ac:dyDescent="0.3">
      <c r="B352" s="1"/>
      <c r="C352" s="15">
        <f>WEEKNUM(Table1[[#This Row],[Date]])</f>
        <v>0</v>
      </c>
      <c r="D352" s="1" t="str">
        <f>TEXT(Table1[[#This Row],[Date]],"mmm-yy")</f>
        <v>Jan-00</v>
      </c>
      <c r="E352" s="1"/>
      <c r="I352" s="3"/>
      <c r="M352" s="3"/>
      <c r="N352" s="3"/>
      <c r="O352" s="3"/>
      <c r="P352" s="3">
        <f>Table1[[#This Row],[Input Quantity (Kg''s)]]-SUM(Table1[[#This Row],[Wholes (kg''s)]:[Black Rejection (Kg''s)]],Table1[[#This Row],[Shell Dust]])</f>
        <v>0</v>
      </c>
      <c r="Q352" s="3">
        <f>SUM(Table1[[#This Row],[Wholes (kg''s)]:[Pieces (kg''s)]])</f>
        <v>0</v>
      </c>
      <c r="R352" s="3">
        <f>SUM(Table1[[#This Row],[Wholes (kg''s)]:[Black Rejection (Kg''s)]])</f>
        <v>0</v>
      </c>
      <c r="S352" s="4" t="str">
        <f>IFERROR(Table1[[#This Row],[Good Kernels (kg''s)]]/Table1[[#This Row],[Input Quantity (Kg''s)]]*176.36,"")</f>
        <v/>
      </c>
      <c r="T352" s="4" t="str">
        <f>IFERROR(Table1[[#This Row],[Good Kernels (kg''s)]]/Table1[[#This Row],[Input Quantity (Kg''s)]]%,"")</f>
        <v/>
      </c>
      <c r="U352" s="5" t="str">
        <f>IFERROR(Table1[[#This Row],[Final Kernels (kg''s)]]/Table1[[#This Row],[Input Quantity (Kg''s)]]%,"")</f>
        <v/>
      </c>
      <c r="V352" s="5" t="str">
        <f>IFERROR(Table1[[#This Row],[Wholes (kg''s)]]/Table1[[#This Row],[Good Kernels (kg''s)]]%,"")</f>
        <v/>
      </c>
      <c r="W352" s="5" t="str">
        <f>IFERROR(Table1[[#This Row],[Pieces (kg''s)]]/Table1[[#This Row],[Good Kernels (kg''s)]]%,"")</f>
        <v/>
      </c>
      <c r="X352" s="5" t="str">
        <f>IFERROR(Table1[[#This Row],[First Pass Uncut (kg''s)]]/Table1[[#This Row],[Input Quantity (Kg''s)]]%,"")</f>
        <v/>
      </c>
      <c r="Y352" s="5" t="str">
        <f>IFERROR(Table1[[#This Row],[Final Uncut (kg''s)]]/Table1[[#This Row],[Input Quantity (Kg''s)]]%,"")</f>
        <v/>
      </c>
      <c r="Z352" s="21" t="str">
        <f>IFERROR(Table1[[#This Row],[Shell]]/Table1[[#This Row],[Input Quantity (Kg''s)]]%,"")</f>
        <v/>
      </c>
      <c r="AA352" s="21" t="str">
        <f>IFERROR(Table1[[#This Row],[Shell Dust]]/Table1[[#This Row],[Input Quantity (Kg''s)]]%,"")</f>
        <v/>
      </c>
    </row>
    <row r="353" spans="2:27" x14ac:dyDescent="0.3">
      <c r="B353" s="1"/>
      <c r="C353" s="15">
        <f>WEEKNUM(Table1[[#This Row],[Date]])</f>
        <v>0</v>
      </c>
      <c r="D353" s="1" t="str">
        <f>TEXT(Table1[[#This Row],[Date]],"mmm-yy")</f>
        <v>Jan-00</v>
      </c>
      <c r="E353" s="1"/>
      <c r="I353" s="3"/>
      <c r="M353" s="3"/>
      <c r="N353" s="3"/>
      <c r="O353" s="3"/>
      <c r="P353" s="3">
        <f>Table1[[#This Row],[Input Quantity (Kg''s)]]-SUM(Table1[[#This Row],[Wholes (kg''s)]:[Black Rejection (Kg''s)]],Table1[[#This Row],[Shell Dust]])</f>
        <v>0</v>
      </c>
      <c r="Q353" s="3">
        <f>SUM(Table1[[#This Row],[Wholes (kg''s)]:[Pieces (kg''s)]])</f>
        <v>0</v>
      </c>
      <c r="R353" s="3">
        <f>SUM(Table1[[#This Row],[Wholes (kg''s)]:[Black Rejection (Kg''s)]])</f>
        <v>0</v>
      </c>
      <c r="S353" s="4" t="str">
        <f>IFERROR(Table1[[#This Row],[Good Kernels (kg''s)]]/Table1[[#This Row],[Input Quantity (Kg''s)]]*176.36,"")</f>
        <v/>
      </c>
      <c r="T353" s="4" t="str">
        <f>IFERROR(Table1[[#This Row],[Good Kernels (kg''s)]]/Table1[[#This Row],[Input Quantity (Kg''s)]]%,"")</f>
        <v/>
      </c>
      <c r="U353" s="5" t="str">
        <f>IFERROR(Table1[[#This Row],[Final Kernels (kg''s)]]/Table1[[#This Row],[Input Quantity (Kg''s)]]%,"")</f>
        <v/>
      </c>
      <c r="V353" s="5" t="str">
        <f>IFERROR(Table1[[#This Row],[Wholes (kg''s)]]/Table1[[#This Row],[Good Kernels (kg''s)]]%,"")</f>
        <v/>
      </c>
      <c r="W353" s="5" t="str">
        <f>IFERROR(Table1[[#This Row],[Pieces (kg''s)]]/Table1[[#This Row],[Good Kernels (kg''s)]]%,"")</f>
        <v/>
      </c>
      <c r="X353" s="5" t="str">
        <f>IFERROR(Table1[[#This Row],[First Pass Uncut (kg''s)]]/Table1[[#This Row],[Input Quantity (Kg''s)]]%,"")</f>
        <v/>
      </c>
      <c r="Y353" s="5" t="str">
        <f>IFERROR(Table1[[#This Row],[Final Uncut (kg''s)]]/Table1[[#This Row],[Input Quantity (Kg''s)]]%,"")</f>
        <v/>
      </c>
      <c r="Z353" s="21" t="str">
        <f>IFERROR(Table1[[#This Row],[Shell]]/Table1[[#This Row],[Input Quantity (Kg''s)]]%,"")</f>
        <v/>
      </c>
      <c r="AA353" s="21" t="str">
        <f>IFERROR(Table1[[#This Row],[Shell Dust]]/Table1[[#This Row],[Input Quantity (Kg''s)]]%,"")</f>
        <v/>
      </c>
    </row>
    <row r="354" spans="2:27" x14ac:dyDescent="0.3">
      <c r="B354" s="1"/>
      <c r="C354" s="15">
        <f>WEEKNUM(Table1[[#This Row],[Date]])</f>
        <v>0</v>
      </c>
      <c r="D354" s="1" t="str">
        <f>TEXT(Table1[[#This Row],[Date]],"mmm-yy")</f>
        <v>Jan-00</v>
      </c>
      <c r="E354" s="1"/>
      <c r="I354" s="3"/>
      <c r="M354" s="3"/>
      <c r="N354" s="3"/>
      <c r="O354" s="3"/>
      <c r="P354" s="3">
        <f>Table1[[#This Row],[Input Quantity (Kg''s)]]-SUM(Table1[[#This Row],[Wholes (kg''s)]:[Black Rejection (Kg''s)]],Table1[[#This Row],[Shell Dust]])</f>
        <v>0</v>
      </c>
      <c r="Q354" s="3">
        <f>SUM(Table1[[#This Row],[Wholes (kg''s)]:[Pieces (kg''s)]])</f>
        <v>0</v>
      </c>
      <c r="R354" s="3">
        <f>SUM(Table1[[#This Row],[Wholes (kg''s)]:[Black Rejection (Kg''s)]])</f>
        <v>0</v>
      </c>
      <c r="S354" s="4" t="str">
        <f>IFERROR(Table1[[#This Row],[Good Kernels (kg''s)]]/Table1[[#This Row],[Input Quantity (Kg''s)]]*176.36,"")</f>
        <v/>
      </c>
      <c r="T354" s="4" t="str">
        <f>IFERROR(Table1[[#This Row],[Good Kernels (kg''s)]]/Table1[[#This Row],[Input Quantity (Kg''s)]]%,"")</f>
        <v/>
      </c>
      <c r="U354" s="5" t="str">
        <f>IFERROR(Table1[[#This Row],[Final Kernels (kg''s)]]/Table1[[#This Row],[Input Quantity (Kg''s)]]%,"")</f>
        <v/>
      </c>
      <c r="V354" s="5" t="str">
        <f>IFERROR(Table1[[#This Row],[Wholes (kg''s)]]/Table1[[#This Row],[Good Kernels (kg''s)]]%,"")</f>
        <v/>
      </c>
      <c r="W354" s="5" t="str">
        <f>IFERROR(Table1[[#This Row],[Pieces (kg''s)]]/Table1[[#This Row],[Good Kernels (kg''s)]]%,"")</f>
        <v/>
      </c>
      <c r="X354" s="5" t="str">
        <f>IFERROR(Table1[[#This Row],[First Pass Uncut (kg''s)]]/Table1[[#This Row],[Input Quantity (Kg''s)]]%,"")</f>
        <v/>
      </c>
      <c r="Y354" s="5" t="str">
        <f>IFERROR(Table1[[#This Row],[Final Uncut (kg''s)]]/Table1[[#This Row],[Input Quantity (Kg''s)]]%,"")</f>
        <v/>
      </c>
      <c r="Z354" s="21" t="str">
        <f>IFERROR(Table1[[#This Row],[Shell]]/Table1[[#This Row],[Input Quantity (Kg''s)]]%,"")</f>
        <v/>
      </c>
      <c r="AA354" s="21" t="str">
        <f>IFERROR(Table1[[#This Row],[Shell Dust]]/Table1[[#This Row],[Input Quantity (Kg''s)]]%,"")</f>
        <v/>
      </c>
    </row>
    <row r="355" spans="2:27" x14ac:dyDescent="0.3">
      <c r="B355" s="1"/>
      <c r="C355" s="15">
        <f>WEEKNUM(Table1[[#This Row],[Date]])</f>
        <v>0</v>
      </c>
      <c r="D355" s="1" t="str">
        <f>TEXT(Table1[[#This Row],[Date]],"mmm-yy")</f>
        <v>Jan-00</v>
      </c>
      <c r="E355" s="1"/>
      <c r="I355" s="3"/>
      <c r="M355" s="3"/>
      <c r="N355" s="3"/>
      <c r="O355" s="3"/>
      <c r="P355" s="3">
        <f>Table1[[#This Row],[Input Quantity (Kg''s)]]-SUM(Table1[[#This Row],[Wholes (kg''s)]:[Black Rejection (Kg''s)]],Table1[[#This Row],[Shell Dust]])</f>
        <v>0</v>
      </c>
      <c r="Q355" s="3">
        <f>SUM(Table1[[#This Row],[Wholes (kg''s)]:[Pieces (kg''s)]])</f>
        <v>0</v>
      </c>
      <c r="R355" s="3">
        <f>SUM(Table1[[#This Row],[Wholes (kg''s)]:[Black Rejection (Kg''s)]])</f>
        <v>0</v>
      </c>
      <c r="S355" s="4" t="str">
        <f>IFERROR(Table1[[#This Row],[Good Kernels (kg''s)]]/Table1[[#This Row],[Input Quantity (Kg''s)]]*176.36,"")</f>
        <v/>
      </c>
      <c r="T355" s="4" t="str">
        <f>IFERROR(Table1[[#This Row],[Good Kernels (kg''s)]]/Table1[[#This Row],[Input Quantity (Kg''s)]]%,"")</f>
        <v/>
      </c>
      <c r="U355" s="5" t="str">
        <f>IFERROR(Table1[[#This Row],[Final Kernels (kg''s)]]/Table1[[#This Row],[Input Quantity (Kg''s)]]%,"")</f>
        <v/>
      </c>
      <c r="V355" s="5" t="str">
        <f>IFERROR(Table1[[#This Row],[Wholes (kg''s)]]/Table1[[#This Row],[Good Kernels (kg''s)]]%,"")</f>
        <v/>
      </c>
      <c r="W355" s="5" t="str">
        <f>IFERROR(Table1[[#This Row],[Pieces (kg''s)]]/Table1[[#This Row],[Good Kernels (kg''s)]]%,"")</f>
        <v/>
      </c>
      <c r="X355" s="5" t="str">
        <f>IFERROR(Table1[[#This Row],[First Pass Uncut (kg''s)]]/Table1[[#This Row],[Input Quantity (Kg''s)]]%,"")</f>
        <v/>
      </c>
      <c r="Y355" s="5" t="str">
        <f>IFERROR(Table1[[#This Row],[Final Uncut (kg''s)]]/Table1[[#This Row],[Input Quantity (Kg''s)]]%,"")</f>
        <v/>
      </c>
      <c r="Z355" s="21" t="str">
        <f>IFERROR(Table1[[#This Row],[Shell]]/Table1[[#This Row],[Input Quantity (Kg''s)]]%,"")</f>
        <v/>
      </c>
      <c r="AA355" s="21" t="str">
        <f>IFERROR(Table1[[#This Row],[Shell Dust]]/Table1[[#This Row],[Input Quantity (Kg''s)]]%,"")</f>
        <v/>
      </c>
    </row>
    <row r="356" spans="2:27" x14ac:dyDescent="0.3">
      <c r="B356" s="1"/>
      <c r="C356" s="15">
        <f>WEEKNUM(Table1[[#This Row],[Date]])</f>
        <v>0</v>
      </c>
      <c r="D356" s="1" t="str">
        <f>TEXT(Table1[[#This Row],[Date]],"mmm-yy")</f>
        <v>Jan-00</v>
      </c>
      <c r="E356" s="1"/>
      <c r="I356" s="3"/>
      <c r="M356" s="3"/>
      <c r="N356" s="3"/>
      <c r="O356" s="3"/>
      <c r="P356" s="3">
        <f>Table1[[#This Row],[Input Quantity (Kg''s)]]-SUM(Table1[[#This Row],[Wholes (kg''s)]:[Black Rejection (Kg''s)]],Table1[[#This Row],[Shell Dust]])</f>
        <v>0</v>
      </c>
      <c r="Q356" s="3">
        <f>SUM(Table1[[#This Row],[Wholes (kg''s)]:[Pieces (kg''s)]])</f>
        <v>0</v>
      </c>
      <c r="R356" s="3">
        <f>SUM(Table1[[#This Row],[Wholes (kg''s)]:[Black Rejection (Kg''s)]])</f>
        <v>0</v>
      </c>
      <c r="S356" s="4" t="str">
        <f>IFERROR(Table1[[#This Row],[Good Kernels (kg''s)]]/Table1[[#This Row],[Input Quantity (Kg''s)]]*176.36,"")</f>
        <v/>
      </c>
      <c r="T356" s="4" t="str">
        <f>IFERROR(Table1[[#This Row],[Good Kernels (kg''s)]]/Table1[[#This Row],[Input Quantity (Kg''s)]]%,"")</f>
        <v/>
      </c>
      <c r="U356" s="5" t="str">
        <f>IFERROR(Table1[[#This Row],[Final Kernels (kg''s)]]/Table1[[#This Row],[Input Quantity (Kg''s)]]%,"")</f>
        <v/>
      </c>
      <c r="V356" s="5" t="str">
        <f>IFERROR(Table1[[#This Row],[Wholes (kg''s)]]/Table1[[#This Row],[Good Kernels (kg''s)]]%,"")</f>
        <v/>
      </c>
      <c r="W356" s="5" t="str">
        <f>IFERROR(Table1[[#This Row],[Pieces (kg''s)]]/Table1[[#This Row],[Good Kernels (kg''s)]]%,"")</f>
        <v/>
      </c>
      <c r="X356" s="5" t="str">
        <f>IFERROR(Table1[[#This Row],[First Pass Uncut (kg''s)]]/Table1[[#This Row],[Input Quantity (Kg''s)]]%,"")</f>
        <v/>
      </c>
      <c r="Y356" s="5" t="str">
        <f>IFERROR(Table1[[#This Row],[Final Uncut (kg''s)]]/Table1[[#This Row],[Input Quantity (Kg''s)]]%,"")</f>
        <v/>
      </c>
      <c r="Z356" s="21" t="str">
        <f>IFERROR(Table1[[#This Row],[Shell]]/Table1[[#This Row],[Input Quantity (Kg''s)]]%,"")</f>
        <v/>
      </c>
      <c r="AA356" s="21" t="str">
        <f>IFERROR(Table1[[#This Row],[Shell Dust]]/Table1[[#This Row],[Input Quantity (Kg''s)]]%,"")</f>
        <v/>
      </c>
    </row>
    <row r="357" spans="2:27" x14ac:dyDescent="0.3">
      <c r="B357" s="1"/>
      <c r="C357" s="15">
        <f>WEEKNUM(Table1[[#This Row],[Date]])</f>
        <v>0</v>
      </c>
      <c r="D357" s="1" t="str">
        <f>TEXT(Table1[[#This Row],[Date]],"mmm-yy")</f>
        <v>Jan-00</v>
      </c>
      <c r="E357" s="1"/>
      <c r="I357" s="3"/>
      <c r="M357" s="3"/>
      <c r="N357" s="3"/>
      <c r="O357" s="3"/>
      <c r="P357" s="3">
        <f>Table1[[#This Row],[Input Quantity (Kg''s)]]-SUM(Table1[[#This Row],[Wholes (kg''s)]:[Black Rejection (Kg''s)]],Table1[[#This Row],[Shell Dust]])</f>
        <v>0</v>
      </c>
      <c r="Q357" s="3">
        <f>SUM(Table1[[#This Row],[Wholes (kg''s)]:[Pieces (kg''s)]])</f>
        <v>0</v>
      </c>
      <c r="R357" s="3">
        <f>SUM(Table1[[#This Row],[Wholes (kg''s)]:[Black Rejection (Kg''s)]])</f>
        <v>0</v>
      </c>
      <c r="S357" s="4" t="str">
        <f>IFERROR(Table1[[#This Row],[Good Kernels (kg''s)]]/Table1[[#This Row],[Input Quantity (Kg''s)]]*176.36,"")</f>
        <v/>
      </c>
      <c r="T357" s="4" t="str">
        <f>IFERROR(Table1[[#This Row],[Good Kernels (kg''s)]]/Table1[[#This Row],[Input Quantity (Kg''s)]]%,"")</f>
        <v/>
      </c>
      <c r="U357" s="5" t="str">
        <f>IFERROR(Table1[[#This Row],[Final Kernels (kg''s)]]/Table1[[#This Row],[Input Quantity (Kg''s)]]%,"")</f>
        <v/>
      </c>
      <c r="V357" s="5" t="str">
        <f>IFERROR(Table1[[#This Row],[Wholes (kg''s)]]/Table1[[#This Row],[Good Kernels (kg''s)]]%,"")</f>
        <v/>
      </c>
      <c r="W357" s="5" t="str">
        <f>IFERROR(Table1[[#This Row],[Pieces (kg''s)]]/Table1[[#This Row],[Good Kernels (kg''s)]]%,"")</f>
        <v/>
      </c>
      <c r="X357" s="5" t="str">
        <f>IFERROR(Table1[[#This Row],[First Pass Uncut (kg''s)]]/Table1[[#This Row],[Input Quantity (Kg''s)]]%,"")</f>
        <v/>
      </c>
      <c r="Y357" s="5" t="str">
        <f>IFERROR(Table1[[#This Row],[Final Uncut (kg''s)]]/Table1[[#This Row],[Input Quantity (Kg''s)]]%,"")</f>
        <v/>
      </c>
      <c r="Z357" s="21" t="str">
        <f>IFERROR(Table1[[#This Row],[Shell]]/Table1[[#This Row],[Input Quantity (Kg''s)]]%,"")</f>
        <v/>
      </c>
      <c r="AA357" s="21" t="str">
        <f>IFERROR(Table1[[#This Row],[Shell Dust]]/Table1[[#This Row],[Input Quantity (Kg''s)]]%,"")</f>
        <v/>
      </c>
    </row>
    <row r="358" spans="2:27" x14ac:dyDescent="0.3">
      <c r="B358" s="1"/>
      <c r="C358" s="15">
        <f>WEEKNUM(Table1[[#This Row],[Date]])</f>
        <v>0</v>
      </c>
      <c r="D358" s="1" t="str">
        <f>TEXT(Table1[[#This Row],[Date]],"mmm-yy")</f>
        <v>Jan-00</v>
      </c>
      <c r="E358" s="1"/>
      <c r="I358" s="3"/>
      <c r="M358" s="3"/>
      <c r="N358" s="3"/>
      <c r="O358" s="3"/>
      <c r="P358" s="3">
        <f>Table1[[#This Row],[Input Quantity (Kg''s)]]-SUM(Table1[[#This Row],[Wholes (kg''s)]:[Black Rejection (Kg''s)]],Table1[[#This Row],[Shell Dust]])</f>
        <v>0</v>
      </c>
      <c r="Q358" s="3">
        <f>SUM(Table1[[#This Row],[Wholes (kg''s)]:[Pieces (kg''s)]])</f>
        <v>0</v>
      </c>
      <c r="R358" s="3">
        <f>SUM(Table1[[#This Row],[Wholes (kg''s)]:[Black Rejection (Kg''s)]])</f>
        <v>0</v>
      </c>
      <c r="S358" s="4" t="str">
        <f>IFERROR(Table1[[#This Row],[Good Kernels (kg''s)]]/Table1[[#This Row],[Input Quantity (Kg''s)]]*176.36,"")</f>
        <v/>
      </c>
      <c r="T358" s="4" t="str">
        <f>IFERROR(Table1[[#This Row],[Good Kernels (kg''s)]]/Table1[[#This Row],[Input Quantity (Kg''s)]]%,"")</f>
        <v/>
      </c>
      <c r="U358" s="5" t="str">
        <f>IFERROR(Table1[[#This Row],[Final Kernels (kg''s)]]/Table1[[#This Row],[Input Quantity (Kg''s)]]%,"")</f>
        <v/>
      </c>
      <c r="V358" s="5" t="str">
        <f>IFERROR(Table1[[#This Row],[Wholes (kg''s)]]/Table1[[#This Row],[Good Kernels (kg''s)]]%,"")</f>
        <v/>
      </c>
      <c r="W358" s="5" t="str">
        <f>IFERROR(Table1[[#This Row],[Pieces (kg''s)]]/Table1[[#This Row],[Good Kernels (kg''s)]]%,"")</f>
        <v/>
      </c>
      <c r="X358" s="5" t="str">
        <f>IFERROR(Table1[[#This Row],[First Pass Uncut (kg''s)]]/Table1[[#This Row],[Input Quantity (Kg''s)]]%,"")</f>
        <v/>
      </c>
      <c r="Y358" s="5" t="str">
        <f>IFERROR(Table1[[#This Row],[Final Uncut (kg''s)]]/Table1[[#This Row],[Input Quantity (Kg''s)]]%,"")</f>
        <v/>
      </c>
      <c r="Z358" s="21" t="str">
        <f>IFERROR(Table1[[#This Row],[Shell]]/Table1[[#This Row],[Input Quantity (Kg''s)]]%,"")</f>
        <v/>
      </c>
      <c r="AA358" s="21" t="str">
        <f>IFERROR(Table1[[#This Row],[Shell Dust]]/Table1[[#This Row],[Input Quantity (Kg''s)]]%,"")</f>
        <v/>
      </c>
    </row>
    <row r="359" spans="2:27" x14ac:dyDescent="0.3">
      <c r="B359" s="1"/>
      <c r="C359" s="15">
        <f>WEEKNUM(Table1[[#This Row],[Date]])</f>
        <v>0</v>
      </c>
      <c r="D359" s="1" t="str">
        <f>TEXT(Table1[[#This Row],[Date]],"mmm-yy")</f>
        <v>Jan-00</v>
      </c>
      <c r="E359" s="1"/>
      <c r="I359" s="3"/>
      <c r="M359" s="3"/>
      <c r="N359" s="3"/>
      <c r="O359" s="3"/>
      <c r="P359" s="3">
        <f>Table1[[#This Row],[Input Quantity (Kg''s)]]-SUM(Table1[[#This Row],[Wholes (kg''s)]:[Black Rejection (Kg''s)]],Table1[[#This Row],[Shell Dust]])</f>
        <v>0</v>
      </c>
      <c r="Q359" s="3">
        <f>SUM(Table1[[#This Row],[Wholes (kg''s)]:[Pieces (kg''s)]])</f>
        <v>0</v>
      </c>
      <c r="R359" s="3">
        <f>SUM(Table1[[#This Row],[Wholes (kg''s)]:[Black Rejection (Kg''s)]])</f>
        <v>0</v>
      </c>
      <c r="S359" s="4" t="str">
        <f>IFERROR(Table1[[#This Row],[Good Kernels (kg''s)]]/Table1[[#This Row],[Input Quantity (Kg''s)]]*176.36,"")</f>
        <v/>
      </c>
      <c r="T359" s="4" t="str">
        <f>IFERROR(Table1[[#This Row],[Good Kernels (kg''s)]]/Table1[[#This Row],[Input Quantity (Kg''s)]]%,"")</f>
        <v/>
      </c>
      <c r="U359" s="5" t="str">
        <f>IFERROR(Table1[[#This Row],[Final Kernels (kg''s)]]/Table1[[#This Row],[Input Quantity (Kg''s)]]%,"")</f>
        <v/>
      </c>
      <c r="V359" s="5" t="str">
        <f>IFERROR(Table1[[#This Row],[Wholes (kg''s)]]/Table1[[#This Row],[Good Kernels (kg''s)]]%,"")</f>
        <v/>
      </c>
      <c r="W359" s="5" t="str">
        <f>IFERROR(Table1[[#This Row],[Pieces (kg''s)]]/Table1[[#This Row],[Good Kernels (kg''s)]]%,"")</f>
        <v/>
      </c>
      <c r="X359" s="5" t="str">
        <f>IFERROR(Table1[[#This Row],[First Pass Uncut (kg''s)]]/Table1[[#This Row],[Input Quantity (Kg''s)]]%,"")</f>
        <v/>
      </c>
      <c r="Y359" s="5" t="str">
        <f>IFERROR(Table1[[#This Row],[Final Uncut (kg''s)]]/Table1[[#This Row],[Input Quantity (Kg''s)]]%,"")</f>
        <v/>
      </c>
      <c r="Z359" s="21" t="str">
        <f>IFERROR(Table1[[#This Row],[Shell]]/Table1[[#This Row],[Input Quantity (Kg''s)]]%,"")</f>
        <v/>
      </c>
      <c r="AA359" s="21" t="str">
        <f>IFERROR(Table1[[#This Row],[Shell Dust]]/Table1[[#This Row],[Input Quantity (Kg''s)]]%,"")</f>
        <v/>
      </c>
    </row>
    <row r="360" spans="2:27" x14ac:dyDescent="0.3">
      <c r="B360" s="1"/>
      <c r="C360" s="15">
        <f>WEEKNUM(Table1[[#This Row],[Date]])</f>
        <v>0</v>
      </c>
      <c r="D360" s="1" t="str">
        <f>TEXT(Table1[[#This Row],[Date]],"mmm-yy")</f>
        <v>Jan-00</v>
      </c>
      <c r="E360" s="1"/>
      <c r="I360" s="3"/>
      <c r="M360" s="3"/>
      <c r="N360" s="3"/>
      <c r="O360" s="3"/>
      <c r="P360" s="3">
        <f>Table1[[#This Row],[Input Quantity (Kg''s)]]-SUM(Table1[[#This Row],[Wholes (kg''s)]:[Black Rejection (Kg''s)]],Table1[[#This Row],[Shell Dust]])</f>
        <v>0</v>
      </c>
      <c r="Q360" s="3">
        <f>SUM(Table1[[#This Row],[Wholes (kg''s)]:[Pieces (kg''s)]])</f>
        <v>0</v>
      </c>
      <c r="R360" s="3">
        <f>SUM(Table1[[#This Row],[Wholes (kg''s)]:[Black Rejection (Kg''s)]])</f>
        <v>0</v>
      </c>
      <c r="S360" s="4" t="str">
        <f>IFERROR(Table1[[#This Row],[Good Kernels (kg''s)]]/Table1[[#This Row],[Input Quantity (Kg''s)]]*176.36,"")</f>
        <v/>
      </c>
      <c r="T360" s="4" t="str">
        <f>IFERROR(Table1[[#This Row],[Good Kernels (kg''s)]]/Table1[[#This Row],[Input Quantity (Kg''s)]]%,"")</f>
        <v/>
      </c>
      <c r="U360" s="5" t="str">
        <f>IFERROR(Table1[[#This Row],[Final Kernels (kg''s)]]/Table1[[#This Row],[Input Quantity (Kg''s)]]%,"")</f>
        <v/>
      </c>
      <c r="V360" s="5" t="str">
        <f>IFERROR(Table1[[#This Row],[Wholes (kg''s)]]/Table1[[#This Row],[Good Kernels (kg''s)]]%,"")</f>
        <v/>
      </c>
      <c r="W360" s="5" t="str">
        <f>IFERROR(Table1[[#This Row],[Pieces (kg''s)]]/Table1[[#This Row],[Good Kernels (kg''s)]]%,"")</f>
        <v/>
      </c>
      <c r="X360" s="5" t="str">
        <f>IFERROR(Table1[[#This Row],[First Pass Uncut (kg''s)]]/Table1[[#This Row],[Input Quantity (Kg''s)]]%,"")</f>
        <v/>
      </c>
      <c r="Y360" s="5" t="str">
        <f>IFERROR(Table1[[#This Row],[Final Uncut (kg''s)]]/Table1[[#This Row],[Input Quantity (Kg''s)]]%,"")</f>
        <v/>
      </c>
      <c r="Z360" s="21" t="str">
        <f>IFERROR(Table1[[#This Row],[Shell]]/Table1[[#This Row],[Input Quantity (Kg''s)]]%,"")</f>
        <v/>
      </c>
      <c r="AA360" s="21" t="str">
        <f>IFERROR(Table1[[#This Row],[Shell Dust]]/Table1[[#This Row],[Input Quantity (Kg''s)]]%,"")</f>
        <v/>
      </c>
    </row>
    <row r="361" spans="2:27" x14ac:dyDescent="0.3">
      <c r="B361" s="1"/>
      <c r="C361" s="15">
        <f>WEEKNUM(Table1[[#This Row],[Date]])</f>
        <v>0</v>
      </c>
      <c r="D361" s="1" t="str">
        <f>TEXT(Table1[[#This Row],[Date]],"mmm-yy")</f>
        <v>Jan-00</v>
      </c>
      <c r="E361" s="1"/>
      <c r="I361" s="3"/>
      <c r="M361" s="3"/>
      <c r="N361" s="3"/>
      <c r="O361" s="3"/>
      <c r="P361" s="3">
        <f>Table1[[#This Row],[Input Quantity (Kg''s)]]-SUM(Table1[[#This Row],[Wholes (kg''s)]:[Black Rejection (Kg''s)]],Table1[[#This Row],[Shell Dust]])</f>
        <v>0</v>
      </c>
      <c r="Q361" s="3">
        <f>SUM(Table1[[#This Row],[Wholes (kg''s)]:[Pieces (kg''s)]])</f>
        <v>0</v>
      </c>
      <c r="R361" s="3">
        <f>SUM(Table1[[#This Row],[Wholes (kg''s)]:[Black Rejection (Kg''s)]])</f>
        <v>0</v>
      </c>
      <c r="S361" s="4" t="str">
        <f>IFERROR(Table1[[#This Row],[Good Kernels (kg''s)]]/Table1[[#This Row],[Input Quantity (Kg''s)]]*176.36,"")</f>
        <v/>
      </c>
      <c r="T361" s="4" t="str">
        <f>IFERROR(Table1[[#This Row],[Good Kernels (kg''s)]]/Table1[[#This Row],[Input Quantity (Kg''s)]]%,"")</f>
        <v/>
      </c>
      <c r="U361" s="5" t="str">
        <f>IFERROR(Table1[[#This Row],[Final Kernels (kg''s)]]/Table1[[#This Row],[Input Quantity (Kg''s)]]%,"")</f>
        <v/>
      </c>
      <c r="V361" s="5" t="str">
        <f>IFERROR(Table1[[#This Row],[Wholes (kg''s)]]/Table1[[#This Row],[Good Kernels (kg''s)]]%,"")</f>
        <v/>
      </c>
      <c r="W361" s="5" t="str">
        <f>IFERROR(Table1[[#This Row],[Pieces (kg''s)]]/Table1[[#This Row],[Good Kernels (kg''s)]]%,"")</f>
        <v/>
      </c>
      <c r="X361" s="5" t="str">
        <f>IFERROR(Table1[[#This Row],[First Pass Uncut (kg''s)]]/Table1[[#This Row],[Input Quantity (Kg''s)]]%,"")</f>
        <v/>
      </c>
      <c r="Y361" s="5" t="str">
        <f>IFERROR(Table1[[#This Row],[Final Uncut (kg''s)]]/Table1[[#This Row],[Input Quantity (Kg''s)]]%,"")</f>
        <v/>
      </c>
      <c r="Z361" s="21" t="str">
        <f>IFERROR(Table1[[#This Row],[Shell]]/Table1[[#This Row],[Input Quantity (Kg''s)]]%,"")</f>
        <v/>
      </c>
      <c r="AA361" s="21" t="str">
        <f>IFERROR(Table1[[#This Row],[Shell Dust]]/Table1[[#This Row],[Input Quantity (Kg''s)]]%,"")</f>
        <v/>
      </c>
    </row>
    <row r="362" spans="2:27" x14ac:dyDescent="0.3">
      <c r="B362" s="1"/>
      <c r="C362" s="15">
        <f>WEEKNUM(Table1[[#This Row],[Date]])</f>
        <v>0</v>
      </c>
      <c r="D362" s="1" t="str">
        <f>TEXT(Table1[[#This Row],[Date]],"mmm-yy")</f>
        <v>Jan-00</v>
      </c>
      <c r="E362" s="1"/>
      <c r="I362" s="3"/>
      <c r="M362" s="3"/>
      <c r="N362" s="3"/>
      <c r="O362" s="3"/>
      <c r="P362" s="3">
        <f>Table1[[#This Row],[Input Quantity (Kg''s)]]-SUM(Table1[[#This Row],[Wholes (kg''s)]:[Black Rejection (Kg''s)]],Table1[[#This Row],[Shell Dust]])</f>
        <v>0</v>
      </c>
      <c r="Q362" s="3">
        <f>SUM(Table1[[#This Row],[Wholes (kg''s)]:[Pieces (kg''s)]])</f>
        <v>0</v>
      </c>
      <c r="R362" s="3">
        <f>SUM(Table1[[#This Row],[Wholes (kg''s)]:[Black Rejection (Kg''s)]])</f>
        <v>0</v>
      </c>
      <c r="S362" s="4" t="str">
        <f>IFERROR(Table1[[#This Row],[Good Kernels (kg''s)]]/Table1[[#This Row],[Input Quantity (Kg''s)]]*176.36,"")</f>
        <v/>
      </c>
      <c r="T362" s="4" t="str">
        <f>IFERROR(Table1[[#This Row],[Good Kernels (kg''s)]]/Table1[[#This Row],[Input Quantity (Kg''s)]]%,"")</f>
        <v/>
      </c>
      <c r="U362" s="5" t="str">
        <f>IFERROR(Table1[[#This Row],[Final Kernels (kg''s)]]/Table1[[#This Row],[Input Quantity (Kg''s)]]%,"")</f>
        <v/>
      </c>
      <c r="V362" s="5" t="str">
        <f>IFERROR(Table1[[#This Row],[Wholes (kg''s)]]/Table1[[#This Row],[Good Kernels (kg''s)]]%,"")</f>
        <v/>
      </c>
      <c r="W362" s="5" t="str">
        <f>IFERROR(Table1[[#This Row],[Pieces (kg''s)]]/Table1[[#This Row],[Good Kernels (kg''s)]]%,"")</f>
        <v/>
      </c>
      <c r="X362" s="5" t="str">
        <f>IFERROR(Table1[[#This Row],[First Pass Uncut (kg''s)]]/Table1[[#This Row],[Input Quantity (Kg''s)]]%,"")</f>
        <v/>
      </c>
      <c r="Y362" s="5" t="str">
        <f>IFERROR(Table1[[#This Row],[Final Uncut (kg''s)]]/Table1[[#This Row],[Input Quantity (Kg''s)]]%,"")</f>
        <v/>
      </c>
      <c r="Z362" s="21" t="str">
        <f>IFERROR(Table1[[#This Row],[Shell]]/Table1[[#This Row],[Input Quantity (Kg''s)]]%,"")</f>
        <v/>
      </c>
      <c r="AA362" s="21" t="str">
        <f>IFERROR(Table1[[#This Row],[Shell Dust]]/Table1[[#This Row],[Input Quantity (Kg''s)]]%,"")</f>
        <v/>
      </c>
    </row>
    <row r="363" spans="2:27" x14ac:dyDescent="0.3">
      <c r="B363" s="1"/>
      <c r="C363" s="15">
        <f>WEEKNUM(Table1[[#This Row],[Date]])</f>
        <v>0</v>
      </c>
      <c r="D363" s="1" t="str">
        <f>TEXT(Table1[[#This Row],[Date]],"mmm-yy")</f>
        <v>Jan-00</v>
      </c>
      <c r="E363" s="1"/>
      <c r="I363" s="3"/>
      <c r="M363" s="3"/>
      <c r="N363" s="3"/>
      <c r="O363" s="3"/>
      <c r="P363" s="3">
        <f>Table1[[#This Row],[Input Quantity (Kg''s)]]-SUM(Table1[[#This Row],[Wholes (kg''s)]:[Black Rejection (Kg''s)]],Table1[[#This Row],[Shell Dust]])</f>
        <v>0</v>
      </c>
      <c r="Q363" s="3">
        <f>SUM(Table1[[#This Row],[Wholes (kg''s)]:[Pieces (kg''s)]])</f>
        <v>0</v>
      </c>
      <c r="R363" s="3">
        <f>SUM(Table1[[#This Row],[Wholes (kg''s)]:[Black Rejection (Kg''s)]])</f>
        <v>0</v>
      </c>
      <c r="S363" s="4" t="str">
        <f>IFERROR(Table1[[#This Row],[Good Kernels (kg''s)]]/Table1[[#This Row],[Input Quantity (Kg''s)]]*176.36,"")</f>
        <v/>
      </c>
      <c r="T363" s="4" t="str">
        <f>IFERROR(Table1[[#This Row],[Good Kernels (kg''s)]]/Table1[[#This Row],[Input Quantity (Kg''s)]]%,"")</f>
        <v/>
      </c>
      <c r="U363" s="5" t="str">
        <f>IFERROR(Table1[[#This Row],[Final Kernels (kg''s)]]/Table1[[#This Row],[Input Quantity (Kg''s)]]%,"")</f>
        <v/>
      </c>
      <c r="V363" s="5" t="str">
        <f>IFERROR(Table1[[#This Row],[Wholes (kg''s)]]/Table1[[#This Row],[Good Kernels (kg''s)]]%,"")</f>
        <v/>
      </c>
      <c r="W363" s="5" t="str">
        <f>IFERROR(Table1[[#This Row],[Pieces (kg''s)]]/Table1[[#This Row],[Good Kernels (kg''s)]]%,"")</f>
        <v/>
      </c>
      <c r="X363" s="5" t="str">
        <f>IFERROR(Table1[[#This Row],[First Pass Uncut (kg''s)]]/Table1[[#This Row],[Input Quantity (Kg''s)]]%,"")</f>
        <v/>
      </c>
      <c r="Y363" s="5" t="str">
        <f>IFERROR(Table1[[#This Row],[Final Uncut (kg''s)]]/Table1[[#This Row],[Input Quantity (Kg''s)]]%,"")</f>
        <v/>
      </c>
      <c r="Z363" s="21" t="str">
        <f>IFERROR(Table1[[#This Row],[Shell]]/Table1[[#This Row],[Input Quantity (Kg''s)]]%,"")</f>
        <v/>
      </c>
      <c r="AA363" s="21" t="str">
        <f>IFERROR(Table1[[#This Row],[Shell Dust]]/Table1[[#This Row],[Input Quantity (Kg''s)]]%,"")</f>
        <v/>
      </c>
    </row>
    <row r="364" spans="2:27" x14ac:dyDescent="0.3">
      <c r="B364" s="1"/>
      <c r="C364" s="15">
        <f>WEEKNUM(Table1[[#This Row],[Date]])</f>
        <v>0</v>
      </c>
      <c r="D364" s="1" t="str">
        <f>TEXT(Table1[[#This Row],[Date]],"mmm-yy")</f>
        <v>Jan-00</v>
      </c>
      <c r="E364" s="1"/>
      <c r="I364" s="3"/>
      <c r="M364" s="3"/>
      <c r="N364" s="3"/>
      <c r="O364" s="3"/>
      <c r="P364" s="3">
        <f>Table1[[#This Row],[Input Quantity (Kg''s)]]-SUM(Table1[[#This Row],[Wholes (kg''s)]:[Black Rejection (Kg''s)]],Table1[[#This Row],[Shell Dust]])</f>
        <v>0</v>
      </c>
      <c r="Q364" s="3">
        <f>SUM(Table1[[#This Row],[Wholes (kg''s)]:[Pieces (kg''s)]])</f>
        <v>0</v>
      </c>
      <c r="R364" s="3">
        <f>SUM(Table1[[#This Row],[Wholes (kg''s)]:[Black Rejection (Kg''s)]])</f>
        <v>0</v>
      </c>
      <c r="S364" s="4" t="str">
        <f>IFERROR(Table1[[#This Row],[Good Kernels (kg''s)]]/Table1[[#This Row],[Input Quantity (Kg''s)]]*176.36,"")</f>
        <v/>
      </c>
      <c r="T364" s="4" t="str">
        <f>IFERROR(Table1[[#This Row],[Good Kernels (kg''s)]]/Table1[[#This Row],[Input Quantity (Kg''s)]]%,"")</f>
        <v/>
      </c>
      <c r="U364" s="5" t="str">
        <f>IFERROR(Table1[[#This Row],[Final Kernels (kg''s)]]/Table1[[#This Row],[Input Quantity (Kg''s)]]%,"")</f>
        <v/>
      </c>
      <c r="V364" s="5" t="str">
        <f>IFERROR(Table1[[#This Row],[Wholes (kg''s)]]/Table1[[#This Row],[Good Kernels (kg''s)]]%,"")</f>
        <v/>
      </c>
      <c r="W364" s="5" t="str">
        <f>IFERROR(Table1[[#This Row],[Pieces (kg''s)]]/Table1[[#This Row],[Good Kernels (kg''s)]]%,"")</f>
        <v/>
      </c>
      <c r="X364" s="5" t="str">
        <f>IFERROR(Table1[[#This Row],[First Pass Uncut (kg''s)]]/Table1[[#This Row],[Input Quantity (Kg''s)]]%,"")</f>
        <v/>
      </c>
      <c r="Y364" s="5" t="str">
        <f>IFERROR(Table1[[#This Row],[Final Uncut (kg''s)]]/Table1[[#This Row],[Input Quantity (Kg''s)]]%,"")</f>
        <v/>
      </c>
      <c r="Z364" s="21" t="str">
        <f>IFERROR(Table1[[#This Row],[Shell]]/Table1[[#This Row],[Input Quantity (Kg''s)]]%,"")</f>
        <v/>
      </c>
      <c r="AA364" s="21" t="str">
        <f>IFERROR(Table1[[#This Row],[Shell Dust]]/Table1[[#This Row],[Input Quantity (Kg''s)]]%,"")</f>
        <v/>
      </c>
    </row>
    <row r="365" spans="2:27" x14ac:dyDescent="0.3">
      <c r="B365" s="1"/>
      <c r="C365" s="15">
        <f>WEEKNUM(Table1[[#This Row],[Date]])</f>
        <v>0</v>
      </c>
      <c r="D365" s="1" t="str">
        <f>TEXT(Table1[[#This Row],[Date]],"mmm-yy")</f>
        <v>Jan-00</v>
      </c>
      <c r="E365" s="1"/>
      <c r="I365" s="3"/>
      <c r="M365" s="3"/>
      <c r="N365" s="3"/>
      <c r="O365" s="3"/>
      <c r="P365" s="3">
        <f>Table1[[#This Row],[Input Quantity (Kg''s)]]-SUM(Table1[[#This Row],[Wholes (kg''s)]:[Black Rejection (Kg''s)]],Table1[[#This Row],[Shell Dust]])</f>
        <v>0</v>
      </c>
      <c r="Q365" s="3">
        <f>SUM(Table1[[#This Row],[Wholes (kg''s)]:[Pieces (kg''s)]])</f>
        <v>0</v>
      </c>
      <c r="R365" s="3">
        <f>SUM(Table1[[#This Row],[Wholes (kg''s)]:[Black Rejection (Kg''s)]])</f>
        <v>0</v>
      </c>
      <c r="S365" s="4" t="str">
        <f>IFERROR(Table1[[#This Row],[Good Kernels (kg''s)]]/Table1[[#This Row],[Input Quantity (Kg''s)]]*176.36,"")</f>
        <v/>
      </c>
      <c r="T365" s="4" t="str">
        <f>IFERROR(Table1[[#This Row],[Good Kernels (kg''s)]]/Table1[[#This Row],[Input Quantity (Kg''s)]]%,"")</f>
        <v/>
      </c>
      <c r="U365" s="5" t="str">
        <f>IFERROR(Table1[[#This Row],[Final Kernels (kg''s)]]/Table1[[#This Row],[Input Quantity (Kg''s)]]%,"")</f>
        <v/>
      </c>
      <c r="V365" s="5" t="str">
        <f>IFERROR(Table1[[#This Row],[Wholes (kg''s)]]/Table1[[#This Row],[Good Kernels (kg''s)]]%,"")</f>
        <v/>
      </c>
      <c r="W365" s="5" t="str">
        <f>IFERROR(Table1[[#This Row],[Pieces (kg''s)]]/Table1[[#This Row],[Good Kernels (kg''s)]]%,"")</f>
        <v/>
      </c>
      <c r="X365" s="5" t="str">
        <f>IFERROR(Table1[[#This Row],[First Pass Uncut (kg''s)]]/Table1[[#This Row],[Input Quantity (Kg''s)]]%,"")</f>
        <v/>
      </c>
      <c r="Y365" s="5" t="str">
        <f>IFERROR(Table1[[#This Row],[Final Uncut (kg''s)]]/Table1[[#This Row],[Input Quantity (Kg''s)]]%,"")</f>
        <v/>
      </c>
      <c r="Z365" s="21" t="str">
        <f>IFERROR(Table1[[#This Row],[Shell]]/Table1[[#This Row],[Input Quantity (Kg''s)]]%,"")</f>
        <v/>
      </c>
      <c r="AA365" s="21" t="str">
        <f>IFERROR(Table1[[#This Row],[Shell Dust]]/Table1[[#This Row],[Input Quantity (Kg''s)]]%,"")</f>
        <v/>
      </c>
    </row>
    <row r="366" spans="2:27" x14ac:dyDescent="0.3">
      <c r="B366" s="1"/>
      <c r="C366" s="15">
        <f>WEEKNUM(Table1[[#This Row],[Date]])</f>
        <v>0</v>
      </c>
      <c r="D366" s="1" t="str">
        <f>TEXT(Table1[[#This Row],[Date]],"mmm-yy")</f>
        <v>Jan-00</v>
      </c>
      <c r="E366" s="1"/>
      <c r="I366" s="3"/>
      <c r="M366" s="3"/>
      <c r="N366" s="3"/>
      <c r="O366" s="3"/>
      <c r="P366" s="3">
        <f>Table1[[#This Row],[Input Quantity (Kg''s)]]-SUM(Table1[[#This Row],[Wholes (kg''s)]:[Black Rejection (Kg''s)]],Table1[[#This Row],[Shell Dust]])</f>
        <v>0</v>
      </c>
      <c r="Q366" s="3">
        <f>SUM(Table1[[#This Row],[Wholes (kg''s)]:[Pieces (kg''s)]])</f>
        <v>0</v>
      </c>
      <c r="R366" s="3">
        <f>SUM(Table1[[#This Row],[Wholes (kg''s)]:[Black Rejection (Kg''s)]])</f>
        <v>0</v>
      </c>
      <c r="S366" s="4" t="str">
        <f>IFERROR(Table1[[#This Row],[Good Kernels (kg''s)]]/Table1[[#This Row],[Input Quantity (Kg''s)]]*176.36,"")</f>
        <v/>
      </c>
      <c r="T366" s="4" t="str">
        <f>IFERROR(Table1[[#This Row],[Good Kernels (kg''s)]]/Table1[[#This Row],[Input Quantity (Kg''s)]]%,"")</f>
        <v/>
      </c>
      <c r="U366" s="5" t="str">
        <f>IFERROR(Table1[[#This Row],[Final Kernels (kg''s)]]/Table1[[#This Row],[Input Quantity (Kg''s)]]%,"")</f>
        <v/>
      </c>
      <c r="V366" s="5" t="str">
        <f>IFERROR(Table1[[#This Row],[Wholes (kg''s)]]/Table1[[#This Row],[Good Kernels (kg''s)]]%,"")</f>
        <v/>
      </c>
      <c r="W366" s="5" t="str">
        <f>IFERROR(Table1[[#This Row],[Pieces (kg''s)]]/Table1[[#This Row],[Good Kernels (kg''s)]]%,"")</f>
        <v/>
      </c>
      <c r="X366" s="5" t="str">
        <f>IFERROR(Table1[[#This Row],[First Pass Uncut (kg''s)]]/Table1[[#This Row],[Input Quantity (Kg''s)]]%,"")</f>
        <v/>
      </c>
      <c r="Y366" s="5" t="str">
        <f>IFERROR(Table1[[#This Row],[Final Uncut (kg''s)]]/Table1[[#This Row],[Input Quantity (Kg''s)]]%,"")</f>
        <v/>
      </c>
      <c r="Z366" s="21" t="str">
        <f>IFERROR(Table1[[#This Row],[Shell]]/Table1[[#This Row],[Input Quantity (Kg''s)]]%,"")</f>
        <v/>
      </c>
      <c r="AA366" s="21" t="str">
        <f>IFERROR(Table1[[#This Row],[Shell Dust]]/Table1[[#This Row],[Input Quantity (Kg''s)]]%,"")</f>
        <v/>
      </c>
    </row>
    <row r="367" spans="2:27" x14ac:dyDescent="0.3">
      <c r="B367" s="1"/>
      <c r="C367" s="15">
        <f>WEEKNUM(Table1[[#This Row],[Date]])</f>
        <v>0</v>
      </c>
      <c r="D367" s="1" t="str">
        <f>TEXT(Table1[[#This Row],[Date]],"mmm-yy")</f>
        <v>Jan-00</v>
      </c>
      <c r="E367" s="1"/>
      <c r="I367" s="3"/>
      <c r="M367" s="3"/>
      <c r="N367" s="3"/>
      <c r="O367" s="3"/>
      <c r="P367" s="3">
        <f>Table1[[#This Row],[Input Quantity (Kg''s)]]-SUM(Table1[[#This Row],[Wholes (kg''s)]:[Black Rejection (Kg''s)]],Table1[[#This Row],[Shell Dust]])</f>
        <v>0</v>
      </c>
      <c r="Q367" s="3">
        <f>SUM(Table1[[#This Row],[Wholes (kg''s)]:[Pieces (kg''s)]])</f>
        <v>0</v>
      </c>
      <c r="R367" s="3">
        <f>SUM(Table1[[#This Row],[Wholes (kg''s)]:[Black Rejection (Kg''s)]])</f>
        <v>0</v>
      </c>
      <c r="S367" s="4" t="str">
        <f>IFERROR(Table1[[#This Row],[Good Kernels (kg''s)]]/Table1[[#This Row],[Input Quantity (Kg''s)]]*176.36,"")</f>
        <v/>
      </c>
      <c r="T367" s="4" t="str">
        <f>IFERROR(Table1[[#This Row],[Good Kernels (kg''s)]]/Table1[[#This Row],[Input Quantity (Kg''s)]]%,"")</f>
        <v/>
      </c>
      <c r="U367" s="5" t="str">
        <f>IFERROR(Table1[[#This Row],[Final Kernels (kg''s)]]/Table1[[#This Row],[Input Quantity (Kg''s)]]%,"")</f>
        <v/>
      </c>
      <c r="V367" s="5" t="str">
        <f>IFERROR(Table1[[#This Row],[Wholes (kg''s)]]/Table1[[#This Row],[Good Kernels (kg''s)]]%,"")</f>
        <v/>
      </c>
      <c r="W367" s="5" t="str">
        <f>IFERROR(Table1[[#This Row],[Pieces (kg''s)]]/Table1[[#This Row],[Good Kernels (kg''s)]]%,"")</f>
        <v/>
      </c>
      <c r="X367" s="5" t="str">
        <f>IFERROR(Table1[[#This Row],[First Pass Uncut (kg''s)]]/Table1[[#This Row],[Input Quantity (Kg''s)]]%,"")</f>
        <v/>
      </c>
      <c r="Y367" s="5" t="str">
        <f>IFERROR(Table1[[#This Row],[Final Uncut (kg''s)]]/Table1[[#This Row],[Input Quantity (Kg''s)]]%,"")</f>
        <v/>
      </c>
      <c r="Z367" s="21" t="str">
        <f>IFERROR(Table1[[#This Row],[Shell]]/Table1[[#This Row],[Input Quantity (Kg''s)]]%,"")</f>
        <v/>
      </c>
      <c r="AA367" s="21" t="str">
        <f>IFERROR(Table1[[#This Row],[Shell Dust]]/Table1[[#This Row],[Input Quantity (Kg''s)]]%,"")</f>
        <v/>
      </c>
    </row>
    <row r="368" spans="2:27" x14ac:dyDescent="0.3">
      <c r="B368" s="1"/>
      <c r="C368" s="15">
        <f>WEEKNUM(Table1[[#This Row],[Date]])</f>
        <v>0</v>
      </c>
      <c r="D368" s="1" t="str">
        <f>TEXT(Table1[[#This Row],[Date]],"mmm-yy")</f>
        <v>Jan-00</v>
      </c>
      <c r="E368" s="1"/>
      <c r="I368" s="3"/>
      <c r="M368" s="3"/>
      <c r="N368" s="3"/>
      <c r="O368" s="3"/>
      <c r="P368" s="3">
        <f>Table1[[#This Row],[Input Quantity (Kg''s)]]-SUM(Table1[[#This Row],[Wholes (kg''s)]:[Black Rejection (Kg''s)]],Table1[[#This Row],[Shell Dust]])</f>
        <v>0</v>
      </c>
      <c r="Q368" s="3">
        <f>SUM(Table1[[#This Row],[Wholes (kg''s)]:[Pieces (kg''s)]])</f>
        <v>0</v>
      </c>
      <c r="R368" s="3">
        <f>SUM(Table1[[#This Row],[Wholes (kg''s)]:[Black Rejection (Kg''s)]])</f>
        <v>0</v>
      </c>
      <c r="S368" s="4" t="str">
        <f>IFERROR(Table1[[#This Row],[Good Kernels (kg''s)]]/Table1[[#This Row],[Input Quantity (Kg''s)]]*176.36,"")</f>
        <v/>
      </c>
      <c r="T368" s="4" t="str">
        <f>IFERROR(Table1[[#This Row],[Good Kernels (kg''s)]]/Table1[[#This Row],[Input Quantity (Kg''s)]]%,"")</f>
        <v/>
      </c>
      <c r="U368" s="5" t="str">
        <f>IFERROR(Table1[[#This Row],[Final Kernels (kg''s)]]/Table1[[#This Row],[Input Quantity (Kg''s)]]%,"")</f>
        <v/>
      </c>
      <c r="V368" s="5" t="str">
        <f>IFERROR(Table1[[#This Row],[Wholes (kg''s)]]/Table1[[#This Row],[Good Kernels (kg''s)]]%,"")</f>
        <v/>
      </c>
      <c r="W368" s="5" t="str">
        <f>IFERROR(Table1[[#This Row],[Pieces (kg''s)]]/Table1[[#This Row],[Good Kernels (kg''s)]]%,"")</f>
        <v/>
      </c>
      <c r="X368" s="5" t="str">
        <f>IFERROR(Table1[[#This Row],[First Pass Uncut (kg''s)]]/Table1[[#This Row],[Input Quantity (Kg''s)]]%,"")</f>
        <v/>
      </c>
      <c r="Y368" s="5" t="str">
        <f>IFERROR(Table1[[#This Row],[Final Uncut (kg''s)]]/Table1[[#This Row],[Input Quantity (Kg''s)]]%,"")</f>
        <v/>
      </c>
      <c r="Z368" s="21" t="str">
        <f>IFERROR(Table1[[#This Row],[Shell]]/Table1[[#This Row],[Input Quantity (Kg''s)]]%,"")</f>
        <v/>
      </c>
      <c r="AA368" s="21" t="str">
        <f>IFERROR(Table1[[#This Row],[Shell Dust]]/Table1[[#This Row],[Input Quantity (Kg''s)]]%,"")</f>
        <v/>
      </c>
    </row>
    <row r="369" spans="2:27" x14ac:dyDescent="0.3">
      <c r="B369" s="1"/>
      <c r="C369" s="15">
        <f>WEEKNUM(Table1[[#This Row],[Date]])</f>
        <v>0</v>
      </c>
      <c r="D369" s="1" t="str">
        <f>TEXT(Table1[[#This Row],[Date]],"mmm-yy")</f>
        <v>Jan-00</v>
      </c>
      <c r="E369" s="1"/>
      <c r="I369" s="3"/>
      <c r="M369" s="3"/>
      <c r="N369" s="3"/>
      <c r="O369" s="3"/>
      <c r="P369" s="3">
        <f>Table1[[#This Row],[Input Quantity (Kg''s)]]-SUM(Table1[[#This Row],[Wholes (kg''s)]:[Black Rejection (Kg''s)]],Table1[[#This Row],[Shell Dust]])</f>
        <v>0</v>
      </c>
      <c r="Q369" s="3">
        <f>SUM(Table1[[#This Row],[Wholes (kg''s)]:[Pieces (kg''s)]])</f>
        <v>0</v>
      </c>
      <c r="R369" s="3">
        <f>SUM(Table1[[#This Row],[Wholes (kg''s)]:[Black Rejection (Kg''s)]])</f>
        <v>0</v>
      </c>
      <c r="S369" s="4" t="str">
        <f>IFERROR(Table1[[#This Row],[Good Kernels (kg''s)]]/Table1[[#This Row],[Input Quantity (Kg''s)]]*176.36,"")</f>
        <v/>
      </c>
      <c r="T369" s="4" t="str">
        <f>IFERROR(Table1[[#This Row],[Good Kernels (kg''s)]]/Table1[[#This Row],[Input Quantity (Kg''s)]]%,"")</f>
        <v/>
      </c>
      <c r="U369" s="5" t="str">
        <f>IFERROR(Table1[[#This Row],[Final Kernels (kg''s)]]/Table1[[#This Row],[Input Quantity (Kg''s)]]%,"")</f>
        <v/>
      </c>
      <c r="V369" s="5" t="str">
        <f>IFERROR(Table1[[#This Row],[Wholes (kg''s)]]/Table1[[#This Row],[Good Kernels (kg''s)]]%,"")</f>
        <v/>
      </c>
      <c r="W369" s="5" t="str">
        <f>IFERROR(Table1[[#This Row],[Pieces (kg''s)]]/Table1[[#This Row],[Good Kernels (kg''s)]]%,"")</f>
        <v/>
      </c>
      <c r="X369" s="5" t="str">
        <f>IFERROR(Table1[[#This Row],[First Pass Uncut (kg''s)]]/Table1[[#This Row],[Input Quantity (Kg''s)]]%,"")</f>
        <v/>
      </c>
      <c r="Y369" s="5" t="str">
        <f>IFERROR(Table1[[#This Row],[Final Uncut (kg''s)]]/Table1[[#This Row],[Input Quantity (Kg''s)]]%,"")</f>
        <v/>
      </c>
      <c r="Z369" s="21" t="str">
        <f>IFERROR(Table1[[#This Row],[Shell]]/Table1[[#This Row],[Input Quantity (Kg''s)]]%,"")</f>
        <v/>
      </c>
      <c r="AA369" s="21" t="str">
        <f>IFERROR(Table1[[#This Row],[Shell Dust]]/Table1[[#This Row],[Input Quantity (Kg''s)]]%,"")</f>
        <v/>
      </c>
    </row>
    <row r="370" spans="2:27" x14ac:dyDescent="0.3">
      <c r="B370" s="1"/>
      <c r="C370" s="15">
        <f>WEEKNUM(Table1[[#This Row],[Date]])</f>
        <v>0</v>
      </c>
      <c r="D370" s="1" t="str">
        <f>TEXT(Table1[[#This Row],[Date]],"mmm-yy")</f>
        <v>Jan-00</v>
      </c>
      <c r="E370" s="1"/>
      <c r="I370" s="3"/>
      <c r="M370" s="3"/>
      <c r="N370" s="3"/>
      <c r="O370" s="3"/>
      <c r="P370" s="3">
        <f>Table1[[#This Row],[Input Quantity (Kg''s)]]-SUM(Table1[[#This Row],[Wholes (kg''s)]:[Black Rejection (Kg''s)]],Table1[[#This Row],[Shell Dust]])</f>
        <v>0</v>
      </c>
      <c r="Q370" s="3">
        <f>SUM(Table1[[#This Row],[Wholes (kg''s)]:[Pieces (kg''s)]])</f>
        <v>0</v>
      </c>
      <c r="R370" s="3">
        <f>SUM(Table1[[#This Row],[Wholes (kg''s)]:[Black Rejection (Kg''s)]])</f>
        <v>0</v>
      </c>
      <c r="S370" s="4" t="str">
        <f>IFERROR(Table1[[#This Row],[Good Kernels (kg''s)]]/Table1[[#This Row],[Input Quantity (Kg''s)]]*176.36,"")</f>
        <v/>
      </c>
      <c r="T370" s="4" t="str">
        <f>IFERROR(Table1[[#This Row],[Good Kernels (kg''s)]]/Table1[[#This Row],[Input Quantity (Kg''s)]]%,"")</f>
        <v/>
      </c>
      <c r="U370" s="5" t="str">
        <f>IFERROR(Table1[[#This Row],[Final Kernels (kg''s)]]/Table1[[#This Row],[Input Quantity (Kg''s)]]%,"")</f>
        <v/>
      </c>
      <c r="V370" s="5" t="str">
        <f>IFERROR(Table1[[#This Row],[Wholes (kg''s)]]/Table1[[#This Row],[Good Kernels (kg''s)]]%,"")</f>
        <v/>
      </c>
      <c r="W370" s="5" t="str">
        <f>IFERROR(Table1[[#This Row],[Pieces (kg''s)]]/Table1[[#This Row],[Good Kernels (kg''s)]]%,"")</f>
        <v/>
      </c>
      <c r="X370" s="5" t="str">
        <f>IFERROR(Table1[[#This Row],[First Pass Uncut (kg''s)]]/Table1[[#This Row],[Input Quantity (Kg''s)]]%,"")</f>
        <v/>
      </c>
      <c r="Y370" s="5" t="str">
        <f>IFERROR(Table1[[#This Row],[Final Uncut (kg''s)]]/Table1[[#This Row],[Input Quantity (Kg''s)]]%,"")</f>
        <v/>
      </c>
      <c r="Z370" s="21" t="str">
        <f>IFERROR(Table1[[#This Row],[Shell]]/Table1[[#This Row],[Input Quantity (Kg''s)]]%,"")</f>
        <v/>
      </c>
      <c r="AA370" s="21" t="str">
        <f>IFERROR(Table1[[#This Row],[Shell Dust]]/Table1[[#This Row],[Input Quantity (Kg''s)]]%,"")</f>
        <v/>
      </c>
    </row>
    <row r="371" spans="2:27" x14ac:dyDescent="0.3">
      <c r="B371" s="1"/>
      <c r="C371" s="15">
        <f>WEEKNUM(Table1[[#This Row],[Date]])</f>
        <v>0</v>
      </c>
      <c r="D371" s="1" t="str">
        <f>TEXT(Table1[[#This Row],[Date]],"mmm-yy")</f>
        <v>Jan-00</v>
      </c>
      <c r="E371" s="1"/>
      <c r="I371" s="3"/>
      <c r="M371" s="3"/>
      <c r="N371" s="3"/>
      <c r="O371" s="3"/>
      <c r="P371" s="3">
        <f>Table1[[#This Row],[Input Quantity (Kg''s)]]-SUM(Table1[[#This Row],[Wholes (kg''s)]:[Black Rejection (Kg''s)]],Table1[[#This Row],[Shell Dust]])</f>
        <v>0</v>
      </c>
      <c r="Q371" s="3">
        <f>SUM(Table1[[#This Row],[Wholes (kg''s)]:[Pieces (kg''s)]])</f>
        <v>0</v>
      </c>
      <c r="R371" s="3">
        <f>SUM(Table1[[#This Row],[Wholes (kg''s)]:[Black Rejection (Kg''s)]])</f>
        <v>0</v>
      </c>
      <c r="S371" s="4" t="str">
        <f>IFERROR(Table1[[#This Row],[Good Kernels (kg''s)]]/Table1[[#This Row],[Input Quantity (Kg''s)]]*176.36,"")</f>
        <v/>
      </c>
      <c r="T371" s="4" t="str">
        <f>IFERROR(Table1[[#This Row],[Good Kernels (kg''s)]]/Table1[[#This Row],[Input Quantity (Kg''s)]]%,"")</f>
        <v/>
      </c>
      <c r="U371" s="5" t="str">
        <f>IFERROR(Table1[[#This Row],[Final Kernels (kg''s)]]/Table1[[#This Row],[Input Quantity (Kg''s)]]%,"")</f>
        <v/>
      </c>
      <c r="V371" s="5" t="str">
        <f>IFERROR(Table1[[#This Row],[Wholes (kg''s)]]/Table1[[#This Row],[Good Kernels (kg''s)]]%,"")</f>
        <v/>
      </c>
      <c r="W371" s="5" t="str">
        <f>IFERROR(Table1[[#This Row],[Pieces (kg''s)]]/Table1[[#This Row],[Good Kernels (kg''s)]]%,"")</f>
        <v/>
      </c>
      <c r="X371" s="5" t="str">
        <f>IFERROR(Table1[[#This Row],[First Pass Uncut (kg''s)]]/Table1[[#This Row],[Input Quantity (Kg''s)]]%,"")</f>
        <v/>
      </c>
      <c r="Y371" s="5" t="str">
        <f>IFERROR(Table1[[#This Row],[Final Uncut (kg''s)]]/Table1[[#This Row],[Input Quantity (Kg''s)]]%,"")</f>
        <v/>
      </c>
      <c r="Z371" s="21" t="str">
        <f>IFERROR(Table1[[#This Row],[Shell]]/Table1[[#This Row],[Input Quantity (Kg''s)]]%,"")</f>
        <v/>
      </c>
      <c r="AA371" s="21" t="str">
        <f>IFERROR(Table1[[#This Row],[Shell Dust]]/Table1[[#This Row],[Input Quantity (Kg''s)]]%,"")</f>
        <v/>
      </c>
    </row>
    <row r="372" spans="2:27" x14ac:dyDescent="0.3">
      <c r="B372" s="1"/>
      <c r="C372" s="15">
        <f>WEEKNUM(Table1[[#This Row],[Date]])</f>
        <v>0</v>
      </c>
      <c r="D372" s="1" t="str">
        <f>TEXT(Table1[[#This Row],[Date]],"mmm-yy")</f>
        <v>Jan-00</v>
      </c>
      <c r="E372" s="1"/>
      <c r="I372" s="3"/>
      <c r="M372" s="3"/>
      <c r="N372" s="3"/>
      <c r="O372" s="3"/>
      <c r="P372" s="3">
        <f>Table1[[#This Row],[Input Quantity (Kg''s)]]-SUM(Table1[[#This Row],[Wholes (kg''s)]:[Black Rejection (Kg''s)]],Table1[[#This Row],[Shell Dust]])</f>
        <v>0</v>
      </c>
      <c r="Q372" s="3">
        <f>SUM(Table1[[#This Row],[Wholes (kg''s)]:[Pieces (kg''s)]])</f>
        <v>0</v>
      </c>
      <c r="R372" s="3">
        <f>SUM(Table1[[#This Row],[Wholes (kg''s)]:[Black Rejection (Kg''s)]])</f>
        <v>0</v>
      </c>
      <c r="S372" s="4" t="str">
        <f>IFERROR(Table1[[#This Row],[Good Kernels (kg''s)]]/Table1[[#This Row],[Input Quantity (Kg''s)]]*176.36,"")</f>
        <v/>
      </c>
      <c r="T372" s="4" t="str">
        <f>IFERROR(Table1[[#This Row],[Good Kernels (kg''s)]]/Table1[[#This Row],[Input Quantity (Kg''s)]]%,"")</f>
        <v/>
      </c>
      <c r="U372" s="5" t="str">
        <f>IFERROR(Table1[[#This Row],[Final Kernels (kg''s)]]/Table1[[#This Row],[Input Quantity (Kg''s)]]%,"")</f>
        <v/>
      </c>
      <c r="V372" s="5" t="str">
        <f>IFERROR(Table1[[#This Row],[Wholes (kg''s)]]/Table1[[#This Row],[Good Kernels (kg''s)]]%,"")</f>
        <v/>
      </c>
      <c r="W372" s="5" t="str">
        <f>IFERROR(Table1[[#This Row],[Pieces (kg''s)]]/Table1[[#This Row],[Good Kernels (kg''s)]]%,"")</f>
        <v/>
      </c>
      <c r="X372" s="5" t="str">
        <f>IFERROR(Table1[[#This Row],[First Pass Uncut (kg''s)]]/Table1[[#This Row],[Input Quantity (Kg''s)]]%,"")</f>
        <v/>
      </c>
      <c r="Y372" s="5" t="str">
        <f>IFERROR(Table1[[#This Row],[Final Uncut (kg''s)]]/Table1[[#This Row],[Input Quantity (Kg''s)]]%,"")</f>
        <v/>
      </c>
      <c r="Z372" s="21" t="str">
        <f>IFERROR(Table1[[#This Row],[Shell]]/Table1[[#This Row],[Input Quantity (Kg''s)]]%,"")</f>
        <v/>
      </c>
      <c r="AA372" s="21" t="str">
        <f>IFERROR(Table1[[#This Row],[Shell Dust]]/Table1[[#This Row],[Input Quantity (Kg''s)]]%,"")</f>
        <v/>
      </c>
    </row>
    <row r="373" spans="2:27" x14ac:dyDescent="0.3">
      <c r="B373" s="1"/>
      <c r="C373" s="15">
        <f>WEEKNUM(Table1[[#This Row],[Date]])</f>
        <v>0</v>
      </c>
      <c r="D373" s="1" t="str">
        <f>TEXT(Table1[[#This Row],[Date]],"mmm-yy")</f>
        <v>Jan-00</v>
      </c>
      <c r="E373" s="1"/>
      <c r="I373" s="3"/>
      <c r="M373" s="3"/>
      <c r="N373" s="3"/>
      <c r="O373" s="3"/>
      <c r="P373" s="3">
        <f>Table1[[#This Row],[Input Quantity (Kg''s)]]-SUM(Table1[[#This Row],[Wholes (kg''s)]:[Black Rejection (Kg''s)]],Table1[[#This Row],[Shell Dust]])</f>
        <v>0</v>
      </c>
      <c r="Q373" s="3">
        <f>SUM(Table1[[#This Row],[Wholes (kg''s)]:[Pieces (kg''s)]])</f>
        <v>0</v>
      </c>
      <c r="R373" s="3">
        <f>SUM(Table1[[#This Row],[Wholes (kg''s)]:[Black Rejection (Kg''s)]])</f>
        <v>0</v>
      </c>
      <c r="S373" s="4" t="str">
        <f>IFERROR(Table1[[#This Row],[Good Kernels (kg''s)]]/Table1[[#This Row],[Input Quantity (Kg''s)]]*176.36,"")</f>
        <v/>
      </c>
      <c r="T373" s="4" t="str">
        <f>IFERROR(Table1[[#This Row],[Good Kernels (kg''s)]]/Table1[[#This Row],[Input Quantity (Kg''s)]]%,"")</f>
        <v/>
      </c>
      <c r="U373" s="5" t="str">
        <f>IFERROR(Table1[[#This Row],[Final Kernels (kg''s)]]/Table1[[#This Row],[Input Quantity (Kg''s)]]%,"")</f>
        <v/>
      </c>
      <c r="V373" s="5" t="str">
        <f>IFERROR(Table1[[#This Row],[Wholes (kg''s)]]/Table1[[#This Row],[Good Kernels (kg''s)]]%,"")</f>
        <v/>
      </c>
      <c r="W373" s="5" t="str">
        <f>IFERROR(Table1[[#This Row],[Pieces (kg''s)]]/Table1[[#This Row],[Good Kernels (kg''s)]]%,"")</f>
        <v/>
      </c>
      <c r="X373" s="5" t="str">
        <f>IFERROR(Table1[[#This Row],[First Pass Uncut (kg''s)]]/Table1[[#This Row],[Input Quantity (Kg''s)]]%,"")</f>
        <v/>
      </c>
      <c r="Y373" s="5" t="str">
        <f>IFERROR(Table1[[#This Row],[Final Uncut (kg''s)]]/Table1[[#This Row],[Input Quantity (Kg''s)]]%,"")</f>
        <v/>
      </c>
      <c r="Z373" s="21" t="str">
        <f>IFERROR(Table1[[#This Row],[Shell]]/Table1[[#This Row],[Input Quantity (Kg''s)]]%,"")</f>
        <v/>
      </c>
      <c r="AA373" s="21" t="str">
        <f>IFERROR(Table1[[#This Row],[Shell Dust]]/Table1[[#This Row],[Input Quantity (Kg''s)]]%,"")</f>
        <v/>
      </c>
    </row>
    <row r="374" spans="2:27" x14ac:dyDescent="0.3">
      <c r="B374" s="1"/>
      <c r="C374" s="15">
        <f>WEEKNUM(Table1[[#This Row],[Date]])</f>
        <v>0</v>
      </c>
      <c r="D374" s="1" t="str">
        <f>TEXT(Table1[[#This Row],[Date]],"mmm-yy")</f>
        <v>Jan-00</v>
      </c>
      <c r="E374" s="1"/>
      <c r="I374" s="3"/>
      <c r="M374" s="3"/>
      <c r="N374" s="3"/>
      <c r="O374" s="3"/>
      <c r="P374" s="3">
        <f>Table1[[#This Row],[Input Quantity (Kg''s)]]-SUM(Table1[[#This Row],[Wholes (kg''s)]:[Black Rejection (Kg''s)]],Table1[[#This Row],[Shell Dust]])</f>
        <v>0</v>
      </c>
      <c r="Q374" s="3">
        <f>SUM(Table1[[#This Row],[Wholes (kg''s)]:[Pieces (kg''s)]])</f>
        <v>0</v>
      </c>
      <c r="R374" s="3">
        <f>SUM(Table1[[#This Row],[Wholes (kg''s)]:[Black Rejection (Kg''s)]])</f>
        <v>0</v>
      </c>
      <c r="S374" s="4" t="str">
        <f>IFERROR(Table1[[#This Row],[Good Kernels (kg''s)]]/Table1[[#This Row],[Input Quantity (Kg''s)]]*176.36,"")</f>
        <v/>
      </c>
      <c r="T374" s="4" t="str">
        <f>IFERROR(Table1[[#This Row],[Good Kernels (kg''s)]]/Table1[[#This Row],[Input Quantity (Kg''s)]]%,"")</f>
        <v/>
      </c>
      <c r="U374" s="5" t="str">
        <f>IFERROR(Table1[[#This Row],[Final Kernels (kg''s)]]/Table1[[#This Row],[Input Quantity (Kg''s)]]%,"")</f>
        <v/>
      </c>
      <c r="V374" s="5" t="str">
        <f>IFERROR(Table1[[#This Row],[Wholes (kg''s)]]/Table1[[#This Row],[Good Kernels (kg''s)]]%,"")</f>
        <v/>
      </c>
      <c r="W374" s="5" t="str">
        <f>IFERROR(Table1[[#This Row],[Pieces (kg''s)]]/Table1[[#This Row],[Good Kernels (kg''s)]]%,"")</f>
        <v/>
      </c>
      <c r="X374" s="5" t="str">
        <f>IFERROR(Table1[[#This Row],[First Pass Uncut (kg''s)]]/Table1[[#This Row],[Input Quantity (Kg''s)]]%,"")</f>
        <v/>
      </c>
      <c r="Y374" s="5" t="str">
        <f>IFERROR(Table1[[#This Row],[Final Uncut (kg''s)]]/Table1[[#This Row],[Input Quantity (Kg''s)]]%,"")</f>
        <v/>
      </c>
      <c r="Z374" s="21" t="str">
        <f>IFERROR(Table1[[#This Row],[Shell]]/Table1[[#This Row],[Input Quantity (Kg''s)]]%,"")</f>
        <v/>
      </c>
      <c r="AA374" s="21" t="str">
        <f>IFERROR(Table1[[#This Row],[Shell Dust]]/Table1[[#This Row],[Input Quantity (Kg''s)]]%,"")</f>
        <v/>
      </c>
    </row>
    <row r="375" spans="2:27" x14ac:dyDescent="0.3">
      <c r="B375" s="1"/>
      <c r="C375" s="15">
        <f>WEEKNUM(Table1[[#This Row],[Date]])</f>
        <v>0</v>
      </c>
      <c r="D375" s="1" t="str">
        <f>TEXT(Table1[[#This Row],[Date]],"mmm-yy")</f>
        <v>Jan-00</v>
      </c>
      <c r="E375" s="1"/>
      <c r="I375" s="3"/>
      <c r="M375" s="3"/>
      <c r="N375" s="3"/>
      <c r="O375" s="3"/>
      <c r="P375" s="3">
        <f>Table1[[#This Row],[Input Quantity (Kg''s)]]-SUM(Table1[[#This Row],[Wholes (kg''s)]:[Black Rejection (Kg''s)]],Table1[[#This Row],[Shell Dust]])</f>
        <v>0</v>
      </c>
      <c r="Q375" s="3">
        <f>SUM(Table1[[#This Row],[Wholes (kg''s)]:[Pieces (kg''s)]])</f>
        <v>0</v>
      </c>
      <c r="R375" s="3">
        <f>SUM(Table1[[#This Row],[Wholes (kg''s)]:[Black Rejection (Kg''s)]])</f>
        <v>0</v>
      </c>
      <c r="S375" s="4" t="str">
        <f>IFERROR(Table1[[#This Row],[Good Kernels (kg''s)]]/Table1[[#This Row],[Input Quantity (Kg''s)]]*176.36,"")</f>
        <v/>
      </c>
      <c r="T375" s="4" t="str">
        <f>IFERROR(Table1[[#This Row],[Good Kernels (kg''s)]]/Table1[[#This Row],[Input Quantity (Kg''s)]]%,"")</f>
        <v/>
      </c>
      <c r="U375" s="5" t="str">
        <f>IFERROR(Table1[[#This Row],[Final Kernels (kg''s)]]/Table1[[#This Row],[Input Quantity (Kg''s)]]%,"")</f>
        <v/>
      </c>
      <c r="V375" s="5" t="str">
        <f>IFERROR(Table1[[#This Row],[Wholes (kg''s)]]/Table1[[#This Row],[Good Kernels (kg''s)]]%,"")</f>
        <v/>
      </c>
      <c r="W375" s="5" t="str">
        <f>IFERROR(Table1[[#This Row],[Pieces (kg''s)]]/Table1[[#This Row],[Good Kernels (kg''s)]]%,"")</f>
        <v/>
      </c>
      <c r="X375" s="5" t="str">
        <f>IFERROR(Table1[[#This Row],[First Pass Uncut (kg''s)]]/Table1[[#This Row],[Input Quantity (Kg''s)]]%,"")</f>
        <v/>
      </c>
      <c r="Y375" s="5" t="str">
        <f>IFERROR(Table1[[#This Row],[Final Uncut (kg''s)]]/Table1[[#This Row],[Input Quantity (Kg''s)]]%,"")</f>
        <v/>
      </c>
      <c r="Z375" s="21" t="str">
        <f>IFERROR(Table1[[#This Row],[Shell]]/Table1[[#This Row],[Input Quantity (Kg''s)]]%,"")</f>
        <v/>
      </c>
      <c r="AA375" s="21" t="str">
        <f>IFERROR(Table1[[#This Row],[Shell Dust]]/Table1[[#This Row],[Input Quantity (Kg''s)]]%,"")</f>
        <v/>
      </c>
    </row>
    <row r="376" spans="2:27" x14ac:dyDescent="0.3">
      <c r="B376" s="1"/>
      <c r="C376" s="15">
        <f>WEEKNUM(Table1[[#This Row],[Date]])</f>
        <v>0</v>
      </c>
      <c r="D376" s="1" t="str">
        <f>TEXT(Table1[[#This Row],[Date]],"mmm-yy")</f>
        <v>Jan-00</v>
      </c>
      <c r="E376" s="1"/>
      <c r="I376" s="3"/>
      <c r="M376" s="3"/>
      <c r="N376" s="3"/>
      <c r="O376" s="3"/>
      <c r="P376" s="3">
        <f>Table1[[#This Row],[Input Quantity (Kg''s)]]-SUM(Table1[[#This Row],[Wholes (kg''s)]:[Black Rejection (Kg''s)]],Table1[[#This Row],[Shell Dust]])</f>
        <v>0</v>
      </c>
      <c r="Q376" s="3">
        <f>SUM(Table1[[#This Row],[Wholes (kg''s)]:[Pieces (kg''s)]])</f>
        <v>0</v>
      </c>
      <c r="R376" s="3">
        <f>SUM(Table1[[#This Row],[Wholes (kg''s)]:[Black Rejection (Kg''s)]])</f>
        <v>0</v>
      </c>
      <c r="S376" s="4" t="str">
        <f>IFERROR(Table1[[#This Row],[Good Kernels (kg''s)]]/Table1[[#This Row],[Input Quantity (Kg''s)]]*176.36,"")</f>
        <v/>
      </c>
      <c r="T376" s="4" t="str">
        <f>IFERROR(Table1[[#This Row],[Good Kernels (kg''s)]]/Table1[[#This Row],[Input Quantity (Kg''s)]]%,"")</f>
        <v/>
      </c>
      <c r="U376" s="5" t="str">
        <f>IFERROR(Table1[[#This Row],[Final Kernels (kg''s)]]/Table1[[#This Row],[Input Quantity (Kg''s)]]%,"")</f>
        <v/>
      </c>
      <c r="V376" s="5" t="str">
        <f>IFERROR(Table1[[#This Row],[Wholes (kg''s)]]/Table1[[#This Row],[Good Kernels (kg''s)]]%,"")</f>
        <v/>
      </c>
      <c r="W376" s="5" t="str">
        <f>IFERROR(Table1[[#This Row],[Pieces (kg''s)]]/Table1[[#This Row],[Good Kernels (kg''s)]]%,"")</f>
        <v/>
      </c>
      <c r="X376" s="5" t="str">
        <f>IFERROR(Table1[[#This Row],[First Pass Uncut (kg''s)]]/Table1[[#This Row],[Input Quantity (Kg''s)]]%,"")</f>
        <v/>
      </c>
      <c r="Y376" s="5" t="str">
        <f>IFERROR(Table1[[#This Row],[Final Uncut (kg''s)]]/Table1[[#This Row],[Input Quantity (Kg''s)]]%,"")</f>
        <v/>
      </c>
      <c r="Z376" s="21" t="str">
        <f>IFERROR(Table1[[#This Row],[Shell]]/Table1[[#This Row],[Input Quantity (Kg''s)]]%,"")</f>
        <v/>
      </c>
      <c r="AA376" s="21" t="str">
        <f>IFERROR(Table1[[#This Row],[Shell Dust]]/Table1[[#This Row],[Input Quantity (Kg''s)]]%,"")</f>
        <v/>
      </c>
    </row>
    <row r="377" spans="2:27" x14ac:dyDescent="0.3">
      <c r="B377" s="1"/>
      <c r="C377" s="15">
        <f>WEEKNUM(Table1[[#This Row],[Date]])</f>
        <v>0</v>
      </c>
      <c r="D377" s="1" t="str">
        <f>TEXT(Table1[[#This Row],[Date]],"mmm-yy")</f>
        <v>Jan-00</v>
      </c>
      <c r="E377" s="1"/>
      <c r="I377" s="3"/>
      <c r="M377" s="3"/>
      <c r="N377" s="3"/>
      <c r="O377" s="3"/>
      <c r="P377" s="3">
        <f>Table1[[#This Row],[Input Quantity (Kg''s)]]-SUM(Table1[[#This Row],[Wholes (kg''s)]:[Black Rejection (Kg''s)]],Table1[[#This Row],[Shell Dust]])</f>
        <v>0</v>
      </c>
      <c r="Q377" s="3">
        <f>SUM(Table1[[#This Row],[Wholes (kg''s)]:[Pieces (kg''s)]])</f>
        <v>0</v>
      </c>
      <c r="R377" s="3">
        <f>SUM(Table1[[#This Row],[Wholes (kg''s)]:[Black Rejection (Kg''s)]])</f>
        <v>0</v>
      </c>
      <c r="S377" s="4" t="str">
        <f>IFERROR(Table1[[#This Row],[Good Kernels (kg''s)]]/Table1[[#This Row],[Input Quantity (Kg''s)]]*176.36,"")</f>
        <v/>
      </c>
      <c r="T377" s="4" t="str">
        <f>IFERROR(Table1[[#This Row],[Good Kernels (kg''s)]]/Table1[[#This Row],[Input Quantity (Kg''s)]]%,"")</f>
        <v/>
      </c>
      <c r="U377" s="5" t="str">
        <f>IFERROR(Table1[[#This Row],[Final Kernels (kg''s)]]/Table1[[#This Row],[Input Quantity (Kg''s)]]%,"")</f>
        <v/>
      </c>
      <c r="V377" s="5" t="str">
        <f>IFERROR(Table1[[#This Row],[Wholes (kg''s)]]/Table1[[#This Row],[Good Kernels (kg''s)]]%,"")</f>
        <v/>
      </c>
      <c r="W377" s="5" t="str">
        <f>IFERROR(Table1[[#This Row],[Pieces (kg''s)]]/Table1[[#This Row],[Good Kernels (kg''s)]]%,"")</f>
        <v/>
      </c>
      <c r="X377" s="5" t="str">
        <f>IFERROR(Table1[[#This Row],[First Pass Uncut (kg''s)]]/Table1[[#This Row],[Input Quantity (Kg''s)]]%,"")</f>
        <v/>
      </c>
      <c r="Y377" s="5" t="str">
        <f>IFERROR(Table1[[#This Row],[Final Uncut (kg''s)]]/Table1[[#This Row],[Input Quantity (Kg''s)]]%,"")</f>
        <v/>
      </c>
      <c r="Z377" s="21" t="str">
        <f>IFERROR(Table1[[#This Row],[Shell]]/Table1[[#This Row],[Input Quantity (Kg''s)]]%,"")</f>
        <v/>
      </c>
      <c r="AA377" s="21" t="str">
        <f>IFERROR(Table1[[#This Row],[Shell Dust]]/Table1[[#This Row],[Input Quantity (Kg''s)]]%,"")</f>
        <v/>
      </c>
    </row>
    <row r="378" spans="2:27" x14ac:dyDescent="0.3">
      <c r="B378" s="1"/>
      <c r="C378" s="15">
        <f>WEEKNUM(Table1[[#This Row],[Date]])</f>
        <v>0</v>
      </c>
      <c r="D378" s="1" t="str">
        <f>TEXT(Table1[[#This Row],[Date]],"mmm-yy")</f>
        <v>Jan-00</v>
      </c>
      <c r="E378" s="1"/>
      <c r="I378" s="3"/>
      <c r="M378" s="3"/>
      <c r="N378" s="3"/>
      <c r="O378" s="3"/>
      <c r="P378" s="3">
        <f>Table1[[#This Row],[Input Quantity (Kg''s)]]-SUM(Table1[[#This Row],[Wholes (kg''s)]:[Black Rejection (Kg''s)]],Table1[[#This Row],[Shell Dust]])</f>
        <v>0</v>
      </c>
      <c r="Q378" s="3">
        <f>SUM(Table1[[#This Row],[Wholes (kg''s)]:[Pieces (kg''s)]])</f>
        <v>0</v>
      </c>
      <c r="R378" s="3">
        <f>SUM(Table1[[#This Row],[Wholes (kg''s)]:[Black Rejection (Kg''s)]])</f>
        <v>0</v>
      </c>
      <c r="S378" s="4" t="str">
        <f>IFERROR(Table1[[#This Row],[Good Kernels (kg''s)]]/Table1[[#This Row],[Input Quantity (Kg''s)]]*176.36,"")</f>
        <v/>
      </c>
      <c r="T378" s="4" t="str">
        <f>IFERROR(Table1[[#This Row],[Good Kernels (kg''s)]]/Table1[[#This Row],[Input Quantity (Kg''s)]]%,"")</f>
        <v/>
      </c>
      <c r="U378" s="5" t="str">
        <f>IFERROR(Table1[[#This Row],[Final Kernels (kg''s)]]/Table1[[#This Row],[Input Quantity (Kg''s)]]%,"")</f>
        <v/>
      </c>
      <c r="V378" s="5" t="str">
        <f>IFERROR(Table1[[#This Row],[Wholes (kg''s)]]/Table1[[#This Row],[Good Kernels (kg''s)]]%,"")</f>
        <v/>
      </c>
      <c r="W378" s="5" t="str">
        <f>IFERROR(Table1[[#This Row],[Pieces (kg''s)]]/Table1[[#This Row],[Good Kernels (kg''s)]]%,"")</f>
        <v/>
      </c>
      <c r="X378" s="5" t="str">
        <f>IFERROR(Table1[[#This Row],[First Pass Uncut (kg''s)]]/Table1[[#This Row],[Input Quantity (Kg''s)]]%,"")</f>
        <v/>
      </c>
      <c r="Y378" s="5" t="str">
        <f>IFERROR(Table1[[#This Row],[Final Uncut (kg''s)]]/Table1[[#This Row],[Input Quantity (Kg''s)]]%,"")</f>
        <v/>
      </c>
      <c r="Z378" s="21" t="str">
        <f>IFERROR(Table1[[#This Row],[Shell]]/Table1[[#This Row],[Input Quantity (Kg''s)]]%,"")</f>
        <v/>
      </c>
      <c r="AA378" s="21" t="str">
        <f>IFERROR(Table1[[#This Row],[Shell Dust]]/Table1[[#This Row],[Input Quantity (Kg''s)]]%,"")</f>
        <v/>
      </c>
    </row>
    <row r="379" spans="2:27" x14ac:dyDescent="0.3">
      <c r="B379" s="1"/>
      <c r="C379" s="15">
        <f>WEEKNUM(Table1[[#This Row],[Date]])</f>
        <v>0</v>
      </c>
      <c r="D379" s="1" t="str">
        <f>TEXT(Table1[[#This Row],[Date]],"mmm-yy")</f>
        <v>Jan-00</v>
      </c>
      <c r="E379" s="1"/>
      <c r="I379" s="3"/>
      <c r="M379" s="3"/>
      <c r="N379" s="3"/>
      <c r="O379" s="3"/>
      <c r="P379" s="3">
        <f>Table1[[#This Row],[Input Quantity (Kg''s)]]-SUM(Table1[[#This Row],[Wholes (kg''s)]:[Black Rejection (Kg''s)]],Table1[[#This Row],[Shell Dust]])</f>
        <v>0</v>
      </c>
      <c r="Q379" s="3">
        <f>SUM(Table1[[#This Row],[Wholes (kg''s)]:[Pieces (kg''s)]])</f>
        <v>0</v>
      </c>
      <c r="R379" s="3">
        <f>SUM(Table1[[#This Row],[Wholes (kg''s)]:[Black Rejection (Kg''s)]])</f>
        <v>0</v>
      </c>
      <c r="S379" s="4" t="str">
        <f>IFERROR(Table1[[#This Row],[Good Kernels (kg''s)]]/Table1[[#This Row],[Input Quantity (Kg''s)]]*176.36,"")</f>
        <v/>
      </c>
      <c r="T379" s="4" t="str">
        <f>IFERROR(Table1[[#This Row],[Good Kernels (kg''s)]]/Table1[[#This Row],[Input Quantity (Kg''s)]]%,"")</f>
        <v/>
      </c>
      <c r="U379" s="5" t="str">
        <f>IFERROR(Table1[[#This Row],[Final Kernels (kg''s)]]/Table1[[#This Row],[Input Quantity (Kg''s)]]%,"")</f>
        <v/>
      </c>
      <c r="V379" s="5" t="str">
        <f>IFERROR(Table1[[#This Row],[Wholes (kg''s)]]/Table1[[#This Row],[Good Kernels (kg''s)]]%,"")</f>
        <v/>
      </c>
      <c r="W379" s="5" t="str">
        <f>IFERROR(Table1[[#This Row],[Pieces (kg''s)]]/Table1[[#This Row],[Good Kernels (kg''s)]]%,"")</f>
        <v/>
      </c>
      <c r="X379" s="5" t="str">
        <f>IFERROR(Table1[[#This Row],[First Pass Uncut (kg''s)]]/Table1[[#This Row],[Input Quantity (Kg''s)]]%,"")</f>
        <v/>
      </c>
      <c r="Y379" s="5" t="str">
        <f>IFERROR(Table1[[#This Row],[Final Uncut (kg''s)]]/Table1[[#This Row],[Input Quantity (Kg''s)]]%,"")</f>
        <v/>
      </c>
      <c r="Z379" s="21" t="str">
        <f>IFERROR(Table1[[#This Row],[Shell]]/Table1[[#This Row],[Input Quantity (Kg''s)]]%,"")</f>
        <v/>
      </c>
      <c r="AA379" s="21" t="str">
        <f>IFERROR(Table1[[#This Row],[Shell Dust]]/Table1[[#This Row],[Input Quantity (Kg''s)]]%,"")</f>
        <v/>
      </c>
    </row>
    <row r="380" spans="2:27" x14ac:dyDescent="0.3">
      <c r="B380" s="1"/>
      <c r="C380" s="15">
        <f>WEEKNUM(Table1[[#This Row],[Date]])</f>
        <v>0</v>
      </c>
      <c r="D380" s="1" t="str">
        <f>TEXT(Table1[[#This Row],[Date]],"mmm-yy")</f>
        <v>Jan-00</v>
      </c>
      <c r="E380" s="1"/>
      <c r="I380" s="3"/>
      <c r="M380" s="3"/>
      <c r="N380" s="3"/>
      <c r="O380" s="3"/>
      <c r="P380" s="3">
        <f>Table1[[#This Row],[Input Quantity (Kg''s)]]-SUM(Table1[[#This Row],[Wholes (kg''s)]:[Black Rejection (Kg''s)]],Table1[[#This Row],[Shell Dust]])</f>
        <v>0</v>
      </c>
      <c r="Q380" s="3">
        <f>SUM(Table1[[#This Row],[Wholes (kg''s)]:[Pieces (kg''s)]])</f>
        <v>0</v>
      </c>
      <c r="R380" s="3">
        <f>SUM(Table1[[#This Row],[Wholes (kg''s)]:[Black Rejection (Kg''s)]])</f>
        <v>0</v>
      </c>
      <c r="S380" s="4" t="str">
        <f>IFERROR(Table1[[#This Row],[Good Kernels (kg''s)]]/Table1[[#This Row],[Input Quantity (Kg''s)]]*176.36,"")</f>
        <v/>
      </c>
      <c r="T380" s="4" t="str">
        <f>IFERROR(Table1[[#This Row],[Good Kernels (kg''s)]]/Table1[[#This Row],[Input Quantity (Kg''s)]]%,"")</f>
        <v/>
      </c>
      <c r="U380" s="5" t="str">
        <f>IFERROR(Table1[[#This Row],[Final Kernels (kg''s)]]/Table1[[#This Row],[Input Quantity (Kg''s)]]%,"")</f>
        <v/>
      </c>
      <c r="V380" s="5" t="str">
        <f>IFERROR(Table1[[#This Row],[Wholes (kg''s)]]/Table1[[#This Row],[Good Kernels (kg''s)]]%,"")</f>
        <v/>
      </c>
      <c r="W380" s="5" t="str">
        <f>IFERROR(Table1[[#This Row],[Pieces (kg''s)]]/Table1[[#This Row],[Good Kernels (kg''s)]]%,"")</f>
        <v/>
      </c>
      <c r="X380" s="5" t="str">
        <f>IFERROR(Table1[[#This Row],[First Pass Uncut (kg''s)]]/Table1[[#This Row],[Input Quantity (Kg''s)]]%,"")</f>
        <v/>
      </c>
      <c r="Y380" s="5" t="str">
        <f>IFERROR(Table1[[#This Row],[Final Uncut (kg''s)]]/Table1[[#This Row],[Input Quantity (Kg''s)]]%,"")</f>
        <v/>
      </c>
      <c r="Z380" s="21" t="str">
        <f>IFERROR(Table1[[#This Row],[Shell]]/Table1[[#This Row],[Input Quantity (Kg''s)]]%,"")</f>
        <v/>
      </c>
      <c r="AA380" s="21" t="str">
        <f>IFERROR(Table1[[#This Row],[Shell Dust]]/Table1[[#This Row],[Input Quantity (Kg''s)]]%,"")</f>
        <v/>
      </c>
    </row>
    <row r="381" spans="2:27" x14ac:dyDescent="0.3">
      <c r="B381" s="1"/>
      <c r="C381" s="15">
        <f>WEEKNUM(Table1[[#This Row],[Date]])</f>
        <v>0</v>
      </c>
      <c r="D381" s="1" t="str">
        <f>TEXT(Table1[[#This Row],[Date]],"mmm-yy")</f>
        <v>Jan-00</v>
      </c>
      <c r="E381" s="1"/>
      <c r="I381" s="3"/>
      <c r="M381" s="3"/>
      <c r="N381" s="3"/>
      <c r="O381" s="3"/>
      <c r="P381" s="3">
        <f>Table1[[#This Row],[Input Quantity (Kg''s)]]-SUM(Table1[[#This Row],[Wholes (kg''s)]:[Black Rejection (Kg''s)]],Table1[[#This Row],[Shell Dust]])</f>
        <v>0</v>
      </c>
      <c r="Q381" s="3">
        <f>SUM(Table1[[#This Row],[Wholes (kg''s)]:[Pieces (kg''s)]])</f>
        <v>0</v>
      </c>
      <c r="R381" s="3">
        <f>SUM(Table1[[#This Row],[Wholes (kg''s)]:[Black Rejection (Kg''s)]])</f>
        <v>0</v>
      </c>
      <c r="S381" s="4" t="str">
        <f>IFERROR(Table1[[#This Row],[Good Kernels (kg''s)]]/Table1[[#This Row],[Input Quantity (Kg''s)]]*176.36,"")</f>
        <v/>
      </c>
      <c r="T381" s="4" t="str">
        <f>IFERROR(Table1[[#This Row],[Good Kernels (kg''s)]]/Table1[[#This Row],[Input Quantity (Kg''s)]]%,"")</f>
        <v/>
      </c>
      <c r="U381" s="5" t="str">
        <f>IFERROR(Table1[[#This Row],[Final Kernels (kg''s)]]/Table1[[#This Row],[Input Quantity (Kg''s)]]%,"")</f>
        <v/>
      </c>
      <c r="V381" s="5" t="str">
        <f>IFERROR(Table1[[#This Row],[Wholes (kg''s)]]/Table1[[#This Row],[Good Kernels (kg''s)]]%,"")</f>
        <v/>
      </c>
      <c r="W381" s="5" t="str">
        <f>IFERROR(Table1[[#This Row],[Pieces (kg''s)]]/Table1[[#This Row],[Good Kernels (kg''s)]]%,"")</f>
        <v/>
      </c>
      <c r="X381" s="5" t="str">
        <f>IFERROR(Table1[[#This Row],[First Pass Uncut (kg''s)]]/Table1[[#This Row],[Input Quantity (Kg''s)]]%,"")</f>
        <v/>
      </c>
      <c r="Y381" s="5" t="str">
        <f>IFERROR(Table1[[#This Row],[Final Uncut (kg''s)]]/Table1[[#This Row],[Input Quantity (Kg''s)]]%,"")</f>
        <v/>
      </c>
      <c r="Z381" s="21" t="str">
        <f>IFERROR(Table1[[#This Row],[Shell]]/Table1[[#This Row],[Input Quantity (Kg''s)]]%,"")</f>
        <v/>
      </c>
      <c r="AA381" s="21" t="str">
        <f>IFERROR(Table1[[#This Row],[Shell Dust]]/Table1[[#This Row],[Input Quantity (Kg''s)]]%,"")</f>
        <v/>
      </c>
    </row>
    <row r="382" spans="2:27" x14ac:dyDescent="0.3">
      <c r="B382" s="1"/>
      <c r="C382" s="15">
        <f>WEEKNUM(Table1[[#This Row],[Date]])</f>
        <v>0</v>
      </c>
      <c r="D382" s="1" t="str">
        <f>TEXT(Table1[[#This Row],[Date]],"mmm-yy")</f>
        <v>Jan-00</v>
      </c>
      <c r="E382" s="1"/>
      <c r="I382" s="3"/>
      <c r="M382" s="3"/>
      <c r="N382" s="3"/>
      <c r="O382" s="3"/>
      <c r="P382" s="3">
        <f>Table1[[#This Row],[Input Quantity (Kg''s)]]-SUM(Table1[[#This Row],[Wholes (kg''s)]:[Black Rejection (Kg''s)]],Table1[[#This Row],[Shell Dust]])</f>
        <v>0</v>
      </c>
      <c r="Q382" s="3">
        <f>SUM(Table1[[#This Row],[Wholes (kg''s)]:[Pieces (kg''s)]])</f>
        <v>0</v>
      </c>
      <c r="R382" s="3">
        <f>SUM(Table1[[#This Row],[Wholes (kg''s)]:[Black Rejection (Kg''s)]])</f>
        <v>0</v>
      </c>
      <c r="S382" s="4" t="str">
        <f>IFERROR(Table1[[#This Row],[Good Kernels (kg''s)]]/Table1[[#This Row],[Input Quantity (Kg''s)]]*176.36,"")</f>
        <v/>
      </c>
      <c r="T382" s="4" t="str">
        <f>IFERROR(Table1[[#This Row],[Good Kernels (kg''s)]]/Table1[[#This Row],[Input Quantity (Kg''s)]]%,"")</f>
        <v/>
      </c>
      <c r="U382" s="5" t="str">
        <f>IFERROR(Table1[[#This Row],[Final Kernels (kg''s)]]/Table1[[#This Row],[Input Quantity (Kg''s)]]%,"")</f>
        <v/>
      </c>
      <c r="V382" s="5" t="str">
        <f>IFERROR(Table1[[#This Row],[Wholes (kg''s)]]/Table1[[#This Row],[Good Kernels (kg''s)]]%,"")</f>
        <v/>
      </c>
      <c r="W382" s="5" t="str">
        <f>IFERROR(Table1[[#This Row],[Pieces (kg''s)]]/Table1[[#This Row],[Good Kernels (kg''s)]]%,"")</f>
        <v/>
      </c>
      <c r="X382" s="5" t="str">
        <f>IFERROR(Table1[[#This Row],[First Pass Uncut (kg''s)]]/Table1[[#This Row],[Input Quantity (Kg''s)]]%,"")</f>
        <v/>
      </c>
      <c r="Y382" s="5" t="str">
        <f>IFERROR(Table1[[#This Row],[Final Uncut (kg''s)]]/Table1[[#This Row],[Input Quantity (Kg''s)]]%,"")</f>
        <v/>
      </c>
      <c r="Z382" s="21" t="str">
        <f>IFERROR(Table1[[#This Row],[Shell]]/Table1[[#This Row],[Input Quantity (Kg''s)]]%,"")</f>
        <v/>
      </c>
      <c r="AA382" s="21" t="str">
        <f>IFERROR(Table1[[#This Row],[Shell Dust]]/Table1[[#This Row],[Input Quantity (Kg''s)]]%,"")</f>
        <v/>
      </c>
    </row>
    <row r="383" spans="2:27" x14ac:dyDescent="0.3">
      <c r="B383" s="1"/>
      <c r="C383" s="15">
        <f>WEEKNUM(Table1[[#This Row],[Date]])</f>
        <v>0</v>
      </c>
      <c r="D383" s="1" t="str">
        <f>TEXT(Table1[[#This Row],[Date]],"mmm-yy")</f>
        <v>Jan-00</v>
      </c>
      <c r="E383" s="1"/>
      <c r="I383" s="3"/>
      <c r="M383" s="3"/>
      <c r="N383" s="3"/>
      <c r="O383" s="3"/>
      <c r="P383" s="3">
        <f>Table1[[#This Row],[Input Quantity (Kg''s)]]-SUM(Table1[[#This Row],[Wholes (kg''s)]:[Black Rejection (Kg''s)]],Table1[[#This Row],[Shell Dust]])</f>
        <v>0</v>
      </c>
      <c r="Q383" s="3">
        <f>SUM(Table1[[#This Row],[Wholes (kg''s)]:[Pieces (kg''s)]])</f>
        <v>0</v>
      </c>
      <c r="R383" s="3">
        <f>SUM(Table1[[#This Row],[Wholes (kg''s)]:[Black Rejection (Kg''s)]])</f>
        <v>0</v>
      </c>
      <c r="S383" s="4" t="str">
        <f>IFERROR(Table1[[#This Row],[Good Kernels (kg''s)]]/Table1[[#This Row],[Input Quantity (Kg''s)]]*176.36,"")</f>
        <v/>
      </c>
      <c r="T383" s="4" t="str">
        <f>IFERROR(Table1[[#This Row],[Good Kernels (kg''s)]]/Table1[[#This Row],[Input Quantity (Kg''s)]]%,"")</f>
        <v/>
      </c>
      <c r="U383" s="5" t="str">
        <f>IFERROR(Table1[[#This Row],[Final Kernels (kg''s)]]/Table1[[#This Row],[Input Quantity (Kg''s)]]%,"")</f>
        <v/>
      </c>
      <c r="V383" s="5" t="str">
        <f>IFERROR(Table1[[#This Row],[Wholes (kg''s)]]/Table1[[#This Row],[Good Kernels (kg''s)]]%,"")</f>
        <v/>
      </c>
      <c r="W383" s="5" t="str">
        <f>IFERROR(Table1[[#This Row],[Pieces (kg''s)]]/Table1[[#This Row],[Good Kernels (kg''s)]]%,"")</f>
        <v/>
      </c>
      <c r="X383" s="5" t="str">
        <f>IFERROR(Table1[[#This Row],[First Pass Uncut (kg''s)]]/Table1[[#This Row],[Input Quantity (Kg''s)]]%,"")</f>
        <v/>
      </c>
      <c r="Y383" s="5" t="str">
        <f>IFERROR(Table1[[#This Row],[Final Uncut (kg''s)]]/Table1[[#This Row],[Input Quantity (Kg''s)]]%,"")</f>
        <v/>
      </c>
      <c r="Z383" s="21" t="str">
        <f>IFERROR(Table1[[#This Row],[Shell]]/Table1[[#This Row],[Input Quantity (Kg''s)]]%,"")</f>
        <v/>
      </c>
      <c r="AA383" s="21" t="str">
        <f>IFERROR(Table1[[#This Row],[Shell Dust]]/Table1[[#This Row],[Input Quantity (Kg''s)]]%,"")</f>
        <v/>
      </c>
    </row>
    <row r="384" spans="2:27" x14ac:dyDescent="0.3">
      <c r="B384" s="1"/>
      <c r="C384" s="15">
        <f>WEEKNUM(Table1[[#This Row],[Date]])</f>
        <v>0</v>
      </c>
      <c r="D384" s="1" t="str">
        <f>TEXT(Table1[[#This Row],[Date]],"mmm-yy")</f>
        <v>Jan-00</v>
      </c>
      <c r="E384" s="1"/>
      <c r="I384" s="3"/>
      <c r="M384" s="3"/>
      <c r="N384" s="3"/>
      <c r="O384" s="3"/>
      <c r="P384" s="3">
        <f>Table1[[#This Row],[Input Quantity (Kg''s)]]-SUM(Table1[[#This Row],[Wholes (kg''s)]:[Black Rejection (Kg''s)]],Table1[[#This Row],[Shell Dust]])</f>
        <v>0</v>
      </c>
      <c r="Q384" s="3">
        <f>SUM(Table1[[#This Row],[Wholes (kg''s)]:[Pieces (kg''s)]])</f>
        <v>0</v>
      </c>
      <c r="R384" s="3">
        <f>SUM(Table1[[#This Row],[Wholes (kg''s)]:[Black Rejection (Kg''s)]])</f>
        <v>0</v>
      </c>
      <c r="S384" s="4" t="str">
        <f>IFERROR(Table1[[#This Row],[Good Kernels (kg''s)]]/Table1[[#This Row],[Input Quantity (Kg''s)]]*176.36,"")</f>
        <v/>
      </c>
      <c r="T384" s="4" t="str">
        <f>IFERROR(Table1[[#This Row],[Good Kernels (kg''s)]]/Table1[[#This Row],[Input Quantity (Kg''s)]]%,"")</f>
        <v/>
      </c>
      <c r="U384" s="5" t="str">
        <f>IFERROR(Table1[[#This Row],[Final Kernels (kg''s)]]/Table1[[#This Row],[Input Quantity (Kg''s)]]%,"")</f>
        <v/>
      </c>
      <c r="V384" s="5" t="str">
        <f>IFERROR(Table1[[#This Row],[Wholes (kg''s)]]/Table1[[#This Row],[Good Kernels (kg''s)]]%,"")</f>
        <v/>
      </c>
      <c r="W384" s="5" t="str">
        <f>IFERROR(Table1[[#This Row],[Pieces (kg''s)]]/Table1[[#This Row],[Good Kernels (kg''s)]]%,"")</f>
        <v/>
      </c>
      <c r="X384" s="5" t="str">
        <f>IFERROR(Table1[[#This Row],[First Pass Uncut (kg''s)]]/Table1[[#This Row],[Input Quantity (Kg''s)]]%,"")</f>
        <v/>
      </c>
      <c r="Y384" s="5" t="str">
        <f>IFERROR(Table1[[#This Row],[Final Uncut (kg''s)]]/Table1[[#This Row],[Input Quantity (Kg''s)]]%,"")</f>
        <v/>
      </c>
      <c r="Z384" s="21" t="str">
        <f>IFERROR(Table1[[#This Row],[Shell]]/Table1[[#This Row],[Input Quantity (Kg''s)]]%,"")</f>
        <v/>
      </c>
      <c r="AA384" s="21" t="str">
        <f>IFERROR(Table1[[#This Row],[Shell Dust]]/Table1[[#This Row],[Input Quantity (Kg''s)]]%,"")</f>
        <v/>
      </c>
    </row>
    <row r="385" spans="2:27" x14ac:dyDescent="0.3">
      <c r="B385" s="1"/>
      <c r="C385" s="15">
        <f>WEEKNUM(Table1[[#This Row],[Date]])</f>
        <v>0</v>
      </c>
      <c r="D385" s="1" t="str">
        <f>TEXT(Table1[[#This Row],[Date]],"mmm-yy")</f>
        <v>Jan-00</v>
      </c>
      <c r="E385" s="1"/>
      <c r="I385" s="3"/>
      <c r="M385" s="3"/>
      <c r="N385" s="3"/>
      <c r="O385" s="3"/>
      <c r="P385" s="3">
        <f>Table1[[#This Row],[Input Quantity (Kg''s)]]-SUM(Table1[[#This Row],[Wholes (kg''s)]:[Black Rejection (Kg''s)]],Table1[[#This Row],[Shell Dust]])</f>
        <v>0</v>
      </c>
      <c r="Q385" s="3">
        <f>SUM(Table1[[#This Row],[Wholes (kg''s)]:[Pieces (kg''s)]])</f>
        <v>0</v>
      </c>
      <c r="R385" s="3">
        <f>SUM(Table1[[#This Row],[Wholes (kg''s)]:[Black Rejection (Kg''s)]])</f>
        <v>0</v>
      </c>
      <c r="S385" s="4" t="str">
        <f>IFERROR(Table1[[#This Row],[Good Kernels (kg''s)]]/Table1[[#This Row],[Input Quantity (Kg''s)]]*176.36,"")</f>
        <v/>
      </c>
      <c r="T385" s="4" t="str">
        <f>IFERROR(Table1[[#This Row],[Good Kernels (kg''s)]]/Table1[[#This Row],[Input Quantity (Kg''s)]]%,"")</f>
        <v/>
      </c>
      <c r="U385" s="5" t="str">
        <f>IFERROR(Table1[[#This Row],[Final Kernels (kg''s)]]/Table1[[#This Row],[Input Quantity (Kg''s)]]%,"")</f>
        <v/>
      </c>
      <c r="V385" s="5" t="str">
        <f>IFERROR(Table1[[#This Row],[Wholes (kg''s)]]/Table1[[#This Row],[Good Kernels (kg''s)]]%,"")</f>
        <v/>
      </c>
      <c r="W385" s="5" t="str">
        <f>IFERROR(Table1[[#This Row],[Pieces (kg''s)]]/Table1[[#This Row],[Good Kernels (kg''s)]]%,"")</f>
        <v/>
      </c>
      <c r="X385" s="5" t="str">
        <f>IFERROR(Table1[[#This Row],[First Pass Uncut (kg''s)]]/Table1[[#This Row],[Input Quantity (Kg''s)]]%,"")</f>
        <v/>
      </c>
      <c r="Y385" s="5" t="str">
        <f>IFERROR(Table1[[#This Row],[Final Uncut (kg''s)]]/Table1[[#This Row],[Input Quantity (Kg''s)]]%,"")</f>
        <v/>
      </c>
      <c r="Z385" s="21" t="str">
        <f>IFERROR(Table1[[#This Row],[Shell]]/Table1[[#This Row],[Input Quantity (Kg''s)]]%,"")</f>
        <v/>
      </c>
      <c r="AA385" s="21" t="str">
        <f>IFERROR(Table1[[#This Row],[Shell Dust]]/Table1[[#This Row],[Input Quantity (Kg''s)]]%,"")</f>
        <v/>
      </c>
    </row>
    <row r="386" spans="2:27" x14ac:dyDescent="0.3">
      <c r="B386" s="1"/>
      <c r="C386" s="15">
        <f>WEEKNUM(Table1[[#This Row],[Date]])</f>
        <v>0</v>
      </c>
      <c r="D386" s="1" t="str">
        <f>TEXT(Table1[[#This Row],[Date]],"mmm-yy")</f>
        <v>Jan-00</v>
      </c>
      <c r="E386" s="1"/>
      <c r="I386" s="3"/>
      <c r="M386" s="3"/>
      <c r="N386" s="3"/>
      <c r="O386" s="3"/>
      <c r="P386" s="3">
        <f>Table1[[#This Row],[Input Quantity (Kg''s)]]-SUM(Table1[[#This Row],[Wholes (kg''s)]:[Black Rejection (Kg''s)]],Table1[[#This Row],[Shell Dust]])</f>
        <v>0</v>
      </c>
      <c r="Q386" s="3">
        <f>SUM(Table1[[#This Row],[Wholes (kg''s)]:[Pieces (kg''s)]])</f>
        <v>0</v>
      </c>
      <c r="R386" s="3">
        <f>SUM(Table1[[#This Row],[Wholes (kg''s)]:[Black Rejection (Kg''s)]])</f>
        <v>0</v>
      </c>
      <c r="S386" s="4" t="str">
        <f>IFERROR(Table1[[#This Row],[Good Kernels (kg''s)]]/Table1[[#This Row],[Input Quantity (Kg''s)]]*176.36,"")</f>
        <v/>
      </c>
      <c r="T386" s="4" t="str">
        <f>IFERROR(Table1[[#This Row],[Good Kernels (kg''s)]]/Table1[[#This Row],[Input Quantity (Kg''s)]]%,"")</f>
        <v/>
      </c>
      <c r="U386" s="5" t="str">
        <f>IFERROR(Table1[[#This Row],[Final Kernels (kg''s)]]/Table1[[#This Row],[Input Quantity (Kg''s)]]%,"")</f>
        <v/>
      </c>
      <c r="V386" s="5" t="str">
        <f>IFERROR(Table1[[#This Row],[Wholes (kg''s)]]/Table1[[#This Row],[Good Kernels (kg''s)]]%,"")</f>
        <v/>
      </c>
      <c r="W386" s="5" t="str">
        <f>IFERROR(Table1[[#This Row],[Pieces (kg''s)]]/Table1[[#This Row],[Good Kernels (kg''s)]]%,"")</f>
        <v/>
      </c>
      <c r="X386" s="5" t="str">
        <f>IFERROR(Table1[[#This Row],[First Pass Uncut (kg''s)]]/Table1[[#This Row],[Input Quantity (Kg''s)]]%,"")</f>
        <v/>
      </c>
      <c r="Y386" s="5" t="str">
        <f>IFERROR(Table1[[#This Row],[Final Uncut (kg''s)]]/Table1[[#This Row],[Input Quantity (Kg''s)]]%,"")</f>
        <v/>
      </c>
      <c r="Z386" s="21" t="str">
        <f>IFERROR(Table1[[#This Row],[Shell]]/Table1[[#This Row],[Input Quantity (Kg''s)]]%,"")</f>
        <v/>
      </c>
      <c r="AA386" s="21" t="str">
        <f>IFERROR(Table1[[#This Row],[Shell Dust]]/Table1[[#This Row],[Input Quantity (Kg''s)]]%,"")</f>
        <v/>
      </c>
    </row>
    <row r="387" spans="2:27" x14ac:dyDescent="0.3">
      <c r="B387" s="1"/>
      <c r="C387" s="15">
        <f>WEEKNUM(Table1[[#This Row],[Date]])</f>
        <v>0</v>
      </c>
      <c r="D387" s="1" t="str">
        <f>TEXT(Table1[[#This Row],[Date]],"mmm-yy")</f>
        <v>Jan-00</v>
      </c>
      <c r="E387" s="1"/>
      <c r="I387" s="3"/>
      <c r="M387" s="3"/>
      <c r="N387" s="3"/>
      <c r="O387" s="3"/>
      <c r="P387" s="3">
        <f>Table1[[#This Row],[Input Quantity (Kg''s)]]-SUM(Table1[[#This Row],[Wholes (kg''s)]:[Black Rejection (Kg''s)]],Table1[[#This Row],[Shell Dust]])</f>
        <v>0</v>
      </c>
      <c r="Q387" s="3">
        <f>SUM(Table1[[#This Row],[Wholes (kg''s)]:[Pieces (kg''s)]])</f>
        <v>0</v>
      </c>
      <c r="R387" s="3">
        <f>SUM(Table1[[#This Row],[Wholes (kg''s)]:[Black Rejection (Kg''s)]])</f>
        <v>0</v>
      </c>
      <c r="S387" s="4" t="str">
        <f>IFERROR(Table1[[#This Row],[Good Kernels (kg''s)]]/Table1[[#This Row],[Input Quantity (Kg''s)]]*176.36,"")</f>
        <v/>
      </c>
      <c r="T387" s="4" t="str">
        <f>IFERROR(Table1[[#This Row],[Good Kernels (kg''s)]]/Table1[[#This Row],[Input Quantity (Kg''s)]]%,"")</f>
        <v/>
      </c>
      <c r="U387" s="5" t="str">
        <f>IFERROR(Table1[[#This Row],[Final Kernels (kg''s)]]/Table1[[#This Row],[Input Quantity (Kg''s)]]%,"")</f>
        <v/>
      </c>
      <c r="V387" s="5" t="str">
        <f>IFERROR(Table1[[#This Row],[Wholes (kg''s)]]/Table1[[#This Row],[Good Kernels (kg''s)]]%,"")</f>
        <v/>
      </c>
      <c r="W387" s="5" t="str">
        <f>IFERROR(Table1[[#This Row],[Pieces (kg''s)]]/Table1[[#This Row],[Good Kernels (kg''s)]]%,"")</f>
        <v/>
      </c>
      <c r="X387" s="5" t="str">
        <f>IFERROR(Table1[[#This Row],[First Pass Uncut (kg''s)]]/Table1[[#This Row],[Input Quantity (Kg''s)]]%,"")</f>
        <v/>
      </c>
      <c r="Y387" s="5" t="str">
        <f>IFERROR(Table1[[#This Row],[Final Uncut (kg''s)]]/Table1[[#This Row],[Input Quantity (Kg''s)]]%,"")</f>
        <v/>
      </c>
      <c r="Z387" s="21" t="str">
        <f>IFERROR(Table1[[#This Row],[Shell]]/Table1[[#This Row],[Input Quantity (Kg''s)]]%,"")</f>
        <v/>
      </c>
      <c r="AA387" s="21" t="str">
        <f>IFERROR(Table1[[#This Row],[Shell Dust]]/Table1[[#This Row],[Input Quantity (Kg''s)]]%,"")</f>
        <v/>
      </c>
    </row>
    <row r="388" spans="2:27" x14ac:dyDescent="0.3">
      <c r="B388" s="1"/>
      <c r="C388" s="15">
        <f>WEEKNUM(Table1[[#This Row],[Date]])</f>
        <v>0</v>
      </c>
      <c r="D388" s="1" t="str">
        <f>TEXT(Table1[[#This Row],[Date]],"mmm-yy")</f>
        <v>Jan-00</v>
      </c>
      <c r="E388" s="1"/>
      <c r="I388" s="3"/>
      <c r="M388" s="3"/>
      <c r="N388" s="3"/>
      <c r="O388" s="3"/>
      <c r="P388" s="3">
        <f>Table1[[#This Row],[Input Quantity (Kg''s)]]-SUM(Table1[[#This Row],[Wholes (kg''s)]:[Black Rejection (Kg''s)]],Table1[[#This Row],[Shell Dust]])</f>
        <v>0</v>
      </c>
      <c r="Q388" s="3">
        <f>SUM(Table1[[#This Row],[Wholes (kg''s)]:[Pieces (kg''s)]])</f>
        <v>0</v>
      </c>
      <c r="R388" s="3">
        <f>SUM(Table1[[#This Row],[Wholes (kg''s)]:[Black Rejection (Kg''s)]])</f>
        <v>0</v>
      </c>
      <c r="S388" s="4" t="str">
        <f>IFERROR(Table1[[#This Row],[Good Kernels (kg''s)]]/Table1[[#This Row],[Input Quantity (Kg''s)]]*176.36,"")</f>
        <v/>
      </c>
      <c r="T388" s="4" t="str">
        <f>IFERROR(Table1[[#This Row],[Good Kernels (kg''s)]]/Table1[[#This Row],[Input Quantity (Kg''s)]]%,"")</f>
        <v/>
      </c>
      <c r="U388" s="5" t="str">
        <f>IFERROR(Table1[[#This Row],[Final Kernels (kg''s)]]/Table1[[#This Row],[Input Quantity (Kg''s)]]%,"")</f>
        <v/>
      </c>
      <c r="V388" s="5" t="str">
        <f>IFERROR(Table1[[#This Row],[Wholes (kg''s)]]/Table1[[#This Row],[Good Kernels (kg''s)]]%,"")</f>
        <v/>
      </c>
      <c r="W388" s="5" t="str">
        <f>IFERROR(Table1[[#This Row],[Pieces (kg''s)]]/Table1[[#This Row],[Good Kernels (kg''s)]]%,"")</f>
        <v/>
      </c>
      <c r="X388" s="5" t="str">
        <f>IFERROR(Table1[[#This Row],[First Pass Uncut (kg''s)]]/Table1[[#This Row],[Input Quantity (Kg''s)]]%,"")</f>
        <v/>
      </c>
      <c r="Y388" s="5" t="str">
        <f>IFERROR(Table1[[#This Row],[Final Uncut (kg''s)]]/Table1[[#This Row],[Input Quantity (Kg''s)]]%,"")</f>
        <v/>
      </c>
      <c r="Z388" s="21" t="str">
        <f>IFERROR(Table1[[#This Row],[Shell]]/Table1[[#This Row],[Input Quantity (Kg''s)]]%,"")</f>
        <v/>
      </c>
      <c r="AA388" s="21" t="str">
        <f>IFERROR(Table1[[#This Row],[Shell Dust]]/Table1[[#This Row],[Input Quantity (Kg''s)]]%,"")</f>
        <v/>
      </c>
    </row>
    <row r="389" spans="2:27" x14ac:dyDescent="0.3">
      <c r="B389" s="1"/>
      <c r="C389" s="15">
        <f>WEEKNUM(Table1[[#This Row],[Date]])</f>
        <v>0</v>
      </c>
      <c r="D389" s="1" t="str">
        <f>TEXT(Table1[[#This Row],[Date]],"mmm-yy")</f>
        <v>Jan-00</v>
      </c>
      <c r="E389" s="1"/>
      <c r="I389" s="3"/>
      <c r="M389" s="3"/>
      <c r="N389" s="3"/>
      <c r="O389" s="3"/>
      <c r="P389" s="3">
        <f>Table1[[#This Row],[Input Quantity (Kg''s)]]-SUM(Table1[[#This Row],[Wholes (kg''s)]:[Black Rejection (Kg''s)]],Table1[[#This Row],[Shell Dust]])</f>
        <v>0</v>
      </c>
      <c r="Q389" s="3">
        <f>SUM(Table1[[#This Row],[Wholes (kg''s)]:[Pieces (kg''s)]])</f>
        <v>0</v>
      </c>
      <c r="R389" s="3">
        <f>SUM(Table1[[#This Row],[Wholes (kg''s)]:[Black Rejection (Kg''s)]])</f>
        <v>0</v>
      </c>
      <c r="S389" s="4" t="str">
        <f>IFERROR(Table1[[#This Row],[Good Kernels (kg''s)]]/Table1[[#This Row],[Input Quantity (Kg''s)]]*176.36,"")</f>
        <v/>
      </c>
      <c r="T389" s="4" t="str">
        <f>IFERROR(Table1[[#This Row],[Good Kernels (kg''s)]]/Table1[[#This Row],[Input Quantity (Kg''s)]]%,"")</f>
        <v/>
      </c>
      <c r="U389" s="5" t="str">
        <f>IFERROR(Table1[[#This Row],[Final Kernels (kg''s)]]/Table1[[#This Row],[Input Quantity (Kg''s)]]%,"")</f>
        <v/>
      </c>
      <c r="V389" s="5" t="str">
        <f>IFERROR(Table1[[#This Row],[Wholes (kg''s)]]/Table1[[#This Row],[Good Kernels (kg''s)]]%,"")</f>
        <v/>
      </c>
      <c r="W389" s="5" t="str">
        <f>IFERROR(Table1[[#This Row],[Pieces (kg''s)]]/Table1[[#This Row],[Good Kernels (kg''s)]]%,"")</f>
        <v/>
      </c>
      <c r="X389" s="5" t="str">
        <f>IFERROR(Table1[[#This Row],[First Pass Uncut (kg''s)]]/Table1[[#This Row],[Input Quantity (Kg''s)]]%,"")</f>
        <v/>
      </c>
      <c r="Y389" s="5" t="str">
        <f>IFERROR(Table1[[#This Row],[Final Uncut (kg''s)]]/Table1[[#This Row],[Input Quantity (Kg''s)]]%,"")</f>
        <v/>
      </c>
      <c r="Z389" s="21" t="str">
        <f>IFERROR(Table1[[#This Row],[Shell]]/Table1[[#This Row],[Input Quantity (Kg''s)]]%,"")</f>
        <v/>
      </c>
      <c r="AA389" s="21" t="str">
        <f>IFERROR(Table1[[#This Row],[Shell Dust]]/Table1[[#This Row],[Input Quantity (Kg''s)]]%,"")</f>
        <v/>
      </c>
    </row>
    <row r="390" spans="2:27" x14ac:dyDescent="0.3">
      <c r="B390" s="1"/>
      <c r="C390" s="15">
        <f>WEEKNUM(Table1[[#This Row],[Date]])</f>
        <v>0</v>
      </c>
      <c r="D390" s="1" t="str">
        <f>TEXT(Table1[[#This Row],[Date]],"mmm-yy")</f>
        <v>Jan-00</v>
      </c>
      <c r="E390" s="1"/>
      <c r="I390" s="3"/>
      <c r="M390" s="3"/>
      <c r="N390" s="3"/>
      <c r="O390" s="3"/>
      <c r="P390" s="3">
        <f>Table1[[#This Row],[Input Quantity (Kg''s)]]-SUM(Table1[[#This Row],[Wholes (kg''s)]:[Black Rejection (Kg''s)]],Table1[[#This Row],[Shell Dust]])</f>
        <v>0</v>
      </c>
      <c r="Q390" s="3">
        <f>SUM(Table1[[#This Row],[Wholes (kg''s)]:[Pieces (kg''s)]])</f>
        <v>0</v>
      </c>
      <c r="R390" s="3">
        <f>SUM(Table1[[#This Row],[Wholes (kg''s)]:[Black Rejection (Kg''s)]])</f>
        <v>0</v>
      </c>
      <c r="S390" s="4" t="str">
        <f>IFERROR(Table1[[#This Row],[Good Kernels (kg''s)]]/Table1[[#This Row],[Input Quantity (Kg''s)]]*176.36,"")</f>
        <v/>
      </c>
      <c r="T390" s="4" t="str">
        <f>IFERROR(Table1[[#This Row],[Good Kernels (kg''s)]]/Table1[[#This Row],[Input Quantity (Kg''s)]]%,"")</f>
        <v/>
      </c>
      <c r="U390" s="5" t="str">
        <f>IFERROR(Table1[[#This Row],[Final Kernels (kg''s)]]/Table1[[#This Row],[Input Quantity (Kg''s)]]%,"")</f>
        <v/>
      </c>
      <c r="V390" s="5" t="str">
        <f>IFERROR(Table1[[#This Row],[Wholes (kg''s)]]/Table1[[#This Row],[Good Kernels (kg''s)]]%,"")</f>
        <v/>
      </c>
      <c r="W390" s="5" t="str">
        <f>IFERROR(Table1[[#This Row],[Pieces (kg''s)]]/Table1[[#This Row],[Good Kernels (kg''s)]]%,"")</f>
        <v/>
      </c>
      <c r="X390" s="5" t="str">
        <f>IFERROR(Table1[[#This Row],[First Pass Uncut (kg''s)]]/Table1[[#This Row],[Input Quantity (Kg''s)]]%,"")</f>
        <v/>
      </c>
      <c r="Y390" s="5" t="str">
        <f>IFERROR(Table1[[#This Row],[Final Uncut (kg''s)]]/Table1[[#This Row],[Input Quantity (Kg''s)]]%,"")</f>
        <v/>
      </c>
      <c r="Z390" s="21" t="str">
        <f>IFERROR(Table1[[#This Row],[Shell]]/Table1[[#This Row],[Input Quantity (Kg''s)]]%,"")</f>
        <v/>
      </c>
      <c r="AA390" s="21" t="str">
        <f>IFERROR(Table1[[#This Row],[Shell Dust]]/Table1[[#This Row],[Input Quantity (Kg''s)]]%,"")</f>
        <v/>
      </c>
    </row>
    <row r="391" spans="2:27" x14ac:dyDescent="0.3">
      <c r="B391" s="1"/>
      <c r="C391" s="15">
        <f>WEEKNUM(Table1[[#This Row],[Date]])</f>
        <v>0</v>
      </c>
      <c r="D391" s="1" t="str">
        <f>TEXT(Table1[[#This Row],[Date]],"mmm-yy")</f>
        <v>Jan-00</v>
      </c>
      <c r="E391" s="1"/>
      <c r="I391" s="3"/>
      <c r="M391" s="3"/>
      <c r="N391" s="3"/>
      <c r="O391" s="3"/>
      <c r="P391" s="3">
        <f>Table1[[#This Row],[Input Quantity (Kg''s)]]-SUM(Table1[[#This Row],[Wholes (kg''s)]:[Black Rejection (Kg''s)]],Table1[[#This Row],[Shell Dust]])</f>
        <v>0</v>
      </c>
      <c r="Q391" s="3">
        <f>SUM(Table1[[#This Row],[Wholes (kg''s)]:[Pieces (kg''s)]])</f>
        <v>0</v>
      </c>
      <c r="R391" s="3">
        <f>SUM(Table1[[#This Row],[Wholes (kg''s)]:[Black Rejection (Kg''s)]])</f>
        <v>0</v>
      </c>
      <c r="S391" s="4" t="str">
        <f>IFERROR(Table1[[#This Row],[Good Kernels (kg''s)]]/Table1[[#This Row],[Input Quantity (Kg''s)]]*176.36,"")</f>
        <v/>
      </c>
      <c r="T391" s="4" t="str">
        <f>IFERROR(Table1[[#This Row],[Good Kernels (kg''s)]]/Table1[[#This Row],[Input Quantity (Kg''s)]]%,"")</f>
        <v/>
      </c>
      <c r="U391" s="5" t="str">
        <f>IFERROR(Table1[[#This Row],[Final Kernels (kg''s)]]/Table1[[#This Row],[Input Quantity (Kg''s)]]%,"")</f>
        <v/>
      </c>
      <c r="V391" s="5" t="str">
        <f>IFERROR(Table1[[#This Row],[Wholes (kg''s)]]/Table1[[#This Row],[Good Kernels (kg''s)]]%,"")</f>
        <v/>
      </c>
      <c r="W391" s="5" t="str">
        <f>IFERROR(Table1[[#This Row],[Pieces (kg''s)]]/Table1[[#This Row],[Good Kernels (kg''s)]]%,"")</f>
        <v/>
      </c>
      <c r="X391" s="5" t="str">
        <f>IFERROR(Table1[[#This Row],[First Pass Uncut (kg''s)]]/Table1[[#This Row],[Input Quantity (Kg''s)]]%,"")</f>
        <v/>
      </c>
      <c r="Y391" s="5" t="str">
        <f>IFERROR(Table1[[#This Row],[Final Uncut (kg''s)]]/Table1[[#This Row],[Input Quantity (Kg''s)]]%,"")</f>
        <v/>
      </c>
      <c r="Z391" s="21" t="str">
        <f>IFERROR(Table1[[#This Row],[Shell]]/Table1[[#This Row],[Input Quantity (Kg''s)]]%,"")</f>
        <v/>
      </c>
      <c r="AA391" s="21" t="str">
        <f>IFERROR(Table1[[#This Row],[Shell Dust]]/Table1[[#This Row],[Input Quantity (Kg''s)]]%,"")</f>
        <v/>
      </c>
    </row>
    <row r="392" spans="2:27" x14ac:dyDescent="0.3">
      <c r="B392" s="1"/>
      <c r="C392" s="15">
        <f>WEEKNUM(Table1[[#This Row],[Date]])</f>
        <v>0</v>
      </c>
      <c r="D392" s="1" t="str">
        <f>TEXT(Table1[[#This Row],[Date]],"mmm-yy")</f>
        <v>Jan-00</v>
      </c>
      <c r="E392" s="1"/>
      <c r="I392" s="3"/>
      <c r="M392" s="3"/>
      <c r="N392" s="3"/>
      <c r="O392" s="3"/>
      <c r="P392" s="3">
        <f>Table1[[#This Row],[Input Quantity (Kg''s)]]-SUM(Table1[[#This Row],[Wholes (kg''s)]:[Black Rejection (Kg''s)]],Table1[[#This Row],[Shell Dust]])</f>
        <v>0</v>
      </c>
      <c r="Q392" s="3">
        <f>SUM(Table1[[#This Row],[Wholes (kg''s)]:[Pieces (kg''s)]])</f>
        <v>0</v>
      </c>
      <c r="R392" s="3">
        <f>SUM(Table1[[#This Row],[Wholes (kg''s)]:[Black Rejection (Kg''s)]])</f>
        <v>0</v>
      </c>
      <c r="S392" s="4" t="str">
        <f>IFERROR(Table1[[#This Row],[Good Kernels (kg''s)]]/Table1[[#This Row],[Input Quantity (Kg''s)]]*176.36,"")</f>
        <v/>
      </c>
      <c r="T392" s="4" t="str">
        <f>IFERROR(Table1[[#This Row],[Good Kernels (kg''s)]]/Table1[[#This Row],[Input Quantity (Kg''s)]]%,"")</f>
        <v/>
      </c>
      <c r="U392" s="5" t="str">
        <f>IFERROR(Table1[[#This Row],[Final Kernels (kg''s)]]/Table1[[#This Row],[Input Quantity (Kg''s)]]%,"")</f>
        <v/>
      </c>
      <c r="V392" s="5" t="str">
        <f>IFERROR(Table1[[#This Row],[Wholes (kg''s)]]/Table1[[#This Row],[Good Kernels (kg''s)]]%,"")</f>
        <v/>
      </c>
      <c r="W392" s="5" t="str">
        <f>IFERROR(Table1[[#This Row],[Pieces (kg''s)]]/Table1[[#This Row],[Good Kernels (kg''s)]]%,"")</f>
        <v/>
      </c>
      <c r="X392" s="5" t="str">
        <f>IFERROR(Table1[[#This Row],[First Pass Uncut (kg''s)]]/Table1[[#This Row],[Input Quantity (Kg''s)]]%,"")</f>
        <v/>
      </c>
      <c r="Y392" s="5" t="str">
        <f>IFERROR(Table1[[#This Row],[Final Uncut (kg''s)]]/Table1[[#This Row],[Input Quantity (Kg''s)]]%,"")</f>
        <v/>
      </c>
      <c r="Z392" s="21" t="str">
        <f>IFERROR(Table1[[#This Row],[Shell]]/Table1[[#This Row],[Input Quantity (Kg''s)]]%,"")</f>
        <v/>
      </c>
      <c r="AA392" s="21" t="str">
        <f>IFERROR(Table1[[#This Row],[Shell Dust]]/Table1[[#This Row],[Input Quantity (Kg''s)]]%,"")</f>
        <v/>
      </c>
    </row>
    <row r="393" spans="2:27" x14ac:dyDescent="0.3">
      <c r="B393" s="1"/>
      <c r="C393" s="15">
        <f>WEEKNUM(Table1[[#This Row],[Date]])</f>
        <v>0</v>
      </c>
      <c r="D393" s="1" t="str">
        <f>TEXT(Table1[[#This Row],[Date]],"mmm-yy")</f>
        <v>Jan-00</v>
      </c>
      <c r="E393" s="1"/>
      <c r="I393" s="3"/>
      <c r="M393" s="3"/>
      <c r="N393" s="3"/>
      <c r="O393" s="3"/>
      <c r="P393" s="3">
        <f>Table1[[#This Row],[Input Quantity (Kg''s)]]-SUM(Table1[[#This Row],[Wholes (kg''s)]:[Black Rejection (Kg''s)]],Table1[[#This Row],[Shell Dust]])</f>
        <v>0</v>
      </c>
      <c r="Q393" s="3">
        <f>SUM(Table1[[#This Row],[Wholes (kg''s)]:[Pieces (kg''s)]])</f>
        <v>0</v>
      </c>
      <c r="R393" s="3">
        <f>SUM(Table1[[#This Row],[Wholes (kg''s)]:[Black Rejection (Kg''s)]])</f>
        <v>0</v>
      </c>
      <c r="S393" s="4" t="str">
        <f>IFERROR(Table1[[#This Row],[Good Kernels (kg''s)]]/Table1[[#This Row],[Input Quantity (Kg''s)]]*176.36,"")</f>
        <v/>
      </c>
      <c r="T393" s="4" t="str">
        <f>IFERROR(Table1[[#This Row],[Good Kernels (kg''s)]]/Table1[[#This Row],[Input Quantity (Kg''s)]]%,"")</f>
        <v/>
      </c>
      <c r="U393" s="5" t="str">
        <f>IFERROR(Table1[[#This Row],[Final Kernels (kg''s)]]/Table1[[#This Row],[Input Quantity (Kg''s)]]%,"")</f>
        <v/>
      </c>
      <c r="V393" s="5" t="str">
        <f>IFERROR(Table1[[#This Row],[Wholes (kg''s)]]/Table1[[#This Row],[Good Kernels (kg''s)]]%,"")</f>
        <v/>
      </c>
      <c r="W393" s="5" t="str">
        <f>IFERROR(Table1[[#This Row],[Pieces (kg''s)]]/Table1[[#This Row],[Good Kernels (kg''s)]]%,"")</f>
        <v/>
      </c>
      <c r="X393" s="5" t="str">
        <f>IFERROR(Table1[[#This Row],[First Pass Uncut (kg''s)]]/Table1[[#This Row],[Input Quantity (Kg''s)]]%,"")</f>
        <v/>
      </c>
      <c r="Y393" s="5" t="str">
        <f>IFERROR(Table1[[#This Row],[Final Uncut (kg''s)]]/Table1[[#This Row],[Input Quantity (Kg''s)]]%,"")</f>
        <v/>
      </c>
      <c r="Z393" s="21" t="str">
        <f>IFERROR(Table1[[#This Row],[Shell]]/Table1[[#This Row],[Input Quantity (Kg''s)]]%,"")</f>
        <v/>
      </c>
      <c r="AA393" s="21" t="str">
        <f>IFERROR(Table1[[#This Row],[Shell Dust]]/Table1[[#This Row],[Input Quantity (Kg''s)]]%,"")</f>
        <v/>
      </c>
    </row>
    <row r="394" spans="2:27" x14ac:dyDescent="0.3">
      <c r="B394" s="1"/>
      <c r="C394" s="15">
        <f>WEEKNUM(Table1[[#This Row],[Date]])</f>
        <v>0</v>
      </c>
      <c r="D394" s="1" t="str">
        <f>TEXT(Table1[[#This Row],[Date]],"mmm-yy")</f>
        <v>Jan-00</v>
      </c>
      <c r="E394" s="1"/>
      <c r="I394" s="3"/>
      <c r="M394" s="3"/>
      <c r="N394" s="3"/>
      <c r="O394" s="3"/>
      <c r="P394" s="3">
        <f>Table1[[#This Row],[Input Quantity (Kg''s)]]-SUM(Table1[[#This Row],[Wholes (kg''s)]:[Black Rejection (Kg''s)]],Table1[[#This Row],[Shell Dust]])</f>
        <v>0</v>
      </c>
      <c r="Q394" s="3">
        <f>SUM(Table1[[#This Row],[Wholes (kg''s)]:[Pieces (kg''s)]])</f>
        <v>0</v>
      </c>
      <c r="R394" s="3">
        <f>SUM(Table1[[#This Row],[Wholes (kg''s)]:[Black Rejection (Kg''s)]])</f>
        <v>0</v>
      </c>
      <c r="S394" s="4" t="str">
        <f>IFERROR(Table1[[#This Row],[Good Kernels (kg''s)]]/Table1[[#This Row],[Input Quantity (Kg''s)]]*176.36,"")</f>
        <v/>
      </c>
      <c r="T394" s="4" t="str">
        <f>IFERROR(Table1[[#This Row],[Good Kernels (kg''s)]]/Table1[[#This Row],[Input Quantity (Kg''s)]]%,"")</f>
        <v/>
      </c>
      <c r="U394" s="5" t="str">
        <f>IFERROR(Table1[[#This Row],[Final Kernels (kg''s)]]/Table1[[#This Row],[Input Quantity (Kg''s)]]%,"")</f>
        <v/>
      </c>
      <c r="V394" s="5" t="str">
        <f>IFERROR(Table1[[#This Row],[Wholes (kg''s)]]/Table1[[#This Row],[Good Kernels (kg''s)]]%,"")</f>
        <v/>
      </c>
      <c r="W394" s="5" t="str">
        <f>IFERROR(Table1[[#This Row],[Pieces (kg''s)]]/Table1[[#This Row],[Good Kernels (kg''s)]]%,"")</f>
        <v/>
      </c>
      <c r="X394" s="5" t="str">
        <f>IFERROR(Table1[[#This Row],[First Pass Uncut (kg''s)]]/Table1[[#This Row],[Input Quantity (Kg''s)]]%,"")</f>
        <v/>
      </c>
      <c r="Y394" s="5" t="str">
        <f>IFERROR(Table1[[#This Row],[Final Uncut (kg''s)]]/Table1[[#This Row],[Input Quantity (Kg''s)]]%,"")</f>
        <v/>
      </c>
      <c r="Z394" s="21" t="str">
        <f>IFERROR(Table1[[#This Row],[Shell]]/Table1[[#This Row],[Input Quantity (Kg''s)]]%,"")</f>
        <v/>
      </c>
      <c r="AA394" s="21" t="str">
        <f>IFERROR(Table1[[#This Row],[Shell Dust]]/Table1[[#This Row],[Input Quantity (Kg''s)]]%,"")</f>
        <v/>
      </c>
    </row>
    <row r="395" spans="2:27" x14ac:dyDescent="0.3">
      <c r="B395" s="1"/>
      <c r="C395" s="15">
        <f>WEEKNUM(Table1[[#This Row],[Date]])</f>
        <v>0</v>
      </c>
      <c r="D395" s="1" t="str">
        <f>TEXT(Table1[[#This Row],[Date]],"mmm-yy")</f>
        <v>Jan-00</v>
      </c>
      <c r="E395" s="1"/>
      <c r="I395" s="3"/>
      <c r="M395" s="3"/>
      <c r="N395" s="3"/>
      <c r="O395" s="3"/>
      <c r="P395" s="3">
        <f>Table1[[#This Row],[Input Quantity (Kg''s)]]-SUM(Table1[[#This Row],[Wholes (kg''s)]:[Black Rejection (Kg''s)]],Table1[[#This Row],[Shell Dust]])</f>
        <v>0</v>
      </c>
      <c r="Q395" s="3">
        <f>SUM(Table1[[#This Row],[Wholes (kg''s)]:[Pieces (kg''s)]])</f>
        <v>0</v>
      </c>
      <c r="R395" s="3">
        <f>SUM(Table1[[#This Row],[Wholes (kg''s)]:[Black Rejection (Kg''s)]])</f>
        <v>0</v>
      </c>
      <c r="S395" s="4" t="str">
        <f>IFERROR(Table1[[#This Row],[Good Kernels (kg''s)]]/Table1[[#This Row],[Input Quantity (Kg''s)]]*176.36,"")</f>
        <v/>
      </c>
      <c r="T395" s="4" t="str">
        <f>IFERROR(Table1[[#This Row],[Good Kernels (kg''s)]]/Table1[[#This Row],[Input Quantity (Kg''s)]]%,"")</f>
        <v/>
      </c>
      <c r="U395" s="5" t="str">
        <f>IFERROR(Table1[[#This Row],[Final Kernels (kg''s)]]/Table1[[#This Row],[Input Quantity (Kg''s)]]%,"")</f>
        <v/>
      </c>
      <c r="V395" s="5" t="str">
        <f>IFERROR(Table1[[#This Row],[Wholes (kg''s)]]/Table1[[#This Row],[Good Kernels (kg''s)]]%,"")</f>
        <v/>
      </c>
      <c r="W395" s="5" t="str">
        <f>IFERROR(Table1[[#This Row],[Pieces (kg''s)]]/Table1[[#This Row],[Good Kernels (kg''s)]]%,"")</f>
        <v/>
      </c>
      <c r="X395" s="5" t="str">
        <f>IFERROR(Table1[[#This Row],[First Pass Uncut (kg''s)]]/Table1[[#This Row],[Input Quantity (Kg''s)]]%,"")</f>
        <v/>
      </c>
      <c r="Y395" s="5" t="str">
        <f>IFERROR(Table1[[#This Row],[Final Uncut (kg''s)]]/Table1[[#This Row],[Input Quantity (Kg''s)]]%,"")</f>
        <v/>
      </c>
      <c r="Z395" s="21" t="str">
        <f>IFERROR(Table1[[#This Row],[Shell]]/Table1[[#This Row],[Input Quantity (Kg''s)]]%,"")</f>
        <v/>
      </c>
      <c r="AA395" s="21" t="str">
        <f>IFERROR(Table1[[#This Row],[Shell Dust]]/Table1[[#This Row],[Input Quantity (Kg''s)]]%,"")</f>
        <v/>
      </c>
    </row>
    <row r="396" spans="2:27" x14ac:dyDescent="0.3">
      <c r="B396" s="1"/>
      <c r="C396" s="15">
        <f>WEEKNUM(Table1[[#This Row],[Date]])</f>
        <v>0</v>
      </c>
      <c r="D396" s="1" t="str">
        <f>TEXT(Table1[[#This Row],[Date]],"mmm-yy")</f>
        <v>Jan-00</v>
      </c>
      <c r="E396" s="1"/>
      <c r="I396" s="3"/>
      <c r="M396" s="3"/>
      <c r="N396" s="3"/>
      <c r="O396" s="3"/>
      <c r="P396" s="3">
        <f>Table1[[#This Row],[Input Quantity (Kg''s)]]-SUM(Table1[[#This Row],[Wholes (kg''s)]:[Black Rejection (Kg''s)]],Table1[[#This Row],[Shell Dust]])</f>
        <v>0</v>
      </c>
      <c r="Q396" s="3">
        <f>SUM(Table1[[#This Row],[Wholes (kg''s)]:[Pieces (kg''s)]])</f>
        <v>0</v>
      </c>
      <c r="R396" s="3">
        <f>SUM(Table1[[#This Row],[Wholes (kg''s)]:[Black Rejection (Kg''s)]])</f>
        <v>0</v>
      </c>
      <c r="S396" s="4" t="str">
        <f>IFERROR(Table1[[#This Row],[Good Kernels (kg''s)]]/Table1[[#This Row],[Input Quantity (Kg''s)]]*176.36,"")</f>
        <v/>
      </c>
      <c r="T396" s="4" t="str">
        <f>IFERROR(Table1[[#This Row],[Good Kernels (kg''s)]]/Table1[[#This Row],[Input Quantity (Kg''s)]]%,"")</f>
        <v/>
      </c>
      <c r="U396" s="5" t="str">
        <f>IFERROR(Table1[[#This Row],[Final Kernels (kg''s)]]/Table1[[#This Row],[Input Quantity (Kg''s)]]%,"")</f>
        <v/>
      </c>
      <c r="V396" s="5" t="str">
        <f>IFERROR(Table1[[#This Row],[Wholes (kg''s)]]/Table1[[#This Row],[Good Kernels (kg''s)]]%,"")</f>
        <v/>
      </c>
      <c r="W396" s="5" t="str">
        <f>IFERROR(Table1[[#This Row],[Pieces (kg''s)]]/Table1[[#This Row],[Good Kernels (kg''s)]]%,"")</f>
        <v/>
      </c>
      <c r="X396" s="5" t="str">
        <f>IFERROR(Table1[[#This Row],[First Pass Uncut (kg''s)]]/Table1[[#This Row],[Input Quantity (Kg''s)]]%,"")</f>
        <v/>
      </c>
      <c r="Y396" s="5" t="str">
        <f>IFERROR(Table1[[#This Row],[Final Uncut (kg''s)]]/Table1[[#This Row],[Input Quantity (Kg''s)]]%,"")</f>
        <v/>
      </c>
      <c r="Z396" s="21" t="str">
        <f>IFERROR(Table1[[#This Row],[Shell]]/Table1[[#This Row],[Input Quantity (Kg''s)]]%,"")</f>
        <v/>
      </c>
      <c r="AA396" s="21" t="str">
        <f>IFERROR(Table1[[#This Row],[Shell Dust]]/Table1[[#This Row],[Input Quantity (Kg''s)]]%,"")</f>
        <v/>
      </c>
    </row>
    <row r="397" spans="2:27" x14ac:dyDescent="0.3">
      <c r="B397" s="1"/>
      <c r="C397" s="15">
        <f>WEEKNUM(Table1[[#This Row],[Date]])</f>
        <v>0</v>
      </c>
      <c r="D397" s="1" t="str">
        <f>TEXT(Table1[[#This Row],[Date]],"mmm-yy")</f>
        <v>Jan-00</v>
      </c>
      <c r="E397" s="1"/>
      <c r="I397" s="3"/>
      <c r="M397" s="3"/>
      <c r="N397" s="3"/>
      <c r="O397" s="3"/>
      <c r="P397" s="3">
        <f>Table1[[#This Row],[Input Quantity (Kg''s)]]-SUM(Table1[[#This Row],[Wholes (kg''s)]:[Black Rejection (Kg''s)]],Table1[[#This Row],[Shell Dust]])</f>
        <v>0</v>
      </c>
      <c r="Q397" s="3">
        <f>SUM(Table1[[#This Row],[Wholes (kg''s)]:[Pieces (kg''s)]])</f>
        <v>0</v>
      </c>
      <c r="R397" s="3">
        <f>SUM(Table1[[#This Row],[Wholes (kg''s)]:[Black Rejection (Kg''s)]])</f>
        <v>0</v>
      </c>
      <c r="S397" s="4" t="str">
        <f>IFERROR(Table1[[#This Row],[Good Kernels (kg''s)]]/Table1[[#This Row],[Input Quantity (Kg''s)]]*176.36,"")</f>
        <v/>
      </c>
      <c r="T397" s="4" t="str">
        <f>IFERROR(Table1[[#This Row],[Good Kernels (kg''s)]]/Table1[[#This Row],[Input Quantity (Kg''s)]]%,"")</f>
        <v/>
      </c>
      <c r="U397" s="5" t="str">
        <f>IFERROR(Table1[[#This Row],[Final Kernels (kg''s)]]/Table1[[#This Row],[Input Quantity (Kg''s)]]%,"")</f>
        <v/>
      </c>
      <c r="V397" s="5" t="str">
        <f>IFERROR(Table1[[#This Row],[Wholes (kg''s)]]/Table1[[#This Row],[Good Kernels (kg''s)]]%,"")</f>
        <v/>
      </c>
      <c r="W397" s="5" t="str">
        <f>IFERROR(Table1[[#This Row],[Pieces (kg''s)]]/Table1[[#This Row],[Good Kernels (kg''s)]]%,"")</f>
        <v/>
      </c>
      <c r="X397" s="5" t="str">
        <f>IFERROR(Table1[[#This Row],[First Pass Uncut (kg''s)]]/Table1[[#This Row],[Input Quantity (Kg''s)]]%,"")</f>
        <v/>
      </c>
      <c r="Y397" s="5" t="str">
        <f>IFERROR(Table1[[#This Row],[Final Uncut (kg''s)]]/Table1[[#This Row],[Input Quantity (Kg''s)]]%,"")</f>
        <v/>
      </c>
      <c r="Z397" s="21" t="str">
        <f>IFERROR(Table1[[#This Row],[Shell]]/Table1[[#This Row],[Input Quantity (Kg''s)]]%,"")</f>
        <v/>
      </c>
      <c r="AA397" s="21" t="str">
        <f>IFERROR(Table1[[#This Row],[Shell Dust]]/Table1[[#This Row],[Input Quantity (Kg''s)]]%,"")</f>
        <v/>
      </c>
    </row>
    <row r="398" spans="2:27" x14ac:dyDescent="0.3">
      <c r="B398" s="1"/>
      <c r="C398" s="15">
        <f>WEEKNUM(Table1[[#This Row],[Date]])</f>
        <v>0</v>
      </c>
      <c r="D398" s="1" t="str">
        <f>TEXT(Table1[[#This Row],[Date]],"mmm-yy")</f>
        <v>Jan-00</v>
      </c>
      <c r="E398" s="1"/>
      <c r="I398" s="3"/>
      <c r="M398" s="3"/>
      <c r="N398" s="3"/>
      <c r="O398" s="3"/>
      <c r="P398" s="3">
        <f>Table1[[#This Row],[Input Quantity (Kg''s)]]-SUM(Table1[[#This Row],[Wholes (kg''s)]:[Black Rejection (Kg''s)]],Table1[[#This Row],[Shell Dust]])</f>
        <v>0</v>
      </c>
      <c r="Q398" s="3">
        <f>SUM(Table1[[#This Row],[Wholes (kg''s)]:[Pieces (kg''s)]])</f>
        <v>0</v>
      </c>
      <c r="R398" s="3">
        <f>SUM(Table1[[#This Row],[Wholes (kg''s)]:[Black Rejection (Kg''s)]])</f>
        <v>0</v>
      </c>
      <c r="S398" s="4" t="str">
        <f>IFERROR(Table1[[#This Row],[Good Kernels (kg''s)]]/Table1[[#This Row],[Input Quantity (Kg''s)]]*176.36,"")</f>
        <v/>
      </c>
      <c r="T398" s="4" t="str">
        <f>IFERROR(Table1[[#This Row],[Good Kernels (kg''s)]]/Table1[[#This Row],[Input Quantity (Kg''s)]]%,"")</f>
        <v/>
      </c>
      <c r="U398" s="5" t="str">
        <f>IFERROR(Table1[[#This Row],[Final Kernels (kg''s)]]/Table1[[#This Row],[Input Quantity (Kg''s)]]%,"")</f>
        <v/>
      </c>
      <c r="V398" s="5" t="str">
        <f>IFERROR(Table1[[#This Row],[Wholes (kg''s)]]/Table1[[#This Row],[Good Kernels (kg''s)]]%,"")</f>
        <v/>
      </c>
      <c r="W398" s="5" t="str">
        <f>IFERROR(Table1[[#This Row],[Pieces (kg''s)]]/Table1[[#This Row],[Good Kernels (kg''s)]]%,"")</f>
        <v/>
      </c>
      <c r="X398" s="5" t="str">
        <f>IFERROR(Table1[[#This Row],[First Pass Uncut (kg''s)]]/Table1[[#This Row],[Input Quantity (Kg''s)]]%,"")</f>
        <v/>
      </c>
      <c r="Y398" s="5" t="str">
        <f>IFERROR(Table1[[#This Row],[Final Uncut (kg''s)]]/Table1[[#This Row],[Input Quantity (Kg''s)]]%,"")</f>
        <v/>
      </c>
      <c r="Z398" s="21" t="str">
        <f>IFERROR(Table1[[#This Row],[Shell]]/Table1[[#This Row],[Input Quantity (Kg''s)]]%,"")</f>
        <v/>
      </c>
      <c r="AA398" s="21" t="str">
        <f>IFERROR(Table1[[#This Row],[Shell Dust]]/Table1[[#This Row],[Input Quantity (Kg''s)]]%,"")</f>
        <v/>
      </c>
    </row>
    <row r="399" spans="2:27" x14ac:dyDescent="0.3">
      <c r="B399" s="1"/>
      <c r="C399" s="15">
        <f>WEEKNUM(Table1[[#This Row],[Date]])</f>
        <v>0</v>
      </c>
      <c r="D399" s="1" t="str">
        <f>TEXT(Table1[[#This Row],[Date]],"mmm-yy")</f>
        <v>Jan-00</v>
      </c>
      <c r="E399" s="1"/>
      <c r="I399" s="3"/>
      <c r="M399" s="3"/>
      <c r="N399" s="3"/>
      <c r="O399" s="3"/>
      <c r="P399" s="3">
        <f>Table1[[#This Row],[Input Quantity (Kg''s)]]-SUM(Table1[[#This Row],[Wholes (kg''s)]:[Black Rejection (Kg''s)]],Table1[[#This Row],[Shell Dust]])</f>
        <v>0</v>
      </c>
      <c r="Q399" s="3">
        <f>SUM(Table1[[#This Row],[Wholes (kg''s)]:[Pieces (kg''s)]])</f>
        <v>0</v>
      </c>
      <c r="R399" s="3">
        <f>SUM(Table1[[#This Row],[Wholes (kg''s)]:[Black Rejection (Kg''s)]])</f>
        <v>0</v>
      </c>
      <c r="S399" s="4" t="str">
        <f>IFERROR(Table1[[#This Row],[Good Kernels (kg''s)]]/Table1[[#This Row],[Input Quantity (Kg''s)]]*176.36,"")</f>
        <v/>
      </c>
      <c r="T399" s="4" t="str">
        <f>IFERROR(Table1[[#This Row],[Good Kernels (kg''s)]]/Table1[[#This Row],[Input Quantity (Kg''s)]]%,"")</f>
        <v/>
      </c>
      <c r="U399" s="5" t="str">
        <f>IFERROR(Table1[[#This Row],[Final Kernels (kg''s)]]/Table1[[#This Row],[Input Quantity (Kg''s)]]%,"")</f>
        <v/>
      </c>
      <c r="V399" s="5" t="str">
        <f>IFERROR(Table1[[#This Row],[Wholes (kg''s)]]/Table1[[#This Row],[Good Kernels (kg''s)]]%,"")</f>
        <v/>
      </c>
      <c r="W399" s="5" t="str">
        <f>IFERROR(Table1[[#This Row],[Pieces (kg''s)]]/Table1[[#This Row],[Good Kernels (kg''s)]]%,"")</f>
        <v/>
      </c>
      <c r="X399" s="5" t="str">
        <f>IFERROR(Table1[[#This Row],[First Pass Uncut (kg''s)]]/Table1[[#This Row],[Input Quantity (Kg''s)]]%,"")</f>
        <v/>
      </c>
      <c r="Y399" s="5" t="str">
        <f>IFERROR(Table1[[#This Row],[Final Uncut (kg''s)]]/Table1[[#This Row],[Input Quantity (Kg''s)]]%,"")</f>
        <v/>
      </c>
      <c r="Z399" s="21" t="str">
        <f>IFERROR(Table1[[#This Row],[Shell]]/Table1[[#This Row],[Input Quantity (Kg''s)]]%,"")</f>
        <v/>
      </c>
      <c r="AA399" s="21" t="str">
        <f>IFERROR(Table1[[#This Row],[Shell Dust]]/Table1[[#This Row],[Input Quantity (Kg''s)]]%,"")</f>
        <v/>
      </c>
    </row>
    <row r="400" spans="2:27" x14ac:dyDescent="0.3">
      <c r="B400" s="1"/>
      <c r="C400" s="15">
        <f>WEEKNUM(Table1[[#This Row],[Date]])</f>
        <v>0</v>
      </c>
      <c r="D400" s="1" t="str">
        <f>TEXT(Table1[[#This Row],[Date]],"mmm-yy")</f>
        <v>Jan-00</v>
      </c>
      <c r="E400" s="1"/>
      <c r="I400" s="3"/>
      <c r="M400" s="3"/>
      <c r="N400" s="3"/>
      <c r="O400" s="3"/>
      <c r="P400" s="3">
        <f>Table1[[#This Row],[Input Quantity (Kg''s)]]-SUM(Table1[[#This Row],[Wholes (kg''s)]:[Black Rejection (Kg''s)]],Table1[[#This Row],[Shell Dust]])</f>
        <v>0</v>
      </c>
      <c r="Q400" s="3">
        <f>SUM(Table1[[#This Row],[Wholes (kg''s)]:[Pieces (kg''s)]])</f>
        <v>0</v>
      </c>
      <c r="R400" s="3">
        <f>SUM(Table1[[#This Row],[Wholes (kg''s)]:[Black Rejection (Kg''s)]])</f>
        <v>0</v>
      </c>
      <c r="S400" s="4" t="str">
        <f>IFERROR(Table1[[#This Row],[Good Kernels (kg''s)]]/Table1[[#This Row],[Input Quantity (Kg''s)]]*176.36,"")</f>
        <v/>
      </c>
      <c r="T400" s="4" t="str">
        <f>IFERROR(Table1[[#This Row],[Good Kernels (kg''s)]]/Table1[[#This Row],[Input Quantity (Kg''s)]]%,"")</f>
        <v/>
      </c>
      <c r="U400" s="5" t="str">
        <f>IFERROR(Table1[[#This Row],[Final Kernels (kg''s)]]/Table1[[#This Row],[Input Quantity (Kg''s)]]%,"")</f>
        <v/>
      </c>
      <c r="V400" s="5" t="str">
        <f>IFERROR(Table1[[#This Row],[Wholes (kg''s)]]/Table1[[#This Row],[Good Kernels (kg''s)]]%,"")</f>
        <v/>
      </c>
      <c r="W400" s="5" t="str">
        <f>IFERROR(Table1[[#This Row],[Pieces (kg''s)]]/Table1[[#This Row],[Good Kernels (kg''s)]]%,"")</f>
        <v/>
      </c>
      <c r="X400" s="5" t="str">
        <f>IFERROR(Table1[[#This Row],[First Pass Uncut (kg''s)]]/Table1[[#This Row],[Input Quantity (Kg''s)]]%,"")</f>
        <v/>
      </c>
      <c r="Y400" s="5" t="str">
        <f>IFERROR(Table1[[#This Row],[Final Uncut (kg''s)]]/Table1[[#This Row],[Input Quantity (Kg''s)]]%,"")</f>
        <v/>
      </c>
      <c r="Z400" s="21" t="str">
        <f>IFERROR(Table1[[#This Row],[Shell]]/Table1[[#This Row],[Input Quantity (Kg''s)]]%,"")</f>
        <v/>
      </c>
      <c r="AA400" s="21" t="str">
        <f>IFERROR(Table1[[#This Row],[Shell Dust]]/Table1[[#This Row],[Input Quantity (Kg''s)]]%,"")</f>
        <v/>
      </c>
    </row>
    <row r="401" spans="2:27" x14ac:dyDescent="0.3">
      <c r="B401" s="1"/>
      <c r="C401" s="15">
        <f>WEEKNUM(Table1[[#This Row],[Date]])</f>
        <v>0</v>
      </c>
      <c r="D401" s="1" t="str">
        <f>TEXT(Table1[[#This Row],[Date]],"mmm-yy")</f>
        <v>Jan-00</v>
      </c>
      <c r="E401" s="1"/>
      <c r="I401" s="3"/>
      <c r="M401" s="3"/>
      <c r="N401" s="3"/>
      <c r="O401" s="3"/>
      <c r="P401" s="3">
        <f>Table1[[#This Row],[Input Quantity (Kg''s)]]-SUM(Table1[[#This Row],[Wholes (kg''s)]:[Black Rejection (Kg''s)]],Table1[[#This Row],[Shell Dust]])</f>
        <v>0</v>
      </c>
      <c r="Q401" s="3">
        <f>SUM(Table1[[#This Row],[Wholes (kg''s)]:[Pieces (kg''s)]])</f>
        <v>0</v>
      </c>
      <c r="R401" s="3">
        <f>SUM(Table1[[#This Row],[Wholes (kg''s)]:[Black Rejection (Kg''s)]])</f>
        <v>0</v>
      </c>
      <c r="S401" s="4" t="str">
        <f>IFERROR(Table1[[#This Row],[Good Kernels (kg''s)]]/Table1[[#This Row],[Input Quantity (Kg''s)]]*176.36,"")</f>
        <v/>
      </c>
      <c r="T401" s="4" t="str">
        <f>IFERROR(Table1[[#This Row],[Good Kernels (kg''s)]]/Table1[[#This Row],[Input Quantity (Kg''s)]]%,"")</f>
        <v/>
      </c>
      <c r="U401" s="5" t="str">
        <f>IFERROR(Table1[[#This Row],[Final Kernels (kg''s)]]/Table1[[#This Row],[Input Quantity (Kg''s)]]%,"")</f>
        <v/>
      </c>
      <c r="V401" s="5" t="str">
        <f>IFERROR(Table1[[#This Row],[Wholes (kg''s)]]/Table1[[#This Row],[Good Kernels (kg''s)]]%,"")</f>
        <v/>
      </c>
      <c r="W401" s="5" t="str">
        <f>IFERROR(Table1[[#This Row],[Pieces (kg''s)]]/Table1[[#This Row],[Good Kernels (kg''s)]]%,"")</f>
        <v/>
      </c>
      <c r="X401" s="5" t="str">
        <f>IFERROR(Table1[[#This Row],[First Pass Uncut (kg''s)]]/Table1[[#This Row],[Input Quantity (Kg''s)]]%,"")</f>
        <v/>
      </c>
      <c r="Y401" s="5" t="str">
        <f>IFERROR(Table1[[#This Row],[Final Uncut (kg''s)]]/Table1[[#This Row],[Input Quantity (Kg''s)]]%,"")</f>
        <v/>
      </c>
      <c r="Z401" s="21" t="str">
        <f>IFERROR(Table1[[#This Row],[Shell]]/Table1[[#This Row],[Input Quantity (Kg''s)]]%,"")</f>
        <v/>
      </c>
      <c r="AA401" s="21" t="str">
        <f>IFERROR(Table1[[#This Row],[Shell Dust]]/Table1[[#This Row],[Input Quantity (Kg''s)]]%,"")</f>
        <v/>
      </c>
    </row>
    <row r="402" spans="2:27" x14ac:dyDescent="0.3">
      <c r="B402" s="1"/>
      <c r="C402" s="15">
        <f>WEEKNUM(Table1[[#This Row],[Date]])</f>
        <v>0</v>
      </c>
      <c r="D402" s="1" t="str">
        <f>TEXT(Table1[[#This Row],[Date]],"mmm-yy")</f>
        <v>Jan-00</v>
      </c>
      <c r="E402" s="1"/>
      <c r="I402" s="3"/>
      <c r="M402" s="3"/>
      <c r="N402" s="3"/>
      <c r="O402" s="3"/>
      <c r="P402" s="3">
        <f>Table1[[#This Row],[Input Quantity (Kg''s)]]-SUM(Table1[[#This Row],[Wholes (kg''s)]:[Black Rejection (Kg''s)]],Table1[[#This Row],[Shell Dust]])</f>
        <v>0</v>
      </c>
      <c r="Q402" s="3">
        <f>SUM(Table1[[#This Row],[Wholes (kg''s)]:[Pieces (kg''s)]])</f>
        <v>0</v>
      </c>
      <c r="R402" s="3">
        <f>SUM(Table1[[#This Row],[Wholes (kg''s)]:[Black Rejection (Kg''s)]])</f>
        <v>0</v>
      </c>
      <c r="S402" s="4" t="str">
        <f>IFERROR(Table1[[#This Row],[Good Kernels (kg''s)]]/Table1[[#This Row],[Input Quantity (Kg''s)]]*176.36,"")</f>
        <v/>
      </c>
      <c r="T402" s="4" t="str">
        <f>IFERROR(Table1[[#This Row],[Good Kernels (kg''s)]]/Table1[[#This Row],[Input Quantity (Kg''s)]]%,"")</f>
        <v/>
      </c>
      <c r="U402" s="5" t="str">
        <f>IFERROR(Table1[[#This Row],[Final Kernels (kg''s)]]/Table1[[#This Row],[Input Quantity (Kg''s)]]%,"")</f>
        <v/>
      </c>
      <c r="V402" s="5" t="str">
        <f>IFERROR(Table1[[#This Row],[Wholes (kg''s)]]/Table1[[#This Row],[Good Kernels (kg''s)]]%,"")</f>
        <v/>
      </c>
      <c r="W402" s="5" t="str">
        <f>IFERROR(Table1[[#This Row],[Pieces (kg''s)]]/Table1[[#This Row],[Good Kernels (kg''s)]]%,"")</f>
        <v/>
      </c>
      <c r="X402" s="5" t="str">
        <f>IFERROR(Table1[[#This Row],[First Pass Uncut (kg''s)]]/Table1[[#This Row],[Input Quantity (Kg''s)]]%,"")</f>
        <v/>
      </c>
      <c r="Y402" s="5" t="str">
        <f>IFERROR(Table1[[#This Row],[Final Uncut (kg''s)]]/Table1[[#This Row],[Input Quantity (Kg''s)]]%,"")</f>
        <v/>
      </c>
      <c r="Z402" s="21" t="str">
        <f>IFERROR(Table1[[#This Row],[Shell]]/Table1[[#This Row],[Input Quantity (Kg''s)]]%,"")</f>
        <v/>
      </c>
      <c r="AA402" s="21" t="str">
        <f>IFERROR(Table1[[#This Row],[Shell Dust]]/Table1[[#This Row],[Input Quantity (Kg''s)]]%,"")</f>
        <v/>
      </c>
    </row>
    <row r="403" spans="2:27" x14ac:dyDescent="0.3">
      <c r="B403" s="1"/>
      <c r="C403" s="15">
        <f>WEEKNUM(Table1[[#This Row],[Date]])</f>
        <v>0</v>
      </c>
      <c r="D403" s="1" t="str">
        <f>TEXT(Table1[[#This Row],[Date]],"mmm-yy")</f>
        <v>Jan-00</v>
      </c>
      <c r="E403" s="1"/>
      <c r="I403" s="3"/>
      <c r="M403" s="3"/>
      <c r="N403" s="3"/>
      <c r="O403" s="3"/>
      <c r="P403" s="3">
        <f>Table1[[#This Row],[Input Quantity (Kg''s)]]-SUM(Table1[[#This Row],[Wholes (kg''s)]:[Black Rejection (Kg''s)]],Table1[[#This Row],[Shell Dust]])</f>
        <v>0</v>
      </c>
      <c r="Q403" s="3">
        <f>SUM(Table1[[#This Row],[Wholes (kg''s)]:[Pieces (kg''s)]])</f>
        <v>0</v>
      </c>
      <c r="R403" s="3">
        <f>SUM(Table1[[#This Row],[Wholes (kg''s)]:[Black Rejection (Kg''s)]])</f>
        <v>0</v>
      </c>
      <c r="S403" s="4" t="str">
        <f>IFERROR(Table1[[#This Row],[Good Kernels (kg''s)]]/Table1[[#This Row],[Input Quantity (Kg''s)]]*176.36,"")</f>
        <v/>
      </c>
      <c r="T403" s="4" t="str">
        <f>IFERROR(Table1[[#This Row],[Good Kernels (kg''s)]]/Table1[[#This Row],[Input Quantity (Kg''s)]]%,"")</f>
        <v/>
      </c>
      <c r="U403" s="5" t="str">
        <f>IFERROR(Table1[[#This Row],[Final Kernels (kg''s)]]/Table1[[#This Row],[Input Quantity (Kg''s)]]%,"")</f>
        <v/>
      </c>
      <c r="V403" s="5" t="str">
        <f>IFERROR(Table1[[#This Row],[Wholes (kg''s)]]/Table1[[#This Row],[Good Kernels (kg''s)]]%,"")</f>
        <v/>
      </c>
      <c r="W403" s="5" t="str">
        <f>IFERROR(Table1[[#This Row],[Pieces (kg''s)]]/Table1[[#This Row],[Good Kernels (kg''s)]]%,"")</f>
        <v/>
      </c>
      <c r="X403" s="5" t="str">
        <f>IFERROR(Table1[[#This Row],[First Pass Uncut (kg''s)]]/Table1[[#This Row],[Input Quantity (Kg''s)]]%,"")</f>
        <v/>
      </c>
      <c r="Y403" s="5" t="str">
        <f>IFERROR(Table1[[#This Row],[Final Uncut (kg''s)]]/Table1[[#This Row],[Input Quantity (Kg''s)]]%,"")</f>
        <v/>
      </c>
      <c r="Z403" s="21" t="str">
        <f>IFERROR(Table1[[#This Row],[Shell]]/Table1[[#This Row],[Input Quantity (Kg''s)]]%,"")</f>
        <v/>
      </c>
      <c r="AA403" s="21" t="str">
        <f>IFERROR(Table1[[#This Row],[Shell Dust]]/Table1[[#This Row],[Input Quantity (Kg''s)]]%,"")</f>
        <v/>
      </c>
    </row>
    <row r="404" spans="2:27" x14ac:dyDescent="0.3">
      <c r="B404" s="1"/>
      <c r="C404" s="15">
        <f>WEEKNUM(Table1[[#This Row],[Date]])</f>
        <v>0</v>
      </c>
      <c r="D404" s="1" t="str">
        <f>TEXT(Table1[[#This Row],[Date]],"mmm-yy")</f>
        <v>Jan-00</v>
      </c>
      <c r="E404" s="1"/>
      <c r="I404" s="3"/>
      <c r="M404" s="3"/>
      <c r="N404" s="3"/>
      <c r="O404" s="3"/>
      <c r="P404" s="3">
        <f>Table1[[#This Row],[Input Quantity (Kg''s)]]-SUM(Table1[[#This Row],[Wholes (kg''s)]:[Black Rejection (Kg''s)]],Table1[[#This Row],[Shell Dust]])</f>
        <v>0</v>
      </c>
      <c r="Q404" s="3">
        <f>SUM(Table1[[#This Row],[Wholes (kg''s)]:[Pieces (kg''s)]])</f>
        <v>0</v>
      </c>
      <c r="R404" s="3">
        <f>SUM(Table1[[#This Row],[Wholes (kg''s)]:[Black Rejection (Kg''s)]])</f>
        <v>0</v>
      </c>
      <c r="S404" s="4" t="str">
        <f>IFERROR(Table1[[#This Row],[Good Kernels (kg''s)]]/Table1[[#This Row],[Input Quantity (Kg''s)]]*176.36,"")</f>
        <v/>
      </c>
      <c r="T404" s="4" t="str">
        <f>IFERROR(Table1[[#This Row],[Good Kernels (kg''s)]]/Table1[[#This Row],[Input Quantity (Kg''s)]]%,"")</f>
        <v/>
      </c>
      <c r="U404" s="5" t="str">
        <f>IFERROR(Table1[[#This Row],[Final Kernels (kg''s)]]/Table1[[#This Row],[Input Quantity (Kg''s)]]%,"")</f>
        <v/>
      </c>
      <c r="V404" s="5" t="str">
        <f>IFERROR(Table1[[#This Row],[Wholes (kg''s)]]/Table1[[#This Row],[Good Kernels (kg''s)]]%,"")</f>
        <v/>
      </c>
      <c r="W404" s="5" t="str">
        <f>IFERROR(Table1[[#This Row],[Pieces (kg''s)]]/Table1[[#This Row],[Good Kernels (kg''s)]]%,"")</f>
        <v/>
      </c>
      <c r="X404" s="5" t="str">
        <f>IFERROR(Table1[[#This Row],[First Pass Uncut (kg''s)]]/Table1[[#This Row],[Input Quantity (Kg''s)]]%,"")</f>
        <v/>
      </c>
      <c r="Y404" s="5" t="str">
        <f>IFERROR(Table1[[#This Row],[Final Uncut (kg''s)]]/Table1[[#This Row],[Input Quantity (Kg''s)]]%,"")</f>
        <v/>
      </c>
      <c r="Z404" s="21" t="str">
        <f>IFERROR(Table1[[#This Row],[Shell]]/Table1[[#This Row],[Input Quantity (Kg''s)]]%,"")</f>
        <v/>
      </c>
      <c r="AA404" s="21" t="str">
        <f>IFERROR(Table1[[#This Row],[Shell Dust]]/Table1[[#This Row],[Input Quantity (Kg''s)]]%,"")</f>
        <v/>
      </c>
    </row>
    <row r="405" spans="2:27" x14ac:dyDescent="0.3">
      <c r="B405" s="1"/>
      <c r="C405" s="15">
        <f>WEEKNUM(Table1[[#This Row],[Date]])</f>
        <v>0</v>
      </c>
      <c r="D405" s="1" t="str">
        <f>TEXT(Table1[[#This Row],[Date]],"mmm-yy")</f>
        <v>Jan-00</v>
      </c>
      <c r="E405" s="1"/>
      <c r="I405" s="3"/>
      <c r="M405" s="3"/>
      <c r="N405" s="3"/>
      <c r="O405" s="3"/>
      <c r="P405" s="3">
        <f>Table1[[#This Row],[Input Quantity (Kg''s)]]-SUM(Table1[[#This Row],[Wholes (kg''s)]:[Black Rejection (Kg''s)]],Table1[[#This Row],[Shell Dust]])</f>
        <v>0</v>
      </c>
      <c r="Q405" s="3">
        <f>SUM(Table1[[#This Row],[Wholes (kg''s)]:[Pieces (kg''s)]])</f>
        <v>0</v>
      </c>
      <c r="R405" s="3">
        <f>SUM(Table1[[#This Row],[Wholes (kg''s)]:[Black Rejection (Kg''s)]])</f>
        <v>0</v>
      </c>
      <c r="S405" s="4" t="str">
        <f>IFERROR(Table1[[#This Row],[Good Kernels (kg''s)]]/Table1[[#This Row],[Input Quantity (Kg''s)]]*176.36,"")</f>
        <v/>
      </c>
      <c r="T405" s="4" t="str">
        <f>IFERROR(Table1[[#This Row],[Good Kernels (kg''s)]]/Table1[[#This Row],[Input Quantity (Kg''s)]]%,"")</f>
        <v/>
      </c>
      <c r="U405" s="5" t="str">
        <f>IFERROR(Table1[[#This Row],[Final Kernels (kg''s)]]/Table1[[#This Row],[Input Quantity (Kg''s)]]%,"")</f>
        <v/>
      </c>
      <c r="V405" s="5" t="str">
        <f>IFERROR(Table1[[#This Row],[Wholes (kg''s)]]/Table1[[#This Row],[Good Kernels (kg''s)]]%,"")</f>
        <v/>
      </c>
      <c r="W405" s="5" t="str">
        <f>IFERROR(Table1[[#This Row],[Pieces (kg''s)]]/Table1[[#This Row],[Good Kernels (kg''s)]]%,"")</f>
        <v/>
      </c>
      <c r="X405" s="5" t="str">
        <f>IFERROR(Table1[[#This Row],[First Pass Uncut (kg''s)]]/Table1[[#This Row],[Input Quantity (Kg''s)]]%,"")</f>
        <v/>
      </c>
      <c r="Y405" s="5" t="str">
        <f>IFERROR(Table1[[#This Row],[Final Uncut (kg''s)]]/Table1[[#This Row],[Input Quantity (Kg''s)]]%,"")</f>
        <v/>
      </c>
      <c r="Z405" s="21" t="str">
        <f>IFERROR(Table1[[#This Row],[Shell]]/Table1[[#This Row],[Input Quantity (Kg''s)]]%,"")</f>
        <v/>
      </c>
      <c r="AA405" s="21" t="str">
        <f>IFERROR(Table1[[#This Row],[Shell Dust]]/Table1[[#This Row],[Input Quantity (Kg''s)]]%,"")</f>
        <v/>
      </c>
    </row>
    <row r="406" spans="2:27" x14ac:dyDescent="0.3">
      <c r="B406" s="1"/>
      <c r="C406" s="15">
        <f>WEEKNUM(Table1[[#This Row],[Date]])</f>
        <v>0</v>
      </c>
      <c r="D406" s="1" t="str">
        <f>TEXT(Table1[[#This Row],[Date]],"mmm-yy")</f>
        <v>Jan-00</v>
      </c>
      <c r="E406" s="1"/>
      <c r="I406" s="3"/>
      <c r="M406" s="3"/>
      <c r="N406" s="3"/>
      <c r="O406" s="3"/>
      <c r="P406" s="3">
        <f>Table1[[#This Row],[Input Quantity (Kg''s)]]-SUM(Table1[[#This Row],[Wholes (kg''s)]:[Black Rejection (Kg''s)]],Table1[[#This Row],[Shell Dust]])</f>
        <v>0</v>
      </c>
      <c r="Q406" s="3">
        <f>SUM(Table1[[#This Row],[Wholes (kg''s)]:[Pieces (kg''s)]])</f>
        <v>0</v>
      </c>
      <c r="R406" s="3">
        <f>SUM(Table1[[#This Row],[Wholes (kg''s)]:[Black Rejection (Kg''s)]])</f>
        <v>0</v>
      </c>
      <c r="S406" s="4" t="str">
        <f>IFERROR(Table1[[#This Row],[Good Kernels (kg''s)]]/Table1[[#This Row],[Input Quantity (Kg''s)]]*176.36,"")</f>
        <v/>
      </c>
      <c r="T406" s="4" t="str">
        <f>IFERROR(Table1[[#This Row],[Good Kernels (kg''s)]]/Table1[[#This Row],[Input Quantity (Kg''s)]]%,"")</f>
        <v/>
      </c>
      <c r="U406" s="5" t="str">
        <f>IFERROR(Table1[[#This Row],[Final Kernels (kg''s)]]/Table1[[#This Row],[Input Quantity (Kg''s)]]%,"")</f>
        <v/>
      </c>
      <c r="V406" s="5" t="str">
        <f>IFERROR(Table1[[#This Row],[Wholes (kg''s)]]/Table1[[#This Row],[Good Kernels (kg''s)]]%,"")</f>
        <v/>
      </c>
      <c r="W406" s="5" t="str">
        <f>IFERROR(Table1[[#This Row],[Pieces (kg''s)]]/Table1[[#This Row],[Good Kernels (kg''s)]]%,"")</f>
        <v/>
      </c>
      <c r="X406" s="5" t="str">
        <f>IFERROR(Table1[[#This Row],[First Pass Uncut (kg''s)]]/Table1[[#This Row],[Input Quantity (Kg''s)]]%,"")</f>
        <v/>
      </c>
      <c r="Y406" s="5" t="str">
        <f>IFERROR(Table1[[#This Row],[Final Uncut (kg''s)]]/Table1[[#This Row],[Input Quantity (Kg''s)]]%,"")</f>
        <v/>
      </c>
      <c r="Z406" s="21" t="str">
        <f>IFERROR(Table1[[#This Row],[Shell]]/Table1[[#This Row],[Input Quantity (Kg''s)]]%,"")</f>
        <v/>
      </c>
      <c r="AA406" s="21" t="str">
        <f>IFERROR(Table1[[#This Row],[Shell Dust]]/Table1[[#This Row],[Input Quantity (Kg''s)]]%,"")</f>
        <v/>
      </c>
    </row>
    <row r="407" spans="2:27" x14ac:dyDescent="0.3">
      <c r="B407" s="1"/>
      <c r="C407" s="15">
        <f>WEEKNUM(Table1[[#This Row],[Date]])</f>
        <v>0</v>
      </c>
      <c r="D407" s="1" t="str">
        <f>TEXT(Table1[[#This Row],[Date]],"mmm-yy")</f>
        <v>Jan-00</v>
      </c>
      <c r="E407" s="1"/>
      <c r="I407" s="3"/>
      <c r="M407" s="3"/>
      <c r="N407" s="3"/>
      <c r="O407" s="3"/>
      <c r="P407" s="3">
        <f>Table1[[#This Row],[Input Quantity (Kg''s)]]-SUM(Table1[[#This Row],[Wholes (kg''s)]:[Black Rejection (Kg''s)]],Table1[[#This Row],[Shell Dust]])</f>
        <v>0</v>
      </c>
      <c r="Q407" s="3">
        <f>SUM(Table1[[#This Row],[Wholes (kg''s)]:[Pieces (kg''s)]])</f>
        <v>0</v>
      </c>
      <c r="R407" s="3">
        <f>SUM(Table1[[#This Row],[Wholes (kg''s)]:[Black Rejection (Kg''s)]])</f>
        <v>0</v>
      </c>
      <c r="S407" s="4" t="str">
        <f>IFERROR(Table1[[#This Row],[Good Kernels (kg''s)]]/Table1[[#This Row],[Input Quantity (Kg''s)]]*176.36,"")</f>
        <v/>
      </c>
      <c r="T407" s="4" t="str">
        <f>IFERROR(Table1[[#This Row],[Good Kernels (kg''s)]]/Table1[[#This Row],[Input Quantity (Kg''s)]]%,"")</f>
        <v/>
      </c>
      <c r="U407" s="5" t="str">
        <f>IFERROR(Table1[[#This Row],[Final Kernels (kg''s)]]/Table1[[#This Row],[Input Quantity (Kg''s)]]%,"")</f>
        <v/>
      </c>
      <c r="V407" s="5" t="str">
        <f>IFERROR(Table1[[#This Row],[Wholes (kg''s)]]/Table1[[#This Row],[Good Kernels (kg''s)]]%,"")</f>
        <v/>
      </c>
      <c r="W407" s="5" t="str">
        <f>IFERROR(Table1[[#This Row],[Pieces (kg''s)]]/Table1[[#This Row],[Good Kernels (kg''s)]]%,"")</f>
        <v/>
      </c>
      <c r="X407" s="5" t="str">
        <f>IFERROR(Table1[[#This Row],[First Pass Uncut (kg''s)]]/Table1[[#This Row],[Input Quantity (Kg''s)]]%,"")</f>
        <v/>
      </c>
      <c r="Y407" s="5" t="str">
        <f>IFERROR(Table1[[#This Row],[Final Uncut (kg''s)]]/Table1[[#This Row],[Input Quantity (Kg''s)]]%,"")</f>
        <v/>
      </c>
      <c r="Z407" s="21" t="str">
        <f>IFERROR(Table1[[#This Row],[Shell]]/Table1[[#This Row],[Input Quantity (Kg''s)]]%,"")</f>
        <v/>
      </c>
      <c r="AA407" s="21" t="str">
        <f>IFERROR(Table1[[#This Row],[Shell Dust]]/Table1[[#This Row],[Input Quantity (Kg''s)]]%,"")</f>
        <v/>
      </c>
    </row>
    <row r="408" spans="2:27" x14ac:dyDescent="0.3">
      <c r="B408" s="1"/>
      <c r="C408" s="15">
        <f>WEEKNUM(Table1[[#This Row],[Date]])</f>
        <v>0</v>
      </c>
      <c r="D408" s="1" t="str">
        <f>TEXT(Table1[[#This Row],[Date]],"mmm-yy")</f>
        <v>Jan-00</v>
      </c>
      <c r="E408" s="1"/>
      <c r="I408" s="3"/>
      <c r="M408" s="3"/>
      <c r="N408" s="3"/>
      <c r="O408" s="3"/>
      <c r="P408" s="3">
        <f>Table1[[#This Row],[Input Quantity (Kg''s)]]-SUM(Table1[[#This Row],[Wholes (kg''s)]:[Black Rejection (Kg''s)]],Table1[[#This Row],[Shell Dust]])</f>
        <v>0</v>
      </c>
      <c r="Q408" s="3">
        <f>SUM(Table1[[#This Row],[Wholes (kg''s)]:[Pieces (kg''s)]])</f>
        <v>0</v>
      </c>
      <c r="R408" s="3">
        <f>SUM(Table1[[#This Row],[Wholes (kg''s)]:[Black Rejection (Kg''s)]])</f>
        <v>0</v>
      </c>
      <c r="S408" s="4" t="str">
        <f>IFERROR(Table1[[#This Row],[Good Kernels (kg''s)]]/Table1[[#This Row],[Input Quantity (Kg''s)]]*176.36,"")</f>
        <v/>
      </c>
      <c r="T408" s="4" t="str">
        <f>IFERROR(Table1[[#This Row],[Good Kernels (kg''s)]]/Table1[[#This Row],[Input Quantity (Kg''s)]]%,"")</f>
        <v/>
      </c>
      <c r="U408" s="5" t="str">
        <f>IFERROR(Table1[[#This Row],[Final Kernels (kg''s)]]/Table1[[#This Row],[Input Quantity (Kg''s)]]%,"")</f>
        <v/>
      </c>
      <c r="V408" s="5" t="str">
        <f>IFERROR(Table1[[#This Row],[Wholes (kg''s)]]/Table1[[#This Row],[Good Kernels (kg''s)]]%,"")</f>
        <v/>
      </c>
      <c r="W408" s="5" t="str">
        <f>IFERROR(Table1[[#This Row],[Pieces (kg''s)]]/Table1[[#This Row],[Good Kernels (kg''s)]]%,"")</f>
        <v/>
      </c>
      <c r="X408" s="5" t="str">
        <f>IFERROR(Table1[[#This Row],[First Pass Uncut (kg''s)]]/Table1[[#This Row],[Input Quantity (Kg''s)]]%,"")</f>
        <v/>
      </c>
      <c r="Y408" s="5" t="str">
        <f>IFERROR(Table1[[#This Row],[Final Uncut (kg''s)]]/Table1[[#This Row],[Input Quantity (Kg''s)]]%,"")</f>
        <v/>
      </c>
      <c r="Z408" s="21" t="str">
        <f>IFERROR(Table1[[#This Row],[Shell]]/Table1[[#This Row],[Input Quantity (Kg''s)]]%,"")</f>
        <v/>
      </c>
      <c r="AA408" s="21" t="str">
        <f>IFERROR(Table1[[#This Row],[Shell Dust]]/Table1[[#This Row],[Input Quantity (Kg''s)]]%,"")</f>
        <v/>
      </c>
    </row>
    <row r="409" spans="2:27" x14ac:dyDescent="0.3">
      <c r="B409" s="1"/>
      <c r="C409" s="15">
        <f>WEEKNUM(Table1[[#This Row],[Date]])</f>
        <v>0</v>
      </c>
      <c r="D409" s="1" t="str">
        <f>TEXT(Table1[[#This Row],[Date]],"mmm-yy")</f>
        <v>Jan-00</v>
      </c>
      <c r="E409" s="1"/>
      <c r="I409" s="3"/>
      <c r="M409" s="3"/>
      <c r="N409" s="3"/>
      <c r="O409" s="3"/>
      <c r="P409" s="3">
        <f>Table1[[#This Row],[Input Quantity (Kg''s)]]-SUM(Table1[[#This Row],[Wholes (kg''s)]:[Black Rejection (Kg''s)]],Table1[[#This Row],[Shell Dust]])</f>
        <v>0</v>
      </c>
      <c r="Q409" s="3">
        <f>SUM(Table1[[#This Row],[Wholes (kg''s)]:[Pieces (kg''s)]])</f>
        <v>0</v>
      </c>
      <c r="R409" s="3">
        <f>SUM(Table1[[#This Row],[Wholes (kg''s)]:[Black Rejection (Kg''s)]])</f>
        <v>0</v>
      </c>
      <c r="S409" s="4" t="str">
        <f>IFERROR(Table1[[#This Row],[Good Kernels (kg''s)]]/Table1[[#This Row],[Input Quantity (Kg''s)]]*176.36,"")</f>
        <v/>
      </c>
      <c r="T409" s="4" t="str">
        <f>IFERROR(Table1[[#This Row],[Good Kernels (kg''s)]]/Table1[[#This Row],[Input Quantity (Kg''s)]]%,"")</f>
        <v/>
      </c>
      <c r="U409" s="5" t="str">
        <f>IFERROR(Table1[[#This Row],[Final Kernels (kg''s)]]/Table1[[#This Row],[Input Quantity (Kg''s)]]%,"")</f>
        <v/>
      </c>
      <c r="V409" s="5" t="str">
        <f>IFERROR(Table1[[#This Row],[Wholes (kg''s)]]/Table1[[#This Row],[Good Kernels (kg''s)]]%,"")</f>
        <v/>
      </c>
      <c r="W409" s="5" t="str">
        <f>IFERROR(Table1[[#This Row],[Pieces (kg''s)]]/Table1[[#This Row],[Good Kernels (kg''s)]]%,"")</f>
        <v/>
      </c>
      <c r="X409" s="5" t="str">
        <f>IFERROR(Table1[[#This Row],[First Pass Uncut (kg''s)]]/Table1[[#This Row],[Input Quantity (Kg''s)]]%,"")</f>
        <v/>
      </c>
      <c r="Y409" s="5" t="str">
        <f>IFERROR(Table1[[#This Row],[Final Uncut (kg''s)]]/Table1[[#This Row],[Input Quantity (Kg''s)]]%,"")</f>
        <v/>
      </c>
      <c r="Z409" s="21" t="str">
        <f>IFERROR(Table1[[#This Row],[Shell]]/Table1[[#This Row],[Input Quantity (Kg''s)]]%,"")</f>
        <v/>
      </c>
      <c r="AA409" s="21" t="str">
        <f>IFERROR(Table1[[#This Row],[Shell Dust]]/Table1[[#This Row],[Input Quantity (Kg''s)]]%,"")</f>
        <v/>
      </c>
    </row>
    <row r="410" spans="2:27" x14ac:dyDescent="0.3">
      <c r="B410" s="1"/>
      <c r="C410" s="15">
        <f>WEEKNUM(Table1[[#This Row],[Date]])</f>
        <v>0</v>
      </c>
      <c r="D410" s="1" t="str">
        <f>TEXT(Table1[[#This Row],[Date]],"mmm-yy")</f>
        <v>Jan-00</v>
      </c>
      <c r="E410" s="1"/>
      <c r="I410" s="3"/>
      <c r="M410" s="3"/>
      <c r="N410" s="3"/>
      <c r="O410" s="3"/>
      <c r="P410" s="3">
        <f>Table1[[#This Row],[Input Quantity (Kg''s)]]-SUM(Table1[[#This Row],[Wholes (kg''s)]:[Black Rejection (Kg''s)]],Table1[[#This Row],[Shell Dust]])</f>
        <v>0</v>
      </c>
      <c r="Q410" s="3">
        <f>SUM(Table1[[#This Row],[Wholes (kg''s)]:[Pieces (kg''s)]])</f>
        <v>0</v>
      </c>
      <c r="R410" s="3">
        <f>SUM(Table1[[#This Row],[Wholes (kg''s)]:[Black Rejection (Kg''s)]])</f>
        <v>0</v>
      </c>
      <c r="S410" s="4" t="str">
        <f>IFERROR(Table1[[#This Row],[Good Kernels (kg''s)]]/Table1[[#This Row],[Input Quantity (Kg''s)]]*176.36,"")</f>
        <v/>
      </c>
      <c r="T410" s="4" t="str">
        <f>IFERROR(Table1[[#This Row],[Good Kernels (kg''s)]]/Table1[[#This Row],[Input Quantity (Kg''s)]]%,"")</f>
        <v/>
      </c>
      <c r="U410" s="5" t="str">
        <f>IFERROR(Table1[[#This Row],[Final Kernels (kg''s)]]/Table1[[#This Row],[Input Quantity (Kg''s)]]%,"")</f>
        <v/>
      </c>
      <c r="V410" s="5" t="str">
        <f>IFERROR(Table1[[#This Row],[Wholes (kg''s)]]/Table1[[#This Row],[Good Kernels (kg''s)]]%,"")</f>
        <v/>
      </c>
      <c r="W410" s="5" t="str">
        <f>IFERROR(Table1[[#This Row],[Pieces (kg''s)]]/Table1[[#This Row],[Good Kernels (kg''s)]]%,"")</f>
        <v/>
      </c>
      <c r="X410" s="5" t="str">
        <f>IFERROR(Table1[[#This Row],[First Pass Uncut (kg''s)]]/Table1[[#This Row],[Input Quantity (Kg''s)]]%,"")</f>
        <v/>
      </c>
      <c r="Y410" s="5" t="str">
        <f>IFERROR(Table1[[#This Row],[Final Uncut (kg''s)]]/Table1[[#This Row],[Input Quantity (Kg''s)]]%,"")</f>
        <v/>
      </c>
      <c r="Z410" s="21" t="str">
        <f>IFERROR(Table1[[#This Row],[Shell]]/Table1[[#This Row],[Input Quantity (Kg''s)]]%,"")</f>
        <v/>
      </c>
      <c r="AA410" s="21" t="str">
        <f>IFERROR(Table1[[#This Row],[Shell Dust]]/Table1[[#This Row],[Input Quantity (Kg''s)]]%,"")</f>
        <v/>
      </c>
    </row>
    <row r="411" spans="2:27" x14ac:dyDescent="0.3">
      <c r="B411" s="1"/>
      <c r="C411" s="15">
        <f>WEEKNUM(Table1[[#This Row],[Date]])</f>
        <v>0</v>
      </c>
      <c r="D411" s="1" t="str">
        <f>TEXT(Table1[[#This Row],[Date]],"mmm-yy")</f>
        <v>Jan-00</v>
      </c>
      <c r="E411" s="1"/>
      <c r="I411" s="3"/>
      <c r="M411" s="3"/>
      <c r="N411" s="3"/>
      <c r="O411" s="3"/>
      <c r="P411" s="3">
        <f>Table1[[#This Row],[Input Quantity (Kg''s)]]-SUM(Table1[[#This Row],[Wholes (kg''s)]:[Black Rejection (Kg''s)]],Table1[[#This Row],[Shell Dust]])</f>
        <v>0</v>
      </c>
      <c r="Q411" s="3">
        <f>SUM(Table1[[#This Row],[Wholes (kg''s)]:[Pieces (kg''s)]])</f>
        <v>0</v>
      </c>
      <c r="R411" s="3">
        <f>SUM(Table1[[#This Row],[Wholes (kg''s)]:[Black Rejection (Kg''s)]])</f>
        <v>0</v>
      </c>
      <c r="S411" s="4" t="str">
        <f>IFERROR(Table1[[#This Row],[Good Kernels (kg''s)]]/Table1[[#This Row],[Input Quantity (Kg''s)]]*176.36,"")</f>
        <v/>
      </c>
      <c r="T411" s="4" t="str">
        <f>IFERROR(Table1[[#This Row],[Good Kernels (kg''s)]]/Table1[[#This Row],[Input Quantity (Kg''s)]]%,"")</f>
        <v/>
      </c>
      <c r="U411" s="5" t="str">
        <f>IFERROR(Table1[[#This Row],[Final Kernels (kg''s)]]/Table1[[#This Row],[Input Quantity (Kg''s)]]%,"")</f>
        <v/>
      </c>
      <c r="V411" s="5" t="str">
        <f>IFERROR(Table1[[#This Row],[Wholes (kg''s)]]/Table1[[#This Row],[Good Kernels (kg''s)]]%,"")</f>
        <v/>
      </c>
      <c r="W411" s="5" t="str">
        <f>IFERROR(Table1[[#This Row],[Pieces (kg''s)]]/Table1[[#This Row],[Good Kernels (kg''s)]]%,"")</f>
        <v/>
      </c>
      <c r="X411" s="5" t="str">
        <f>IFERROR(Table1[[#This Row],[First Pass Uncut (kg''s)]]/Table1[[#This Row],[Input Quantity (Kg''s)]]%,"")</f>
        <v/>
      </c>
      <c r="Y411" s="5" t="str">
        <f>IFERROR(Table1[[#This Row],[Final Uncut (kg''s)]]/Table1[[#This Row],[Input Quantity (Kg''s)]]%,"")</f>
        <v/>
      </c>
      <c r="Z411" s="21" t="str">
        <f>IFERROR(Table1[[#This Row],[Shell]]/Table1[[#This Row],[Input Quantity (Kg''s)]]%,"")</f>
        <v/>
      </c>
      <c r="AA411" s="21" t="str">
        <f>IFERROR(Table1[[#This Row],[Shell Dust]]/Table1[[#This Row],[Input Quantity (Kg''s)]]%,"")</f>
        <v/>
      </c>
    </row>
    <row r="412" spans="2:27" x14ac:dyDescent="0.3">
      <c r="B412" s="1"/>
      <c r="C412" s="15">
        <f>WEEKNUM(Table1[[#This Row],[Date]])</f>
        <v>0</v>
      </c>
      <c r="D412" s="1" t="str">
        <f>TEXT(Table1[[#This Row],[Date]],"mmm-yy")</f>
        <v>Jan-00</v>
      </c>
      <c r="E412" s="1"/>
      <c r="I412" s="3"/>
      <c r="M412" s="3"/>
      <c r="N412" s="3"/>
      <c r="O412" s="3"/>
      <c r="P412" s="3">
        <f>Table1[[#This Row],[Input Quantity (Kg''s)]]-SUM(Table1[[#This Row],[Wholes (kg''s)]:[Black Rejection (Kg''s)]],Table1[[#This Row],[Shell Dust]])</f>
        <v>0</v>
      </c>
      <c r="Q412" s="3">
        <f>SUM(Table1[[#This Row],[Wholes (kg''s)]:[Pieces (kg''s)]])</f>
        <v>0</v>
      </c>
      <c r="R412" s="3">
        <f>SUM(Table1[[#This Row],[Wholes (kg''s)]:[Black Rejection (Kg''s)]])</f>
        <v>0</v>
      </c>
      <c r="S412" s="4" t="str">
        <f>IFERROR(Table1[[#This Row],[Good Kernels (kg''s)]]/Table1[[#This Row],[Input Quantity (Kg''s)]]*176.36,"")</f>
        <v/>
      </c>
      <c r="T412" s="4" t="str">
        <f>IFERROR(Table1[[#This Row],[Good Kernels (kg''s)]]/Table1[[#This Row],[Input Quantity (Kg''s)]]%,"")</f>
        <v/>
      </c>
      <c r="U412" s="5" t="str">
        <f>IFERROR(Table1[[#This Row],[Final Kernels (kg''s)]]/Table1[[#This Row],[Input Quantity (Kg''s)]]%,"")</f>
        <v/>
      </c>
      <c r="V412" s="5" t="str">
        <f>IFERROR(Table1[[#This Row],[Wholes (kg''s)]]/Table1[[#This Row],[Good Kernels (kg''s)]]%,"")</f>
        <v/>
      </c>
      <c r="W412" s="5" t="str">
        <f>IFERROR(Table1[[#This Row],[Pieces (kg''s)]]/Table1[[#This Row],[Good Kernels (kg''s)]]%,"")</f>
        <v/>
      </c>
      <c r="X412" s="5" t="str">
        <f>IFERROR(Table1[[#This Row],[First Pass Uncut (kg''s)]]/Table1[[#This Row],[Input Quantity (Kg''s)]]%,"")</f>
        <v/>
      </c>
      <c r="Y412" s="5" t="str">
        <f>IFERROR(Table1[[#This Row],[Final Uncut (kg''s)]]/Table1[[#This Row],[Input Quantity (Kg''s)]]%,"")</f>
        <v/>
      </c>
      <c r="Z412" s="21" t="str">
        <f>IFERROR(Table1[[#This Row],[Shell]]/Table1[[#This Row],[Input Quantity (Kg''s)]]%,"")</f>
        <v/>
      </c>
      <c r="AA412" s="21" t="str">
        <f>IFERROR(Table1[[#This Row],[Shell Dust]]/Table1[[#This Row],[Input Quantity (Kg''s)]]%,"")</f>
        <v/>
      </c>
    </row>
    <row r="413" spans="2:27" x14ac:dyDescent="0.3">
      <c r="B413" s="1"/>
      <c r="C413" s="15">
        <f>WEEKNUM(Table1[[#This Row],[Date]])</f>
        <v>0</v>
      </c>
      <c r="D413" s="1" t="str">
        <f>TEXT(Table1[[#This Row],[Date]],"mmm-yy")</f>
        <v>Jan-00</v>
      </c>
      <c r="E413" s="1"/>
      <c r="I413" s="3"/>
      <c r="M413" s="3"/>
      <c r="N413" s="3"/>
      <c r="O413" s="3"/>
      <c r="P413" s="3">
        <f>Table1[[#This Row],[Input Quantity (Kg''s)]]-SUM(Table1[[#This Row],[Wholes (kg''s)]:[Black Rejection (Kg''s)]],Table1[[#This Row],[Shell Dust]])</f>
        <v>0</v>
      </c>
      <c r="Q413" s="3">
        <f>SUM(Table1[[#This Row],[Wholes (kg''s)]:[Pieces (kg''s)]])</f>
        <v>0</v>
      </c>
      <c r="R413" s="3">
        <f>SUM(Table1[[#This Row],[Wholes (kg''s)]:[Black Rejection (Kg''s)]])</f>
        <v>0</v>
      </c>
      <c r="S413" s="4" t="str">
        <f>IFERROR(Table1[[#This Row],[Good Kernels (kg''s)]]/Table1[[#This Row],[Input Quantity (Kg''s)]]*176.36,"")</f>
        <v/>
      </c>
      <c r="T413" s="4" t="str">
        <f>IFERROR(Table1[[#This Row],[Good Kernels (kg''s)]]/Table1[[#This Row],[Input Quantity (Kg''s)]]%,"")</f>
        <v/>
      </c>
      <c r="U413" s="5" t="str">
        <f>IFERROR(Table1[[#This Row],[Final Kernels (kg''s)]]/Table1[[#This Row],[Input Quantity (Kg''s)]]%,"")</f>
        <v/>
      </c>
      <c r="V413" s="5" t="str">
        <f>IFERROR(Table1[[#This Row],[Wholes (kg''s)]]/Table1[[#This Row],[Good Kernels (kg''s)]]%,"")</f>
        <v/>
      </c>
      <c r="W413" s="5" t="str">
        <f>IFERROR(Table1[[#This Row],[Pieces (kg''s)]]/Table1[[#This Row],[Good Kernels (kg''s)]]%,"")</f>
        <v/>
      </c>
      <c r="X413" s="5" t="str">
        <f>IFERROR(Table1[[#This Row],[First Pass Uncut (kg''s)]]/Table1[[#This Row],[Input Quantity (Kg''s)]]%,"")</f>
        <v/>
      </c>
      <c r="Y413" s="5" t="str">
        <f>IFERROR(Table1[[#This Row],[Final Uncut (kg''s)]]/Table1[[#This Row],[Input Quantity (Kg''s)]]%,"")</f>
        <v/>
      </c>
      <c r="Z413" s="21" t="str">
        <f>IFERROR(Table1[[#This Row],[Shell]]/Table1[[#This Row],[Input Quantity (Kg''s)]]%,"")</f>
        <v/>
      </c>
      <c r="AA413" s="21" t="str">
        <f>IFERROR(Table1[[#This Row],[Shell Dust]]/Table1[[#This Row],[Input Quantity (Kg''s)]]%,"")</f>
        <v/>
      </c>
    </row>
    <row r="414" spans="2:27" x14ac:dyDescent="0.3">
      <c r="B414" s="1"/>
      <c r="C414" s="15">
        <f>WEEKNUM(Table1[[#This Row],[Date]])</f>
        <v>0</v>
      </c>
      <c r="D414" s="1" t="str">
        <f>TEXT(Table1[[#This Row],[Date]],"mmm-yy")</f>
        <v>Jan-00</v>
      </c>
      <c r="E414" s="1"/>
      <c r="I414" s="3"/>
      <c r="M414" s="3"/>
      <c r="N414" s="3"/>
      <c r="O414" s="3"/>
      <c r="P414" s="3">
        <f>Table1[[#This Row],[Input Quantity (Kg''s)]]-SUM(Table1[[#This Row],[Wholes (kg''s)]:[Black Rejection (Kg''s)]],Table1[[#This Row],[Shell Dust]])</f>
        <v>0</v>
      </c>
      <c r="Q414" s="3">
        <f>SUM(Table1[[#This Row],[Wholes (kg''s)]:[Pieces (kg''s)]])</f>
        <v>0</v>
      </c>
      <c r="R414" s="3">
        <f>SUM(Table1[[#This Row],[Wholes (kg''s)]:[Black Rejection (Kg''s)]])</f>
        <v>0</v>
      </c>
      <c r="S414" s="4" t="str">
        <f>IFERROR(Table1[[#This Row],[Good Kernels (kg''s)]]/Table1[[#This Row],[Input Quantity (Kg''s)]]*176.36,"")</f>
        <v/>
      </c>
      <c r="T414" s="4" t="str">
        <f>IFERROR(Table1[[#This Row],[Good Kernels (kg''s)]]/Table1[[#This Row],[Input Quantity (Kg''s)]]%,"")</f>
        <v/>
      </c>
      <c r="U414" s="5" t="str">
        <f>IFERROR(Table1[[#This Row],[Final Kernels (kg''s)]]/Table1[[#This Row],[Input Quantity (Kg''s)]]%,"")</f>
        <v/>
      </c>
      <c r="V414" s="5" t="str">
        <f>IFERROR(Table1[[#This Row],[Wholes (kg''s)]]/Table1[[#This Row],[Good Kernels (kg''s)]]%,"")</f>
        <v/>
      </c>
      <c r="W414" s="5" t="str">
        <f>IFERROR(Table1[[#This Row],[Pieces (kg''s)]]/Table1[[#This Row],[Good Kernels (kg''s)]]%,"")</f>
        <v/>
      </c>
      <c r="X414" s="5" t="str">
        <f>IFERROR(Table1[[#This Row],[First Pass Uncut (kg''s)]]/Table1[[#This Row],[Input Quantity (Kg''s)]]%,"")</f>
        <v/>
      </c>
      <c r="Y414" s="5" t="str">
        <f>IFERROR(Table1[[#This Row],[Final Uncut (kg''s)]]/Table1[[#This Row],[Input Quantity (Kg''s)]]%,"")</f>
        <v/>
      </c>
      <c r="Z414" s="21" t="str">
        <f>IFERROR(Table1[[#This Row],[Shell]]/Table1[[#This Row],[Input Quantity (Kg''s)]]%,"")</f>
        <v/>
      </c>
      <c r="AA414" s="21" t="str">
        <f>IFERROR(Table1[[#This Row],[Shell Dust]]/Table1[[#This Row],[Input Quantity (Kg''s)]]%,"")</f>
        <v/>
      </c>
    </row>
    <row r="415" spans="2:27" x14ac:dyDescent="0.3">
      <c r="B415" s="1"/>
      <c r="C415" s="15">
        <f>WEEKNUM(Table1[[#This Row],[Date]])</f>
        <v>0</v>
      </c>
      <c r="D415" s="1" t="str">
        <f>TEXT(Table1[[#This Row],[Date]],"mmm-yy")</f>
        <v>Jan-00</v>
      </c>
      <c r="E415" s="1"/>
      <c r="I415" s="3"/>
      <c r="M415" s="3"/>
      <c r="N415" s="3"/>
      <c r="O415" s="3"/>
      <c r="P415" s="3">
        <f>Table1[[#This Row],[Input Quantity (Kg''s)]]-SUM(Table1[[#This Row],[Wholes (kg''s)]:[Black Rejection (Kg''s)]],Table1[[#This Row],[Shell Dust]])</f>
        <v>0</v>
      </c>
      <c r="Q415" s="3">
        <f>SUM(Table1[[#This Row],[Wholes (kg''s)]:[Pieces (kg''s)]])</f>
        <v>0</v>
      </c>
      <c r="R415" s="3">
        <f>SUM(Table1[[#This Row],[Wholes (kg''s)]:[Black Rejection (Kg''s)]])</f>
        <v>0</v>
      </c>
      <c r="S415" s="4" t="str">
        <f>IFERROR(Table1[[#This Row],[Good Kernels (kg''s)]]/Table1[[#This Row],[Input Quantity (Kg''s)]]*176.36,"")</f>
        <v/>
      </c>
      <c r="T415" s="4" t="str">
        <f>IFERROR(Table1[[#This Row],[Good Kernels (kg''s)]]/Table1[[#This Row],[Input Quantity (Kg''s)]]%,"")</f>
        <v/>
      </c>
      <c r="U415" s="5" t="str">
        <f>IFERROR(Table1[[#This Row],[Final Kernels (kg''s)]]/Table1[[#This Row],[Input Quantity (Kg''s)]]%,"")</f>
        <v/>
      </c>
      <c r="V415" s="5" t="str">
        <f>IFERROR(Table1[[#This Row],[Wholes (kg''s)]]/Table1[[#This Row],[Good Kernels (kg''s)]]%,"")</f>
        <v/>
      </c>
      <c r="W415" s="5" t="str">
        <f>IFERROR(Table1[[#This Row],[Pieces (kg''s)]]/Table1[[#This Row],[Good Kernels (kg''s)]]%,"")</f>
        <v/>
      </c>
      <c r="X415" s="5" t="str">
        <f>IFERROR(Table1[[#This Row],[First Pass Uncut (kg''s)]]/Table1[[#This Row],[Input Quantity (Kg''s)]]%,"")</f>
        <v/>
      </c>
      <c r="Y415" s="5" t="str">
        <f>IFERROR(Table1[[#This Row],[Final Uncut (kg''s)]]/Table1[[#This Row],[Input Quantity (Kg''s)]]%,"")</f>
        <v/>
      </c>
      <c r="Z415" s="21" t="str">
        <f>IFERROR(Table1[[#This Row],[Shell]]/Table1[[#This Row],[Input Quantity (Kg''s)]]%,"")</f>
        <v/>
      </c>
      <c r="AA415" s="21" t="str">
        <f>IFERROR(Table1[[#This Row],[Shell Dust]]/Table1[[#This Row],[Input Quantity (Kg''s)]]%,"")</f>
        <v/>
      </c>
    </row>
    <row r="416" spans="2:27" x14ac:dyDescent="0.3">
      <c r="B416" s="1"/>
      <c r="C416" s="15">
        <f>WEEKNUM(Table1[[#This Row],[Date]])</f>
        <v>0</v>
      </c>
      <c r="D416" s="1" t="str">
        <f>TEXT(Table1[[#This Row],[Date]],"mmm-yy")</f>
        <v>Jan-00</v>
      </c>
      <c r="E416" s="1"/>
      <c r="I416" s="3"/>
      <c r="M416" s="3"/>
      <c r="N416" s="3"/>
      <c r="O416" s="3"/>
      <c r="P416" s="3">
        <f>Table1[[#This Row],[Input Quantity (Kg''s)]]-SUM(Table1[[#This Row],[Wholes (kg''s)]:[Black Rejection (Kg''s)]],Table1[[#This Row],[Shell Dust]])</f>
        <v>0</v>
      </c>
      <c r="Q416" s="3">
        <f>SUM(Table1[[#This Row],[Wholes (kg''s)]:[Pieces (kg''s)]])</f>
        <v>0</v>
      </c>
      <c r="R416" s="3">
        <f>SUM(Table1[[#This Row],[Wholes (kg''s)]:[Black Rejection (Kg''s)]])</f>
        <v>0</v>
      </c>
      <c r="S416" s="4" t="str">
        <f>IFERROR(Table1[[#This Row],[Good Kernels (kg''s)]]/Table1[[#This Row],[Input Quantity (Kg''s)]]*176.36,"")</f>
        <v/>
      </c>
      <c r="T416" s="4" t="str">
        <f>IFERROR(Table1[[#This Row],[Good Kernels (kg''s)]]/Table1[[#This Row],[Input Quantity (Kg''s)]]%,"")</f>
        <v/>
      </c>
      <c r="U416" s="5" t="str">
        <f>IFERROR(Table1[[#This Row],[Final Kernels (kg''s)]]/Table1[[#This Row],[Input Quantity (Kg''s)]]%,"")</f>
        <v/>
      </c>
      <c r="V416" s="5" t="str">
        <f>IFERROR(Table1[[#This Row],[Wholes (kg''s)]]/Table1[[#This Row],[Good Kernels (kg''s)]]%,"")</f>
        <v/>
      </c>
      <c r="W416" s="5" t="str">
        <f>IFERROR(Table1[[#This Row],[Pieces (kg''s)]]/Table1[[#This Row],[Good Kernels (kg''s)]]%,"")</f>
        <v/>
      </c>
      <c r="X416" s="5" t="str">
        <f>IFERROR(Table1[[#This Row],[First Pass Uncut (kg''s)]]/Table1[[#This Row],[Input Quantity (Kg''s)]]%,"")</f>
        <v/>
      </c>
      <c r="Y416" s="5" t="str">
        <f>IFERROR(Table1[[#This Row],[Final Uncut (kg''s)]]/Table1[[#This Row],[Input Quantity (Kg''s)]]%,"")</f>
        <v/>
      </c>
      <c r="Z416" s="21" t="str">
        <f>IFERROR(Table1[[#This Row],[Shell]]/Table1[[#This Row],[Input Quantity (Kg''s)]]%,"")</f>
        <v/>
      </c>
      <c r="AA416" s="21" t="str">
        <f>IFERROR(Table1[[#This Row],[Shell Dust]]/Table1[[#This Row],[Input Quantity (Kg''s)]]%,"")</f>
        <v/>
      </c>
    </row>
    <row r="417" spans="2:27" x14ac:dyDescent="0.3">
      <c r="B417" s="1"/>
      <c r="C417" s="15">
        <f>WEEKNUM(Table1[[#This Row],[Date]])</f>
        <v>0</v>
      </c>
      <c r="D417" s="1" t="str">
        <f>TEXT(Table1[[#This Row],[Date]],"mmm-yy")</f>
        <v>Jan-00</v>
      </c>
      <c r="E417" s="1"/>
      <c r="I417" s="3"/>
      <c r="M417" s="3"/>
      <c r="N417" s="3"/>
      <c r="O417" s="3"/>
      <c r="P417" s="3">
        <f>Table1[[#This Row],[Input Quantity (Kg''s)]]-SUM(Table1[[#This Row],[Wholes (kg''s)]:[Black Rejection (Kg''s)]],Table1[[#This Row],[Shell Dust]])</f>
        <v>0</v>
      </c>
      <c r="Q417" s="3">
        <f>SUM(Table1[[#This Row],[Wholes (kg''s)]:[Pieces (kg''s)]])</f>
        <v>0</v>
      </c>
      <c r="R417" s="3">
        <f>SUM(Table1[[#This Row],[Wholes (kg''s)]:[Black Rejection (Kg''s)]])</f>
        <v>0</v>
      </c>
      <c r="S417" s="4" t="str">
        <f>IFERROR(Table1[[#This Row],[Good Kernels (kg''s)]]/Table1[[#This Row],[Input Quantity (Kg''s)]]*176.36,"")</f>
        <v/>
      </c>
      <c r="T417" s="4" t="str">
        <f>IFERROR(Table1[[#This Row],[Good Kernels (kg''s)]]/Table1[[#This Row],[Input Quantity (Kg''s)]]%,"")</f>
        <v/>
      </c>
      <c r="U417" s="5" t="str">
        <f>IFERROR(Table1[[#This Row],[Final Kernels (kg''s)]]/Table1[[#This Row],[Input Quantity (Kg''s)]]%,"")</f>
        <v/>
      </c>
      <c r="V417" s="5" t="str">
        <f>IFERROR(Table1[[#This Row],[Wholes (kg''s)]]/Table1[[#This Row],[Good Kernels (kg''s)]]%,"")</f>
        <v/>
      </c>
      <c r="W417" s="5" t="str">
        <f>IFERROR(Table1[[#This Row],[Pieces (kg''s)]]/Table1[[#This Row],[Good Kernels (kg''s)]]%,"")</f>
        <v/>
      </c>
      <c r="X417" s="5" t="str">
        <f>IFERROR(Table1[[#This Row],[First Pass Uncut (kg''s)]]/Table1[[#This Row],[Input Quantity (Kg''s)]]%,"")</f>
        <v/>
      </c>
      <c r="Y417" s="5" t="str">
        <f>IFERROR(Table1[[#This Row],[Final Uncut (kg''s)]]/Table1[[#This Row],[Input Quantity (Kg''s)]]%,"")</f>
        <v/>
      </c>
      <c r="Z417" s="21" t="str">
        <f>IFERROR(Table1[[#This Row],[Shell]]/Table1[[#This Row],[Input Quantity (Kg''s)]]%,"")</f>
        <v/>
      </c>
      <c r="AA417" s="21" t="str">
        <f>IFERROR(Table1[[#This Row],[Shell Dust]]/Table1[[#This Row],[Input Quantity (Kg''s)]]%,"")</f>
        <v/>
      </c>
    </row>
    <row r="418" spans="2:27" x14ac:dyDescent="0.3">
      <c r="B418" s="1"/>
      <c r="C418" s="15">
        <f>WEEKNUM(Table1[[#This Row],[Date]])</f>
        <v>0</v>
      </c>
      <c r="D418" s="1" t="str">
        <f>TEXT(Table1[[#This Row],[Date]],"mmm-yy")</f>
        <v>Jan-00</v>
      </c>
      <c r="E418" s="1"/>
      <c r="I418" s="3"/>
      <c r="M418" s="3"/>
      <c r="N418" s="3"/>
      <c r="O418" s="3"/>
      <c r="P418" s="3">
        <f>Table1[[#This Row],[Input Quantity (Kg''s)]]-SUM(Table1[[#This Row],[Wholes (kg''s)]:[Black Rejection (Kg''s)]],Table1[[#This Row],[Shell Dust]])</f>
        <v>0</v>
      </c>
      <c r="Q418" s="3">
        <f>SUM(Table1[[#This Row],[Wholes (kg''s)]:[Pieces (kg''s)]])</f>
        <v>0</v>
      </c>
      <c r="R418" s="3">
        <f>SUM(Table1[[#This Row],[Wholes (kg''s)]:[Black Rejection (Kg''s)]])</f>
        <v>0</v>
      </c>
      <c r="S418" s="4" t="str">
        <f>IFERROR(Table1[[#This Row],[Good Kernels (kg''s)]]/Table1[[#This Row],[Input Quantity (Kg''s)]]*176.36,"")</f>
        <v/>
      </c>
      <c r="T418" s="4" t="str">
        <f>IFERROR(Table1[[#This Row],[Good Kernels (kg''s)]]/Table1[[#This Row],[Input Quantity (Kg''s)]]%,"")</f>
        <v/>
      </c>
      <c r="U418" s="5" t="str">
        <f>IFERROR(Table1[[#This Row],[Final Kernels (kg''s)]]/Table1[[#This Row],[Input Quantity (Kg''s)]]%,"")</f>
        <v/>
      </c>
      <c r="V418" s="5" t="str">
        <f>IFERROR(Table1[[#This Row],[Wholes (kg''s)]]/Table1[[#This Row],[Good Kernels (kg''s)]]%,"")</f>
        <v/>
      </c>
      <c r="W418" s="5" t="str">
        <f>IFERROR(Table1[[#This Row],[Pieces (kg''s)]]/Table1[[#This Row],[Good Kernels (kg''s)]]%,"")</f>
        <v/>
      </c>
      <c r="X418" s="5" t="str">
        <f>IFERROR(Table1[[#This Row],[First Pass Uncut (kg''s)]]/Table1[[#This Row],[Input Quantity (Kg''s)]]%,"")</f>
        <v/>
      </c>
      <c r="Y418" s="5" t="str">
        <f>IFERROR(Table1[[#This Row],[Final Uncut (kg''s)]]/Table1[[#This Row],[Input Quantity (Kg''s)]]%,"")</f>
        <v/>
      </c>
      <c r="Z418" s="21" t="str">
        <f>IFERROR(Table1[[#This Row],[Shell]]/Table1[[#This Row],[Input Quantity (Kg''s)]]%,"")</f>
        <v/>
      </c>
      <c r="AA418" s="21" t="str">
        <f>IFERROR(Table1[[#This Row],[Shell Dust]]/Table1[[#This Row],[Input Quantity (Kg''s)]]%,"")</f>
        <v/>
      </c>
    </row>
    <row r="419" spans="2:27" x14ac:dyDescent="0.3">
      <c r="B419" s="1"/>
      <c r="C419" s="15">
        <f>WEEKNUM(Table1[[#This Row],[Date]])</f>
        <v>0</v>
      </c>
      <c r="D419" s="1" t="str">
        <f>TEXT(Table1[[#This Row],[Date]],"mmm-yy")</f>
        <v>Jan-00</v>
      </c>
      <c r="E419" s="1"/>
      <c r="I419" s="3"/>
      <c r="M419" s="3"/>
      <c r="N419" s="3"/>
      <c r="O419" s="3"/>
      <c r="P419" s="3">
        <f>Table1[[#This Row],[Input Quantity (Kg''s)]]-SUM(Table1[[#This Row],[Wholes (kg''s)]:[Black Rejection (Kg''s)]],Table1[[#This Row],[Shell Dust]])</f>
        <v>0</v>
      </c>
      <c r="Q419" s="3">
        <f>SUM(Table1[[#This Row],[Wholes (kg''s)]:[Pieces (kg''s)]])</f>
        <v>0</v>
      </c>
      <c r="R419" s="3">
        <f>SUM(Table1[[#This Row],[Wholes (kg''s)]:[Black Rejection (Kg''s)]])</f>
        <v>0</v>
      </c>
      <c r="S419" s="4" t="str">
        <f>IFERROR(Table1[[#This Row],[Good Kernels (kg''s)]]/Table1[[#This Row],[Input Quantity (Kg''s)]]*176.36,"")</f>
        <v/>
      </c>
      <c r="T419" s="4" t="str">
        <f>IFERROR(Table1[[#This Row],[Good Kernels (kg''s)]]/Table1[[#This Row],[Input Quantity (Kg''s)]]%,"")</f>
        <v/>
      </c>
      <c r="U419" s="5" t="str">
        <f>IFERROR(Table1[[#This Row],[Final Kernels (kg''s)]]/Table1[[#This Row],[Input Quantity (Kg''s)]]%,"")</f>
        <v/>
      </c>
      <c r="V419" s="5" t="str">
        <f>IFERROR(Table1[[#This Row],[Wholes (kg''s)]]/Table1[[#This Row],[Good Kernels (kg''s)]]%,"")</f>
        <v/>
      </c>
      <c r="W419" s="5" t="str">
        <f>IFERROR(Table1[[#This Row],[Pieces (kg''s)]]/Table1[[#This Row],[Good Kernels (kg''s)]]%,"")</f>
        <v/>
      </c>
      <c r="X419" s="5" t="str">
        <f>IFERROR(Table1[[#This Row],[First Pass Uncut (kg''s)]]/Table1[[#This Row],[Input Quantity (Kg''s)]]%,"")</f>
        <v/>
      </c>
      <c r="Y419" s="5" t="str">
        <f>IFERROR(Table1[[#This Row],[Final Uncut (kg''s)]]/Table1[[#This Row],[Input Quantity (Kg''s)]]%,"")</f>
        <v/>
      </c>
      <c r="Z419" s="21" t="str">
        <f>IFERROR(Table1[[#This Row],[Shell]]/Table1[[#This Row],[Input Quantity (Kg''s)]]%,"")</f>
        <v/>
      </c>
      <c r="AA419" s="21" t="str">
        <f>IFERROR(Table1[[#This Row],[Shell Dust]]/Table1[[#This Row],[Input Quantity (Kg''s)]]%,"")</f>
        <v/>
      </c>
    </row>
    <row r="420" spans="2:27" x14ac:dyDescent="0.3">
      <c r="B420" s="1"/>
      <c r="C420" s="15">
        <f>WEEKNUM(Table1[[#This Row],[Date]])</f>
        <v>0</v>
      </c>
      <c r="D420" s="1" t="str">
        <f>TEXT(Table1[[#This Row],[Date]],"mmm-yy")</f>
        <v>Jan-00</v>
      </c>
      <c r="E420" s="1"/>
      <c r="I420" s="3"/>
      <c r="M420" s="3"/>
      <c r="N420" s="3"/>
      <c r="O420" s="3"/>
      <c r="P420" s="3">
        <f>Table1[[#This Row],[Input Quantity (Kg''s)]]-SUM(Table1[[#This Row],[Wholes (kg''s)]:[Black Rejection (Kg''s)]],Table1[[#This Row],[Shell Dust]])</f>
        <v>0</v>
      </c>
      <c r="Q420" s="3">
        <f>SUM(Table1[[#This Row],[Wholes (kg''s)]:[Pieces (kg''s)]])</f>
        <v>0</v>
      </c>
      <c r="R420" s="3">
        <f>SUM(Table1[[#This Row],[Wholes (kg''s)]:[Black Rejection (Kg''s)]])</f>
        <v>0</v>
      </c>
      <c r="S420" s="4" t="str">
        <f>IFERROR(Table1[[#This Row],[Good Kernels (kg''s)]]/Table1[[#This Row],[Input Quantity (Kg''s)]]*176.36,"")</f>
        <v/>
      </c>
      <c r="T420" s="4" t="str">
        <f>IFERROR(Table1[[#This Row],[Good Kernels (kg''s)]]/Table1[[#This Row],[Input Quantity (Kg''s)]]%,"")</f>
        <v/>
      </c>
      <c r="U420" s="5" t="str">
        <f>IFERROR(Table1[[#This Row],[Final Kernels (kg''s)]]/Table1[[#This Row],[Input Quantity (Kg''s)]]%,"")</f>
        <v/>
      </c>
      <c r="V420" s="5" t="str">
        <f>IFERROR(Table1[[#This Row],[Wholes (kg''s)]]/Table1[[#This Row],[Good Kernels (kg''s)]]%,"")</f>
        <v/>
      </c>
      <c r="W420" s="5" t="str">
        <f>IFERROR(Table1[[#This Row],[Pieces (kg''s)]]/Table1[[#This Row],[Good Kernels (kg''s)]]%,"")</f>
        <v/>
      </c>
      <c r="X420" s="5" t="str">
        <f>IFERROR(Table1[[#This Row],[First Pass Uncut (kg''s)]]/Table1[[#This Row],[Input Quantity (Kg''s)]]%,"")</f>
        <v/>
      </c>
      <c r="Y420" s="5" t="str">
        <f>IFERROR(Table1[[#This Row],[Final Uncut (kg''s)]]/Table1[[#This Row],[Input Quantity (Kg''s)]]%,"")</f>
        <v/>
      </c>
      <c r="Z420" s="21" t="str">
        <f>IFERROR(Table1[[#This Row],[Shell]]/Table1[[#This Row],[Input Quantity (Kg''s)]]%,"")</f>
        <v/>
      </c>
      <c r="AA420" s="21" t="str">
        <f>IFERROR(Table1[[#This Row],[Shell Dust]]/Table1[[#This Row],[Input Quantity (Kg''s)]]%,"")</f>
        <v/>
      </c>
    </row>
    <row r="421" spans="2:27" x14ac:dyDescent="0.3">
      <c r="B421" s="1"/>
      <c r="C421" s="15">
        <f>WEEKNUM(Table1[[#This Row],[Date]])</f>
        <v>0</v>
      </c>
      <c r="D421" s="1" t="str">
        <f>TEXT(Table1[[#This Row],[Date]],"mmm-yy")</f>
        <v>Jan-00</v>
      </c>
      <c r="E421" s="1"/>
      <c r="I421" s="3"/>
      <c r="M421" s="3"/>
      <c r="N421" s="3"/>
      <c r="O421" s="3"/>
      <c r="P421" s="3">
        <f>Table1[[#This Row],[Input Quantity (Kg''s)]]-SUM(Table1[[#This Row],[Wholes (kg''s)]:[Black Rejection (Kg''s)]],Table1[[#This Row],[Shell Dust]])</f>
        <v>0</v>
      </c>
      <c r="Q421" s="3">
        <f>SUM(Table1[[#This Row],[Wholes (kg''s)]:[Pieces (kg''s)]])</f>
        <v>0</v>
      </c>
      <c r="R421" s="3">
        <f>SUM(Table1[[#This Row],[Wholes (kg''s)]:[Black Rejection (Kg''s)]])</f>
        <v>0</v>
      </c>
      <c r="S421" s="4" t="str">
        <f>IFERROR(Table1[[#This Row],[Good Kernels (kg''s)]]/Table1[[#This Row],[Input Quantity (Kg''s)]]*176.36,"")</f>
        <v/>
      </c>
      <c r="T421" s="4" t="str">
        <f>IFERROR(Table1[[#This Row],[Good Kernels (kg''s)]]/Table1[[#This Row],[Input Quantity (Kg''s)]]%,"")</f>
        <v/>
      </c>
      <c r="U421" s="5" t="str">
        <f>IFERROR(Table1[[#This Row],[Final Kernels (kg''s)]]/Table1[[#This Row],[Input Quantity (Kg''s)]]%,"")</f>
        <v/>
      </c>
      <c r="V421" s="5" t="str">
        <f>IFERROR(Table1[[#This Row],[Wholes (kg''s)]]/Table1[[#This Row],[Good Kernels (kg''s)]]%,"")</f>
        <v/>
      </c>
      <c r="W421" s="5" t="str">
        <f>IFERROR(Table1[[#This Row],[Pieces (kg''s)]]/Table1[[#This Row],[Good Kernels (kg''s)]]%,"")</f>
        <v/>
      </c>
      <c r="X421" s="5" t="str">
        <f>IFERROR(Table1[[#This Row],[First Pass Uncut (kg''s)]]/Table1[[#This Row],[Input Quantity (Kg''s)]]%,"")</f>
        <v/>
      </c>
      <c r="Y421" s="5" t="str">
        <f>IFERROR(Table1[[#This Row],[Final Uncut (kg''s)]]/Table1[[#This Row],[Input Quantity (Kg''s)]]%,"")</f>
        <v/>
      </c>
      <c r="Z421" s="21" t="str">
        <f>IFERROR(Table1[[#This Row],[Shell]]/Table1[[#This Row],[Input Quantity (Kg''s)]]%,"")</f>
        <v/>
      </c>
      <c r="AA421" s="21" t="str">
        <f>IFERROR(Table1[[#This Row],[Shell Dust]]/Table1[[#This Row],[Input Quantity (Kg''s)]]%,"")</f>
        <v/>
      </c>
    </row>
    <row r="422" spans="2:27" x14ac:dyDescent="0.3">
      <c r="B422" s="1"/>
      <c r="C422" s="15">
        <f>WEEKNUM(Table1[[#This Row],[Date]])</f>
        <v>0</v>
      </c>
      <c r="D422" s="1" t="str">
        <f>TEXT(Table1[[#This Row],[Date]],"mmm-yy")</f>
        <v>Jan-00</v>
      </c>
      <c r="E422" s="1"/>
      <c r="I422" s="3"/>
      <c r="M422" s="3"/>
      <c r="N422" s="3"/>
      <c r="O422" s="3"/>
      <c r="P422" s="3">
        <f>Table1[[#This Row],[Input Quantity (Kg''s)]]-SUM(Table1[[#This Row],[Wholes (kg''s)]:[Black Rejection (Kg''s)]],Table1[[#This Row],[Shell Dust]])</f>
        <v>0</v>
      </c>
      <c r="Q422" s="3">
        <f>SUM(Table1[[#This Row],[Wholes (kg''s)]:[Pieces (kg''s)]])</f>
        <v>0</v>
      </c>
      <c r="R422" s="3">
        <f>SUM(Table1[[#This Row],[Wholes (kg''s)]:[Black Rejection (Kg''s)]])</f>
        <v>0</v>
      </c>
      <c r="S422" s="4" t="str">
        <f>IFERROR(Table1[[#This Row],[Good Kernels (kg''s)]]/Table1[[#This Row],[Input Quantity (Kg''s)]]*176.36,"")</f>
        <v/>
      </c>
      <c r="T422" s="4" t="str">
        <f>IFERROR(Table1[[#This Row],[Good Kernels (kg''s)]]/Table1[[#This Row],[Input Quantity (Kg''s)]]%,"")</f>
        <v/>
      </c>
      <c r="U422" s="5" t="str">
        <f>IFERROR(Table1[[#This Row],[Final Kernels (kg''s)]]/Table1[[#This Row],[Input Quantity (Kg''s)]]%,"")</f>
        <v/>
      </c>
      <c r="V422" s="5" t="str">
        <f>IFERROR(Table1[[#This Row],[Wholes (kg''s)]]/Table1[[#This Row],[Good Kernels (kg''s)]]%,"")</f>
        <v/>
      </c>
      <c r="W422" s="5" t="str">
        <f>IFERROR(Table1[[#This Row],[Pieces (kg''s)]]/Table1[[#This Row],[Good Kernels (kg''s)]]%,"")</f>
        <v/>
      </c>
      <c r="X422" s="5" t="str">
        <f>IFERROR(Table1[[#This Row],[First Pass Uncut (kg''s)]]/Table1[[#This Row],[Input Quantity (Kg''s)]]%,"")</f>
        <v/>
      </c>
      <c r="Y422" s="5" t="str">
        <f>IFERROR(Table1[[#This Row],[Final Uncut (kg''s)]]/Table1[[#This Row],[Input Quantity (Kg''s)]]%,"")</f>
        <v/>
      </c>
      <c r="Z422" s="21" t="str">
        <f>IFERROR(Table1[[#This Row],[Shell]]/Table1[[#This Row],[Input Quantity (Kg''s)]]%,"")</f>
        <v/>
      </c>
      <c r="AA422" s="21" t="str">
        <f>IFERROR(Table1[[#This Row],[Shell Dust]]/Table1[[#This Row],[Input Quantity (Kg''s)]]%,"")</f>
        <v/>
      </c>
    </row>
    <row r="423" spans="2:27" x14ac:dyDescent="0.3">
      <c r="B423" s="1"/>
      <c r="C423" s="15">
        <f>WEEKNUM(Table1[[#This Row],[Date]])</f>
        <v>0</v>
      </c>
      <c r="D423" s="1" t="str">
        <f>TEXT(Table1[[#This Row],[Date]],"mmm-yy")</f>
        <v>Jan-00</v>
      </c>
      <c r="E423" s="1"/>
      <c r="I423" s="3"/>
      <c r="M423" s="3"/>
      <c r="N423" s="3"/>
      <c r="O423" s="3"/>
      <c r="P423" s="3">
        <f>Table1[[#This Row],[Input Quantity (Kg''s)]]-SUM(Table1[[#This Row],[Wholes (kg''s)]:[Black Rejection (Kg''s)]],Table1[[#This Row],[Shell Dust]])</f>
        <v>0</v>
      </c>
      <c r="Q423" s="3">
        <f>SUM(Table1[[#This Row],[Wholes (kg''s)]:[Pieces (kg''s)]])</f>
        <v>0</v>
      </c>
      <c r="R423" s="3">
        <f>SUM(Table1[[#This Row],[Wholes (kg''s)]:[Black Rejection (Kg''s)]])</f>
        <v>0</v>
      </c>
      <c r="S423" s="4" t="str">
        <f>IFERROR(Table1[[#This Row],[Good Kernels (kg''s)]]/Table1[[#This Row],[Input Quantity (Kg''s)]]*176.36,"")</f>
        <v/>
      </c>
      <c r="T423" s="4" t="str">
        <f>IFERROR(Table1[[#This Row],[Good Kernels (kg''s)]]/Table1[[#This Row],[Input Quantity (Kg''s)]]%,"")</f>
        <v/>
      </c>
      <c r="U423" s="5" t="str">
        <f>IFERROR(Table1[[#This Row],[Final Kernels (kg''s)]]/Table1[[#This Row],[Input Quantity (Kg''s)]]%,"")</f>
        <v/>
      </c>
      <c r="V423" s="5" t="str">
        <f>IFERROR(Table1[[#This Row],[Wholes (kg''s)]]/Table1[[#This Row],[Good Kernels (kg''s)]]%,"")</f>
        <v/>
      </c>
      <c r="W423" s="5" t="str">
        <f>IFERROR(Table1[[#This Row],[Pieces (kg''s)]]/Table1[[#This Row],[Good Kernels (kg''s)]]%,"")</f>
        <v/>
      </c>
      <c r="X423" s="5" t="str">
        <f>IFERROR(Table1[[#This Row],[First Pass Uncut (kg''s)]]/Table1[[#This Row],[Input Quantity (Kg''s)]]%,"")</f>
        <v/>
      </c>
      <c r="Y423" s="5" t="str">
        <f>IFERROR(Table1[[#This Row],[Final Uncut (kg''s)]]/Table1[[#This Row],[Input Quantity (Kg''s)]]%,"")</f>
        <v/>
      </c>
      <c r="Z423" s="21" t="str">
        <f>IFERROR(Table1[[#This Row],[Shell]]/Table1[[#This Row],[Input Quantity (Kg''s)]]%,"")</f>
        <v/>
      </c>
      <c r="AA423" s="21" t="str">
        <f>IFERROR(Table1[[#This Row],[Shell Dust]]/Table1[[#This Row],[Input Quantity (Kg''s)]]%,"")</f>
        <v/>
      </c>
    </row>
    <row r="424" spans="2:27" x14ac:dyDescent="0.3">
      <c r="B424" s="1"/>
      <c r="C424" s="15">
        <f>WEEKNUM(Table1[[#This Row],[Date]])</f>
        <v>0</v>
      </c>
      <c r="D424" s="1" t="str">
        <f>TEXT(Table1[[#This Row],[Date]],"mmm-yy")</f>
        <v>Jan-00</v>
      </c>
      <c r="E424" s="1"/>
      <c r="I424" s="3"/>
      <c r="M424" s="3"/>
      <c r="N424" s="3"/>
      <c r="O424" s="3"/>
      <c r="P424" s="3">
        <f>Table1[[#This Row],[Input Quantity (Kg''s)]]-SUM(Table1[[#This Row],[Wholes (kg''s)]:[Black Rejection (Kg''s)]],Table1[[#This Row],[Shell Dust]])</f>
        <v>0</v>
      </c>
      <c r="Q424" s="3">
        <f>SUM(Table1[[#This Row],[Wholes (kg''s)]:[Pieces (kg''s)]])</f>
        <v>0</v>
      </c>
      <c r="R424" s="3">
        <f>SUM(Table1[[#This Row],[Wholes (kg''s)]:[Black Rejection (Kg''s)]])</f>
        <v>0</v>
      </c>
      <c r="S424" s="4" t="str">
        <f>IFERROR(Table1[[#This Row],[Good Kernels (kg''s)]]/Table1[[#This Row],[Input Quantity (Kg''s)]]*176.36,"")</f>
        <v/>
      </c>
      <c r="T424" s="4" t="str">
        <f>IFERROR(Table1[[#This Row],[Good Kernels (kg''s)]]/Table1[[#This Row],[Input Quantity (Kg''s)]]%,"")</f>
        <v/>
      </c>
      <c r="U424" s="5" t="str">
        <f>IFERROR(Table1[[#This Row],[Final Kernels (kg''s)]]/Table1[[#This Row],[Input Quantity (Kg''s)]]%,"")</f>
        <v/>
      </c>
      <c r="V424" s="5" t="str">
        <f>IFERROR(Table1[[#This Row],[Wholes (kg''s)]]/Table1[[#This Row],[Good Kernels (kg''s)]]%,"")</f>
        <v/>
      </c>
      <c r="W424" s="5" t="str">
        <f>IFERROR(Table1[[#This Row],[Pieces (kg''s)]]/Table1[[#This Row],[Good Kernels (kg''s)]]%,"")</f>
        <v/>
      </c>
      <c r="X424" s="5" t="str">
        <f>IFERROR(Table1[[#This Row],[First Pass Uncut (kg''s)]]/Table1[[#This Row],[Input Quantity (Kg''s)]]%,"")</f>
        <v/>
      </c>
      <c r="Y424" s="5" t="str">
        <f>IFERROR(Table1[[#This Row],[Final Uncut (kg''s)]]/Table1[[#This Row],[Input Quantity (Kg''s)]]%,"")</f>
        <v/>
      </c>
      <c r="Z424" s="21" t="str">
        <f>IFERROR(Table1[[#This Row],[Shell]]/Table1[[#This Row],[Input Quantity (Kg''s)]]%,"")</f>
        <v/>
      </c>
      <c r="AA424" s="21" t="str">
        <f>IFERROR(Table1[[#This Row],[Shell Dust]]/Table1[[#This Row],[Input Quantity (Kg''s)]]%,"")</f>
        <v/>
      </c>
    </row>
    <row r="425" spans="2:27" x14ac:dyDescent="0.3">
      <c r="B425" s="1"/>
      <c r="C425" s="15">
        <f>WEEKNUM(Table1[[#This Row],[Date]])</f>
        <v>0</v>
      </c>
      <c r="D425" s="1" t="str">
        <f>TEXT(Table1[[#This Row],[Date]],"mmm-yy")</f>
        <v>Jan-00</v>
      </c>
      <c r="E425" s="1"/>
      <c r="I425" s="3"/>
      <c r="M425" s="3"/>
      <c r="N425" s="3"/>
      <c r="O425" s="3"/>
      <c r="P425" s="3">
        <f>Table1[[#This Row],[Input Quantity (Kg''s)]]-SUM(Table1[[#This Row],[Wholes (kg''s)]:[Black Rejection (Kg''s)]],Table1[[#This Row],[Shell Dust]])</f>
        <v>0</v>
      </c>
      <c r="Q425" s="3">
        <f>SUM(Table1[[#This Row],[Wholes (kg''s)]:[Pieces (kg''s)]])</f>
        <v>0</v>
      </c>
      <c r="R425" s="3">
        <f>SUM(Table1[[#This Row],[Wholes (kg''s)]:[Black Rejection (Kg''s)]])</f>
        <v>0</v>
      </c>
      <c r="S425" s="4" t="str">
        <f>IFERROR(Table1[[#This Row],[Good Kernels (kg''s)]]/Table1[[#This Row],[Input Quantity (Kg''s)]]*176.36,"")</f>
        <v/>
      </c>
      <c r="T425" s="4" t="str">
        <f>IFERROR(Table1[[#This Row],[Good Kernels (kg''s)]]/Table1[[#This Row],[Input Quantity (Kg''s)]]%,"")</f>
        <v/>
      </c>
      <c r="U425" s="5" t="str">
        <f>IFERROR(Table1[[#This Row],[Final Kernels (kg''s)]]/Table1[[#This Row],[Input Quantity (Kg''s)]]%,"")</f>
        <v/>
      </c>
      <c r="V425" s="5" t="str">
        <f>IFERROR(Table1[[#This Row],[Wholes (kg''s)]]/Table1[[#This Row],[Good Kernels (kg''s)]]%,"")</f>
        <v/>
      </c>
      <c r="W425" s="5" t="str">
        <f>IFERROR(Table1[[#This Row],[Pieces (kg''s)]]/Table1[[#This Row],[Good Kernels (kg''s)]]%,"")</f>
        <v/>
      </c>
      <c r="X425" s="5" t="str">
        <f>IFERROR(Table1[[#This Row],[First Pass Uncut (kg''s)]]/Table1[[#This Row],[Input Quantity (Kg''s)]]%,"")</f>
        <v/>
      </c>
      <c r="Y425" s="5" t="str">
        <f>IFERROR(Table1[[#This Row],[Final Uncut (kg''s)]]/Table1[[#This Row],[Input Quantity (Kg''s)]]%,"")</f>
        <v/>
      </c>
      <c r="Z425" s="21" t="str">
        <f>IFERROR(Table1[[#This Row],[Shell]]/Table1[[#This Row],[Input Quantity (Kg''s)]]%,"")</f>
        <v/>
      </c>
      <c r="AA425" s="21" t="str">
        <f>IFERROR(Table1[[#This Row],[Shell Dust]]/Table1[[#This Row],[Input Quantity (Kg''s)]]%,"")</f>
        <v/>
      </c>
    </row>
    <row r="426" spans="2:27" x14ac:dyDescent="0.3">
      <c r="B426" s="1"/>
      <c r="C426" s="15">
        <f>WEEKNUM(Table1[[#This Row],[Date]])</f>
        <v>0</v>
      </c>
      <c r="D426" s="1" t="str">
        <f>TEXT(Table1[[#This Row],[Date]],"mmm-yy")</f>
        <v>Jan-00</v>
      </c>
      <c r="E426" s="1"/>
      <c r="I426" s="3"/>
      <c r="M426" s="3"/>
      <c r="N426" s="3"/>
      <c r="O426" s="3"/>
      <c r="P426" s="3">
        <f>Table1[[#This Row],[Input Quantity (Kg''s)]]-SUM(Table1[[#This Row],[Wholes (kg''s)]:[Black Rejection (Kg''s)]],Table1[[#This Row],[Shell Dust]])</f>
        <v>0</v>
      </c>
      <c r="Q426" s="3">
        <f>SUM(Table1[[#This Row],[Wholes (kg''s)]:[Pieces (kg''s)]])</f>
        <v>0</v>
      </c>
      <c r="R426" s="3">
        <f>SUM(Table1[[#This Row],[Wholes (kg''s)]:[Black Rejection (Kg''s)]])</f>
        <v>0</v>
      </c>
      <c r="S426" s="4" t="str">
        <f>IFERROR(Table1[[#This Row],[Good Kernels (kg''s)]]/Table1[[#This Row],[Input Quantity (Kg''s)]]*176.36,"")</f>
        <v/>
      </c>
      <c r="T426" s="4" t="str">
        <f>IFERROR(Table1[[#This Row],[Good Kernels (kg''s)]]/Table1[[#This Row],[Input Quantity (Kg''s)]]%,"")</f>
        <v/>
      </c>
      <c r="U426" s="5" t="str">
        <f>IFERROR(Table1[[#This Row],[Final Kernels (kg''s)]]/Table1[[#This Row],[Input Quantity (Kg''s)]]%,"")</f>
        <v/>
      </c>
      <c r="V426" s="5" t="str">
        <f>IFERROR(Table1[[#This Row],[Wholes (kg''s)]]/Table1[[#This Row],[Good Kernels (kg''s)]]%,"")</f>
        <v/>
      </c>
      <c r="W426" s="5" t="str">
        <f>IFERROR(Table1[[#This Row],[Pieces (kg''s)]]/Table1[[#This Row],[Good Kernels (kg''s)]]%,"")</f>
        <v/>
      </c>
      <c r="X426" s="5" t="str">
        <f>IFERROR(Table1[[#This Row],[First Pass Uncut (kg''s)]]/Table1[[#This Row],[Input Quantity (Kg''s)]]%,"")</f>
        <v/>
      </c>
      <c r="Y426" s="5" t="str">
        <f>IFERROR(Table1[[#This Row],[Final Uncut (kg''s)]]/Table1[[#This Row],[Input Quantity (Kg''s)]]%,"")</f>
        <v/>
      </c>
      <c r="Z426" s="21" t="str">
        <f>IFERROR(Table1[[#This Row],[Shell]]/Table1[[#This Row],[Input Quantity (Kg''s)]]%,"")</f>
        <v/>
      </c>
      <c r="AA426" s="21" t="str">
        <f>IFERROR(Table1[[#This Row],[Shell Dust]]/Table1[[#This Row],[Input Quantity (Kg''s)]]%,"")</f>
        <v/>
      </c>
    </row>
    <row r="427" spans="2:27" x14ac:dyDescent="0.3">
      <c r="B427" s="1"/>
      <c r="C427" s="15">
        <f>WEEKNUM(Table1[[#This Row],[Date]])</f>
        <v>0</v>
      </c>
      <c r="D427" s="1" t="str">
        <f>TEXT(Table1[[#This Row],[Date]],"mmm-yy")</f>
        <v>Jan-00</v>
      </c>
      <c r="E427" s="1"/>
      <c r="I427" s="3"/>
      <c r="M427" s="3"/>
      <c r="N427" s="3"/>
      <c r="O427" s="3"/>
      <c r="P427" s="3">
        <f>Table1[[#This Row],[Input Quantity (Kg''s)]]-SUM(Table1[[#This Row],[Wholes (kg''s)]:[Black Rejection (Kg''s)]],Table1[[#This Row],[Shell Dust]])</f>
        <v>0</v>
      </c>
      <c r="Q427" s="3">
        <f>SUM(Table1[[#This Row],[Wholes (kg''s)]:[Pieces (kg''s)]])</f>
        <v>0</v>
      </c>
      <c r="R427" s="3">
        <f>SUM(Table1[[#This Row],[Wholes (kg''s)]:[Black Rejection (Kg''s)]])</f>
        <v>0</v>
      </c>
      <c r="S427" s="4" t="str">
        <f>IFERROR(Table1[[#This Row],[Good Kernels (kg''s)]]/Table1[[#This Row],[Input Quantity (Kg''s)]]*176.36,"")</f>
        <v/>
      </c>
      <c r="T427" s="4" t="str">
        <f>IFERROR(Table1[[#This Row],[Good Kernels (kg''s)]]/Table1[[#This Row],[Input Quantity (Kg''s)]]%,"")</f>
        <v/>
      </c>
      <c r="U427" s="5" t="str">
        <f>IFERROR(Table1[[#This Row],[Final Kernels (kg''s)]]/Table1[[#This Row],[Input Quantity (Kg''s)]]%,"")</f>
        <v/>
      </c>
      <c r="V427" s="5" t="str">
        <f>IFERROR(Table1[[#This Row],[Wholes (kg''s)]]/Table1[[#This Row],[Good Kernels (kg''s)]]%,"")</f>
        <v/>
      </c>
      <c r="W427" s="5" t="str">
        <f>IFERROR(Table1[[#This Row],[Pieces (kg''s)]]/Table1[[#This Row],[Good Kernels (kg''s)]]%,"")</f>
        <v/>
      </c>
      <c r="X427" s="5" t="str">
        <f>IFERROR(Table1[[#This Row],[First Pass Uncut (kg''s)]]/Table1[[#This Row],[Input Quantity (Kg''s)]]%,"")</f>
        <v/>
      </c>
      <c r="Y427" s="5" t="str">
        <f>IFERROR(Table1[[#This Row],[Final Uncut (kg''s)]]/Table1[[#This Row],[Input Quantity (Kg''s)]]%,"")</f>
        <v/>
      </c>
      <c r="Z427" s="21" t="str">
        <f>IFERROR(Table1[[#This Row],[Shell]]/Table1[[#This Row],[Input Quantity (Kg''s)]]%,"")</f>
        <v/>
      </c>
      <c r="AA427" s="21" t="str">
        <f>IFERROR(Table1[[#This Row],[Shell Dust]]/Table1[[#This Row],[Input Quantity (Kg''s)]]%,"")</f>
        <v/>
      </c>
    </row>
    <row r="428" spans="2:27" x14ac:dyDescent="0.3">
      <c r="B428" s="1"/>
      <c r="C428" s="15">
        <f>WEEKNUM(Table1[[#This Row],[Date]])</f>
        <v>0</v>
      </c>
      <c r="D428" s="1" t="str">
        <f>TEXT(Table1[[#This Row],[Date]],"mmm-yy")</f>
        <v>Jan-00</v>
      </c>
      <c r="E428" s="1"/>
      <c r="I428" s="3"/>
      <c r="M428" s="3"/>
      <c r="N428" s="3"/>
      <c r="O428" s="3"/>
      <c r="P428" s="3">
        <f>Table1[[#This Row],[Input Quantity (Kg''s)]]-SUM(Table1[[#This Row],[Wholes (kg''s)]:[Black Rejection (Kg''s)]],Table1[[#This Row],[Shell Dust]])</f>
        <v>0</v>
      </c>
      <c r="Q428" s="3">
        <f>SUM(Table1[[#This Row],[Wholes (kg''s)]:[Pieces (kg''s)]])</f>
        <v>0</v>
      </c>
      <c r="R428" s="3">
        <f>SUM(Table1[[#This Row],[Wholes (kg''s)]:[Black Rejection (Kg''s)]])</f>
        <v>0</v>
      </c>
      <c r="S428" s="4" t="str">
        <f>IFERROR(Table1[[#This Row],[Good Kernels (kg''s)]]/Table1[[#This Row],[Input Quantity (Kg''s)]]*176.36,"")</f>
        <v/>
      </c>
      <c r="T428" s="4" t="str">
        <f>IFERROR(Table1[[#This Row],[Good Kernels (kg''s)]]/Table1[[#This Row],[Input Quantity (Kg''s)]]%,"")</f>
        <v/>
      </c>
      <c r="U428" s="5" t="str">
        <f>IFERROR(Table1[[#This Row],[Final Kernels (kg''s)]]/Table1[[#This Row],[Input Quantity (Kg''s)]]%,"")</f>
        <v/>
      </c>
      <c r="V428" s="5" t="str">
        <f>IFERROR(Table1[[#This Row],[Wholes (kg''s)]]/Table1[[#This Row],[Good Kernels (kg''s)]]%,"")</f>
        <v/>
      </c>
      <c r="W428" s="5" t="str">
        <f>IFERROR(Table1[[#This Row],[Pieces (kg''s)]]/Table1[[#This Row],[Good Kernels (kg''s)]]%,"")</f>
        <v/>
      </c>
      <c r="X428" s="5" t="str">
        <f>IFERROR(Table1[[#This Row],[First Pass Uncut (kg''s)]]/Table1[[#This Row],[Input Quantity (Kg''s)]]%,"")</f>
        <v/>
      </c>
      <c r="Y428" s="5" t="str">
        <f>IFERROR(Table1[[#This Row],[Final Uncut (kg''s)]]/Table1[[#This Row],[Input Quantity (Kg''s)]]%,"")</f>
        <v/>
      </c>
      <c r="Z428" s="21" t="str">
        <f>IFERROR(Table1[[#This Row],[Shell]]/Table1[[#This Row],[Input Quantity (Kg''s)]]%,"")</f>
        <v/>
      </c>
      <c r="AA428" s="21" t="str">
        <f>IFERROR(Table1[[#This Row],[Shell Dust]]/Table1[[#This Row],[Input Quantity (Kg''s)]]%,"")</f>
        <v/>
      </c>
    </row>
    <row r="429" spans="2:27" x14ac:dyDescent="0.3">
      <c r="B429" s="1"/>
      <c r="C429" s="15">
        <f>WEEKNUM(Table1[[#This Row],[Date]])</f>
        <v>0</v>
      </c>
      <c r="D429" s="1" t="str">
        <f>TEXT(Table1[[#This Row],[Date]],"mmm-yy")</f>
        <v>Jan-00</v>
      </c>
      <c r="E429" s="1"/>
      <c r="I429" s="3"/>
      <c r="M429" s="3"/>
      <c r="N429" s="3"/>
      <c r="O429" s="3"/>
      <c r="P429" s="3">
        <f>Table1[[#This Row],[Input Quantity (Kg''s)]]-SUM(Table1[[#This Row],[Wholes (kg''s)]:[Black Rejection (Kg''s)]],Table1[[#This Row],[Shell Dust]])</f>
        <v>0</v>
      </c>
      <c r="Q429" s="3">
        <f>SUM(Table1[[#This Row],[Wholes (kg''s)]:[Pieces (kg''s)]])</f>
        <v>0</v>
      </c>
      <c r="R429" s="3">
        <f>SUM(Table1[[#This Row],[Wholes (kg''s)]:[Black Rejection (Kg''s)]])</f>
        <v>0</v>
      </c>
      <c r="S429" s="4" t="str">
        <f>IFERROR(Table1[[#This Row],[Good Kernels (kg''s)]]/Table1[[#This Row],[Input Quantity (Kg''s)]]*176.36,"")</f>
        <v/>
      </c>
      <c r="T429" s="4" t="str">
        <f>IFERROR(Table1[[#This Row],[Good Kernels (kg''s)]]/Table1[[#This Row],[Input Quantity (Kg''s)]]%,"")</f>
        <v/>
      </c>
      <c r="U429" s="5" t="str">
        <f>IFERROR(Table1[[#This Row],[Final Kernels (kg''s)]]/Table1[[#This Row],[Input Quantity (Kg''s)]]%,"")</f>
        <v/>
      </c>
      <c r="V429" s="5" t="str">
        <f>IFERROR(Table1[[#This Row],[Wholes (kg''s)]]/Table1[[#This Row],[Good Kernels (kg''s)]]%,"")</f>
        <v/>
      </c>
      <c r="W429" s="5" t="str">
        <f>IFERROR(Table1[[#This Row],[Pieces (kg''s)]]/Table1[[#This Row],[Good Kernels (kg''s)]]%,"")</f>
        <v/>
      </c>
      <c r="X429" s="5" t="str">
        <f>IFERROR(Table1[[#This Row],[First Pass Uncut (kg''s)]]/Table1[[#This Row],[Input Quantity (Kg''s)]]%,"")</f>
        <v/>
      </c>
      <c r="Y429" s="5" t="str">
        <f>IFERROR(Table1[[#This Row],[Final Uncut (kg''s)]]/Table1[[#This Row],[Input Quantity (Kg''s)]]%,"")</f>
        <v/>
      </c>
      <c r="Z429" s="21" t="str">
        <f>IFERROR(Table1[[#This Row],[Shell]]/Table1[[#This Row],[Input Quantity (Kg''s)]]%,"")</f>
        <v/>
      </c>
      <c r="AA429" s="21" t="str">
        <f>IFERROR(Table1[[#This Row],[Shell Dust]]/Table1[[#This Row],[Input Quantity (Kg''s)]]%,"")</f>
        <v/>
      </c>
    </row>
    <row r="430" spans="2:27" x14ac:dyDescent="0.3">
      <c r="B430" s="1"/>
      <c r="C430" s="15">
        <f>WEEKNUM(Table1[[#This Row],[Date]])</f>
        <v>0</v>
      </c>
      <c r="D430" s="1" t="str">
        <f>TEXT(Table1[[#This Row],[Date]],"mmm-yy")</f>
        <v>Jan-00</v>
      </c>
      <c r="E430" s="1"/>
      <c r="I430" s="3"/>
      <c r="M430" s="3"/>
      <c r="N430" s="3"/>
      <c r="O430" s="3"/>
      <c r="P430" s="3">
        <f>Table1[[#This Row],[Input Quantity (Kg''s)]]-SUM(Table1[[#This Row],[Wholes (kg''s)]:[Black Rejection (Kg''s)]],Table1[[#This Row],[Shell Dust]])</f>
        <v>0</v>
      </c>
      <c r="Q430" s="3">
        <f>SUM(Table1[[#This Row],[Wholes (kg''s)]:[Pieces (kg''s)]])</f>
        <v>0</v>
      </c>
      <c r="R430" s="3">
        <f>SUM(Table1[[#This Row],[Wholes (kg''s)]:[Black Rejection (Kg''s)]])</f>
        <v>0</v>
      </c>
      <c r="S430" s="4" t="str">
        <f>IFERROR(Table1[[#This Row],[Good Kernels (kg''s)]]/Table1[[#This Row],[Input Quantity (Kg''s)]]*176.36,"")</f>
        <v/>
      </c>
      <c r="T430" s="4" t="str">
        <f>IFERROR(Table1[[#This Row],[Good Kernels (kg''s)]]/Table1[[#This Row],[Input Quantity (Kg''s)]]%,"")</f>
        <v/>
      </c>
      <c r="U430" s="5" t="str">
        <f>IFERROR(Table1[[#This Row],[Final Kernels (kg''s)]]/Table1[[#This Row],[Input Quantity (Kg''s)]]%,"")</f>
        <v/>
      </c>
      <c r="V430" s="5" t="str">
        <f>IFERROR(Table1[[#This Row],[Wholes (kg''s)]]/Table1[[#This Row],[Good Kernels (kg''s)]]%,"")</f>
        <v/>
      </c>
      <c r="W430" s="5" t="str">
        <f>IFERROR(Table1[[#This Row],[Pieces (kg''s)]]/Table1[[#This Row],[Good Kernels (kg''s)]]%,"")</f>
        <v/>
      </c>
      <c r="X430" s="5" t="str">
        <f>IFERROR(Table1[[#This Row],[First Pass Uncut (kg''s)]]/Table1[[#This Row],[Input Quantity (Kg''s)]]%,"")</f>
        <v/>
      </c>
      <c r="Y430" s="5" t="str">
        <f>IFERROR(Table1[[#This Row],[Final Uncut (kg''s)]]/Table1[[#This Row],[Input Quantity (Kg''s)]]%,"")</f>
        <v/>
      </c>
      <c r="Z430" s="21" t="str">
        <f>IFERROR(Table1[[#This Row],[Shell]]/Table1[[#This Row],[Input Quantity (Kg''s)]]%,"")</f>
        <v/>
      </c>
      <c r="AA430" s="21" t="str">
        <f>IFERROR(Table1[[#This Row],[Shell Dust]]/Table1[[#This Row],[Input Quantity (Kg''s)]]%,"")</f>
        <v/>
      </c>
    </row>
    <row r="431" spans="2:27" x14ac:dyDescent="0.3">
      <c r="B431" s="1"/>
      <c r="C431" s="15">
        <f>WEEKNUM(Table1[[#This Row],[Date]])</f>
        <v>0</v>
      </c>
      <c r="D431" s="1" t="str">
        <f>TEXT(Table1[[#This Row],[Date]],"mmm-yy")</f>
        <v>Jan-00</v>
      </c>
      <c r="E431" s="1"/>
      <c r="I431" s="3"/>
      <c r="M431" s="3"/>
      <c r="N431" s="3"/>
      <c r="O431" s="3"/>
      <c r="P431" s="3">
        <f>Table1[[#This Row],[Input Quantity (Kg''s)]]-SUM(Table1[[#This Row],[Wholes (kg''s)]:[Black Rejection (Kg''s)]],Table1[[#This Row],[Shell Dust]])</f>
        <v>0</v>
      </c>
      <c r="Q431" s="3">
        <f>SUM(Table1[[#This Row],[Wholes (kg''s)]:[Pieces (kg''s)]])</f>
        <v>0</v>
      </c>
      <c r="R431" s="3">
        <f>SUM(Table1[[#This Row],[Wholes (kg''s)]:[Black Rejection (Kg''s)]])</f>
        <v>0</v>
      </c>
      <c r="S431" s="4" t="str">
        <f>IFERROR(Table1[[#This Row],[Good Kernels (kg''s)]]/Table1[[#This Row],[Input Quantity (Kg''s)]]*176.36,"")</f>
        <v/>
      </c>
      <c r="T431" s="4" t="str">
        <f>IFERROR(Table1[[#This Row],[Good Kernels (kg''s)]]/Table1[[#This Row],[Input Quantity (Kg''s)]]%,"")</f>
        <v/>
      </c>
      <c r="U431" s="5" t="str">
        <f>IFERROR(Table1[[#This Row],[Final Kernels (kg''s)]]/Table1[[#This Row],[Input Quantity (Kg''s)]]%,"")</f>
        <v/>
      </c>
      <c r="V431" s="5" t="str">
        <f>IFERROR(Table1[[#This Row],[Wholes (kg''s)]]/Table1[[#This Row],[Good Kernels (kg''s)]]%,"")</f>
        <v/>
      </c>
      <c r="W431" s="5" t="str">
        <f>IFERROR(Table1[[#This Row],[Pieces (kg''s)]]/Table1[[#This Row],[Good Kernels (kg''s)]]%,"")</f>
        <v/>
      </c>
      <c r="X431" s="5" t="str">
        <f>IFERROR(Table1[[#This Row],[First Pass Uncut (kg''s)]]/Table1[[#This Row],[Input Quantity (Kg''s)]]%,"")</f>
        <v/>
      </c>
      <c r="Y431" s="5" t="str">
        <f>IFERROR(Table1[[#This Row],[Final Uncut (kg''s)]]/Table1[[#This Row],[Input Quantity (Kg''s)]]%,"")</f>
        <v/>
      </c>
      <c r="Z431" s="21" t="str">
        <f>IFERROR(Table1[[#This Row],[Shell]]/Table1[[#This Row],[Input Quantity (Kg''s)]]%,"")</f>
        <v/>
      </c>
      <c r="AA431" s="21" t="str">
        <f>IFERROR(Table1[[#This Row],[Shell Dust]]/Table1[[#This Row],[Input Quantity (Kg''s)]]%,"")</f>
        <v/>
      </c>
    </row>
    <row r="432" spans="2:27" x14ac:dyDescent="0.3">
      <c r="B432" s="1"/>
      <c r="C432" s="15">
        <f>WEEKNUM(Table1[[#This Row],[Date]])</f>
        <v>0</v>
      </c>
      <c r="D432" s="1" t="str">
        <f>TEXT(Table1[[#This Row],[Date]],"mmm-yy")</f>
        <v>Jan-00</v>
      </c>
      <c r="E432" s="1"/>
      <c r="I432" s="3"/>
      <c r="M432" s="3"/>
      <c r="N432" s="3"/>
      <c r="O432" s="3"/>
      <c r="P432" s="3">
        <f>Table1[[#This Row],[Input Quantity (Kg''s)]]-SUM(Table1[[#This Row],[Wholes (kg''s)]:[Black Rejection (Kg''s)]],Table1[[#This Row],[Shell Dust]])</f>
        <v>0</v>
      </c>
      <c r="Q432" s="3">
        <f>SUM(Table1[[#This Row],[Wholes (kg''s)]:[Pieces (kg''s)]])</f>
        <v>0</v>
      </c>
      <c r="R432" s="3">
        <f>SUM(Table1[[#This Row],[Wholes (kg''s)]:[Black Rejection (Kg''s)]])</f>
        <v>0</v>
      </c>
      <c r="S432" s="4" t="str">
        <f>IFERROR(Table1[[#This Row],[Good Kernels (kg''s)]]/Table1[[#This Row],[Input Quantity (Kg''s)]]*176.36,"")</f>
        <v/>
      </c>
      <c r="T432" s="4" t="str">
        <f>IFERROR(Table1[[#This Row],[Good Kernels (kg''s)]]/Table1[[#This Row],[Input Quantity (Kg''s)]]%,"")</f>
        <v/>
      </c>
      <c r="U432" s="5" t="str">
        <f>IFERROR(Table1[[#This Row],[Final Kernels (kg''s)]]/Table1[[#This Row],[Input Quantity (Kg''s)]]%,"")</f>
        <v/>
      </c>
      <c r="V432" s="5" t="str">
        <f>IFERROR(Table1[[#This Row],[Wholes (kg''s)]]/Table1[[#This Row],[Good Kernels (kg''s)]]%,"")</f>
        <v/>
      </c>
      <c r="W432" s="5" t="str">
        <f>IFERROR(Table1[[#This Row],[Pieces (kg''s)]]/Table1[[#This Row],[Good Kernels (kg''s)]]%,"")</f>
        <v/>
      </c>
      <c r="X432" s="5" t="str">
        <f>IFERROR(Table1[[#This Row],[First Pass Uncut (kg''s)]]/Table1[[#This Row],[Input Quantity (Kg''s)]]%,"")</f>
        <v/>
      </c>
      <c r="Y432" s="5" t="str">
        <f>IFERROR(Table1[[#This Row],[Final Uncut (kg''s)]]/Table1[[#This Row],[Input Quantity (Kg''s)]]%,"")</f>
        <v/>
      </c>
      <c r="Z432" s="21" t="str">
        <f>IFERROR(Table1[[#This Row],[Shell]]/Table1[[#This Row],[Input Quantity (Kg''s)]]%,"")</f>
        <v/>
      </c>
      <c r="AA432" s="21" t="str">
        <f>IFERROR(Table1[[#This Row],[Shell Dust]]/Table1[[#This Row],[Input Quantity (Kg''s)]]%,"")</f>
        <v/>
      </c>
    </row>
    <row r="433" spans="2:27" x14ac:dyDescent="0.3">
      <c r="B433" s="1"/>
      <c r="C433" s="15">
        <f>WEEKNUM(Table1[[#This Row],[Date]])</f>
        <v>0</v>
      </c>
      <c r="D433" s="1" t="str">
        <f>TEXT(Table1[[#This Row],[Date]],"mmm-yy")</f>
        <v>Jan-00</v>
      </c>
      <c r="E433" s="1"/>
      <c r="I433" s="3"/>
      <c r="M433" s="3"/>
      <c r="N433" s="3"/>
      <c r="O433" s="3"/>
      <c r="P433" s="3">
        <f>Table1[[#This Row],[Input Quantity (Kg''s)]]-SUM(Table1[[#This Row],[Wholes (kg''s)]:[Black Rejection (Kg''s)]],Table1[[#This Row],[Shell Dust]])</f>
        <v>0</v>
      </c>
      <c r="Q433" s="3">
        <f>SUM(Table1[[#This Row],[Wholes (kg''s)]:[Pieces (kg''s)]])</f>
        <v>0</v>
      </c>
      <c r="R433" s="3">
        <f>SUM(Table1[[#This Row],[Wholes (kg''s)]:[Black Rejection (Kg''s)]])</f>
        <v>0</v>
      </c>
      <c r="S433" s="4" t="str">
        <f>IFERROR(Table1[[#This Row],[Good Kernels (kg''s)]]/Table1[[#This Row],[Input Quantity (Kg''s)]]*176.36,"")</f>
        <v/>
      </c>
      <c r="T433" s="4" t="str">
        <f>IFERROR(Table1[[#This Row],[Good Kernels (kg''s)]]/Table1[[#This Row],[Input Quantity (Kg''s)]]%,"")</f>
        <v/>
      </c>
      <c r="U433" s="5" t="str">
        <f>IFERROR(Table1[[#This Row],[Final Kernels (kg''s)]]/Table1[[#This Row],[Input Quantity (Kg''s)]]%,"")</f>
        <v/>
      </c>
      <c r="V433" s="5" t="str">
        <f>IFERROR(Table1[[#This Row],[Wholes (kg''s)]]/Table1[[#This Row],[Good Kernels (kg''s)]]%,"")</f>
        <v/>
      </c>
      <c r="W433" s="5" t="str">
        <f>IFERROR(Table1[[#This Row],[Pieces (kg''s)]]/Table1[[#This Row],[Good Kernels (kg''s)]]%,"")</f>
        <v/>
      </c>
      <c r="X433" s="5" t="str">
        <f>IFERROR(Table1[[#This Row],[First Pass Uncut (kg''s)]]/Table1[[#This Row],[Input Quantity (Kg''s)]]%,"")</f>
        <v/>
      </c>
      <c r="Y433" s="5" t="str">
        <f>IFERROR(Table1[[#This Row],[Final Uncut (kg''s)]]/Table1[[#This Row],[Input Quantity (Kg''s)]]%,"")</f>
        <v/>
      </c>
      <c r="Z433" s="21" t="str">
        <f>IFERROR(Table1[[#This Row],[Shell]]/Table1[[#This Row],[Input Quantity (Kg''s)]]%,"")</f>
        <v/>
      </c>
      <c r="AA433" s="21" t="str">
        <f>IFERROR(Table1[[#This Row],[Shell Dust]]/Table1[[#This Row],[Input Quantity (Kg''s)]]%,"")</f>
        <v/>
      </c>
    </row>
    <row r="434" spans="2:27" x14ac:dyDescent="0.3">
      <c r="B434" s="1"/>
      <c r="C434" s="15">
        <f>WEEKNUM(Table1[[#This Row],[Date]])</f>
        <v>0</v>
      </c>
      <c r="D434" s="1" t="str">
        <f>TEXT(Table1[[#This Row],[Date]],"mmm-yy")</f>
        <v>Jan-00</v>
      </c>
      <c r="E434" s="1"/>
      <c r="I434" s="3"/>
      <c r="M434" s="3"/>
      <c r="N434" s="3"/>
      <c r="O434" s="3"/>
      <c r="P434" s="3">
        <f>Table1[[#This Row],[Input Quantity (Kg''s)]]-SUM(Table1[[#This Row],[Wholes (kg''s)]:[Black Rejection (Kg''s)]],Table1[[#This Row],[Shell Dust]])</f>
        <v>0</v>
      </c>
      <c r="Q434" s="3">
        <f>SUM(Table1[[#This Row],[Wholes (kg''s)]:[Pieces (kg''s)]])</f>
        <v>0</v>
      </c>
      <c r="R434" s="3">
        <f>SUM(Table1[[#This Row],[Wholes (kg''s)]:[Black Rejection (Kg''s)]])</f>
        <v>0</v>
      </c>
      <c r="S434" s="4" t="str">
        <f>IFERROR(Table1[[#This Row],[Good Kernels (kg''s)]]/Table1[[#This Row],[Input Quantity (Kg''s)]]*176.36,"")</f>
        <v/>
      </c>
      <c r="T434" s="4" t="str">
        <f>IFERROR(Table1[[#This Row],[Good Kernels (kg''s)]]/Table1[[#This Row],[Input Quantity (Kg''s)]]%,"")</f>
        <v/>
      </c>
      <c r="U434" s="5" t="str">
        <f>IFERROR(Table1[[#This Row],[Final Kernels (kg''s)]]/Table1[[#This Row],[Input Quantity (Kg''s)]]%,"")</f>
        <v/>
      </c>
      <c r="V434" s="5" t="str">
        <f>IFERROR(Table1[[#This Row],[Wholes (kg''s)]]/Table1[[#This Row],[Good Kernels (kg''s)]]%,"")</f>
        <v/>
      </c>
      <c r="W434" s="5" t="str">
        <f>IFERROR(Table1[[#This Row],[Pieces (kg''s)]]/Table1[[#This Row],[Good Kernels (kg''s)]]%,"")</f>
        <v/>
      </c>
      <c r="X434" s="5" t="str">
        <f>IFERROR(Table1[[#This Row],[First Pass Uncut (kg''s)]]/Table1[[#This Row],[Input Quantity (Kg''s)]]%,"")</f>
        <v/>
      </c>
      <c r="Y434" s="5" t="str">
        <f>IFERROR(Table1[[#This Row],[Final Uncut (kg''s)]]/Table1[[#This Row],[Input Quantity (Kg''s)]]%,"")</f>
        <v/>
      </c>
      <c r="Z434" s="21" t="str">
        <f>IFERROR(Table1[[#This Row],[Shell]]/Table1[[#This Row],[Input Quantity (Kg''s)]]%,"")</f>
        <v/>
      </c>
      <c r="AA434" s="21" t="str">
        <f>IFERROR(Table1[[#This Row],[Shell Dust]]/Table1[[#This Row],[Input Quantity (Kg''s)]]%,"")</f>
        <v/>
      </c>
    </row>
    <row r="435" spans="2:27" x14ac:dyDescent="0.3">
      <c r="B435" s="1"/>
      <c r="C435" s="15">
        <f>WEEKNUM(Table1[[#This Row],[Date]])</f>
        <v>0</v>
      </c>
      <c r="D435" s="1" t="str">
        <f>TEXT(Table1[[#This Row],[Date]],"mmm-yy")</f>
        <v>Jan-00</v>
      </c>
      <c r="E435" s="1"/>
      <c r="I435" s="3"/>
      <c r="M435" s="3"/>
      <c r="N435" s="3"/>
      <c r="O435" s="3"/>
      <c r="P435" s="3">
        <f>Table1[[#This Row],[Input Quantity (Kg''s)]]-SUM(Table1[[#This Row],[Wholes (kg''s)]:[Black Rejection (Kg''s)]],Table1[[#This Row],[Shell Dust]])</f>
        <v>0</v>
      </c>
      <c r="Q435" s="3">
        <f>SUM(Table1[[#This Row],[Wholes (kg''s)]:[Pieces (kg''s)]])</f>
        <v>0</v>
      </c>
      <c r="R435" s="3">
        <f>SUM(Table1[[#This Row],[Wholes (kg''s)]:[Black Rejection (Kg''s)]])</f>
        <v>0</v>
      </c>
      <c r="S435" s="4" t="str">
        <f>IFERROR(Table1[[#This Row],[Good Kernels (kg''s)]]/Table1[[#This Row],[Input Quantity (Kg''s)]]*176.36,"")</f>
        <v/>
      </c>
      <c r="T435" s="4" t="str">
        <f>IFERROR(Table1[[#This Row],[Good Kernels (kg''s)]]/Table1[[#This Row],[Input Quantity (Kg''s)]]%,"")</f>
        <v/>
      </c>
      <c r="U435" s="5" t="str">
        <f>IFERROR(Table1[[#This Row],[Final Kernels (kg''s)]]/Table1[[#This Row],[Input Quantity (Kg''s)]]%,"")</f>
        <v/>
      </c>
      <c r="V435" s="5" t="str">
        <f>IFERROR(Table1[[#This Row],[Wholes (kg''s)]]/Table1[[#This Row],[Good Kernels (kg''s)]]%,"")</f>
        <v/>
      </c>
      <c r="W435" s="5" t="str">
        <f>IFERROR(Table1[[#This Row],[Pieces (kg''s)]]/Table1[[#This Row],[Good Kernels (kg''s)]]%,"")</f>
        <v/>
      </c>
      <c r="X435" s="5" t="str">
        <f>IFERROR(Table1[[#This Row],[First Pass Uncut (kg''s)]]/Table1[[#This Row],[Input Quantity (Kg''s)]]%,"")</f>
        <v/>
      </c>
      <c r="Y435" s="5" t="str">
        <f>IFERROR(Table1[[#This Row],[Final Uncut (kg''s)]]/Table1[[#This Row],[Input Quantity (Kg''s)]]%,"")</f>
        <v/>
      </c>
      <c r="Z435" s="21" t="str">
        <f>IFERROR(Table1[[#This Row],[Shell]]/Table1[[#This Row],[Input Quantity (Kg''s)]]%,"")</f>
        <v/>
      </c>
      <c r="AA435" s="21" t="str">
        <f>IFERROR(Table1[[#This Row],[Shell Dust]]/Table1[[#This Row],[Input Quantity (Kg''s)]]%,"")</f>
        <v/>
      </c>
    </row>
    <row r="436" spans="2:27" x14ac:dyDescent="0.3">
      <c r="B436" s="1"/>
      <c r="C436" s="15">
        <f>WEEKNUM(Table1[[#This Row],[Date]])</f>
        <v>0</v>
      </c>
      <c r="D436" s="1" t="str">
        <f>TEXT(Table1[[#This Row],[Date]],"mmm-yy")</f>
        <v>Jan-00</v>
      </c>
      <c r="E436" s="1"/>
      <c r="I436" s="3"/>
      <c r="M436" s="3"/>
      <c r="N436" s="3"/>
      <c r="O436" s="3"/>
      <c r="P436" s="3">
        <f>Table1[[#This Row],[Input Quantity (Kg''s)]]-SUM(Table1[[#This Row],[Wholes (kg''s)]:[Black Rejection (Kg''s)]],Table1[[#This Row],[Shell Dust]])</f>
        <v>0</v>
      </c>
      <c r="Q436" s="3">
        <f>SUM(Table1[[#This Row],[Wholes (kg''s)]:[Pieces (kg''s)]])</f>
        <v>0</v>
      </c>
      <c r="R436" s="3">
        <f>SUM(Table1[[#This Row],[Wholes (kg''s)]:[Black Rejection (Kg''s)]])</f>
        <v>0</v>
      </c>
      <c r="S436" s="4" t="str">
        <f>IFERROR(Table1[[#This Row],[Good Kernels (kg''s)]]/Table1[[#This Row],[Input Quantity (Kg''s)]]*176.36,"")</f>
        <v/>
      </c>
      <c r="T436" s="4" t="str">
        <f>IFERROR(Table1[[#This Row],[Good Kernels (kg''s)]]/Table1[[#This Row],[Input Quantity (Kg''s)]]%,"")</f>
        <v/>
      </c>
      <c r="U436" s="5" t="str">
        <f>IFERROR(Table1[[#This Row],[Final Kernels (kg''s)]]/Table1[[#This Row],[Input Quantity (Kg''s)]]%,"")</f>
        <v/>
      </c>
      <c r="V436" s="5" t="str">
        <f>IFERROR(Table1[[#This Row],[Wholes (kg''s)]]/Table1[[#This Row],[Good Kernels (kg''s)]]%,"")</f>
        <v/>
      </c>
      <c r="W436" s="5" t="str">
        <f>IFERROR(Table1[[#This Row],[Pieces (kg''s)]]/Table1[[#This Row],[Good Kernels (kg''s)]]%,"")</f>
        <v/>
      </c>
      <c r="X436" s="5" t="str">
        <f>IFERROR(Table1[[#This Row],[First Pass Uncut (kg''s)]]/Table1[[#This Row],[Input Quantity (Kg''s)]]%,"")</f>
        <v/>
      </c>
      <c r="Y436" s="5" t="str">
        <f>IFERROR(Table1[[#This Row],[Final Uncut (kg''s)]]/Table1[[#This Row],[Input Quantity (Kg''s)]]%,"")</f>
        <v/>
      </c>
      <c r="Z436" s="21" t="str">
        <f>IFERROR(Table1[[#This Row],[Shell]]/Table1[[#This Row],[Input Quantity (Kg''s)]]%,"")</f>
        <v/>
      </c>
      <c r="AA436" s="21" t="str">
        <f>IFERROR(Table1[[#This Row],[Shell Dust]]/Table1[[#This Row],[Input Quantity (Kg''s)]]%,"")</f>
        <v/>
      </c>
    </row>
    <row r="437" spans="2:27" x14ac:dyDescent="0.3">
      <c r="B437" s="1"/>
      <c r="C437" s="15">
        <f>WEEKNUM(Table1[[#This Row],[Date]])</f>
        <v>0</v>
      </c>
      <c r="D437" s="1" t="str">
        <f>TEXT(Table1[[#This Row],[Date]],"mmm-yy")</f>
        <v>Jan-00</v>
      </c>
      <c r="E437" s="1"/>
      <c r="I437" s="3"/>
      <c r="M437" s="3"/>
      <c r="N437" s="3"/>
      <c r="O437" s="3"/>
      <c r="P437" s="3">
        <f>Table1[[#This Row],[Input Quantity (Kg''s)]]-SUM(Table1[[#This Row],[Wholes (kg''s)]:[Black Rejection (Kg''s)]],Table1[[#This Row],[Shell Dust]])</f>
        <v>0</v>
      </c>
      <c r="Q437" s="3">
        <f>SUM(Table1[[#This Row],[Wholes (kg''s)]:[Pieces (kg''s)]])</f>
        <v>0</v>
      </c>
      <c r="R437" s="3">
        <f>SUM(Table1[[#This Row],[Wholes (kg''s)]:[Black Rejection (Kg''s)]])</f>
        <v>0</v>
      </c>
      <c r="S437" s="4" t="str">
        <f>IFERROR(Table1[[#This Row],[Good Kernels (kg''s)]]/Table1[[#This Row],[Input Quantity (Kg''s)]]*176.36,"")</f>
        <v/>
      </c>
      <c r="T437" s="4" t="str">
        <f>IFERROR(Table1[[#This Row],[Good Kernels (kg''s)]]/Table1[[#This Row],[Input Quantity (Kg''s)]]%,"")</f>
        <v/>
      </c>
      <c r="U437" s="5" t="str">
        <f>IFERROR(Table1[[#This Row],[Final Kernels (kg''s)]]/Table1[[#This Row],[Input Quantity (Kg''s)]]%,"")</f>
        <v/>
      </c>
      <c r="V437" s="5" t="str">
        <f>IFERROR(Table1[[#This Row],[Wholes (kg''s)]]/Table1[[#This Row],[Good Kernels (kg''s)]]%,"")</f>
        <v/>
      </c>
      <c r="W437" s="5" t="str">
        <f>IFERROR(Table1[[#This Row],[Pieces (kg''s)]]/Table1[[#This Row],[Good Kernels (kg''s)]]%,"")</f>
        <v/>
      </c>
      <c r="X437" s="5" t="str">
        <f>IFERROR(Table1[[#This Row],[First Pass Uncut (kg''s)]]/Table1[[#This Row],[Input Quantity (Kg''s)]]%,"")</f>
        <v/>
      </c>
      <c r="Y437" s="5" t="str">
        <f>IFERROR(Table1[[#This Row],[Final Uncut (kg''s)]]/Table1[[#This Row],[Input Quantity (Kg''s)]]%,"")</f>
        <v/>
      </c>
      <c r="Z437" s="21" t="str">
        <f>IFERROR(Table1[[#This Row],[Shell]]/Table1[[#This Row],[Input Quantity (Kg''s)]]%,"")</f>
        <v/>
      </c>
      <c r="AA437" s="21" t="str">
        <f>IFERROR(Table1[[#This Row],[Shell Dust]]/Table1[[#This Row],[Input Quantity (Kg''s)]]%,"")</f>
        <v/>
      </c>
    </row>
    <row r="438" spans="2:27" x14ac:dyDescent="0.3">
      <c r="B438" s="1"/>
      <c r="C438" s="15">
        <f>WEEKNUM(Table1[[#This Row],[Date]])</f>
        <v>0</v>
      </c>
      <c r="D438" s="1" t="str">
        <f>TEXT(Table1[[#This Row],[Date]],"mmm-yy")</f>
        <v>Jan-00</v>
      </c>
      <c r="E438" s="1"/>
      <c r="I438" s="3"/>
      <c r="M438" s="3"/>
      <c r="N438" s="3"/>
      <c r="O438" s="3"/>
      <c r="P438" s="3">
        <f>Table1[[#This Row],[Input Quantity (Kg''s)]]-SUM(Table1[[#This Row],[Wholes (kg''s)]:[Black Rejection (Kg''s)]],Table1[[#This Row],[Shell Dust]])</f>
        <v>0</v>
      </c>
      <c r="Q438" s="3">
        <f>SUM(Table1[[#This Row],[Wholes (kg''s)]:[Pieces (kg''s)]])</f>
        <v>0</v>
      </c>
      <c r="R438" s="3">
        <f>SUM(Table1[[#This Row],[Wholes (kg''s)]:[Black Rejection (Kg''s)]])</f>
        <v>0</v>
      </c>
      <c r="S438" s="4" t="str">
        <f>IFERROR(Table1[[#This Row],[Good Kernels (kg''s)]]/Table1[[#This Row],[Input Quantity (Kg''s)]]*176.36,"")</f>
        <v/>
      </c>
      <c r="T438" s="4" t="str">
        <f>IFERROR(Table1[[#This Row],[Good Kernels (kg''s)]]/Table1[[#This Row],[Input Quantity (Kg''s)]]%,"")</f>
        <v/>
      </c>
      <c r="U438" s="5" t="str">
        <f>IFERROR(Table1[[#This Row],[Final Kernels (kg''s)]]/Table1[[#This Row],[Input Quantity (Kg''s)]]%,"")</f>
        <v/>
      </c>
      <c r="V438" s="5" t="str">
        <f>IFERROR(Table1[[#This Row],[Wholes (kg''s)]]/Table1[[#This Row],[Good Kernels (kg''s)]]%,"")</f>
        <v/>
      </c>
      <c r="W438" s="5" t="str">
        <f>IFERROR(Table1[[#This Row],[Pieces (kg''s)]]/Table1[[#This Row],[Good Kernels (kg''s)]]%,"")</f>
        <v/>
      </c>
      <c r="X438" s="5" t="str">
        <f>IFERROR(Table1[[#This Row],[First Pass Uncut (kg''s)]]/Table1[[#This Row],[Input Quantity (Kg''s)]]%,"")</f>
        <v/>
      </c>
      <c r="Y438" s="5" t="str">
        <f>IFERROR(Table1[[#This Row],[Final Uncut (kg''s)]]/Table1[[#This Row],[Input Quantity (Kg''s)]]%,"")</f>
        <v/>
      </c>
      <c r="Z438" s="21" t="str">
        <f>IFERROR(Table1[[#This Row],[Shell]]/Table1[[#This Row],[Input Quantity (Kg''s)]]%,"")</f>
        <v/>
      </c>
      <c r="AA438" s="21" t="str">
        <f>IFERROR(Table1[[#This Row],[Shell Dust]]/Table1[[#This Row],[Input Quantity (Kg''s)]]%,"")</f>
        <v/>
      </c>
    </row>
    <row r="439" spans="2:27" x14ac:dyDescent="0.3">
      <c r="B439" s="1"/>
      <c r="C439" s="15">
        <f>WEEKNUM(Table1[[#This Row],[Date]])</f>
        <v>0</v>
      </c>
      <c r="D439" s="1" t="str">
        <f>TEXT(Table1[[#This Row],[Date]],"mmm-yy")</f>
        <v>Jan-00</v>
      </c>
      <c r="E439" s="1"/>
      <c r="I439" s="3"/>
      <c r="M439" s="3"/>
      <c r="N439" s="3"/>
      <c r="O439" s="3"/>
      <c r="P439" s="3">
        <f>Table1[[#This Row],[Input Quantity (Kg''s)]]-SUM(Table1[[#This Row],[Wholes (kg''s)]:[Black Rejection (Kg''s)]],Table1[[#This Row],[Shell Dust]])</f>
        <v>0</v>
      </c>
      <c r="Q439" s="3">
        <f>SUM(Table1[[#This Row],[Wholes (kg''s)]:[Pieces (kg''s)]])</f>
        <v>0</v>
      </c>
      <c r="R439" s="3">
        <f>SUM(Table1[[#This Row],[Wholes (kg''s)]:[Black Rejection (Kg''s)]])</f>
        <v>0</v>
      </c>
      <c r="S439" s="4" t="str">
        <f>IFERROR(Table1[[#This Row],[Good Kernels (kg''s)]]/Table1[[#This Row],[Input Quantity (Kg''s)]]*176.36,"")</f>
        <v/>
      </c>
      <c r="T439" s="4" t="str">
        <f>IFERROR(Table1[[#This Row],[Good Kernels (kg''s)]]/Table1[[#This Row],[Input Quantity (Kg''s)]]%,"")</f>
        <v/>
      </c>
      <c r="U439" s="5" t="str">
        <f>IFERROR(Table1[[#This Row],[Final Kernels (kg''s)]]/Table1[[#This Row],[Input Quantity (Kg''s)]]%,"")</f>
        <v/>
      </c>
      <c r="V439" s="5" t="str">
        <f>IFERROR(Table1[[#This Row],[Wholes (kg''s)]]/Table1[[#This Row],[Good Kernels (kg''s)]]%,"")</f>
        <v/>
      </c>
      <c r="W439" s="5" t="str">
        <f>IFERROR(Table1[[#This Row],[Pieces (kg''s)]]/Table1[[#This Row],[Good Kernels (kg''s)]]%,"")</f>
        <v/>
      </c>
      <c r="X439" s="5" t="str">
        <f>IFERROR(Table1[[#This Row],[First Pass Uncut (kg''s)]]/Table1[[#This Row],[Input Quantity (Kg''s)]]%,"")</f>
        <v/>
      </c>
      <c r="Y439" s="5" t="str">
        <f>IFERROR(Table1[[#This Row],[Final Uncut (kg''s)]]/Table1[[#This Row],[Input Quantity (Kg''s)]]%,"")</f>
        <v/>
      </c>
      <c r="Z439" s="21" t="str">
        <f>IFERROR(Table1[[#This Row],[Shell]]/Table1[[#This Row],[Input Quantity (Kg''s)]]%,"")</f>
        <v/>
      </c>
      <c r="AA439" s="21" t="str">
        <f>IFERROR(Table1[[#This Row],[Shell Dust]]/Table1[[#This Row],[Input Quantity (Kg''s)]]%,"")</f>
        <v/>
      </c>
    </row>
    <row r="440" spans="2:27" x14ac:dyDescent="0.3">
      <c r="B440" s="1"/>
      <c r="C440" s="15">
        <f>WEEKNUM(Table1[[#This Row],[Date]])</f>
        <v>0</v>
      </c>
      <c r="D440" s="1" t="str">
        <f>TEXT(Table1[[#This Row],[Date]],"mmm-yy")</f>
        <v>Jan-00</v>
      </c>
      <c r="E440" s="1"/>
      <c r="I440" s="3"/>
      <c r="M440" s="3"/>
      <c r="N440" s="3"/>
      <c r="O440" s="3"/>
      <c r="P440" s="3">
        <f>Table1[[#This Row],[Input Quantity (Kg''s)]]-SUM(Table1[[#This Row],[Wholes (kg''s)]:[Black Rejection (Kg''s)]],Table1[[#This Row],[Shell Dust]])</f>
        <v>0</v>
      </c>
      <c r="Q440" s="3">
        <f>SUM(Table1[[#This Row],[Wholes (kg''s)]:[Pieces (kg''s)]])</f>
        <v>0</v>
      </c>
      <c r="R440" s="3">
        <f>SUM(Table1[[#This Row],[Wholes (kg''s)]:[Black Rejection (Kg''s)]])</f>
        <v>0</v>
      </c>
      <c r="S440" s="4" t="str">
        <f>IFERROR(Table1[[#This Row],[Good Kernels (kg''s)]]/Table1[[#This Row],[Input Quantity (Kg''s)]]*176.36,"")</f>
        <v/>
      </c>
      <c r="T440" s="4" t="str">
        <f>IFERROR(Table1[[#This Row],[Good Kernels (kg''s)]]/Table1[[#This Row],[Input Quantity (Kg''s)]]%,"")</f>
        <v/>
      </c>
      <c r="U440" s="5" t="str">
        <f>IFERROR(Table1[[#This Row],[Final Kernels (kg''s)]]/Table1[[#This Row],[Input Quantity (Kg''s)]]%,"")</f>
        <v/>
      </c>
      <c r="V440" s="5" t="str">
        <f>IFERROR(Table1[[#This Row],[Wholes (kg''s)]]/Table1[[#This Row],[Good Kernels (kg''s)]]%,"")</f>
        <v/>
      </c>
      <c r="W440" s="5" t="str">
        <f>IFERROR(Table1[[#This Row],[Pieces (kg''s)]]/Table1[[#This Row],[Good Kernels (kg''s)]]%,"")</f>
        <v/>
      </c>
      <c r="X440" s="5" t="str">
        <f>IFERROR(Table1[[#This Row],[First Pass Uncut (kg''s)]]/Table1[[#This Row],[Input Quantity (Kg''s)]]%,"")</f>
        <v/>
      </c>
      <c r="Y440" s="5" t="str">
        <f>IFERROR(Table1[[#This Row],[Final Uncut (kg''s)]]/Table1[[#This Row],[Input Quantity (Kg''s)]]%,"")</f>
        <v/>
      </c>
      <c r="Z440" s="21" t="str">
        <f>IFERROR(Table1[[#This Row],[Shell]]/Table1[[#This Row],[Input Quantity (Kg''s)]]%,"")</f>
        <v/>
      </c>
      <c r="AA440" s="21" t="str">
        <f>IFERROR(Table1[[#This Row],[Shell Dust]]/Table1[[#This Row],[Input Quantity (Kg''s)]]%,"")</f>
        <v/>
      </c>
    </row>
    <row r="441" spans="2:27" x14ac:dyDescent="0.3">
      <c r="B441" s="1"/>
      <c r="C441" s="15">
        <f>WEEKNUM(Table1[[#This Row],[Date]])</f>
        <v>0</v>
      </c>
      <c r="D441" s="1" t="str">
        <f>TEXT(Table1[[#This Row],[Date]],"mmm-yy")</f>
        <v>Jan-00</v>
      </c>
      <c r="E441" s="1"/>
      <c r="I441" s="3"/>
      <c r="M441" s="3"/>
      <c r="N441" s="3"/>
      <c r="O441" s="3"/>
      <c r="P441" s="3">
        <f>Table1[[#This Row],[Input Quantity (Kg''s)]]-SUM(Table1[[#This Row],[Wholes (kg''s)]:[Black Rejection (Kg''s)]],Table1[[#This Row],[Shell Dust]])</f>
        <v>0</v>
      </c>
      <c r="Q441" s="3">
        <f>SUM(Table1[[#This Row],[Wholes (kg''s)]:[Pieces (kg''s)]])</f>
        <v>0</v>
      </c>
      <c r="R441" s="3">
        <f>SUM(Table1[[#This Row],[Wholes (kg''s)]:[Black Rejection (Kg''s)]])</f>
        <v>0</v>
      </c>
      <c r="S441" s="4" t="str">
        <f>IFERROR(Table1[[#This Row],[Good Kernels (kg''s)]]/Table1[[#This Row],[Input Quantity (Kg''s)]]*176.36,"")</f>
        <v/>
      </c>
      <c r="T441" s="4" t="str">
        <f>IFERROR(Table1[[#This Row],[Good Kernels (kg''s)]]/Table1[[#This Row],[Input Quantity (Kg''s)]]%,"")</f>
        <v/>
      </c>
      <c r="U441" s="5" t="str">
        <f>IFERROR(Table1[[#This Row],[Final Kernels (kg''s)]]/Table1[[#This Row],[Input Quantity (Kg''s)]]%,"")</f>
        <v/>
      </c>
      <c r="V441" s="5" t="str">
        <f>IFERROR(Table1[[#This Row],[Wholes (kg''s)]]/Table1[[#This Row],[Good Kernels (kg''s)]]%,"")</f>
        <v/>
      </c>
      <c r="W441" s="5" t="str">
        <f>IFERROR(Table1[[#This Row],[Pieces (kg''s)]]/Table1[[#This Row],[Good Kernels (kg''s)]]%,"")</f>
        <v/>
      </c>
      <c r="X441" s="5" t="str">
        <f>IFERROR(Table1[[#This Row],[First Pass Uncut (kg''s)]]/Table1[[#This Row],[Input Quantity (Kg''s)]]%,"")</f>
        <v/>
      </c>
      <c r="Y441" s="5" t="str">
        <f>IFERROR(Table1[[#This Row],[Final Uncut (kg''s)]]/Table1[[#This Row],[Input Quantity (Kg''s)]]%,"")</f>
        <v/>
      </c>
      <c r="Z441" s="21" t="str">
        <f>IFERROR(Table1[[#This Row],[Shell]]/Table1[[#This Row],[Input Quantity (Kg''s)]]%,"")</f>
        <v/>
      </c>
      <c r="AA441" s="21" t="str">
        <f>IFERROR(Table1[[#This Row],[Shell Dust]]/Table1[[#This Row],[Input Quantity (Kg''s)]]%,"")</f>
        <v/>
      </c>
    </row>
    <row r="442" spans="2:27" x14ac:dyDescent="0.3">
      <c r="B442" s="1"/>
      <c r="C442" s="15">
        <f>WEEKNUM(Table1[[#This Row],[Date]])</f>
        <v>0</v>
      </c>
      <c r="D442" s="1" t="str">
        <f>TEXT(Table1[[#This Row],[Date]],"mmm-yy")</f>
        <v>Jan-00</v>
      </c>
      <c r="E442" s="1"/>
      <c r="I442" s="3"/>
      <c r="M442" s="3"/>
      <c r="N442" s="3"/>
      <c r="O442" s="3"/>
      <c r="P442" s="3">
        <f>Table1[[#This Row],[Input Quantity (Kg''s)]]-SUM(Table1[[#This Row],[Wholes (kg''s)]:[Black Rejection (Kg''s)]],Table1[[#This Row],[Shell Dust]])</f>
        <v>0</v>
      </c>
      <c r="Q442" s="3">
        <f>SUM(Table1[[#This Row],[Wholes (kg''s)]:[Pieces (kg''s)]])</f>
        <v>0</v>
      </c>
      <c r="R442" s="3">
        <f>SUM(Table1[[#This Row],[Wholes (kg''s)]:[Black Rejection (Kg''s)]])</f>
        <v>0</v>
      </c>
      <c r="S442" s="4" t="str">
        <f>IFERROR(Table1[[#This Row],[Good Kernels (kg''s)]]/Table1[[#This Row],[Input Quantity (Kg''s)]]*176.36,"")</f>
        <v/>
      </c>
      <c r="T442" s="4" t="str">
        <f>IFERROR(Table1[[#This Row],[Good Kernels (kg''s)]]/Table1[[#This Row],[Input Quantity (Kg''s)]]%,"")</f>
        <v/>
      </c>
      <c r="U442" s="5" t="str">
        <f>IFERROR(Table1[[#This Row],[Final Kernels (kg''s)]]/Table1[[#This Row],[Input Quantity (Kg''s)]]%,"")</f>
        <v/>
      </c>
      <c r="V442" s="5" t="str">
        <f>IFERROR(Table1[[#This Row],[Wholes (kg''s)]]/Table1[[#This Row],[Good Kernels (kg''s)]]%,"")</f>
        <v/>
      </c>
      <c r="W442" s="5" t="str">
        <f>IFERROR(Table1[[#This Row],[Pieces (kg''s)]]/Table1[[#This Row],[Good Kernels (kg''s)]]%,"")</f>
        <v/>
      </c>
      <c r="X442" s="5" t="str">
        <f>IFERROR(Table1[[#This Row],[First Pass Uncut (kg''s)]]/Table1[[#This Row],[Input Quantity (Kg''s)]]%,"")</f>
        <v/>
      </c>
      <c r="Y442" s="5" t="str">
        <f>IFERROR(Table1[[#This Row],[Final Uncut (kg''s)]]/Table1[[#This Row],[Input Quantity (Kg''s)]]%,"")</f>
        <v/>
      </c>
      <c r="Z442" s="21" t="str">
        <f>IFERROR(Table1[[#This Row],[Shell]]/Table1[[#This Row],[Input Quantity (Kg''s)]]%,"")</f>
        <v/>
      </c>
      <c r="AA442" s="21" t="str">
        <f>IFERROR(Table1[[#This Row],[Shell Dust]]/Table1[[#This Row],[Input Quantity (Kg''s)]]%,"")</f>
        <v/>
      </c>
    </row>
    <row r="443" spans="2:27" x14ac:dyDescent="0.3">
      <c r="B443" s="1"/>
      <c r="C443" s="15">
        <f>WEEKNUM(Table1[[#This Row],[Date]])</f>
        <v>0</v>
      </c>
      <c r="D443" s="1" t="str">
        <f>TEXT(Table1[[#This Row],[Date]],"mmm-yy")</f>
        <v>Jan-00</v>
      </c>
      <c r="E443" s="1"/>
      <c r="I443" s="3"/>
      <c r="M443" s="3"/>
      <c r="N443" s="3"/>
      <c r="O443" s="3"/>
      <c r="P443" s="3">
        <f>Table1[[#This Row],[Input Quantity (Kg''s)]]-SUM(Table1[[#This Row],[Wholes (kg''s)]:[Black Rejection (Kg''s)]],Table1[[#This Row],[Shell Dust]])</f>
        <v>0</v>
      </c>
      <c r="Q443" s="3">
        <f>SUM(Table1[[#This Row],[Wholes (kg''s)]:[Pieces (kg''s)]])</f>
        <v>0</v>
      </c>
      <c r="R443" s="3">
        <f>SUM(Table1[[#This Row],[Wholes (kg''s)]:[Black Rejection (Kg''s)]])</f>
        <v>0</v>
      </c>
      <c r="S443" s="4" t="str">
        <f>IFERROR(Table1[[#This Row],[Good Kernels (kg''s)]]/Table1[[#This Row],[Input Quantity (Kg''s)]]*176.36,"")</f>
        <v/>
      </c>
      <c r="T443" s="4" t="str">
        <f>IFERROR(Table1[[#This Row],[Good Kernels (kg''s)]]/Table1[[#This Row],[Input Quantity (Kg''s)]]%,"")</f>
        <v/>
      </c>
      <c r="U443" s="5" t="str">
        <f>IFERROR(Table1[[#This Row],[Final Kernels (kg''s)]]/Table1[[#This Row],[Input Quantity (Kg''s)]]%,"")</f>
        <v/>
      </c>
      <c r="V443" s="5" t="str">
        <f>IFERROR(Table1[[#This Row],[Wholes (kg''s)]]/Table1[[#This Row],[Good Kernels (kg''s)]]%,"")</f>
        <v/>
      </c>
      <c r="W443" s="5" t="str">
        <f>IFERROR(Table1[[#This Row],[Pieces (kg''s)]]/Table1[[#This Row],[Good Kernels (kg''s)]]%,"")</f>
        <v/>
      </c>
      <c r="X443" s="5" t="str">
        <f>IFERROR(Table1[[#This Row],[First Pass Uncut (kg''s)]]/Table1[[#This Row],[Input Quantity (Kg''s)]]%,"")</f>
        <v/>
      </c>
      <c r="Y443" s="5" t="str">
        <f>IFERROR(Table1[[#This Row],[Final Uncut (kg''s)]]/Table1[[#This Row],[Input Quantity (Kg''s)]]%,"")</f>
        <v/>
      </c>
      <c r="Z443" s="21" t="str">
        <f>IFERROR(Table1[[#This Row],[Shell]]/Table1[[#This Row],[Input Quantity (Kg''s)]]%,"")</f>
        <v/>
      </c>
      <c r="AA443" s="21" t="str">
        <f>IFERROR(Table1[[#This Row],[Shell Dust]]/Table1[[#This Row],[Input Quantity (Kg''s)]]%,"")</f>
        <v/>
      </c>
    </row>
    <row r="444" spans="2:27" x14ac:dyDescent="0.3">
      <c r="B444" s="1"/>
      <c r="C444" s="15">
        <f>WEEKNUM(Table1[[#This Row],[Date]])</f>
        <v>0</v>
      </c>
      <c r="D444" s="1" t="str">
        <f>TEXT(Table1[[#This Row],[Date]],"mmm-yy")</f>
        <v>Jan-00</v>
      </c>
      <c r="E444" s="1"/>
      <c r="I444" s="3"/>
      <c r="M444" s="3"/>
      <c r="N444" s="3"/>
      <c r="O444" s="3"/>
      <c r="P444" s="3">
        <f>Table1[[#This Row],[Input Quantity (Kg''s)]]-SUM(Table1[[#This Row],[Wholes (kg''s)]:[Black Rejection (Kg''s)]],Table1[[#This Row],[Shell Dust]])</f>
        <v>0</v>
      </c>
      <c r="Q444" s="3">
        <f>SUM(Table1[[#This Row],[Wholes (kg''s)]:[Pieces (kg''s)]])</f>
        <v>0</v>
      </c>
      <c r="R444" s="3">
        <f>SUM(Table1[[#This Row],[Wholes (kg''s)]:[Black Rejection (Kg''s)]])</f>
        <v>0</v>
      </c>
      <c r="S444" s="4" t="str">
        <f>IFERROR(Table1[[#This Row],[Good Kernels (kg''s)]]/Table1[[#This Row],[Input Quantity (Kg''s)]]*176.36,"")</f>
        <v/>
      </c>
      <c r="T444" s="4" t="str">
        <f>IFERROR(Table1[[#This Row],[Good Kernels (kg''s)]]/Table1[[#This Row],[Input Quantity (Kg''s)]]%,"")</f>
        <v/>
      </c>
      <c r="U444" s="5" t="str">
        <f>IFERROR(Table1[[#This Row],[Final Kernels (kg''s)]]/Table1[[#This Row],[Input Quantity (Kg''s)]]%,"")</f>
        <v/>
      </c>
      <c r="V444" s="5" t="str">
        <f>IFERROR(Table1[[#This Row],[Wholes (kg''s)]]/Table1[[#This Row],[Good Kernels (kg''s)]]%,"")</f>
        <v/>
      </c>
      <c r="W444" s="5" t="str">
        <f>IFERROR(Table1[[#This Row],[Pieces (kg''s)]]/Table1[[#This Row],[Good Kernels (kg''s)]]%,"")</f>
        <v/>
      </c>
      <c r="X444" s="5" t="str">
        <f>IFERROR(Table1[[#This Row],[First Pass Uncut (kg''s)]]/Table1[[#This Row],[Input Quantity (Kg''s)]]%,"")</f>
        <v/>
      </c>
      <c r="Y444" s="5" t="str">
        <f>IFERROR(Table1[[#This Row],[Final Uncut (kg''s)]]/Table1[[#This Row],[Input Quantity (Kg''s)]]%,"")</f>
        <v/>
      </c>
      <c r="Z444" s="21" t="str">
        <f>IFERROR(Table1[[#This Row],[Shell]]/Table1[[#This Row],[Input Quantity (Kg''s)]]%,"")</f>
        <v/>
      </c>
      <c r="AA444" s="21" t="str">
        <f>IFERROR(Table1[[#This Row],[Shell Dust]]/Table1[[#This Row],[Input Quantity (Kg''s)]]%,"")</f>
        <v/>
      </c>
    </row>
    <row r="445" spans="2:27" x14ac:dyDescent="0.3">
      <c r="B445" s="1"/>
      <c r="C445" s="15">
        <f>WEEKNUM(Table1[[#This Row],[Date]])</f>
        <v>0</v>
      </c>
      <c r="D445" s="1" t="str">
        <f>TEXT(Table1[[#This Row],[Date]],"mmm-yy")</f>
        <v>Jan-00</v>
      </c>
      <c r="E445" s="1"/>
      <c r="I445" s="3"/>
      <c r="M445" s="3"/>
      <c r="N445" s="3"/>
      <c r="O445" s="3"/>
      <c r="P445" s="3">
        <f>Table1[[#This Row],[Input Quantity (Kg''s)]]-SUM(Table1[[#This Row],[Wholes (kg''s)]:[Black Rejection (Kg''s)]],Table1[[#This Row],[Shell Dust]])</f>
        <v>0</v>
      </c>
      <c r="Q445" s="3">
        <f>SUM(Table1[[#This Row],[Wholes (kg''s)]:[Pieces (kg''s)]])</f>
        <v>0</v>
      </c>
      <c r="R445" s="3">
        <f>SUM(Table1[[#This Row],[Wholes (kg''s)]:[Black Rejection (Kg''s)]])</f>
        <v>0</v>
      </c>
      <c r="S445" s="4" t="str">
        <f>IFERROR(Table1[[#This Row],[Good Kernels (kg''s)]]/Table1[[#This Row],[Input Quantity (Kg''s)]]*176.36,"")</f>
        <v/>
      </c>
      <c r="T445" s="4" t="str">
        <f>IFERROR(Table1[[#This Row],[Good Kernels (kg''s)]]/Table1[[#This Row],[Input Quantity (Kg''s)]]%,"")</f>
        <v/>
      </c>
      <c r="U445" s="5" t="str">
        <f>IFERROR(Table1[[#This Row],[Final Kernels (kg''s)]]/Table1[[#This Row],[Input Quantity (Kg''s)]]%,"")</f>
        <v/>
      </c>
      <c r="V445" s="5" t="str">
        <f>IFERROR(Table1[[#This Row],[Wholes (kg''s)]]/Table1[[#This Row],[Good Kernels (kg''s)]]%,"")</f>
        <v/>
      </c>
      <c r="W445" s="5" t="str">
        <f>IFERROR(Table1[[#This Row],[Pieces (kg''s)]]/Table1[[#This Row],[Good Kernels (kg''s)]]%,"")</f>
        <v/>
      </c>
      <c r="X445" s="5" t="str">
        <f>IFERROR(Table1[[#This Row],[First Pass Uncut (kg''s)]]/Table1[[#This Row],[Input Quantity (Kg''s)]]%,"")</f>
        <v/>
      </c>
      <c r="Y445" s="5" t="str">
        <f>IFERROR(Table1[[#This Row],[Final Uncut (kg''s)]]/Table1[[#This Row],[Input Quantity (Kg''s)]]%,"")</f>
        <v/>
      </c>
      <c r="Z445" s="21" t="str">
        <f>IFERROR(Table1[[#This Row],[Shell]]/Table1[[#This Row],[Input Quantity (Kg''s)]]%,"")</f>
        <v/>
      </c>
      <c r="AA445" s="21" t="str">
        <f>IFERROR(Table1[[#This Row],[Shell Dust]]/Table1[[#This Row],[Input Quantity (Kg''s)]]%,"")</f>
        <v/>
      </c>
    </row>
    <row r="446" spans="2:27" x14ac:dyDescent="0.3">
      <c r="B446" s="1"/>
      <c r="C446" s="15">
        <f>WEEKNUM(Table1[[#This Row],[Date]])</f>
        <v>0</v>
      </c>
      <c r="D446" s="1" t="str">
        <f>TEXT(Table1[[#This Row],[Date]],"mmm-yy")</f>
        <v>Jan-00</v>
      </c>
      <c r="E446" s="1"/>
      <c r="I446" s="3"/>
      <c r="M446" s="3"/>
      <c r="N446" s="3"/>
      <c r="O446" s="3"/>
      <c r="P446" s="3">
        <f>Table1[[#This Row],[Input Quantity (Kg''s)]]-SUM(Table1[[#This Row],[Wholes (kg''s)]:[Black Rejection (Kg''s)]],Table1[[#This Row],[Shell Dust]])</f>
        <v>0</v>
      </c>
      <c r="Q446" s="3">
        <f>SUM(Table1[[#This Row],[Wholes (kg''s)]:[Pieces (kg''s)]])</f>
        <v>0</v>
      </c>
      <c r="R446" s="3">
        <f>SUM(Table1[[#This Row],[Wholes (kg''s)]:[Black Rejection (Kg''s)]])</f>
        <v>0</v>
      </c>
      <c r="S446" s="4" t="str">
        <f>IFERROR(Table1[[#This Row],[Good Kernels (kg''s)]]/Table1[[#This Row],[Input Quantity (Kg''s)]]*176.36,"")</f>
        <v/>
      </c>
      <c r="T446" s="4" t="str">
        <f>IFERROR(Table1[[#This Row],[Good Kernels (kg''s)]]/Table1[[#This Row],[Input Quantity (Kg''s)]]%,"")</f>
        <v/>
      </c>
      <c r="U446" s="5" t="str">
        <f>IFERROR(Table1[[#This Row],[Final Kernels (kg''s)]]/Table1[[#This Row],[Input Quantity (Kg''s)]]%,"")</f>
        <v/>
      </c>
      <c r="V446" s="5" t="str">
        <f>IFERROR(Table1[[#This Row],[Wholes (kg''s)]]/Table1[[#This Row],[Good Kernels (kg''s)]]%,"")</f>
        <v/>
      </c>
      <c r="W446" s="5" t="str">
        <f>IFERROR(Table1[[#This Row],[Pieces (kg''s)]]/Table1[[#This Row],[Good Kernels (kg''s)]]%,"")</f>
        <v/>
      </c>
      <c r="X446" s="5" t="str">
        <f>IFERROR(Table1[[#This Row],[First Pass Uncut (kg''s)]]/Table1[[#This Row],[Input Quantity (Kg''s)]]%,"")</f>
        <v/>
      </c>
      <c r="Y446" s="5" t="str">
        <f>IFERROR(Table1[[#This Row],[Final Uncut (kg''s)]]/Table1[[#This Row],[Input Quantity (Kg''s)]]%,"")</f>
        <v/>
      </c>
      <c r="Z446" s="21" t="str">
        <f>IFERROR(Table1[[#This Row],[Shell]]/Table1[[#This Row],[Input Quantity (Kg''s)]]%,"")</f>
        <v/>
      </c>
      <c r="AA446" s="21" t="str">
        <f>IFERROR(Table1[[#This Row],[Shell Dust]]/Table1[[#This Row],[Input Quantity (Kg''s)]]%,"")</f>
        <v/>
      </c>
    </row>
    <row r="447" spans="2:27" x14ac:dyDescent="0.3">
      <c r="B447" s="1"/>
      <c r="C447" s="15">
        <f>WEEKNUM(Table1[[#This Row],[Date]])</f>
        <v>0</v>
      </c>
      <c r="D447" s="1" t="str">
        <f>TEXT(Table1[[#This Row],[Date]],"mmm-yy")</f>
        <v>Jan-00</v>
      </c>
      <c r="E447" s="1"/>
      <c r="I447" s="3"/>
      <c r="M447" s="3"/>
      <c r="N447" s="3"/>
      <c r="O447" s="3"/>
      <c r="P447" s="3">
        <f>Table1[[#This Row],[Input Quantity (Kg''s)]]-SUM(Table1[[#This Row],[Wholes (kg''s)]:[Black Rejection (Kg''s)]],Table1[[#This Row],[Shell Dust]])</f>
        <v>0</v>
      </c>
      <c r="Q447" s="3">
        <f>SUM(Table1[[#This Row],[Wholes (kg''s)]:[Pieces (kg''s)]])</f>
        <v>0</v>
      </c>
      <c r="R447" s="3">
        <f>SUM(Table1[[#This Row],[Wholes (kg''s)]:[Black Rejection (Kg''s)]])</f>
        <v>0</v>
      </c>
      <c r="S447" s="4" t="str">
        <f>IFERROR(Table1[[#This Row],[Good Kernels (kg''s)]]/Table1[[#This Row],[Input Quantity (Kg''s)]]*176.36,"")</f>
        <v/>
      </c>
      <c r="T447" s="4" t="str">
        <f>IFERROR(Table1[[#This Row],[Good Kernels (kg''s)]]/Table1[[#This Row],[Input Quantity (Kg''s)]]%,"")</f>
        <v/>
      </c>
      <c r="U447" s="5" t="str">
        <f>IFERROR(Table1[[#This Row],[Final Kernels (kg''s)]]/Table1[[#This Row],[Input Quantity (Kg''s)]]%,"")</f>
        <v/>
      </c>
      <c r="V447" s="5" t="str">
        <f>IFERROR(Table1[[#This Row],[Wholes (kg''s)]]/Table1[[#This Row],[Good Kernels (kg''s)]]%,"")</f>
        <v/>
      </c>
      <c r="W447" s="5" t="str">
        <f>IFERROR(Table1[[#This Row],[Pieces (kg''s)]]/Table1[[#This Row],[Good Kernels (kg''s)]]%,"")</f>
        <v/>
      </c>
      <c r="X447" s="5" t="str">
        <f>IFERROR(Table1[[#This Row],[First Pass Uncut (kg''s)]]/Table1[[#This Row],[Input Quantity (Kg''s)]]%,"")</f>
        <v/>
      </c>
      <c r="Y447" s="5" t="str">
        <f>IFERROR(Table1[[#This Row],[Final Uncut (kg''s)]]/Table1[[#This Row],[Input Quantity (Kg''s)]]%,"")</f>
        <v/>
      </c>
      <c r="Z447" s="21" t="str">
        <f>IFERROR(Table1[[#This Row],[Shell]]/Table1[[#This Row],[Input Quantity (Kg''s)]]%,"")</f>
        <v/>
      </c>
      <c r="AA447" s="21" t="str">
        <f>IFERROR(Table1[[#This Row],[Shell Dust]]/Table1[[#This Row],[Input Quantity (Kg''s)]]%,"")</f>
        <v/>
      </c>
    </row>
    <row r="448" spans="2:27" x14ac:dyDescent="0.3">
      <c r="B448" s="1"/>
      <c r="C448" s="15">
        <f>WEEKNUM(Table1[[#This Row],[Date]])</f>
        <v>0</v>
      </c>
      <c r="D448" s="1" t="str">
        <f>TEXT(Table1[[#This Row],[Date]],"mmm-yy")</f>
        <v>Jan-00</v>
      </c>
      <c r="E448" s="1"/>
      <c r="I448" s="3"/>
      <c r="M448" s="3"/>
      <c r="N448" s="3"/>
      <c r="O448" s="3"/>
      <c r="P448" s="3">
        <f>Table1[[#This Row],[Input Quantity (Kg''s)]]-SUM(Table1[[#This Row],[Wholes (kg''s)]:[Black Rejection (Kg''s)]],Table1[[#This Row],[Shell Dust]])</f>
        <v>0</v>
      </c>
      <c r="Q448" s="3">
        <f>SUM(Table1[[#This Row],[Wholes (kg''s)]:[Pieces (kg''s)]])</f>
        <v>0</v>
      </c>
      <c r="R448" s="3">
        <f>SUM(Table1[[#This Row],[Wholes (kg''s)]:[Black Rejection (Kg''s)]])</f>
        <v>0</v>
      </c>
      <c r="S448" s="4" t="str">
        <f>IFERROR(Table1[[#This Row],[Good Kernels (kg''s)]]/Table1[[#This Row],[Input Quantity (Kg''s)]]*176.36,"")</f>
        <v/>
      </c>
      <c r="T448" s="4" t="str">
        <f>IFERROR(Table1[[#This Row],[Good Kernels (kg''s)]]/Table1[[#This Row],[Input Quantity (Kg''s)]]%,"")</f>
        <v/>
      </c>
      <c r="U448" s="5" t="str">
        <f>IFERROR(Table1[[#This Row],[Final Kernels (kg''s)]]/Table1[[#This Row],[Input Quantity (Kg''s)]]%,"")</f>
        <v/>
      </c>
      <c r="V448" s="5" t="str">
        <f>IFERROR(Table1[[#This Row],[Wholes (kg''s)]]/Table1[[#This Row],[Good Kernels (kg''s)]]%,"")</f>
        <v/>
      </c>
      <c r="W448" s="5" t="str">
        <f>IFERROR(Table1[[#This Row],[Pieces (kg''s)]]/Table1[[#This Row],[Good Kernels (kg''s)]]%,"")</f>
        <v/>
      </c>
      <c r="X448" s="5" t="str">
        <f>IFERROR(Table1[[#This Row],[First Pass Uncut (kg''s)]]/Table1[[#This Row],[Input Quantity (Kg''s)]]%,"")</f>
        <v/>
      </c>
      <c r="Y448" s="5" t="str">
        <f>IFERROR(Table1[[#This Row],[Final Uncut (kg''s)]]/Table1[[#This Row],[Input Quantity (Kg''s)]]%,"")</f>
        <v/>
      </c>
      <c r="Z448" s="21" t="str">
        <f>IFERROR(Table1[[#This Row],[Shell]]/Table1[[#This Row],[Input Quantity (Kg''s)]]%,"")</f>
        <v/>
      </c>
      <c r="AA448" s="21" t="str">
        <f>IFERROR(Table1[[#This Row],[Shell Dust]]/Table1[[#This Row],[Input Quantity (Kg''s)]]%,"")</f>
        <v/>
      </c>
    </row>
    <row r="449" spans="2:27" x14ac:dyDescent="0.3">
      <c r="B449" s="1"/>
      <c r="C449" s="15">
        <f>WEEKNUM(Table1[[#This Row],[Date]])</f>
        <v>0</v>
      </c>
      <c r="D449" s="1" t="str">
        <f>TEXT(Table1[[#This Row],[Date]],"mmm-yy")</f>
        <v>Jan-00</v>
      </c>
      <c r="E449" s="1"/>
      <c r="I449" s="3"/>
      <c r="M449" s="3"/>
      <c r="N449" s="3"/>
      <c r="O449" s="3"/>
      <c r="P449" s="3">
        <f>Table1[[#This Row],[Input Quantity (Kg''s)]]-SUM(Table1[[#This Row],[Wholes (kg''s)]:[Black Rejection (Kg''s)]],Table1[[#This Row],[Shell Dust]])</f>
        <v>0</v>
      </c>
      <c r="Q449" s="3">
        <f>SUM(Table1[[#This Row],[Wholes (kg''s)]:[Pieces (kg''s)]])</f>
        <v>0</v>
      </c>
      <c r="R449" s="3">
        <f>SUM(Table1[[#This Row],[Wholes (kg''s)]:[Black Rejection (Kg''s)]])</f>
        <v>0</v>
      </c>
      <c r="S449" s="4" t="str">
        <f>IFERROR(Table1[[#This Row],[Good Kernels (kg''s)]]/Table1[[#This Row],[Input Quantity (Kg''s)]]*176.36,"")</f>
        <v/>
      </c>
      <c r="T449" s="4" t="str">
        <f>IFERROR(Table1[[#This Row],[Good Kernels (kg''s)]]/Table1[[#This Row],[Input Quantity (Kg''s)]]%,"")</f>
        <v/>
      </c>
      <c r="U449" s="5" t="str">
        <f>IFERROR(Table1[[#This Row],[Final Kernels (kg''s)]]/Table1[[#This Row],[Input Quantity (Kg''s)]]%,"")</f>
        <v/>
      </c>
      <c r="V449" s="5" t="str">
        <f>IFERROR(Table1[[#This Row],[Wholes (kg''s)]]/Table1[[#This Row],[Good Kernels (kg''s)]]%,"")</f>
        <v/>
      </c>
      <c r="W449" s="5" t="str">
        <f>IFERROR(Table1[[#This Row],[Pieces (kg''s)]]/Table1[[#This Row],[Good Kernels (kg''s)]]%,"")</f>
        <v/>
      </c>
      <c r="X449" s="5" t="str">
        <f>IFERROR(Table1[[#This Row],[First Pass Uncut (kg''s)]]/Table1[[#This Row],[Input Quantity (Kg''s)]]%,"")</f>
        <v/>
      </c>
      <c r="Y449" s="5" t="str">
        <f>IFERROR(Table1[[#This Row],[Final Uncut (kg''s)]]/Table1[[#This Row],[Input Quantity (Kg''s)]]%,"")</f>
        <v/>
      </c>
      <c r="Z449" s="21" t="str">
        <f>IFERROR(Table1[[#This Row],[Shell]]/Table1[[#This Row],[Input Quantity (Kg''s)]]%,"")</f>
        <v/>
      </c>
      <c r="AA449" s="21" t="str">
        <f>IFERROR(Table1[[#This Row],[Shell Dust]]/Table1[[#This Row],[Input Quantity (Kg''s)]]%,"")</f>
        <v/>
      </c>
    </row>
    <row r="450" spans="2:27" x14ac:dyDescent="0.3">
      <c r="B450" s="1"/>
      <c r="C450" s="15">
        <f>WEEKNUM(Table1[[#This Row],[Date]])</f>
        <v>0</v>
      </c>
      <c r="D450" s="1" t="str">
        <f>TEXT(Table1[[#This Row],[Date]],"mmm-yy")</f>
        <v>Jan-00</v>
      </c>
      <c r="E450" s="1"/>
      <c r="I450" s="3"/>
      <c r="M450" s="3"/>
      <c r="N450" s="3"/>
      <c r="O450" s="3"/>
      <c r="P450" s="3">
        <f>Table1[[#This Row],[Input Quantity (Kg''s)]]-SUM(Table1[[#This Row],[Wholes (kg''s)]:[Black Rejection (Kg''s)]],Table1[[#This Row],[Shell Dust]])</f>
        <v>0</v>
      </c>
      <c r="Q450" s="3">
        <f>SUM(Table1[[#This Row],[Wholes (kg''s)]:[Pieces (kg''s)]])</f>
        <v>0</v>
      </c>
      <c r="R450" s="3">
        <f>SUM(Table1[[#This Row],[Wholes (kg''s)]:[Black Rejection (Kg''s)]])</f>
        <v>0</v>
      </c>
      <c r="S450" s="4" t="str">
        <f>IFERROR(Table1[[#This Row],[Good Kernels (kg''s)]]/Table1[[#This Row],[Input Quantity (Kg''s)]]*176.36,"")</f>
        <v/>
      </c>
      <c r="T450" s="4" t="str">
        <f>IFERROR(Table1[[#This Row],[Good Kernels (kg''s)]]/Table1[[#This Row],[Input Quantity (Kg''s)]]%,"")</f>
        <v/>
      </c>
      <c r="U450" s="5" t="str">
        <f>IFERROR(Table1[[#This Row],[Final Kernels (kg''s)]]/Table1[[#This Row],[Input Quantity (Kg''s)]]%,"")</f>
        <v/>
      </c>
      <c r="V450" s="5" t="str">
        <f>IFERROR(Table1[[#This Row],[Wholes (kg''s)]]/Table1[[#This Row],[Good Kernels (kg''s)]]%,"")</f>
        <v/>
      </c>
      <c r="W450" s="5" t="str">
        <f>IFERROR(Table1[[#This Row],[Pieces (kg''s)]]/Table1[[#This Row],[Good Kernels (kg''s)]]%,"")</f>
        <v/>
      </c>
      <c r="X450" s="5" t="str">
        <f>IFERROR(Table1[[#This Row],[First Pass Uncut (kg''s)]]/Table1[[#This Row],[Input Quantity (Kg''s)]]%,"")</f>
        <v/>
      </c>
      <c r="Y450" s="5" t="str">
        <f>IFERROR(Table1[[#This Row],[Final Uncut (kg''s)]]/Table1[[#This Row],[Input Quantity (Kg''s)]]%,"")</f>
        <v/>
      </c>
      <c r="Z450" s="21" t="str">
        <f>IFERROR(Table1[[#This Row],[Shell]]/Table1[[#This Row],[Input Quantity (Kg''s)]]%,"")</f>
        <v/>
      </c>
      <c r="AA450" s="21" t="str">
        <f>IFERROR(Table1[[#This Row],[Shell Dust]]/Table1[[#This Row],[Input Quantity (Kg''s)]]%,"")</f>
        <v/>
      </c>
    </row>
    <row r="451" spans="2:27" x14ac:dyDescent="0.3">
      <c r="B451" s="1"/>
      <c r="C451" s="15">
        <f>WEEKNUM(Table1[[#This Row],[Date]])</f>
        <v>0</v>
      </c>
      <c r="D451" s="1" t="str">
        <f>TEXT(Table1[[#This Row],[Date]],"mmm-yy")</f>
        <v>Jan-00</v>
      </c>
      <c r="E451" s="1"/>
      <c r="I451" s="3"/>
      <c r="M451" s="3"/>
      <c r="N451" s="3"/>
      <c r="O451" s="3"/>
      <c r="P451" s="3">
        <f>Table1[[#This Row],[Input Quantity (Kg''s)]]-SUM(Table1[[#This Row],[Wholes (kg''s)]:[Black Rejection (Kg''s)]],Table1[[#This Row],[Shell Dust]])</f>
        <v>0</v>
      </c>
      <c r="Q451" s="3">
        <f>SUM(Table1[[#This Row],[Wholes (kg''s)]:[Pieces (kg''s)]])</f>
        <v>0</v>
      </c>
      <c r="R451" s="3">
        <f>SUM(Table1[[#This Row],[Wholes (kg''s)]:[Black Rejection (Kg''s)]])</f>
        <v>0</v>
      </c>
      <c r="S451" s="4" t="str">
        <f>IFERROR(Table1[[#This Row],[Good Kernels (kg''s)]]/Table1[[#This Row],[Input Quantity (Kg''s)]]*176.36,"")</f>
        <v/>
      </c>
      <c r="T451" s="4" t="str">
        <f>IFERROR(Table1[[#This Row],[Good Kernels (kg''s)]]/Table1[[#This Row],[Input Quantity (Kg''s)]]%,"")</f>
        <v/>
      </c>
      <c r="U451" s="5" t="str">
        <f>IFERROR(Table1[[#This Row],[Final Kernels (kg''s)]]/Table1[[#This Row],[Input Quantity (Kg''s)]]%,"")</f>
        <v/>
      </c>
      <c r="V451" s="5" t="str">
        <f>IFERROR(Table1[[#This Row],[Wholes (kg''s)]]/Table1[[#This Row],[Good Kernels (kg''s)]]%,"")</f>
        <v/>
      </c>
      <c r="W451" s="5" t="str">
        <f>IFERROR(Table1[[#This Row],[Pieces (kg''s)]]/Table1[[#This Row],[Good Kernels (kg''s)]]%,"")</f>
        <v/>
      </c>
      <c r="X451" s="5" t="str">
        <f>IFERROR(Table1[[#This Row],[First Pass Uncut (kg''s)]]/Table1[[#This Row],[Input Quantity (Kg''s)]]%,"")</f>
        <v/>
      </c>
      <c r="Y451" s="5" t="str">
        <f>IFERROR(Table1[[#This Row],[Final Uncut (kg''s)]]/Table1[[#This Row],[Input Quantity (Kg''s)]]%,"")</f>
        <v/>
      </c>
      <c r="Z451" s="21" t="str">
        <f>IFERROR(Table1[[#This Row],[Shell]]/Table1[[#This Row],[Input Quantity (Kg''s)]]%,"")</f>
        <v/>
      </c>
      <c r="AA451" s="21" t="str">
        <f>IFERROR(Table1[[#This Row],[Shell Dust]]/Table1[[#This Row],[Input Quantity (Kg''s)]]%,"")</f>
        <v/>
      </c>
    </row>
    <row r="452" spans="2:27" x14ac:dyDescent="0.3">
      <c r="B452" s="1"/>
      <c r="C452" s="15">
        <f>WEEKNUM(Table1[[#This Row],[Date]])</f>
        <v>0</v>
      </c>
      <c r="D452" s="1" t="str">
        <f>TEXT(Table1[[#This Row],[Date]],"mmm-yy")</f>
        <v>Jan-00</v>
      </c>
      <c r="E452" s="1"/>
      <c r="I452" s="3"/>
      <c r="M452" s="3"/>
      <c r="N452" s="3"/>
      <c r="O452" s="3"/>
      <c r="P452" s="3">
        <f>Table1[[#This Row],[Input Quantity (Kg''s)]]-SUM(Table1[[#This Row],[Wholes (kg''s)]:[Black Rejection (Kg''s)]],Table1[[#This Row],[Shell Dust]])</f>
        <v>0</v>
      </c>
      <c r="Q452" s="3">
        <f>SUM(Table1[[#This Row],[Wholes (kg''s)]:[Pieces (kg''s)]])</f>
        <v>0</v>
      </c>
      <c r="R452" s="3">
        <f>SUM(Table1[[#This Row],[Wholes (kg''s)]:[Black Rejection (Kg''s)]])</f>
        <v>0</v>
      </c>
      <c r="S452" s="4" t="str">
        <f>IFERROR(Table1[[#This Row],[Good Kernels (kg''s)]]/Table1[[#This Row],[Input Quantity (Kg''s)]]*176.36,"")</f>
        <v/>
      </c>
      <c r="T452" s="4" t="str">
        <f>IFERROR(Table1[[#This Row],[Good Kernels (kg''s)]]/Table1[[#This Row],[Input Quantity (Kg''s)]]%,"")</f>
        <v/>
      </c>
      <c r="U452" s="5" t="str">
        <f>IFERROR(Table1[[#This Row],[Final Kernels (kg''s)]]/Table1[[#This Row],[Input Quantity (Kg''s)]]%,"")</f>
        <v/>
      </c>
      <c r="V452" s="5" t="str">
        <f>IFERROR(Table1[[#This Row],[Wholes (kg''s)]]/Table1[[#This Row],[Good Kernels (kg''s)]]%,"")</f>
        <v/>
      </c>
      <c r="W452" s="5" t="str">
        <f>IFERROR(Table1[[#This Row],[Pieces (kg''s)]]/Table1[[#This Row],[Good Kernels (kg''s)]]%,"")</f>
        <v/>
      </c>
      <c r="X452" s="5" t="str">
        <f>IFERROR(Table1[[#This Row],[First Pass Uncut (kg''s)]]/Table1[[#This Row],[Input Quantity (Kg''s)]]%,"")</f>
        <v/>
      </c>
      <c r="Y452" s="5" t="str">
        <f>IFERROR(Table1[[#This Row],[Final Uncut (kg''s)]]/Table1[[#This Row],[Input Quantity (Kg''s)]]%,"")</f>
        <v/>
      </c>
      <c r="Z452" s="21" t="str">
        <f>IFERROR(Table1[[#This Row],[Shell]]/Table1[[#This Row],[Input Quantity (Kg''s)]]%,"")</f>
        <v/>
      </c>
      <c r="AA452" s="21" t="str">
        <f>IFERROR(Table1[[#This Row],[Shell Dust]]/Table1[[#This Row],[Input Quantity (Kg''s)]]%,"")</f>
        <v/>
      </c>
    </row>
    <row r="453" spans="2:27" x14ac:dyDescent="0.3">
      <c r="B453" s="1"/>
      <c r="C453" s="15">
        <f>WEEKNUM(Table1[[#This Row],[Date]])</f>
        <v>0</v>
      </c>
      <c r="D453" s="1" t="str">
        <f>TEXT(Table1[[#This Row],[Date]],"mmm-yy")</f>
        <v>Jan-00</v>
      </c>
      <c r="E453" s="1"/>
      <c r="I453" s="3"/>
      <c r="M453" s="3"/>
      <c r="N453" s="3"/>
      <c r="O453" s="3"/>
      <c r="P453" s="3">
        <f>Table1[[#This Row],[Input Quantity (Kg''s)]]-SUM(Table1[[#This Row],[Wholes (kg''s)]:[Black Rejection (Kg''s)]],Table1[[#This Row],[Shell Dust]])</f>
        <v>0</v>
      </c>
      <c r="Q453" s="3">
        <f>SUM(Table1[[#This Row],[Wholes (kg''s)]:[Pieces (kg''s)]])</f>
        <v>0</v>
      </c>
      <c r="R453" s="3">
        <f>SUM(Table1[[#This Row],[Wholes (kg''s)]:[Black Rejection (Kg''s)]])</f>
        <v>0</v>
      </c>
      <c r="S453" s="4" t="str">
        <f>IFERROR(Table1[[#This Row],[Good Kernels (kg''s)]]/Table1[[#This Row],[Input Quantity (Kg''s)]]*176.36,"")</f>
        <v/>
      </c>
      <c r="T453" s="4" t="str">
        <f>IFERROR(Table1[[#This Row],[Good Kernels (kg''s)]]/Table1[[#This Row],[Input Quantity (Kg''s)]]%,"")</f>
        <v/>
      </c>
      <c r="U453" s="5" t="str">
        <f>IFERROR(Table1[[#This Row],[Final Kernels (kg''s)]]/Table1[[#This Row],[Input Quantity (Kg''s)]]%,"")</f>
        <v/>
      </c>
      <c r="V453" s="5" t="str">
        <f>IFERROR(Table1[[#This Row],[Wholes (kg''s)]]/Table1[[#This Row],[Good Kernels (kg''s)]]%,"")</f>
        <v/>
      </c>
      <c r="W453" s="5" t="str">
        <f>IFERROR(Table1[[#This Row],[Pieces (kg''s)]]/Table1[[#This Row],[Good Kernels (kg''s)]]%,"")</f>
        <v/>
      </c>
      <c r="X453" s="5" t="str">
        <f>IFERROR(Table1[[#This Row],[First Pass Uncut (kg''s)]]/Table1[[#This Row],[Input Quantity (Kg''s)]]%,"")</f>
        <v/>
      </c>
      <c r="Y453" s="5" t="str">
        <f>IFERROR(Table1[[#This Row],[Final Uncut (kg''s)]]/Table1[[#This Row],[Input Quantity (Kg''s)]]%,"")</f>
        <v/>
      </c>
      <c r="Z453" s="21" t="str">
        <f>IFERROR(Table1[[#This Row],[Shell]]/Table1[[#This Row],[Input Quantity (Kg''s)]]%,"")</f>
        <v/>
      </c>
      <c r="AA453" s="21" t="str">
        <f>IFERROR(Table1[[#This Row],[Shell Dust]]/Table1[[#This Row],[Input Quantity (Kg''s)]]%,"")</f>
        <v/>
      </c>
    </row>
    <row r="454" spans="2:27" x14ac:dyDescent="0.3">
      <c r="B454" s="1"/>
      <c r="C454" s="15">
        <f>WEEKNUM(Table1[[#This Row],[Date]])</f>
        <v>0</v>
      </c>
      <c r="D454" s="1" t="str">
        <f>TEXT(Table1[[#This Row],[Date]],"mmm-yy")</f>
        <v>Jan-00</v>
      </c>
      <c r="E454" s="1"/>
      <c r="I454" s="3"/>
      <c r="M454" s="3"/>
      <c r="N454" s="3"/>
      <c r="O454" s="3"/>
      <c r="P454" s="3">
        <f>Table1[[#This Row],[Input Quantity (Kg''s)]]-SUM(Table1[[#This Row],[Wholes (kg''s)]:[Black Rejection (Kg''s)]],Table1[[#This Row],[Shell Dust]])</f>
        <v>0</v>
      </c>
      <c r="Q454" s="3">
        <f>SUM(Table1[[#This Row],[Wholes (kg''s)]:[Pieces (kg''s)]])</f>
        <v>0</v>
      </c>
      <c r="R454" s="3">
        <f>SUM(Table1[[#This Row],[Wholes (kg''s)]:[Black Rejection (Kg''s)]])</f>
        <v>0</v>
      </c>
      <c r="S454" s="4" t="str">
        <f>IFERROR(Table1[[#This Row],[Good Kernels (kg''s)]]/Table1[[#This Row],[Input Quantity (Kg''s)]]*176.36,"")</f>
        <v/>
      </c>
      <c r="T454" s="4" t="str">
        <f>IFERROR(Table1[[#This Row],[Good Kernels (kg''s)]]/Table1[[#This Row],[Input Quantity (Kg''s)]]%,"")</f>
        <v/>
      </c>
      <c r="U454" s="5" t="str">
        <f>IFERROR(Table1[[#This Row],[Final Kernels (kg''s)]]/Table1[[#This Row],[Input Quantity (Kg''s)]]%,"")</f>
        <v/>
      </c>
      <c r="V454" s="5" t="str">
        <f>IFERROR(Table1[[#This Row],[Wholes (kg''s)]]/Table1[[#This Row],[Good Kernels (kg''s)]]%,"")</f>
        <v/>
      </c>
      <c r="W454" s="5" t="str">
        <f>IFERROR(Table1[[#This Row],[Pieces (kg''s)]]/Table1[[#This Row],[Good Kernels (kg''s)]]%,"")</f>
        <v/>
      </c>
      <c r="X454" s="5" t="str">
        <f>IFERROR(Table1[[#This Row],[First Pass Uncut (kg''s)]]/Table1[[#This Row],[Input Quantity (Kg''s)]]%,"")</f>
        <v/>
      </c>
      <c r="Y454" s="5" t="str">
        <f>IFERROR(Table1[[#This Row],[Final Uncut (kg''s)]]/Table1[[#This Row],[Input Quantity (Kg''s)]]%,"")</f>
        <v/>
      </c>
      <c r="Z454" s="21" t="str">
        <f>IFERROR(Table1[[#This Row],[Shell]]/Table1[[#This Row],[Input Quantity (Kg''s)]]%,"")</f>
        <v/>
      </c>
      <c r="AA454" s="21" t="str">
        <f>IFERROR(Table1[[#This Row],[Shell Dust]]/Table1[[#This Row],[Input Quantity (Kg''s)]]%,"")</f>
        <v/>
      </c>
    </row>
    <row r="455" spans="2:27" x14ac:dyDescent="0.3">
      <c r="B455" s="1"/>
      <c r="C455" s="15">
        <f>WEEKNUM(Table1[[#This Row],[Date]])</f>
        <v>0</v>
      </c>
      <c r="D455" s="1" t="str">
        <f>TEXT(Table1[[#This Row],[Date]],"mmm-yy")</f>
        <v>Jan-00</v>
      </c>
      <c r="E455" s="1"/>
      <c r="I455" s="3"/>
      <c r="M455" s="3"/>
      <c r="N455" s="3"/>
      <c r="O455" s="3"/>
      <c r="P455" s="3">
        <f>Table1[[#This Row],[Input Quantity (Kg''s)]]-SUM(Table1[[#This Row],[Wholes (kg''s)]:[Black Rejection (Kg''s)]],Table1[[#This Row],[Shell Dust]])</f>
        <v>0</v>
      </c>
      <c r="Q455" s="3">
        <f>SUM(Table1[[#This Row],[Wholes (kg''s)]:[Pieces (kg''s)]])</f>
        <v>0</v>
      </c>
      <c r="R455" s="3">
        <f>SUM(Table1[[#This Row],[Wholes (kg''s)]:[Black Rejection (Kg''s)]])</f>
        <v>0</v>
      </c>
      <c r="S455" s="4" t="str">
        <f>IFERROR(Table1[[#This Row],[Good Kernels (kg''s)]]/Table1[[#This Row],[Input Quantity (Kg''s)]]*176.36,"")</f>
        <v/>
      </c>
      <c r="T455" s="4" t="str">
        <f>IFERROR(Table1[[#This Row],[Good Kernels (kg''s)]]/Table1[[#This Row],[Input Quantity (Kg''s)]]%,"")</f>
        <v/>
      </c>
      <c r="U455" s="5" t="str">
        <f>IFERROR(Table1[[#This Row],[Final Kernels (kg''s)]]/Table1[[#This Row],[Input Quantity (Kg''s)]]%,"")</f>
        <v/>
      </c>
      <c r="V455" s="5" t="str">
        <f>IFERROR(Table1[[#This Row],[Wholes (kg''s)]]/Table1[[#This Row],[Good Kernels (kg''s)]]%,"")</f>
        <v/>
      </c>
      <c r="W455" s="5" t="str">
        <f>IFERROR(Table1[[#This Row],[Pieces (kg''s)]]/Table1[[#This Row],[Good Kernels (kg''s)]]%,"")</f>
        <v/>
      </c>
      <c r="X455" s="5" t="str">
        <f>IFERROR(Table1[[#This Row],[First Pass Uncut (kg''s)]]/Table1[[#This Row],[Input Quantity (Kg''s)]]%,"")</f>
        <v/>
      </c>
      <c r="Y455" s="5" t="str">
        <f>IFERROR(Table1[[#This Row],[Final Uncut (kg''s)]]/Table1[[#This Row],[Input Quantity (Kg''s)]]%,"")</f>
        <v/>
      </c>
      <c r="Z455" s="21" t="str">
        <f>IFERROR(Table1[[#This Row],[Shell]]/Table1[[#This Row],[Input Quantity (Kg''s)]]%,"")</f>
        <v/>
      </c>
      <c r="AA455" s="21" t="str">
        <f>IFERROR(Table1[[#This Row],[Shell Dust]]/Table1[[#This Row],[Input Quantity (Kg''s)]]%,"")</f>
        <v/>
      </c>
    </row>
    <row r="456" spans="2:27" x14ac:dyDescent="0.3">
      <c r="B456" s="1"/>
      <c r="C456" s="15">
        <f>WEEKNUM(Table1[[#This Row],[Date]])</f>
        <v>0</v>
      </c>
      <c r="D456" s="1" t="str">
        <f>TEXT(Table1[[#This Row],[Date]],"mmm-yy")</f>
        <v>Jan-00</v>
      </c>
      <c r="E456" s="1"/>
      <c r="I456" s="3"/>
      <c r="M456" s="3"/>
      <c r="N456" s="3"/>
      <c r="O456" s="3"/>
      <c r="P456" s="3">
        <f>Table1[[#This Row],[Input Quantity (Kg''s)]]-SUM(Table1[[#This Row],[Wholes (kg''s)]:[Black Rejection (Kg''s)]],Table1[[#This Row],[Shell Dust]])</f>
        <v>0</v>
      </c>
      <c r="Q456" s="3">
        <f>SUM(Table1[[#This Row],[Wholes (kg''s)]:[Pieces (kg''s)]])</f>
        <v>0</v>
      </c>
      <c r="R456" s="3">
        <f>SUM(Table1[[#This Row],[Wholes (kg''s)]:[Black Rejection (Kg''s)]])</f>
        <v>0</v>
      </c>
      <c r="S456" s="4" t="str">
        <f>IFERROR(Table1[[#This Row],[Good Kernels (kg''s)]]/Table1[[#This Row],[Input Quantity (Kg''s)]]*176.36,"")</f>
        <v/>
      </c>
      <c r="T456" s="4" t="str">
        <f>IFERROR(Table1[[#This Row],[Good Kernels (kg''s)]]/Table1[[#This Row],[Input Quantity (Kg''s)]]%,"")</f>
        <v/>
      </c>
      <c r="U456" s="5" t="str">
        <f>IFERROR(Table1[[#This Row],[Final Kernels (kg''s)]]/Table1[[#This Row],[Input Quantity (Kg''s)]]%,"")</f>
        <v/>
      </c>
      <c r="V456" s="5" t="str">
        <f>IFERROR(Table1[[#This Row],[Wholes (kg''s)]]/Table1[[#This Row],[Good Kernels (kg''s)]]%,"")</f>
        <v/>
      </c>
      <c r="W456" s="5" t="str">
        <f>IFERROR(Table1[[#This Row],[Pieces (kg''s)]]/Table1[[#This Row],[Good Kernels (kg''s)]]%,"")</f>
        <v/>
      </c>
      <c r="X456" s="5" t="str">
        <f>IFERROR(Table1[[#This Row],[First Pass Uncut (kg''s)]]/Table1[[#This Row],[Input Quantity (Kg''s)]]%,"")</f>
        <v/>
      </c>
      <c r="Y456" s="5" t="str">
        <f>IFERROR(Table1[[#This Row],[Final Uncut (kg''s)]]/Table1[[#This Row],[Input Quantity (Kg''s)]]%,"")</f>
        <v/>
      </c>
      <c r="Z456" s="21" t="str">
        <f>IFERROR(Table1[[#This Row],[Shell]]/Table1[[#This Row],[Input Quantity (Kg''s)]]%,"")</f>
        <v/>
      </c>
      <c r="AA456" s="21" t="str">
        <f>IFERROR(Table1[[#This Row],[Shell Dust]]/Table1[[#This Row],[Input Quantity (Kg''s)]]%,"")</f>
        <v/>
      </c>
    </row>
    <row r="457" spans="2:27" x14ac:dyDescent="0.3">
      <c r="B457" s="1"/>
      <c r="C457" s="15">
        <f>WEEKNUM(Table1[[#This Row],[Date]])</f>
        <v>0</v>
      </c>
      <c r="D457" s="1" t="str">
        <f>TEXT(Table1[[#This Row],[Date]],"mmm-yy")</f>
        <v>Jan-00</v>
      </c>
      <c r="E457" s="1"/>
      <c r="I457" s="3"/>
      <c r="M457" s="3"/>
      <c r="N457" s="3"/>
      <c r="O457" s="3"/>
      <c r="P457" s="3">
        <f>Table1[[#This Row],[Input Quantity (Kg''s)]]-SUM(Table1[[#This Row],[Wholes (kg''s)]:[Black Rejection (Kg''s)]],Table1[[#This Row],[Shell Dust]])</f>
        <v>0</v>
      </c>
      <c r="Q457" s="3">
        <f>SUM(Table1[[#This Row],[Wholes (kg''s)]:[Pieces (kg''s)]])</f>
        <v>0</v>
      </c>
      <c r="R457" s="3">
        <f>SUM(Table1[[#This Row],[Wholes (kg''s)]:[Black Rejection (Kg''s)]])</f>
        <v>0</v>
      </c>
      <c r="S457" s="4" t="str">
        <f>IFERROR(Table1[[#This Row],[Good Kernels (kg''s)]]/Table1[[#This Row],[Input Quantity (Kg''s)]]*176.36,"")</f>
        <v/>
      </c>
      <c r="T457" s="4" t="str">
        <f>IFERROR(Table1[[#This Row],[Good Kernels (kg''s)]]/Table1[[#This Row],[Input Quantity (Kg''s)]]%,"")</f>
        <v/>
      </c>
      <c r="U457" s="5" t="str">
        <f>IFERROR(Table1[[#This Row],[Final Kernels (kg''s)]]/Table1[[#This Row],[Input Quantity (Kg''s)]]%,"")</f>
        <v/>
      </c>
      <c r="V457" s="5" t="str">
        <f>IFERROR(Table1[[#This Row],[Wholes (kg''s)]]/Table1[[#This Row],[Good Kernels (kg''s)]]%,"")</f>
        <v/>
      </c>
      <c r="W457" s="5" t="str">
        <f>IFERROR(Table1[[#This Row],[Pieces (kg''s)]]/Table1[[#This Row],[Good Kernels (kg''s)]]%,"")</f>
        <v/>
      </c>
      <c r="X457" s="5" t="str">
        <f>IFERROR(Table1[[#This Row],[First Pass Uncut (kg''s)]]/Table1[[#This Row],[Input Quantity (Kg''s)]]%,"")</f>
        <v/>
      </c>
      <c r="Y457" s="5" t="str">
        <f>IFERROR(Table1[[#This Row],[Final Uncut (kg''s)]]/Table1[[#This Row],[Input Quantity (Kg''s)]]%,"")</f>
        <v/>
      </c>
      <c r="Z457" s="21" t="str">
        <f>IFERROR(Table1[[#This Row],[Shell]]/Table1[[#This Row],[Input Quantity (Kg''s)]]%,"")</f>
        <v/>
      </c>
      <c r="AA457" s="21" t="str">
        <f>IFERROR(Table1[[#This Row],[Shell Dust]]/Table1[[#This Row],[Input Quantity (Kg''s)]]%,"")</f>
        <v/>
      </c>
    </row>
    <row r="458" spans="2:27" x14ac:dyDescent="0.3">
      <c r="B458" s="1"/>
      <c r="C458" s="15">
        <f>WEEKNUM(Table1[[#This Row],[Date]])</f>
        <v>0</v>
      </c>
      <c r="D458" s="1" t="str">
        <f>TEXT(Table1[[#This Row],[Date]],"mmm-yy")</f>
        <v>Jan-00</v>
      </c>
      <c r="E458" s="1"/>
      <c r="I458" s="3"/>
      <c r="M458" s="3"/>
      <c r="N458" s="3"/>
      <c r="O458" s="3"/>
      <c r="P458" s="3">
        <f>Table1[[#This Row],[Input Quantity (Kg''s)]]-SUM(Table1[[#This Row],[Wholes (kg''s)]:[Black Rejection (Kg''s)]],Table1[[#This Row],[Shell Dust]])</f>
        <v>0</v>
      </c>
      <c r="Q458" s="3">
        <f>SUM(Table1[[#This Row],[Wholes (kg''s)]:[Pieces (kg''s)]])</f>
        <v>0</v>
      </c>
      <c r="R458" s="3">
        <f>SUM(Table1[[#This Row],[Wholes (kg''s)]:[Black Rejection (Kg''s)]])</f>
        <v>0</v>
      </c>
      <c r="S458" s="4" t="str">
        <f>IFERROR(Table1[[#This Row],[Good Kernels (kg''s)]]/Table1[[#This Row],[Input Quantity (Kg''s)]]*176.36,"")</f>
        <v/>
      </c>
      <c r="T458" s="4" t="str">
        <f>IFERROR(Table1[[#This Row],[Good Kernels (kg''s)]]/Table1[[#This Row],[Input Quantity (Kg''s)]]%,"")</f>
        <v/>
      </c>
      <c r="U458" s="5" t="str">
        <f>IFERROR(Table1[[#This Row],[Final Kernels (kg''s)]]/Table1[[#This Row],[Input Quantity (Kg''s)]]%,"")</f>
        <v/>
      </c>
      <c r="V458" s="5" t="str">
        <f>IFERROR(Table1[[#This Row],[Wholes (kg''s)]]/Table1[[#This Row],[Good Kernels (kg''s)]]%,"")</f>
        <v/>
      </c>
      <c r="W458" s="5" t="str">
        <f>IFERROR(Table1[[#This Row],[Pieces (kg''s)]]/Table1[[#This Row],[Good Kernels (kg''s)]]%,"")</f>
        <v/>
      </c>
      <c r="X458" s="5" t="str">
        <f>IFERROR(Table1[[#This Row],[First Pass Uncut (kg''s)]]/Table1[[#This Row],[Input Quantity (Kg''s)]]%,"")</f>
        <v/>
      </c>
      <c r="Y458" s="5" t="str">
        <f>IFERROR(Table1[[#This Row],[Final Uncut (kg''s)]]/Table1[[#This Row],[Input Quantity (Kg''s)]]%,"")</f>
        <v/>
      </c>
      <c r="Z458" s="21" t="str">
        <f>IFERROR(Table1[[#This Row],[Shell]]/Table1[[#This Row],[Input Quantity (Kg''s)]]%,"")</f>
        <v/>
      </c>
      <c r="AA458" s="21" t="str">
        <f>IFERROR(Table1[[#This Row],[Shell Dust]]/Table1[[#This Row],[Input Quantity (Kg''s)]]%,"")</f>
        <v/>
      </c>
    </row>
    <row r="459" spans="2:27" x14ac:dyDescent="0.3">
      <c r="B459" s="1"/>
      <c r="C459" s="15">
        <f>WEEKNUM(Table1[[#This Row],[Date]])</f>
        <v>0</v>
      </c>
      <c r="D459" s="1" t="str">
        <f>TEXT(Table1[[#This Row],[Date]],"mmm-yy")</f>
        <v>Jan-00</v>
      </c>
      <c r="E459" s="1"/>
      <c r="I459" s="3"/>
      <c r="M459" s="3"/>
      <c r="N459" s="3"/>
      <c r="O459" s="3"/>
      <c r="P459" s="3">
        <f>Table1[[#This Row],[Input Quantity (Kg''s)]]-SUM(Table1[[#This Row],[Wholes (kg''s)]:[Black Rejection (Kg''s)]],Table1[[#This Row],[Shell Dust]])</f>
        <v>0</v>
      </c>
      <c r="Q459" s="3">
        <f>SUM(Table1[[#This Row],[Wholes (kg''s)]:[Pieces (kg''s)]])</f>
        <v>0</v>
      </c>
      <c r="R459" s="3">
        <f>SUM(Table1[[#This Row],[Wholes (kg''s)]:[Black Rejection (Kg''s)]])</f>
        <v>0</v>
      </c>
      <c r="S459" s="4" t="str">
        <f>IFERROR(Table1[[#This Row],[Good Kernels (kg''s)]]/Table1[[#This Row],[Input Quantity (Kg''s)]]*176.36,"")</f>
        <v/>
      </c>
      <c r="T459" s="4" t="str">
        <f>IFERROR(Table1[[#This Row],[Good Kernels (kg''s)]]/Table1[[#This Row],[Input Quantity (Kg''s)]]%,"")</f>
        <v/>
      </c>
      <c r="U459" s="5" t="str">
        <f>IFERROR(Table1[[#This Row],[Final Kernels (kg''s)]]/Table1[[#This Row],[Input Quantity (Kg''s)]]%,"")</f>
        <v/>
      </c>
      <c r="V459" s="5" t="str">
        <f>IFERROR(Table1[[#This Row],[Wholes (kg''s)]]/Table1[[#This Row],[Good Kernels (kg''s)]]%,"")</f>
        <v/>
      </c>
      <c r="W459" s="5" t="str">
        <f>IFERROR(Table1[[#This Row],[Pieces (kg''s)]]/Table1[[#This Row],[Good Kernels (kg''s)]]%,"")</f>
        <v/>
      </c>
      <c r="X459" s="5" t="str">
        <f>IFERROR(Table1[[#This Row],[First Pass Uncut (kg''s)]]/Table1[[#This Row],[Input Quantity (Kg''s)]]%,"")</f>
        <v/>
      </c>
      <c r="Y459" s="5" t="str">
        <f>IFERROR(Table1[[#This Row],[Final Uncut (kg''s)]]/Table1[[#This Row],[Input Quantity (Kg''s)]]%,"")</f>
        <v/>
      </c>
      <c r="Z459" s="21" t="str">
        <f>IFERROR(Table1[[#This Row],[Shell]]/Table1[[#This Row],[Input Quantity (Kg''s)]]%,"")</f>
        <v/>
      </c>
      <c r="AA459" s="21" t="str">
        <f>IFERROR(Table1[[#This Row],[Shell Dust]]/Table1[[#This Row],[Input Quantity (Kg''s)]]%,"")</f>
        <v/>
      </c>
    </row>
    <row r="460" spans="2:27" x14ac:dyDescent="0.3">
      <c r="B460" s="1"/>
      <c r="C460" s="15">
        <f>WEEKNUM(Table1[[#This Row],[Date]])</f>
        <v>0</v>
      </c>
      <c r="D460" s="1" t="str">
        <f>TEXT(Table1[[#This Row],[Date]],"mmm-yy")</f>
        <v>Jan-00</v>
      </c>
      <c r="E460" s="1"/>
      <c r="I460" s="3"/>
      <c r="M460" s="3"/>
      <c r="N460" s="3"/>
      <c r="O460" s="3"/>
      <c r="P460" s="3">
        <f>Table1[[#This Row],[Input Quantity (Kg''s)]]-SUM(Table1[[#This Row],[Wholes (kg''s)]:[Black Rejection (Kg''s)]],Table1[[#This Row],[Shell Dust]])</f>
        <v>0</v>
      </c>
      <c r="Q460" s="3">
        <f>SUM(Table1[[#This Row],[Wholes (kg''s)]:[Pieces (kg''s)]])</f>
        <v>0</v>
      </c>
      <c r="R460" s="3">
        <f>SUM(Table1[[#This Row],[Wholes (kg''s)]:[Black Rejection (Kg''s)]])</f>
        <v>0</v>
      </c>
      <c r="S460" s="4" t="str">
        <f>IFERROR(Table1[[#This Row],[Good Kernels (kg''s)]]/Table1[[#This Row],[Input Quantity (Kg''s)]]*176.36,"")</f>
        <v/>
      </c>
      <c r="T460" s="4" t="str">
        <f>IFERROR(Table1[[#This Row],[Good Kernels (kg''s)]]/Table1[[#This Row],[Input Quantity (Kg''s)]]%,"")</f>
        <v/>
      </c>
      <c r="U460" s="5" t="str">
        <f>IFERROR(Table1[[#This Row],[Final Kernels (kg''s)]]/Table1[[#This Row],[Input Quantity (Kg''s)]]%,"")</f>
        <v/>
      </c>
      <c r="V460" s="5" t="str">
        <f>IFERROR(Table1[[#This Row],[Wholes (kg''s)]]/Table1[[#This Row],[Good Kernels (kg''s)]]%,"")</f>
        <v/>
      </c>
      <c r="W460" s="5" t="str">
        <f>IFERROR(Table1[[#This Row],[Pieces (kg''s)]]/Table1[[#This Row],[Good Kernels (kg''s)]]%,"")</f>
        <v/>
      </c>
      <c r="X460" s="5" t="str">
        <f>IFERROR(Table1[[#This Row],[First Pass Uncut (kg''s)]]/Table1[[#This Row],[Input Quantity (Kg''s)]]%,"")</f>
        <v/>
      </c>
      <c r="Y460" s="5" t="str">
        <f>IFERROR(Table1[[#This Row],[Final Uncut (kg''s)]]/Table1[[#This Row],[Input Quantity (Kg''s)]]%,"")</f>
        <v/>
      </c>
      <c r="Z460" s="21" t="str">
        <f>IFERROR(Table1[[#This Row],[Shell]]/Table1[[#This Row],[Input Quantity (Kg''s)]]%,"")</f>
        <v/>
      </c>
      <c r="AA460" s="21" t="str">
        <f>IFERROR(Table1[[#This Row],[Shell Dust]]/Table1[[#This Row],[Input Quantity (Kg''s)]]%,"")</f>
        <v/>
      </c>
    </row>
    <row r="461" spans="2:27" x14ac:dyDescent="0.3">
      <c r="B461" s="1"/>
      <c r="C461" s="15">
        <f>WEEKNUM(Table1[[#This Row],[Date]])</f>
        <v>0</v>
      </c>
      <c r="D461" s="1" t="str">
        <f>TEXT(Table1[[#This Row],[Date]],"mmm-yy")</f>
        <v>Jan-00</v>
      </c>
      <c r="E461" s="1"/>
      <c r="I461" s="3"/>
      <c r="M461" s="3"/>
      <c r="N461" s="3"/>
      <c r="O461" s="3"/>
      <c r="P461" s="3">
        <f>Table1[[#This Row],[Input Quantity (Kg''s)]]-SUM(Table1[[#This Row],[Wholes (kg''s)]:[Black Rejection (Kg''s)]],Table1[[#This Row],[Shell Dust]])</f>
        <v>0</v>
      </c>
      <c r="Q461" s="3">
        <f>SUM(Table1[[#This Row],[Wholes (kg''s)]:[Pieces (kg''s)]])</f>
        <v>0</v>
      </c>
      <c r="R461" s="3">
        <f>SUM(Table1[[#This Row],[Wholes (kg''s)]:[Black Rejection (Kg''s)]])</f>
        <v>0</v>
      </c>
      <c r="S461" s="4" t="str">
        <f>IFERROR(Table1[[#This Row],[Good Kernels (kg''s)]]/Table1[[#This Row],[Input Quantity (Kg''s)]]*176.36,"")</f>
        <v/>
      </c>
      <c r="T461" s="4" t="str">
        <f>IFERROR(Table1[[#This Row],[Good Kernels (kg''s)]]/Table1[[#This Row],[Input Quantity (Kg''s)]]%,"")</f>
        <v/>
      </c>
      <c r="U461" s="5" t="str">
        <f>IFERROR(Table1[[#This Row],[Final Kernels (kg''s)]]/Table1[[#This Row],[Input Quantity (Kg''s)]]%,"")</f>
        <v/>
      </c>
      <c r="V461" s="5" t="str">
        <f>IFERROR(Table1[[#This Row],[Wholes (kg''s)]]/Table1[[#This Row],[Good Kernels (kg''s)]]%,"")</f>
        <v/>
      </c>
      <c r="W461" s="5" t="str">
        <f>IFERROR(Table1[[#This Row],[Pieces (kg''s)]]/Table1[[#This Row],[Good Kernels (kg''s)]]%,"")</f>
        <v/>
      </c>
      <c r="X461" s="5" t="str">
        <f>IFERROR(Table1[[#This Row],[First Pass Uncut (kg''s)]]/Table1[[#This Row],[Input Quantity (Kg''s)]]%,"")</f>
        <v/>
      </c>
      <c r="Y461" s="5" t="str">
        <f>IFERROR(Table1[[#This Row],[Final Uncut (kg''s)]]/Table1[[#This Row],[Input Quantity (Kg''s)]]%,"")</f>
        <v/>
      </c>
      <c r="Z461" s="21" t="str">
        <f>IFERROR(Table1[[#This Row],[Shell]]/Table1[[#This Row],[Input Quantity (Kg''s)]]%,"")</f>
        <v/>
      </c>
      <c r="AA461" s="21" t="str">
        <f>IFERROR(Table1[[#This Row],[Shell Dust]]/Table1[[#This Row],[Input Quantity (Kg''s)]]%,"")</f>
        <v/>
      </c>
    </row>
    <row r="462" spans="2:27" x14ac:dyDescent="0.3">
      <c r="B462" s="1"/>
      <c r="C462" s="15">
        <f>WEEKNUM(Table1[[#This Row],[Date]])</f>
        <v>0</v>
      </c>
      <c r="D462" s="1" t="str">
        <f>TEXT(Table1[[#This Row],[Date]],"mmm-yy")</f>
        <v>Jan-00</v>
      </c>
      <c r="E462" s="1"/>
      <c r="I462" s="3"/>
      <c r="M462" s="3"/>
      <c r="N462" s="3"/>
      <c r="O462" s="3"/>
      <c r="P462" s="3">
        <f>Table1[[#This Row],[Input Quantity (Kg''s)]]-SUM(Table1[[#This Row],[Wholes (kg''s)]:[Black Rejection (Kg''s)]],Table1[[#This Row],[Shell Dust]])</f>
        <v>0</v>
      </c>
      <c r="Q462" s="3">
        <f>SUM(Table1[[#This Row],[Wholes (kg''s)]:[Pieces (kg''s)]])</f>
        <v>0</v>
      </c>
      <c r="R462" s="3">
        <f>SUM(Table1[[#This Row],[Wholes (kg''s)]:[Black Rejection (Kg''s)]])</f>
        <v>0</v>
      </c>
      <c r="S462" s="4" t="str">
        <f>IFERROR(Table1[[#This Row],[Good Kernels (kg''s)]]/Table1[[#This Row],[Input Quantity (Kg''s)]]*176.36,"")</f>
        <v/>
      </c>
      <c r="T462" s="4" t="str">
        <f>IFERROR(Table1[[#This Row],[Good Kernels (kg''s)]]/Table1[[#This Row],[Input Quantity (Kg''s)]]%,"")</f>
        <v/>
      </c>
      <c r="U462" s="5" t="str">
        <f>IFERROR(Table1[[#This Row],[Final Kernels (kg''s)]]/Table1[[#This Row],[Input Quantity (Kg''s)]]%,"")</f>
        <v/>
      </c>
      <c r="V462" s="5" t="str">
        <f>IFERROR(Table1[[#This Row],[Wholes (kg''s)]]/Table1[[#This Row],[Good Kernels (kg''s)]]%,"")</f>
        <v/>
      </c>
      <c r="W462" s="5" t="str">
        <f>IFERROR(Table1[[#This Row],[Pieces (kg''s)]]/Table1[[#This Row],[Good Kernels (kg''s)]]%,"")</f>
        <v/>
      </c>
      <c r="X462" s="5" t="str">
        <f>IFERROR(Table1[[#This Row],[First Pass Uncut (kg''s)]]/Table1[[#This Row],[Input Quantity (Kg''s)]]%,"")</f>
        <v/>
      </c>
      <c r="Y462" s="5" t="str">
        <f>IFERROR(Table1[[#This Row],[Final Uncut (kg''s)]]/Table1[[#This Row],[Input Quantity (Kg''s)]]%,"")</f>
        <v/>
      </c>
      <c r="Z462" s="21" t="str">
        <f>IFERROR(Table1[[#This Row],[Shell]]/Table1[[#This Row],[Input Quantity (Kg''s)]]%,"")</f>
        <v/>
      </c>
      <c r="AA462" s="21" t="str">
        <f>IFERROR(Table1[[#This Row],[Shell Dust]]/Table1[[#This Row],[Input Quantity (Kg''s)]]%,"")</f>
        <v/>
      </c>
    </row>
    <row r="463" spans="2:27" x14ac:dyDescent="0.3">
      <c r="B463" s="1"/>
      <c r="C463" s="15">
        <f>WEEKNUM(Table1[[#This Row],[Date]])</f>
        <v>0</v>
      </c>
      <c r="D463" s="1" t="str">
        <f>TEXT(Table1[[#This Row],[Date]],"mmm-yy")</f>
        <v>Jan-00</v>
      </c>
      <c r="E463" s="1"/>
      <c r="I463" s="3"/>
      <c r="M463" s="3"/>
      <c r="N463" s="3"/>
      <c r="O463" s="3"/>
      <c r="P463" s="3">
        <f>Table1[[#This Row],[Input Quantity (Kg''s)]]-SUM(Table1[[#This Row],[Wholes (kg''s)]:[Black Rejection (Kg''s)]],Table1[[#This Row],[Shell Dust]])</f>
        <v>0</v>
      </c>
      <c r="Q463" s="3">
        <f>SUM(Table1[[#This Row],[Wholes (kg''s)]:[Pieces (kg''s)]])</f>
        <v>0</v>
      </c>
      <c r="R463" s="3">
        <f>SUM(Table1[[#This Row],[Wholes (kg''s)]:[Black Rejection (Kg''s)]])</f>
        <v>0</v>
      </c>
      <c r="S463" s="4" t="str">
        <f>IFERROR(Table1[[#This Row],[Good Kernels (kg''s)]]/Table1[[#This Row],[Input Quantity (Kg''s)]]*176.36,"")</f>
        <v/>
      </c>
      <c r="T463" s="4" t="str">
        <f>IFERROR(Table1[[#This Row],[Good Kernels (kg''s)]]/Table1[[#This Row],[Input Quantity (Kg''s)]]%,"")</f>
        <v/>
      </c>
      <c r="U463" s="5" t="str">
        <f>IFERROR(Table1[[#This Row],[Final Kernels (kg''s)]]/Table1[[#This Row],[Input Quantity (Kg''s)]]%,"")</f>
        <v/>
      </c>
      <c r="V463" s="5" t="str">
        <f>IFERROR(Table1[[#This Row],[Wholes (kg''s)]]/Table1[[#This Row],[Good Kernels (kg''s)]]%,"")</f>
        <v/>
      </c>
      <c r="W463" s="5" t="str">
        <f>IFERROR(Table1[[#This Row],[Pieces (kg''s)]]/Table1[[#This Row],[Good Kernels (kg''s)]]%,"")</f>
        <v/>
      </c>
      <c r="X463" s="5" t="str">
        <f>IFERROR(Table1[[#This Row],[First Pass Uncut (kg''s)]]/Table1[[#This Row],[Input Quantity (Kg''s)]]%,"")</f>
        <v/>
      </c>
      <c r="Y463" s="5" t="str">
        <f>IFERROR(Table1[[#This Row],[Final Uncut (kg''s)]]/Table1[[#This Row],[Input Quantity (Kg''s)]]%,"")</f>
        <v/>
      </c>
      <c r="Z463" s="21" t="str">
        <f>IFERROR(Table1[[#This Row],[Shell]]/Table1[[#This Row],[Input Quantity (Kg''s)]]%,"")</f>
        <v/>
      </c>
      <c r="AA463" s="21" t="str">
        <f>IFERROR(Table1[[#This Row],[Shell Dust]]/Table1[[#This Row],[Input Quantity (Kg''s)]]%,"")</f>
        <v/>
      </c>
    </row>
    <row r="464" spans="2:27" x14ac:dyDescent="0.3">
      <c r="B464" s="1"/>
      <c r="C464" s="15">
        <f>WEEKNUM(Table1[[#This Row],[Date]])</f>
        <v>0</v>
      </c>
      <c r="D464" s="1" t="str">
        <f>TEXT(Table1[[#This Row],[Date]],"mmm-yy")</f>
        <v>Jan-00</v>
      </c>
      <c r="E464" s="1"/>
      <c r="I464" s="3"/>
      <c r="M464" s="3"/>
      <c r="N464" s="3"/>
      <c r="O464" s="3"/>
      <c r="P464" s="3">
        <f>Table1[[#This Row],[Input Quantity (Kg''s)]]-SUM(Table1[[#This Row],[Wholes (kg''s)]:[Black Rejection (Kg''s)]],Table1[[#This Row],[Shell Dust]])</f>
        <v>0</v>
      </c>
      <c r="Q464" s="3">
        <f>SUM(Table1[[#This Row],[Wholes (kg''s)]:[Pieces (kg''s)]])</f>
        <v>0</v>
      </c>
      <c r="R464" s="3">
        <f>SUM(Table1[[#This Row],[Wholes (kg''s)]:[Black Rejection (Kg''s)]])</f>
        <v>0</v>
      </c>
      <c r="S464" s="4" t="str">
        <f>IFERROR(Table1[[#This Row],[Good Kernels (kg''s)]]/Table1[[#This Row],[Input Quantity (Kg''s)]]*176.36,"")</f>
        <v/>
      </c>
      <c r="T464" s="4" t="str">
        <f>IFERROR(Table1[[#This Row],[Good Kernels (kg''s)]]/Table1[[#This Row],[Input Quantity (Kg''s)]]%,"")</f>
        <v/>
      </c>
      <c r="U464" s="5" t="str">
        <f>IFERROR(Table1[[#This Row],[Final Kernels (kg''s)]]/Table1[[#This Row],[Input Quantity (Kg''s)]]%,"")</f>
        <v/>
      </c>
      <c r="V464" s="5" t="str">
        <f>IFERROR(Table1[[#This Row],[Wholes (kg''s)]]/Table1[[#This Row],[Good Kernels (kg''s)]]%,"")</f>
        <v/>
      </c>
      <c r="W464" s="5" t="str">
        <f>IFERROR(Table1[[#This Row],[Pieces (kg''s)]]/Table1[[#This Row],[Good Kernels (kg''s)]]%,"")</f>
        <v/>
      </c>
      <c r="X464" s="5" t="str">
        <f>IFERROR(Table1[[#This Row],[First Pass Uncut (kg''s)]]/Table1[[#This Row],[Input Quantity (Kg''s)]]%,"")</f>
        <v/>
      </c>
      <c r="Y464" s="5" t="str">
        <f>IFERROR(Table1[[#This Row],[Final Uncut (kg''s)]]/Table1[[#This Row],[Input Quantity (Kg''s)]]%,"")</f>
        <v/>
      </c>
      <c r="Z464" s="21" t="str">
        <f>IFERROR(Table1[[#This Row],[Shell]]/Table1[[#This Row],[Input Quantity (Kg''s)]]%,"")</f>
        <v/>
      </c>
      <c r="AA464" s="21" t="str">
        <f>IFERROR(Table1[[#This Row],[Shell Dust]]/Table1[[#This Row],[Input Quantity (Kg''s)]]%,"")</f>
        <v/>
      </c>
    </row>
    <row r="465" spans="2:27" x14ac:dyDescent="0.3">
      <c r="B465" s="1"/>
      <c r="C465" s="15">
        <f>WEEKNUM(Table1[[#This Row],[Date]])</f>
        <v>0</v>
      </c>
      <c r="D465" s="1" t="str">
        <f>TEXT(Table1[[#This Row],[Date]],"mmm-yy")</f>
        <v>Jan-00</v>
      </c>
      <c r="E465" s="1"/>
      <c r="I465" s="3"/>
      <c r="M465" s="3"/>
      <c r="N465" s="3"/>
      <c r="O465" s="3"/>
      <c r="P465" s="3">
        <f>Table1[[#This Row],[Input Quantity (Kg''s)]]-SUM(Table1[[#This Row],[Wholes (kg''s)]:[Black Rejection (Kg''s)]],Table1[[#This Row],[Shell Dust]])</f>
        <v>0</v>
      </c>
      <c r="Q465" s="3">
        <f>SUM(Table1[[#This Row],[Wholes (kg''s)]:[Pieces (kg''s)]])</f>
        <v>0</v>
      </c>
      <c r="R465" s="3">
        <f>SUM(Table1[[#This Row],[Wholes (kg''s)]:[Black Rejection (Kg''s)]])</f>
        <v>0</v>
      </c>
      <c r="S465" s="4" t="str">
        <f>IFERROR(Table1[[#This Row],[Good Kernels (kg''s)]]/Table1[[#This Row],[Input Quantity (Kg''s)]]*176.36,"")</f>
        <v/>
      </c>
      <c r="T465" s="4" t="str">
        <f>IFERROR(Table1[[#This Row],[Good Kernels (kg''s)]]/Table1[[#This Row],[Input Quantity (Kg''s)]]%,"")</f>
        <v/>
      </c>
      <c r="U465" s="5" t="str">
        <f>IFERROR(Table1[[#This Row],[Final Kernels (kg''s)]]/Table1[[#This Row],[Input Quantity (Kg''s)]]%,"")</f>
        <v/>
      </c>
      <c r="V465" s="5" t="str">
        <f>IFERROR(Table1[[#This Row],[Wholes (kg''s)]]/Table1[[#This Row],[Good Kernels (kg''s)]]%,"")</f>
        <v/>
      </c>
      <c r="W465" s="5" t="str">
        <f>IFERROR(Table1[[#This Row],[Pieces (kg''s)]]/Table1[[#This Row],[Good Kernels (kg''s)]]%,"")</f>
        <v/>
      </c>
      <c r="X465" s="5" t="str">
        <f>IFERROR(Table1[[#This Row],[First Pass Uncut (kg''s)]]/Table1[[#This Row],[Input Quantity (Kg''s)]]%,"")</f>
        <v/>
      </c>
      <c r="Y465" s="5" t="str">
        <f>IFERROR(Table1[[#This Row],[Final Uncut (kg''s)]]/Table1[[#This Row],[Input Quantity (Kg''s)]]%,"")</f>
        <v/>
      </c>
      <c r="Z465" s="21" t="str">
        <f>IFERROR(Table1[[#This Row],[Shell]]/Table1[[#This Row],[Input Quantity (Kg''s)]]%,"")</f>
        <v/>
      </c>
      <c r="AA465" s="21" t="str">
        <f>IFERROR(Table1[[#This Row],[Shell Dust]]/Table1[[#This Row],[Input Quantity (Kg''s)]]%,"")</f>
        <v/>
      </c>
    </row>
    <row r="466" spans="2:27" x14ac:dyDescent="0.3">
      <c r="B466" s="1"/>
      <c r="C466" s="15">
        <f>WEEKNUM(Table1[[#This Row],[Date]])</f>
        <v>0</v>
      </c>
      <c r="D466" s="1" t="str">
        <f>TEXT(Table1[[#This Row],[Date]],"mmm-yy")</f>
        <v>Jan-00</v>
      </c>
      <c r="E466" s="1"/>
      <c r="I466" s="3"/>
      <c r="M466" s="3"/>
      <c r="N466" s="3"/>
      <c r="O466" s="3"/>
      <c r="P466" s="3">
        <f>Table1[[#This Row],[Input Quantity (Kg''s)]]-SUM(Table1[[#This Row],[Wholes (kg''s)]:[Black Rejection (Kg''s)]],Table1[[#This Row],[Shell Dust]])</f>
        <v>0</v>
      </c>
      <c r="Q466" s="3">
        <f>SUM(Table1[[#This Row],[Wholes (kg''s)]:[Pieces (kg''s)]])</f>
        <v>0</v>
      </c>
      <c r="R466" s="3">
        <f>SUM(Table1[[#This Row],[Wholes (kg''s)]:[Black Rejection (Kg''s)]])</f>
        <v>0</v>
      </c>
      <c r="S466" s="4" t="str">
        <f>IFERROR(Table1[[#This Row],[Good Kernels (kg''s)]]/Table1[[#This Row],[Input Quantity (Kg''s)]]*176.36,"")</f>
        <v/>
      </c>
      <c r="T466" s="4" t="str">
        <f>IFERROR(Table1[[#This Row],[Good Kernels (kg''s)]]/Table1[[#This Row],[Input Quantity (Kg''s)]]%,"")</f>
        <v/>
      </c>
      <c r="U466" s="5" t="str">
        <f>IFERROR(Table1[[#This Row],[Final Kernels (kg''s)]]/Table1[[#This Row],[Input Quantity (Kg''s)]]%,"")</f>
        <v/>
      </c>
      <c r="V466" s="5" t="str">
        <f>IFERROR(Table1[[#This Row],[Wholes (kg''s)]]/Table1[[#This Row],[Good Kernels (kg''s)]]%,"")</f>
        <v/>
      </c>
      <c r="W466" s="5" t="str">
        <f>IFERROR(Table1[[#This Row],[Pieces (kg''s)]]/Table1[[#This Row],[Good Kernels (kg''s)]]%,"")</f>
        <v/>
      </c>
      <c r="X466" s="5" t="str">
        <f>IFERROR(Table1[[#This Row],[First Pass Uncut (kg''s)]]/Table1[[#This Row],[Input Quantity (Kg''s)]]%,"")</f>
        <v/>
      </c>
      <c r="Y466" s="5" t="str">
        <f>IFERROR(Table1[[#This Row],[Final Uncut (kg''s)]]/Table1[[#This Row],[Input Quantity (Kg''s)]]%,"")</f>
        <v/>
      </c>
      <c r="Z466" s="21" t="str">
        <f>IFERROR(Table1[[#This Row],[Shell]]/Table1[[#This Row],[Input Quantity (Kg''s)]]%,"")</f>
        <v/>
      </c>
      <c r="AA466" s="21" t="str">
        <f>IFERROR(Table1[[#This Row],[Shell Dust]]/Table1[[#This Row],[Input Quantity (Kg''s)]]%,"")</f>
        <v/>
      </c>
    </row>
    <row r="467" spans="2:27" x14ac:dyDescent="0.3">
      <c r="B467" s="1"/>
      <c r="C467" s="15">
        <f>WEEKNUM(Table1[[#This Row],[Date]])</f>
        <v>0</v>
      </c>
      <c r="D467" s="1" t="str">
        <f>TEXT(Table1[[#This Row],[Date]],"mmm-yy")</f>
        <v>Jan-00</v>
      </c>
      <c r="E467" s="1"/>
      <c r="I467" s="3"/>
      <c r="M467" s="3"/>
      <c r="N467" s="3"/>
      <c r="O467" s="3"/>
      <c r="P467" s="3">
        <f>Table1[[#This Row],[Input Quantity (Kg''s)]]-SUM(Table1[[#This Row],[Wholes (kg''s)]:[Black Rejection (Kg''s)]],Table1[[#This Row],[Shell Dust]])</f>
        <v>0</v>
      </c>
      <c r="Q467" s="3">
        <f>SUM(Table1[[#This Row],[Wholes (kg''s)]:[Pieces (kg''s)]])</f>
        <v>0</v>
      </c>
      <c r="R467" s="3">
        <f>SUM(Table1[[#This Row],[Wholes (kg''s)]:[Black Rejection (Kg''s)]])</f>
        <v>0</v>
      </c>
      <c r="S467" s="4" t="str">
        <f>IFERROR(Table1[[#This Row],[Good Kernels (kg''s)]]/Table1[[#This Row],[Input Quantity (Kg''s)]]*176.36,"")</f>
        <v/>
      </c>
      <c r="T467" s="4" t="str">
        <f>IFERROR(Table1[[#This Row],[Good Kernels (kg''s)]]/Table1[[#This Row],[Input Quantity (Kg''s)]]%,"")</f>
        <v/>
      </c>
      <c r="U467" s="5" t="str">
        <f>IFERROR(Table1[[#This Row],[Final Kernels (kg''s)]]/Table1[[#This Row],[Input Quantity (Kg''s)]]%,"")</f>
        <v/>
      </c>
      <c r="V467" s="5" t="str">
        <f>IFERROR(Table1[[#This Row],[Wholes (kg''s)]]/Table1[[#This Row],[Good Kernels (kg''s)]]%,"")</f>
        <v/>
      </c>
      <c r="W467" s="5" t="str">
        <f>IFERROR(Table1[[#This Row],[Pieces (kg''s)]]/Table1[[#This Row],[Good Kernels (kg''s)]]%,"")</f>
        <v/>
      </c>
      <c r="X467" s="5" t="str">
        <f>IFERROR(Table1[[#This Row],[First Pass Uncut (kg''s)]]/Table1[[#This Row],[Input Quantity (Kg''s)]]%,"")</f>
        <v/>
      </c>
      <c r="Y467" s="5" t="str">
        <f>IFERROR(Table1[[#This Row],[Final Uncut (kg''s)]]/Table1[[#This Row],[Input Quantity (Kg''s)]]%,"")</f>
        <v/>
      </c>
      <c r="Z467" s="21" t="str">
        <f>IFERROR(Table1[[#This Row],[Shell]]/Table1[[#This Row],[Input Quantity (Kg''s)]]%,"")</f>
        <v/>
      </c>
      <c r="AA467" s="21" t="str">
        <f>IFERROR(Table1[[#This Row],[Shell Dust]]/Table1[[#This Row],[Input Quantity (Kg''s)]]%,"")</f>
        <v/>
      </c>
    </row>
    <row r="468" spans="2:27" x14ac:dyDescent="0.3">
      <c r="B468" s="1"/>
      <c r="C468" s="15">
        <f>WEEKNUM(Table1[[#This Row],[Date]])</f>
        <v>0</v>
      </c>
      <c r="D468" s="1" t="str">
        <f>TEXT(Table1[[#This Row],[Date]],"mmm-yy")</f>
        <v>Jan-00</v>
      </c>
      <c r="E468" s="1"/>
      <c r="I468" s="3"/>
      <c r="M468" s="3"/>
      <c r="N468" s="3"/>
      <c r="O468" s="3"/>
      <c r="P468" s="3">
        <f>Table1[[#This Row],[Input Quantity (Kg''s)]]-SUM(Table1[[#This Row],[Wholes (kg''s)]:[Black Rejection (Kg''s)]],Table1[[#This Row],[Shell Dust]])</f>
        <v>0</v>
      </c>
      <c r="Q468" s="3">
        <f>SUM(Table1[[#This Row],[Wholes (kg''s)]:[Pieces (kg''s)]])</f>
        <v>0</v>
      </c>
      <c r="R468" s="3">
        <f>SUM(Table1[[#This Row],[Wholes (kg''s)]:[Black Rejection (Kg''s)]])</f>
        <v>0</v>
      </c>
      <c r="S468" s="4" t="str">
        <f>IFERROR(Table1[[#This Row],[Good Kernels (kg''s)]]/Table1[[#This Row],[Input Quantity (Kg''s)]]*176.36,"")</f>
        <v/>
      </c>
      <c r="T468" s="4" t="str">
        <f>IFERROR(Table1[[#This Row],[Good Kernels (kg''s)]]/Table1[[#This Row],[Input Quantity (Kg''s)]]%,"")</f>
        <v/>
      </c>
      <c r="U468" s="5" t="str">
        <f>IFERROR(Table1[[#This Row],[Final Kernels (kg''s)]]/Table1[[#This Row],[Input Quantity (Kg''s)]]%,"")</f>
        <v/>
      </c>
      <c r="V468" s="5" t="str">
        <f>IFERROR(Table1[[#This Row],[Wholes (kg''s)]]/Table1[[#This Row],[Good Kernels (kg''s)]]%,"")</f>
        <v/>
      </c>
      <c r="W468" s="5" t="str">
        <f>IFERROR(Table1[[#This Row],[Pieces (kg''s)]]/Table1[[#This Row],[Good Kernels (kg''s)]]%,"")</f>
        <v/>
      </c>
      <c r="X468" s="5" t="str">
        <f>IFERROR(Table1[[#This Row],[First Pass Uncut (kg''s)]]/Table1[[#This Row],[Input Quantity (Kg''s)]]%,"")</f>
        <v/>
      </c>
      <c r="Y468" s="5" t="str">
        <f>IFERROR(Table1[[#This Row],[Final Uncut (kg''s)]]/Table1[[#This Row],[Input Quantity (Kg''s)]]%,"")</f>
        <v/>
      </c>
      <c r="Z468" s="21" t="str">
        <f>IFERROR(Table1[[#This Row],[Shell]]/Table1[[#This Row],[Input Quantity (Kg''s)]]%,"")</f>
        <v/>
      </c>
      <c r="AA468" s="21" t="str">
        <f>IFERROR(Table1[[#This Row],[Shell Dust]]/Table1[[#This Row],[Input Quantity (Kg''s)]]%,"")</f>
        <v/>
      </c>
    </row>
    <row r="469" spans="2:27" x14ac:dyDescent="0.3">
      <c r="B469" s="1"/>
      <c r="C469" s="15">
        <f>WEEKNUM(Table1[[#This Row],[Date]])</f>
        <v>0</v>
      </c>
      <c r="D469" s="1" t="str">
        <f>TEXT(Table1[[#This Row],[Date]],"mmm-yy")</f>
        <v>Jan-00</v>
      </c>
      <c r="E469" s="1"/>
      <c r="I469" s="3"/>
      <c r="M469" s="3"/>
      <c r="N469" s="3"/>
      <c r="O469" s="3"/>
      <c r="P469" s="3">
        <f>Table1[[#This Row],[Input Quantity (Kg''s)]]-SUM(Table1[[#This Row],[Wholes (kg''s)]:[Black Rejection (Kg''s)]],Table1[[#This Row],[Shell Dust]])</f>
        <v>0</v>
      </c>
      <c r="Q469" s="3">
        <f>SUM(Table1[[#This Row],[Wholes (kg''s)]:[Pieces (kg''s)]])</f>
        <v>0</v>
      </c>
      <c r="R469" s="3">
        <f>SUM(Table1[[#This Row],[Wholes (kg''s)]:[Black Rejection (Kg''s)]])</f>
        <v>0</v>
      </c>
      <c r="S469" s="4" t="str">
        <f>IFERROR(Table1[[#This Row],[Good Kernels (kg''s)]]/Table1[[#This Row],[Input Quantity (Kg''s)]]*176.36,"")</f>
        <v/>
      </c>
      <c r="T469" s="4" t="str">
        <f>IFERROR(Table1[[#This Row],[Good Kernels (kg''s)]]/Table1[[#This Row],[Input Quantity (Kg''s)]]%,"")</f>
        <v/>
      </c>
      <c r="U469" s="5" t="str">
        <f>IFERROR(Table1[[#This Row],[Final Kernels (kg''s)]]/Table1[[#This Row],[Input Quantity (Kg''s)]]%,"")</f>
        <v/>
      </c>
      <c r="V469" s="5" t="str">
        <f>IFERROR(Table1[[#This Row],[Wholes (kg''s)]]/Table1[[#This Row],[Good Kernels (kg''s)]]%,"")</f>
        <v/>
      </c>
      <c r="W469" s="5" t="str">
        <f>IFERROR(Table1[[#This Row],[Pieces (kg''s)]]/Table1[[#This Row],[Good Kernels (kg''s)]]%,"")</f>
        <v/>
      </c>
      <c r="X469" s="5" t="str">
        <f>IFERROR(Table1[[#This Row],[First Pass Uncut (kg''s)]]/Table1[[#This Row],[Input Quantity (Kg''s)]]%,"")</f>
        <v/>
      </c>
      <c r="Y469" s="5" t="str">
        <f>IFERROR(Table1[[#This Row],[Final Uncut (kg''s)]]/Table1[[#This Row],[Input Quantity (Kg''s)]]%,"")</f>
        <v/>
      </c>
      <c r="Z469" s="21" t="str">
        <f>IFERROR(Table1[[#This Row],[Shell]]/Table1[[#This Row],[Input Quantity (Kg''s)]]%,"")</f>
        <v/>
      </c>
      <c r="AA469" s="21" t="str">
        <f>IFERROR(Table1[[#This Row],[Shell Dust]]/Table1[[#This Row],[Input Quantity (Kg''s)]]%,"")</f>
        <v/>
      </c>
    </row>
    <row r="470" spans="2:27" x14ac:dyDescent="0.3">
      <c r="B470" s="1"/>
      <c r="C470" s="15">
        <f>WEEKNUM(Table1[[#This Row],[Date]])</f>
        <v>0</v>
      </c>
      <c r="D470" s="1" t="str">
        <f>TEXT(Table1[[#This Row],[Date]],"mmm-yy")</f>
        <v>Jan-00</v>
      </c>
      <c r="E470" s="1"/>
      <c r="I470" s="3"/>
      <c r="M470" s="3"/>
      <c r="N470" s="3"/>
      <c r="O470" s="3"/>
      <c r="P470" s="3">
        <f>Table1[[#This Row],[Input Quantity (Kg''s)]]-SUM(Table1[[#This Row],[Wholes (kg''s)]:[Black Rejection (Kg''s)]],Table1[[#This Row],[Shell Dust]])</f>
        <v>0</v>
      </c>
      <c r="Q470" s="3">
        <f>SUM(Table1[[#This Row],[Wholes (kg''s)]:[Pieces (kg''s)]])</f>
        <v>0</v>
      </c>
      <c r="R470" s="3">
        <f>SUM(Table1[[#This Row],[Wholes (kg''s)]:[Black Rejection (Kg''s)]])</f>
        <v>0</v>
      </c>
      <c r="S470" s="4" t="str">
        <f>IFERROR(Table1[[#This Row],[Good Kernels (kg''s)]]/Table1[[#This Row],[Input Quantity (Kg''s)]]*176.36,"")</f>
        <v/>
      </c>
      <c r="T470" s="4" t="str">
        <f>IFERROR(Table1[[#This Row],[Good Kernels (kg''s)]]/Table1[[#This Row],[Input Quantity (Kg''s)]]%,"")</f>
        <v/>
      </c>
      <c r="U470" s="5" t="str">
        <f>IFERROR(Table1[[#This Row],[Final Kernels (kg''s)]]/Table1[[#This Row],[Input Quantity (Kg''s)]]%,"")</f>
        <v/>
      </c>
      <c r="V470" s="5" t="str">
        <f>IFERROR(Table1[[#This Row],[Wholes (kg''s)]]/Table1[[#This Row],[Good Kernels (kg''s)]]%,"")</f>
        <v/>
      </c>
      <c r="W470" s="5" t="str">
        <f>IFERROR(Table1[[#This Row],[Pieces (kg''s)]]/Table1[[#This Row],[Good Kernels (kg''s)]]%,"")</f>
        <v/>
      </c>
      <c r="X470" s="5" t="str">
        <f>IFERROR(Table1[[#This Row],[First Pass Uncut (kg''s)]]/Table1[[#This Row],[Input Quantity (Kg''s)]]%,"")</f>
        <v/>
      </c>
      <c r="Y470" s="5" t="str">
        <f>IFERROR(Table1[[#This Row],[Final Uncut (kg''s)]]/Table1[[#This Row],[Input Quantity (Kg''s)]]%,"")</f>
        <v/>
      </c>
      <c r="Z470" s="21" t="str">
        <f>IFERROR(Table1[[#This Row],[Shell]]/Table1[[#This Row],[Input Quantity (Kg''s)]]%,"")</f>
        <v/>
      </c>
      <c r="AA470" s="21" t="str">
        <f>IFERROR(Table1[[#This Row],[Shell Dust]]/Table1[[#This Row],[Input Quantity (Kg''s)]]%,"")</f>
        <v/>
      </c>
    </row>
    <row r="471" spans="2:27" x14ac:dyDescent="0.3">
      <c r="B471" s="1"/>
      <c r="C471" s="15">
        <f>WEEKNUM(Table1[[#This Row],[Date]])</f>
        <v>0</v>
      </c>
      <c r="D471" s="1" t="str">
        <f>TEXT(Table1[[#This Row],[Date]],"mmm-yy")</f>
        <v>Jan-00</v>
      </c>
      <c r="E471" s="1"/>
      <c r="I471" s="3"/>
      <c r="M471" s="3"/>
      <c r="N471" s="3"/>
      <c r="O471" s="3"/>
      <c r="P471" s="3">
        <f>Table1[[#This Row],[Input Quantity (Kg''s)]]-SUM(Table1[[#This Row],[Wholes (kg''s)]:[Black Rejection (Kg''s)]],Table1[[#This Row],[Shell Dust]])</f>
        <v>0</v>
      </c>
      <c r="Q471" s="3">
        <f>SUM(Table1[[#This Row],[Wholes (kg''s)]:[Pieces (kg''s)]])</f>
        <v>0</v>
      </c>
      <c r="R471" s="3">
        <f>SUM(Table1[[#This Row],[Wholes (kg''s)]:[Black Rejection (Kg''s)]])</f>
        <v>0</v>
      </c>
      <c r="S471" s="4" t="str">
        <f>IFERROR(Table1[[#This Row],[Good Kernels (kg''s)]]/Table1[[#This Row],[Input Quantity (Kg''s)]]*176.36,"")</f>
        <v/>
      </c>
      <c r="T471" s="4" t="str">
        <f>IFERROR(Table1[[#This Row],[Good Kernels (kg''s)]]/Table1[[#This Row],[Input Quantity (Kg''s)]]%,"")</f>
        <v/>
      </c>
      <c r="U471" s="5" t="str">
        <f>IFERROR(Table1[[#This Row],[Final Kernels (kg''s)]]/Table1[[#This Row],[Input Quantity (Kg''s)]]%,"")</f>
        <v/>
      </c>
      <c r="V471" s="5" t="str">
        <f>IFERROR(Table1[[#This Row],[Wholes (kg''s)]]/Table1[[#This Row],[Good Kernels (kg''s)]]%,"")</f>
        <v/>
      </c>
      <c r="W471" s="5" t="str">
        <f>IFERROR(Table1[[#This Row],[Pieces (kg''s)]]/Table1[[#This Row],[Good Kernels (kg''s)]]%,"")</f>
        <v/>
      </c>
      <c r="X471" s="5" t="str">
        <f>IFERROR(Table1[[#This Row],[First Pass Uncut (kg''s)]]/Table1[[#This Row],[Input Quantity (Kg''s)]]%,"")</f>
        <v/>
      </c>
      <c r="Y471" s="5" t="str">
        <f>IFERROR(Table1[[#This Row],[Final Uncut (kg''s)]]/Table1[[#This Row],[Input Quantity (Kg''s)]]%,"")</f>
        <v/>
      </c>
      <c r="Z471" s="21" t="str">
        <f>IFERROR(Table1[[#This Row],[Shell]]/Table1[[#This Row],[Input Quantity (Kg''s)]]%,"")</f>
        <v/>
      </c>
      <c r="AA471" s="21" t="str">
        <f>IFERROR(Table1[[#This Row],[Shell Dust]]/Table1[[#This Row],[Input Quantity (Kg''s)]]%,"")</f>
        <v/>
      </c>
    </row>
    <row r="472" spans="2:27" x14ac:dyDescent="0.3">
      <c r="B472" s="1"/>
      <c r="C472" s="15">
        <f>WEEKNUM(Table1[[#This Row],[Date]])</f>
        <v>0</v>
      </c>
      <c r="D472" s="1" t="str">
        <f>TEXT(Table1[[#This Row],[Date]],"mmm-yy")</f>
        <v>Jan-00</v>
      </c>
      <c r="E472" s="1"/>
      <c r="I472" s="3"/>
      <c r="M472" s="3"/>
      <c r="N472" s="3"/>
      <c r="O472" s="3"/>
      <c r="P472" s="3">
        <f>Table1[[#This Row],[Input Quantity (Kg''s)]]-SUM(Table1[[#This Row],[Wholes (kg''s)]:[Black Rejection (Kg''s)]],Table1[[#This Row],[Shell Dust]])</f>
        <v>0</v>
      </c>
      <c r="Q472" s="3">
        <f>SUM(Table1[[#This Row],[Wholes (kg''s)]:[Pieces (kg''s)]])</f>
        <v>0</v>
      </c>
      <c r="R472" s="3">
        <f>SUM(Table1[[#This Row],[Wholes (kg''s)]:[Black Rejection (Kg''s)]])</f>
        <v>0</v>
      </c>
      <c r="S472" s="4" t="str">
        <f>IFERROR(Table1[[#This Row],[Good Kernels (kg''s)]]/Table1[[#This Row],[Input Quantity (Kg''s)]]*176.36,"")</f>
        <v/>
      </c>
      <c r="T472" s="4" t="str">
        <f>IFERROR(Table1[[#This Row],[Good Kernels (kg''s)]]/Table1[[#This Row],[Input Quantity (Kg''s)]]%,"")</f>
        <v/>
      </c>
      <c r="U472" s="5" t="str">
        <f>IFERROR(Table1[[#This Row],[Final Kernels (kg''s)]]/Table1[[#This Row],[Input Quantity (Kg''s)]]%,"")</f>
        <v/>
      </c>
      <c r="V472" s="5" t="str">
        <f>IFERROR(Table1[[#This Row],[Wholes (kg''s)]]/Table1[[#This Row],[Good Kernels (kg''s)]]%,"")</f>
        <v/>
      </c>
      <c r="W472" s="5" t="str">
        <f>IFERROR(Table1[[#This Row],[Pieces (kg''s)]]/Table1[[#This Row],[Good Kernels (kg''s)]]%,"")</f>
        <v/>
      </c>
      <c r="X472" s="5" t="str">
        <f>IFERROR(Table1[[#This Row],[First Pass Uncut (kg''s)]]/Table1[[#This Row],[Input Quantity (Kg''s)]]%,"")</f>
        <v/>
      </c>
      <c r="Y472" s="5" t="str">
        <f>IFERROR(Table1[[#This Row],[Final Uncut (kg''s)]]/Table1[[#This Row],[Input Quantity (Kg''s)]]%,"")</f>
        <v/>
      </c>
      <c r="Z472" s="21" t="str">
        <f>IFERROR(Table1[[#This Row],[Shell]]/Table1[[#This Row],[Input Quantity (Kg''s)]]%,"")</f>
        <v/>
      </c>
      <c r="AA472" s="21" t="str">
        <f>IFERROR(Table1[[#This Row],[Shell Dust]]/Table1[[#This Row],[Input Quantity (Kg''s)]]%,"")</f>
        <v/>
      </c>
    </row>
    <row r="473" spans="2:27" x14ac:dyDescent="0.3">
      <c r="B473" s="1"/>
      <c r="C473" s="15">
        <f>WEEKNUM(Table1[[#This Row],[Date]])</f>
        <v>0</v>
      </c>
      <c r="D473" s="1" t="str">
        <f>TEXT(Table1[[#This Row],[Date]],"mmm-yy")</f>
        <v>Jan-00</v>
      </c>
      <c r="E473" s="1"/>
      <c r="I473" s="3"/>
      <c r="M473" s="3"/>
      <c r="N473" s="3"/>
      <c r="O473" s="3"/>
      <c r="P473" s="3">
        <f>Table1[[#This Row],[Input Quantity (Kg''s)]]-SUM(Table1[[#This Row],[Wholes (kg''s)]:[Black Rejection (Kg''s)]],Table1[[#This Row],[Shell Dust]])</f>
        <v>0</v>
      </c>
      <c r="Q473" s="3">
        <f>SUM(Table1[[#This Row],[Wholes (kg''s)]:[Pieces (kg''s)]])</f>
        <v>0</v>
      </c>
      <c r="R473" s="3">
        <f>SUM(Table1[[#This Row],[Wholes (kg''s)]:[Black Rejection (Kg''s)]])</f>
        <v>0</v>
      </c>
      <c r="S473" s="4" t="str">
        <f>IFERROR(Table1[[#This Row],[Good Kernels (kg''s)]]/Table1[[#This Row],[Input Quantity (Kg''s)]]*176.36,"")</f>
        <v/>
      </c>
      <c r="T473" s="4" t="str">
        <f>IFERROR(Table1[[#This Row],[Good Kernels (kg''s)]]/Table1[[#This Row],[Input Quantity (Kg''s)]]%,"")</f>
        <v/>
      </c>
      <c r="U473" s="5" t="str">
        <f>IFERROR(Table1[[#This Row],[Final Kernels (kg''s)]]/Table1[[#This Row],[Input Quantity (Kg''s)]]%,"")</f>
        <v/>
      </c>
      <c r="V473" s="5" t="str">
        <f>IFERROR(Table1[[#This Row],[Wholes (kg''s)]]/Table1[[#This Row],[Good Kernels (kg''s)]]%,"")</f>
        <v/>
      </c>
      <c r="W473" s="5" t="str">
        <f>IFERROR(Table1[[#This Row],[Pieces (kg''s)]]/Table1[[#This Row],[Good Kernels (kg''s)]]%,"")</f>
        <v/>
      </c>
      <c r="X473" s="5" t="str">
        <f>IFERROR(Table1[[#This Row],[First Pass Uncut (kg''s)]]/Table1[[#This Row],[Input Quantity (Kg''s)]]%,"")</f>
        <v/>
      </c>
      <c r="Y473" s="5" t="str">
        <f>IFERROR(Table1[[#This Row],[Final Uncut (kg''s)]]/Table1[[#This Row],[Input Quantity (Kg''s)]]%,"")</f>
        <v/>
      </c>
      <c r="Z473" s="21" t="str">
        <f>IFERROR(Table1[[#This Row],[Shell]]/Table1[[#This Row],[Input Quantity (Kg''s)]]%,"")</f>
        <v/>
      </c>
      <c r="AA473" s="21" t="str">
        <f>IFERROR(Table1[[#This Row],[Shell Dust]]/Table1[[#This Row],[Input Quantity (Kg''s)]]%,"")</f>
        <v/>
      </c>
    </row>
    <row r="474" spans="2:27" x14ac:dyDescent="0.3">
      <c r="B474" s="1"/>
      <c r="C474" s="15">
        <f>WEEKNUM(Table1[[#This Row],[Date]])</f>
        <v>0</v>
      </c>
      <c r="D474" s="1" t="str">
        <f>TEXT(Table1[[#This Row],[Date]],"mmm-yy")</f>
        <v>Jan-00</v>
      </c>
      <c r="E474" s="1"/>
      <c r="I474" s="3"/>
      <c r="M474" s="3"/>
      <c r="N474" s="3"/>
      <c r="O474" s="3"/>
      <c r="P474" s="3">
        <f>Table1[[#This Row],[Input Quantity (Kg''s)]]-SUM(Table1[[#This Row],[Wholes (kg''s)]:[Black Rejection (Kg''s)]],Table1[[#This Row],[Shell Dust]])</f>
        <v>0</v>
      </c>
      <c r="Q474" s="3">
        <f>SUM(Table1[[#This Row],[Wholes (kg''s)]:[Pieces (kg''s)]])</f>
        <v>0</v>
      </c>
      <c r="R474" s="3">
        <f>SUM(Table1[[#This Row],[Wholes (kg''s)]:[Black Rejection (Kg''s)]])</f>
        <v>0</v>
      </c>
      <c r="S474" s="4" t="str">
        <f>IFERROR(Table1[[#This Row],[Good Kernels (kg''s)]]/Table1[[#This Row],[Input Quantity (Kg''s)]]*176.36,"")</f>
        <v/>
      </c>
      <c r="T474" s="4" t="str">
        <f>IFERROR(Table1[[#This Row],[Good Kernels (kg''s)]]/Table1[[#This Row],[Input Quantity (Kg''s)]]%,"")</f>
        <v/>
      </c>
      <c r="U474" s="5" t="str">
        <f>IFERROR(Table1[[#This Row],[Final Kernels (kg''s)]]/Table1[[#This Row],[Input Quantity (Kg''s)]]%,"")</f>
        <v/>
      </c>
      <c r="V474" s="5" t="str">
        <f>IFERROR(Table1[[#This Row],[Wholes (kg''s)]]/Table1[[#This Row],[Good Kernels (kg''s)]]%,"")</f>
        <v/>
      </c>
      <c r="W474" s="5" t="str">
        <f>IFERROR(Table1[[#This Row],[Pieces (kg''s)]]/Table1[[#This Row],[Good Kernels (kg''s)]]%,"")</f>
        <v/>
      </c>
      <c r="X474" s="5" t="str">
        <f>IFERROR(Table1[[#This Row],[First Pass Uncut (kg''s)]]/Table1[[#This Row],[Input Quantity (Kg''s)]]%,"")</f>
        <v/>
      </c>
      <c r="Y474" s="5" t="str">
        <f>IFERROR(Table1[[#This Row],[Final Uncut (kg''s)]]/Table1[[#This Row],[Input Quantity (Kg''s)]]%,"")</f>
        <v/>
      </c>
      <c r="Z474" s="21" t="str">
        <f>IFERROR(Table1[[#This Row],[Shell]]/Table1[[#This Row],[Input Quantity (Kg''s)]]%,"")</f>
        <v/>
      </c>
      <c r="AA474" s="21" t="str">
        <f>IFERROR(Table1[[#This Row],[Shell Dust]]/Table1[[#This Row],[Input Quantity (Kg''s)]]%,"")</f>
        <v/>
      </c>
    </row>
    <row r="475" spans="2:27" x14ac:dyDescent="0.3">
      <c r="B475" s="1"/>
      <c r="C475" s="15">
        <f>WEEKNUM(Table1[[#This Row],[Date]])</f>
        <v>0</v>
      </c>
      <c r="D475" s="1" t="str">
        <f>TEXT(Table1[[#This Row],[Date]],"mmm-yy")</f>
        <v>Jan-00</v>
      </c>
      <c r="E475" s="1"/>
      <c r="I475" s="3"/>
      <c r="M475" s="3"/>
      <c r="N475" s="3"/>
      <c r="O475" s="3"/>
      <c r="P475" s="3">
        <f>Table1[[#This Row],[Input Quantity (Kg''s)]]-SUM(Table1[[#This Row],[Wholes (kg''s)]:[Black Rejection (Kg''s)]],Table1[[#This Row],[Shell Dust]])</f>
        <v>0</v>
      </c>
      <c r="Q475" s="3">
        <f>SUM(Table1[[#This Row],[Wholes (kg''s)]:[Pieces (kg''s)]])</f>
        <v>0</v>
      </c>
      <c r="R475" s="3">
        <f>SUM(Table1[[#This Row],[Wholes (kg''s)]:[Black Rejection (Kg''s)]])</f>
        <v>0</v>
      </c>
      <c r="S475" s="4" t="str">
        <f>IFERROR(Table1[[#This Row],[Good Kernels (kg''s)]]/Table1[[#This Row],[Input Quantity (Kg''s)]]*176.36,"")</f>
        <v/>
      </c>
      <c r="T475" s="4" t="str">
        <f>IFERROR(Table1[[#This Row],[Good Kernels (kg''s)]]/Table1[[#This Row],[Input Quantity (Kg''s)]]%,"")</f>
        <v/>
      </c>
      <c r="U475" s="5" t="str">
        <f>IFERROR(Table1[[#This Row],[Final Kernels (kg''s)]]/Table1[[#This Row],[Input Quantity (Kg''s)]]%,"")</f>
        <v/>
      </c>
      <c r="V475" s="5" t="str">
        <f>IFERROR(Table1[[#This Row],[Wholes (kg''s)]]/Table1[[#This Row],[Good Kernels (kg''s)]]%,"")</f>
        <v/>
      </c>
      <c r="W475" s="5" t="str">
        <f>IFERROR(Table1[[#This Row],[Pieces (kg''s)]]/Table1[[#This Row],[Good Kernels (kg''s)]]%,"")</f>
        <v/>
      </c>
      <c r="X475" s="5" t="str">
        <f>IFERROR(Table1[[#This Row],[First Pass Uncut (kg''s)]]/Table1[[#This Row],[Input Quantity (Kg''s)]]%,"")</f>
        <v/>
      </c>
      <c r="Y475" s="5" t="str">
        <f>IFERROR(Table1[[#This Row],[Final Uncut (kg''s)]]/Table1[[#This Row],[Input Quantity (Kg''s)]]%,"")</f>
        <v/>
      </c>
      <c r="Z475" s="21" t="str">
        <f>IFERROR(Table1[[#This Row],[Shell]]/Table1[[#This Row],[Input Quantity (Kg''s)]]%,"")</f>
        <v/>
      </c>
      <c r="AA475" s="21" t="str">
        <f>IFERROR(Table1[[#This Row],[Shell Dust]]/Table1[[#This Row],[Input Quantity (Kg''s)]]%,"")</f>
        <v/>
      </c>
    </row>
    <row r="476" spans="2:27" x14ac:dyDescent="0.3">
      <c r="B476" s="1"/>
      <c r="C476" s="15">
        <f>WEEKNUM(Table1[[#This Row],[Date]])</f>
        <v>0</v>
      </c>
      <c r="D476" s="1" t="str">
        <f>TEXT(Table1[[#This Row],[Date]],"mmm-yy")</f>
        <v>Jan-00</v>
      </c>
      <c r="E476" s="1"/>
      <c r="I476" s="3"/>
      <c r="M476" s="3"/>
      <c r="N476" s="3"/>
      <c r="O476" s="3"/>
      <c r="P476" s="3">
        <f>Table1[[#This Row],[Input Quantity (Kg''s)]]-SUM(Table1[[#This Row],[Wholes (kg''s)]:[Black Rejection (Kg''s)]],Table1[[#This Row],[Shell Dust]])</f>
        <v>0</v>
      </c>
      <c r="Q476" s="3">
        <f>SUM(Table1[[#This Row],[Wholes (kg''s)]:[Pieces (kg''s)]])</f>
        <v>0</v>
      </c>
      <c r="R476" s="3">
        <f>SUM(Table1[[#This Row],[Wholes (kg''s)]:[Black Rejection (Kg''s)]])</f>
        <v>0</v>
      </c>
      <c r="S476" s="4" t="str">
        <f>IFERROR(Table1[[#This Row],[Good Kernels (kg''s)]]/Table1[[#This Row],[Input Quantity (Kg''s)]]*176.36,"")</f>
        <v/>
      </c>
      <c r="T476" s="4" t="str">
        <f>IFERROR(Table1[[#This Row],[Good Kernels (kg''s)]]/Table1[[#This Row],[Input Quantity (Kg''s)]]%,"")</f>
        <v/>
      </c>
      <c r="U476" s="5" t="str">
        <f>IFERROR(Table1[[#This Row],[Final Kernels (kg''s)]]/Table1[[#This Row],[Input Quantity (Kg''s)]]%,"")</f>
        <v/>
      </c>
      <c r="V476" s="5" t="str">
        <f>IFERROR(Table1[[#This Row],[Wholes (kg''s)]]/Table1[[#This Row],[Good Kernels (kg''s)]]%,"")</f>
        <v/>
      </c>
      <c r="W476" s="5" t="str">
        <f>IFERROR(Table1[[#This Row],[Pieces (kg''s)]]/Table1[[#This Row],[Good Kernels (kg''s)]]%,"")</f>
        <v/>
      </c>
      <c r="X476" s="5" t="str">
        <f>IFERROR(Table1[[#This Row],[First Pass Uncut (kg''s)]]/Table1[[#This Row],[Input Quantity (Kg''s)]]%,"")</f>
        <v/>
      </c>
      <c r="Y476" s="5" t="str">
        <f>IFERROR(Table1[[#This Row],[Final Uncut (kg''s)]]/Table1[[#This Row],[Input Quantity (Kg''s)]]%,"")</f>
        <v/>
      </c>
      <c r="Z476" s="21" t="str">
        <f>IFERROR(Table1[[#This Row],[Shell]]/Table1[[#This Row],[Input Quantity (Kg''s)]]%,"")</f>
        <v/>
      </c>
      <c r="AA476" s="21" t="str">
        <f>IFERROR(Table1[[#This Row],[Shell Dust]]/Table1[[#This Row],[Input Quantity (Kg''s)]]%,"")</f>
        <v/>
      </c>
    </row>
    <row r="477" spans="2:27" x14ac:dyDescent="0.3">
      <c r="B477" s="1"/>
      <c r="C477" s="15">
        <f>WEEKNUM(Table1[[#This Row],[Date]])</f>
        <v>0</v>
      </c>
      <c r="D477" s="1" t="str">
        <f>TEXT(Table1[[#This Row],[Date]],"mmm-yy")</f>
        <v>Jan-00</v>
      </c>
      <c r="E477" s="1"/>
      <c r="I477" s="3"/>
      <c r="M477" s="3"/>
      <c r="N477" s="3"/>
      <c r="O477" s="3"/>
      <c r="P477" s="3">
        <f>Table1[[#This Row],[Input Quantity (Kg''s)]]-SUM(Table1[[#This Row],[Wholes (kg''s)]:[Black Rejection (Kg''s)]],Table1[[#This Row],[Shell Dust]])</f>
        <v>0</v>
      </c>
      <c r="Q477" s="3">
        <f>SUM(Table1[[#This Row],[Wholes (kg''s)]:[Pieces (kg''s)]])</f>
        <v>0</v>
      </c>
      <c r="R477" s="3">
        <f>SUM(Table1[[#This Row],[Wholes (kg''s)]:[Black Rejection (Kg''s)]])</f>
        <v>0</v>
      </c>
      <c r="S477" s="4" t="str">
        <f>IFERROR(Table1[[#This Row],[Good Kernels (kg''s)]]/Table1[[#This Row],[Input Quantity (Kg''s)]]*176.36,"")</f>
        <v/>
      </c>
      <c r="T477" s="4" t="str">
        <f>IFERROR(Table1[[#This Row],[Good Kernels (kg''s)]]/Table1[[#This Row],[Input Quantity (Kg''s)]]%,"")</f>
        <v/>
      </c>
      <c r="U477" s="5" t="str">
        <f>IFERROR(Table1[[#This Row],[Final Kernels (kg''s)]]/Table1[[#This Row],[Input Quantity (Kg''s)]]%,"")</f>
        <v/>
      </c>
      <c r="V477" s="5" t="str">
        <f>IFERROR(Table1[[#This Row],[Wholes (kg''s)]]/Table1[[#This Row],[Good Kernels (kg''s)]]%,"")</f>
        <v/>
      </c>
      <c r="W477" s="5" t="str">
        <f>IFERROR(Table1[[#This Row],[Pieces (kg''s)]]/Table1[[#This Row],[Good Kernels (kg''s)]]%,"")</f>
        <v/>
      </c>
      <c r="X477" s="5" t="str">
        <f>IFERROR(Table1[[#This Row],[First Pass Uncut (kg''s)]]/Table1[[#This Row],[Input Quantity (Kg''s)]]%,"")</f>
        <v/>
      </c>
      <c r="Y477" s="5" t="str">
        <f>IFERROR(Table1[[#This Row],[Final Uncut (kg''s)]]/Table1[[#This Row],[Input Quantity (Kg''s)]]%,"")</f>
        <v/>
      </c>
      <c r="Z477" s="21" t="str">
        <f>IFERROR(Table1[[#This Row],[Shell]]/Table1[[#This Row],[Input Quantity (Kg''s)]]%,"")</f>
        <v/>
      </c>
      <c r="AA477" s="21" t="str">
        <f>IFERROR(Table1[[#This Row],[Shell Dust]]/Table1[[#This Row],[Input Quantity (Kg''s)]]%,"")</f>
        <v/>
      </c>
    </row>
    <row r="478" spans="2:27" x14ac:dyDescent="0.3">
      <c r="B478" s="1"/>
      <c r="C478" s="15">
        <f>WEEKNUM(Table1[[#This Row],[Date]])</f>
        <v>0</v>
      </c>
      <c r="D478" s="1" t="str">
        <f>TEXT(Table1[[#This Row],[Date]],"mmm-yy")</f>
        <v>Jan-00</v>
      </c>
      <c r="E478" s="1"/>
      <c r="I478" s="3"/>
      <c r="M478" s="3"/>
      <c r="N478" s="3"/>
      <c r="O478" s="3"/>
      <c r="P478" s="3">
        <f>Table1[[#This Row],[Input Quantity (Kg''s)]]-SUM(Table1[[#This Row],[Wholes (kg''s)]:[Black Rejection (Kg''s)]],Table1[[#This Row],[Shell Dust]])</f>
        <v>0</v>
      </c>
      <c r="Q478" s="3">
        <f>SUM(Table1[[#This Row],[Wholes (kg''s)]:[Pieces (kg''s)]])</f>
        <v>0</v>
      </c>
      <c r="R478" s="3">
        <f>SUM(Table1[[#This Row],[Wholes (kg''s)]:[Black Rejection (Kg''s)]])</f>
        <v>0</v>
      </c>
      <c r="S478" s="4" t="str">
        <f>IFERROR(Table1[[#This Row],[Good Kernels (kg''s)]]/Table1[[#This Row],[Input Quantity (Kg''s)]]*176.36,"")</f>
        <v/>
      </c>
      <c r="T478" s="4" t="str">
        <f>IFERROR(Table1[[#This Row],[Good Kernels (kg''s)]]/Table1[[#This Row],[Input Quantity (Kg''s)]]%,"")</f>
        <v/>
      </c>
      <c r="U478" s="5" t="str">
        <f>IFERROR(Table1[[#This Row],[Final Kernels (kg''s)]]/Table1[[#This Row],[Input Quantity (Kg''s)]]%,"")</f>
        <v/>
      </c>
      <c r="V478" s="5" t="str">
        <f>IFERROR(Table1[[#This Row],[Wholes (kg''s)]]/Table1[[#This Row],[Good Kernels (kg''s)]]%,"")</f>
        <v/>
      </c>
      <c r="W478" s="5" t="str">
        <f>IFERROR(Table1[[#This Row],[Pieces (kg''s)]]/Table1[[#This Row],[Good Kernels (kg''s)]]%,"")</f>
        <v/>
      </c>
      <c r="X478" s="5" t="str">
        <f>IFERROR(Table1[[#This Row],[First Pass Uncut (kg''s)]]/Table1[[#This Row],[Input Quantity (Kg''s)]]%,"")</f>
        <v/>
      </c>
      <c r="Y478" s="5" t="str">
        <f>IFERROR(Table1[[#This Row],[Final Uncut (kg''s)]]/Table1[[#This Row],[Input Quantity (Kg''s)]]%,"")</f>
        <v/>
      </c>
      <c r="Z478" s="21" t="str">
        <f>IFERROR(Table1[[#This Row],[Shell]]/Table1[[#This Row],[Input Quantity (Kg''s)]]%,"")</f>
        <v/>
      </c>
      <c r="AA478" s="21" t="str">
        <f>IFERROR(Table1[[#This Row],[Shell Dust]]/Table1[[#This Row],[Input Quantity (Kg''s)]]%,"")</f>
        <v/>
      </c>
    </row>
    <row r="479" spans="2:27" x14ac:dyDescent="0.3">
      <c r="B479" s="1"/>
      <c r="C479" s="15">
        <f>WEEKNUM(Table1[[#This Row],[Date]])</f>
        <v>0</v>
      </c>
      <c r="D479" s="1" t="str">
        <f>TEXT(Table1[[#This Row],[Date]],"mmm-yy")</f>
        <v>Jan-00</v>
      </c>
      <c r="E479" s="1"/>
      <c r="I479" s="3"/>
      <c r="M479" s="3"/>
      <c r="N479" s="3"/>
      <c r="O479" s="3"/>
      <c r="P479" s="3">
        <f>Table1[[#This Row],[Input Quantity (Kg''s)]]-SUM(Table1[[#This Row],[Wholes (kg''s)]:[Black Rejection (Kg''s)]],Table1[[#This Row],[Shell Dust]])</f>
        <v>0</v>
      </c>
      <c r="Q479" s="3">
        <f>SUM(Table1[[#This Row],[Wholes (kg''s)]:[Pieces (kg''s)]])</f>
        <v>0</v>
      </c>
      <c r="R479" s="3">
        <f>SUM(Table1[[#This Row],[Wholes (kg''s)]:[Black Rejection (Kg''s)]])</f>
        <v>0</v>
      </c>
      <c r="S479" s="4" t="str">
        <f>IFERROR(Table1[[#This Row],[Good Kernels (kg''s)]]/Table1[[#This Row],[Input Quantity (Kg''s)]]*176.36,"")</f>
        <v/>
      </c>
      <c r="T479" s="4" t="str">
        <f>IFERROR(Table1[[#This Row],[Good Kernels (kg''s)]]/Table1[[#This Row],[Input Quantity (Kg''s)]]%,"")</f>
        <v/>
      </c>
      <c r="U479" s="5" t="str">
        <f>IFERROR(Table1[[#This Row],[Final Kernels (kg''s)]]/Table1[[#This Row],[Input Quantity (Kg''s)]]%,"")</f>
        <v/>
      </c>
      <c r="V479" s="5" t="str">
        <f>IFERROR(Table1[[#This Row],[Wholes (kg''s)]]/Table1[[#This Row],[Good Kernels (kg''s)]]%,"")</f>
        <v/>
      </c>
      <c r="W479" s="5" t="str">
        <f>IFERROR(Table1[[#This Row],[Pieces (kg''s)]]/Table1[[#This Row],[Good Kernels (kg''s)]]%,"")</f>
        <v/>
      </c>
      <c r="X479" s="5" t="str">
        <f>IFERROR(Table1[[#This Row],[First Pass Uncut (kg''s)]]/Table1[[#This Row],[Input Quantity (Kg''s)]]%,"")</f>
        <v/>
      </c>
      <c r="Y479" s="5" t="str">
        <f>IFERROR(Table1[[#This Row],[Final Uncut (kg''s)]]/Table1[[#This Row],[Input Quantity (Kg''s)]]%,"")</f>
        <v/>
      </c>
      <c r="Z479" s="21" t="str">
        <f>IFERROR(Table1[[#This Row],[Shell]]/Table1[[#This Row],[Input Quantity (Kg''s)]]%,"")</f>
        <v/>
      </c>
      <c r="AA479" s="21" t="str">
        <f>IFERROR(Table1[[#This Row],[Shell Dust]]/Table1[[#This Row],[Input Quantity (Kg''s)]]%,"")</f>
        <v/>
      </c>
    </row>
    <row r="480" spans="2:27" x14ac:dyDescent="0.3">
      <c r="B480" s="1"/>
      <c r="C480" s="15">
        <f>WEEKNUM(Table1[[#This Row],[Date]])</f>
        <v>0</v>
      </c>
      <c r="D480" s="1" t="str">
        <f>TEXT(Table1[[#This Row],[Date]],"mmm-yy")</f>
        <v>Jan-00</v>
      </c>
      <c r="E480" s="1"/>
      <c r="I480" s="3"/>
      <c r="M480" s="3"/>
      <c r="N480" s="3"/>
      <c r="O480" s="3"/>
      <c r="P480" s="3">
        <f>Table1[[#This Row],[Input Quantity (Kg''s)]]-SUM(Table1[[#This Row],[Wholes (kg''s)]:[Black Rejection (Kg''s)]],Table1[[#This Row],[Shell Dust]])</f>
        <v>0</v>
      </c>
      <c r="Q480" s="3">
        <f>SUM(Table1[[#This Row],[Wholes (kg''s)]:[Pieces (kg''s)]])</f>
        <v>0</v>
      </c>
      <c r="R480" s="3">
        <f>SUM(Table1[[#This Row],[Wholes (kg''s)]:[Black Rejection (Kg''s)]])</f>
        <v>0</v>
      </c>
      <c r="S480" s="4" t="str">
        <f>IFERROR(Table1[[#This Row],[Good Kernels (kg''s)]]/Table1[[#This Row],[Input Quantity (Kg''s)]]*176.36,"")</f>
        <v/>
      </c>
      <c r="T480" s="4" t="str">
        <f>IFERROR(Table1[[#This Row],[Good Kernels (kg''s)]]/Table1[[#This Row],[Input Quantity (Kg''s)]]%,"")</f>
        <v/>
      </c>
      <c r="U480" s="5" t="str">
        <f>IFERROR(Table1[[#This Row],[Final Kernels (kg''s)]]/Table1[[#This Row],[Input Quantity (Kg''s)]]%,"")</f>
        <v/>
      </c>
      <c r="V480" s="5" t="str">
        <f>IFERROR(Table1[[#This Row],[Wholes (kg''s)]]/Table1[[#This Row],[Good Kernels (kg''s)]]%,"")</f>
        <v/>
      </c>
      <c r="W480" s="5" t="str">
        <f>IFERROR(Table1[[#This Row],[Pieces (kg''s)]]/Table1[[#This Row],[Good Kernels (kg''s)]]%,"")</f>
        <v/>
      </c>
      <c r="X480" s="5" t="str">
        <f>IFERROR(Table1[[#This Row],[First Pass Uncut (kg''s)]]/Table1[[#This Row],[Input Quantity (Kg''s)]]%,"")</f>
        <v/>
      </c>
      <c r="Y480" s="5" t="str">
        <f>IFERROR(Table1[[#This Row],[Final Uncut (kg''s)]]/Table1[[#This Row],[Input Quantity (Kg''s)]]%,"")</f>
        <v/>
      </c>
      <c r="Z480" s="21" t="str">
        <f>IFERROR(Table1[[#This Row],[Shell]]/Table1[[#This Row],[Input Quantity (Kg''s)]]%,"")</f>
        <v/>
      </c>
      <c r="AA480" s="21" t="str">
        <f>IFERROR(Table1[[#This Row],[Shell Dust]]/Table1[[#This Row],[Input Quantity (Kg''s)]]%,"")</f>
        <v/>
      </c>
    </row>
    <row r="481" spans="2:27" x14ac:dyDescent="0.3">
      <c r="B481" s="1"/>
      <c r="C481" s="15">
        <f>WEEKNUM(Table1[[#This Row],[Date]])</f>
        <v>0</v>
      </c>
      <c r="D481" s="1" t="str">
        <f>TEXT(Table1[[#This Row],[Date]],"mmm-yy")</f>
        <v>Jan-00</v>
      </c>
      <c r="E481" s="1"/>
      <c r="I481" s="3"/>
      <c r="M481" s="3"/>
      <c r="N481" s="3"/>
      <c r="O481" s="3"/>
      <c r="P481" s="3">
        <f>Table1[[#This Row],[Input Quantity (Kg''s)]]-SUM(Table1[[#This Row],[Wholes (kg''s)]:[Black Rejection (Kg''s)]],Table1[[#This Row],[Shell Dust]])</f>
        <v>0</v>
      </c>
      <c r="Q481" s="3">
        <f>SUM(Table1[[#This Row],[Wholes (kg''s)]:[Pieces (kg''s)]])</f>
        <v>0</v>
      </c>
      <c r="R481" s="3">
        <f>SUM(Table1[[#This Row],[Wholes (kg''s)]:[Black Rejection (Kg''s)]])</f>
        <v>0</v>
      </c>
      <c r="S481" s="4" t="str">
        <f>IFERROR(Table1[[#This Row],[Good Kernels (kg''s)]]/Table1[[#This Row],[Input Quantity (Kg''s)]]*176.36,"")</f>
        <v/>
      </c>
      <c r="T481" s="4" t="str">
        <f>IFERROR(Table1[[#This Row],[Good Kernels (kg''s)]]/Table1[[#This Row],[Input Quantity (Kg''s)]]%,"")</f>
        <v/>
      </c>
      <c r="U481" s="5" t="str">
        <f>IFERROR(Table1[[#This Row],[Final Kernels (kg''s)]]/Table1[[#This Row],[Input Quantity (Kg''s)]]%,"")</f>
        <v/>
      </c>
      <c r="V481" s="5" t="str">
        <f>IFERROR(Table1[[#This Row],[Wholes (kg''s)]]/Table1[[#This Row],[Good Kernels (kg''s)]]%,"")</f>
        <v/>
      </c>
      <c r="W481" s="5" t="str">
        <f>IFERROR(Table1[[#This Row],[Pieces (kg''s)]]/Table1[[#This Row],[Good Kernels (kg''s)]]%,"")</f>
        <v/>
      </c>
      <c r="X481" s="5" t="str">
        <f>IFERROR(Table1[[#This Row],[First Pass Uncut (kg''s)]]/Table1[[#This Row],[Input Quantity (Kg''s)]]%,"")</f>
        <v/>
      </c>
      <c r="Y481" s="5" t="str">
        <f>IFERROR(Table1[[#This Row],[Final Uncut (kg''s)]]/Table1[[#This Row],[Input Quantity (Kg''s)]]%,"")</f>
        <v/>
      </c>
      <c r="Z481" s="21" t="str">
        <f>IFERROR(Table1[[#This Row],[Shell]]/Table1[[#This Row],[Input Quantity (Kg''s)]]%,"")</f>
        <v/>
      </c>
      <c r="AA481" s="21" t="str">
        <f>IFERROR(Table1[[#This Row],[Shell Dust]]/Table1[[#This Row],[Input Quantity (Kg''s)]]%,"")</f>
        <v/>
      </c>
    </row>
    <row r="482" spans="2:27" x14ac:dyDescent="0.3">
      <c r="B482" s="1"/>
      <c r="C482" s="15">
        <f>WEEKNUM(Table1[[#This Row],[Date]])</f>
        <v>0</v>
      </c>
      <c r="D482" s="1" t="str">
        <f>TEXT(Table1[[#This Row],[Date]],"mmm-yy")</f>
        <v>Jan-00</v>
      </c>
      <c r="E482" s="1"/>
      <c r="I482" s="3"/>
      <c r="M482" s="3"/>
      <c r="N482" s="3"/>
      <c r="O482" s="3"/>
      <c r="P482" s="3">
        <f>Table1[[#This Row],[Input Quantity (Kg''s)]]-SUM(Table1[[#This Row],[Wholes (kg''s)]:[Black Rejection (Kg''s)]],Table1[[#This Row],[Shell Dust]])</f>
        <v>0</v>
      </c>
      <c r="Q482" s="3">
        <f>SUM(Table1[[#This Row],[Wholes (kg''s)]:[Pieces (kg''s)]])</f>
        <v>0</v>
      </c>
      <c r="R482" s="3">
        <f>SUM(Table1[[#This Row],[Wholes (kg''s)]:[Black Rejection (Kg''s)]])</f>
        <v>0</v>
      </c>
      <c r="S482" s="4" t="str">
        <f>IFERROR(Table1[[#This Row],[Good Kernels (kg''s)]]/Table1[[#This Row],[Input Quantity (Kg''s)]]*176.36,"")</f>
        <v/>
      </c>
      <c r="T482" s="4" t="str">
        <f>IFERROR(Table1[[#This Row],[Good Kernels (kg''s)]]/Table1[[#This Row],[Input Quantity (Kg''s)]]%,"")</f>
        <v/>
      </c>
      <c r="U482" s="5" t="str">
        <f>IFERROR(Table1[[#This Row],[Final Kernels (kg''s)]]/Table1[[#This Row],[Input Quantity (Kg''s)]]%,"")</f>
        <v/>
      </c>
      <c r="V482" s="5" t="str">
        <f>IFERROR(Table1[[#This Row],[Wholes (kg''s)]]/Table1[[#This Row],[Good Kernels (kg''s)]]%,"")</f>
        <v/>
      </c>
      <c r="W482" s="5" t="str">
        <f>IFERROR(Table1[[#This Row],[Pieces (kg''s)]]/Table1[[#This Row],[Good Kernels (kg''s)]]%,"")</f>
        <v/>
      </c>
      <c r="X482" s="5" t="str">
        <f>IFERROR(Table1[[#This Row],[First Pass Uncut (kg''s)]]/Table1[[#This Row],[Input Quantity (Kg''s)]]%,"")</f>
        <v/>
      </c>
      <c r="Y482" s="5" t="str">
        <f>IFERROR(Table1[[#This Row],[Final Uncut (kg''s)]]/Table1[[#This Row],[Input Quantity (Kg''s)]]%,"")</f>
        <v/>
      </c>
      <c r="Z482" s="21" t="str">
        <f>IFERROR(Table1[[#This Row],[Shell]]/Table1[[#This Row],[Input Quantity (Kg''s)]]%,"")</f>
        <v/>
      </c>
      <c r="AA482" s="21" t="str">
        <f>IFERROR(Table1[[#This Row],[Shell Dust]]/Table1[[#This Row],[Input Quantity (Kg''s)]]%,"")</f>
        <v/>
      </c>
    </row>
  </sheetData>
  <phoneticPr fontId="5" type="noConversion"/>
  <conditionalFormatting sqref="F87:F110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2026-05-21T00:21:16Z</dcterms:created>
  <dcterms:modified xsi:type="dcterms:W3CDTF">2026-09-16T19:33:35Z</dcterms:modified>
</cp:coreProperties>
</file>